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F:\odrive\Sburtonhome - Google Drive\Adventures in CRE\Premium Models\Apartment Development\"/>
    </mc:Choice>
  </mc:AlternateContent>
  <xr:revisionPtr revIDLastSave="0" documentId="13_ncr:1_{676085DC-816C-4720-B7C3-071DD4425FFA}" xr6:coauthVersionLast="45" xr6:coauthVersionMax="45" xr10:uidLastSave="{00000000-0000-0000-0000-000000000000}"/>
  <bookViews>
    <workbookView xWindow="2160" yWindow="690" windowWidth="24660" windowHeight="14460" xr2:uid="{00000000-000D-0000-FFFF-FFFF00000000}"/>
  </bookViews>
  <sheets>
    <sheet name="Version" sheetId="10" r:id="rId1"/>
    <sheet name="Summary" sheetId="1" r:id="rId2"/>
    <sheet name="Annual Cash Flow" sheetId="9" state="hidden" r:id="rId3"/>
    <sheet name="Underwriting" sheetId="4" r:id="rId4"/>
    <sheet name="Retail Income" sheetId="7" state="hidden" r:id="rId5"/>
    <sheet name="Detail Expenses" sheetId="6" state="hidden" r:id="rId6"/>
    <sheet name="Data" sheetId="3" state="hidden" r:id="rId7"/>
  </sheets>
  <definedNames>
    <definedName name="Calc_Dev_Fee?">Underwriting!$G$291</definedName>
    <definedName name="Calc_Loan?">Underwriting!$C$291</definedName>
    <definedName name="CapEx_1">Underwriting!$I$133</definedName>
    <definedName name="CapEx_2">Underwriting!$I$135</definedName>
    <definedName name="CF_Report?">Summary!$A$38</definedName>
    <definedName name="ConstDebt_Payoff">Underwriting!$E$71</definedName>
    <definedName name="CU?">Underwriting!$EQ$208</definedName>
    <definedName name="Dbl_Promote?">Underwriting!$A$221</definedName>
    <definedName name="Debt_LTC_Actual">Underwriting!$F$57</definedName>
    <definedName name="Debt_LTC_Target">Underwriting!$C$57</definedName>
    <definedName name="Debt_Total">Underwriting!$I$57</definedName>
    <definedName name="Dev_Fee_Actual">Underwriting!$G$290</definedName>
    <definedName name="Dev_Fee_Target">Underwriting!$C$42</definedName>
    <definedName name="Dev_Fee_Total">Underwriting!$I$42</definedName>
    <definedName name="Equity_Total">Underwriting!$I$56</definedName>
    <definedName name="Fixed_Variable">Underwriting!$A$63</definedName>
    <definedName name="Interest_Const_Loan">Underwriting!$E$61</definedName>
    <definedName name="Interest_Mezz_Loan">Underwriting!$E$62</definedName>
    <definedName name="Investment_Name">Underwriting!$E$9</definedName>
    <definedName name="Items_Hard_Costs">Underwriting!$ER$35</definedName>
    <definedName name="Items_Land_Costs">Underwriting!$ER$29</definedName>
    <definedName name="Items_Other_Income">Underwriting!$ER$101</definedName>
    <definedName name="Items_Retail_Tenants">'Retail Income'!$I$10</definedName>
    <definedName name="Items_Soft_Costs">Underwriting!$ER$43</definedName>
    <definedName name="Items_Unit_Types">Underwriting!$ER$88</definedName>
    <definedName name="LeaseUp_Formula">Underwriting!$L$84</definedName>
    <definedName name="LeaseUp_Method">Underwriting!$A$84</definedName>
    <definedName name="Nav_Controllable_Expenses">'Detail Expenses'!$B$9:$G$104</definedName>
    <definedName name="Nav_Development_CF">Underwriting!$B$22:$I$81</definedName>
    <definedName name="Nav_Fixed_Expenses">'Detail Expenses'!$B$105:$G$136</definedName>
    <definedName name="Nav_Investment_Description">Underwriting!$B$8:$I$20</definedName>
    <definedName name="Nav_Operating_CF">Underwriting!$B$82:$I$141</definedName>
    <definedName name="Nav_Operating_Expenses_Summary">Underwriting!$B$113:$I$138</definedName>
    <definedName name="Nav_Residual_CF">Underwriting!$B$142:$I$194</definedName>
    <definedName name="Nav_Retail_Expenses">'Retail Income'!$B$27:$I$36</definedName>
    <definedName name="Nav_Retail_Income">'Retail Income'!$B$9:$I$26</definedName>
    <definedName name="Nav_Retail_Reserves">'Retail Income'!$B$37:$I$45</definedName>
    <definedName name="Nav_Sensitivity">Underwriting!$B$269:$I$286</definedName>
    <definedName name="Nav_Waterfall_CF">Underwriting!$B$195:$I$246</definedName>
    <definedName name="OpEx_1">Underwriting!$I$118</definedName>
    <definedName name="OpEx_1_Det">'Detail Expenses'!$E$33</definedName>
    <definedName name="OpEx_2">Underwriting!$I$119</definedName>
    <definedName name="OpEx_2_Det">'Detail Expenses'!$E$50</definedName>
    <definedName name="OpEx_3">Underwriting!$I$120</definedName>
    <definedName name="OpEx_3_Det">'Detail Expenses'!$E$64</definedName>
    <definedName name="OpEx_4">Underwriting!$I$121</definedName>
    <definedName name="OpEx_4_Det">'Detail Expenses'!$E$73</definedName>
    <definedName name="OpEx_5">Underwriting!$I$122</definedName>
    <definedName name="OpEx_5_Det">'Detail Expenses'!$E$88</definedName>
    <definedName name="OpEx_6">Underwriting!$I$123</definedName>
    <definedName name="OpEx_6_Det">'Detail Expenses'!$E$96</definedName>
    <definedName name="OpEx_7">Underwriting!$I$124</definedName>
    <definedName name="OpEx_7_Det">'Detail Expenses'!$E$101</definedName>
    <definedName name="OpEx_Ins">Underwriting!$I$126</definedName>
    <definedName name="OpEx_Ins_Det">'Detail Expenses'!$E$116</definedName>
    <definedName name="OpEx_MgtFee">Underwriting!$I$125</definedName>
    <definedName name="OpEx_MgtFee_Det">'Detail Expenses'!$E$108</definedName>
    <definedName name="OpEx_Tax">Underwriting!$I$127</definedName>
    <definedName name="OpEx_Tax_Det">'Detail Expenses'!$E$131</definedName>
    <definedName name="OpEx_Underwriting_Type">Underwriting!$A$116</definedName>
    <definedName name="Parking_Structured">Underwriting!$I$19</definedName>
    <definedName name="Parking_Total">Underwriting!$E$19</definedName>
    <definedName name="Perm_Debt?">Underwriting!$A$75</definedName>
    <definedName name="PermDebt_Fund">Underwriting!$C$78</definedName>
    <definedName name="PermDebt_Payoff">Underwriting!$C$79</definedName>
    <definedName name="_xlnm.Print_Area" localSheetId="2">'Annual Cash Flow'!$B$2:$R$51</definedName>
    <definedName name="_xlnm.Print_Area" localSheetId="1">Summary!$B$2:$P$84</definedName>
    <definedName name="Project_Cost_Total">Underwriting!$I$53</definedName>
    <definedName name="Range_Debt">OFFSET(Underwriting!$L$71,0,0,1,Timing_Reversion_Month+1)</definedName>
    <definedName name="Range_Equity">OFFSET(Underwriting!$L$65,0,0,1,Timing_Reversion_Month+1)</definedName>
    <definedName name="Range_LeaseUp">Underwriting!$M$84:$EN$84</definedName>
    <definedName name="Range_Levered_CF">OFFSET(Underwriting!$L$213,0,0,1,Timing_Reversion_Month+1)</definedName>
    <definedName name="Range_Months">OFFSET(Underwriting!$L$82,0,0,1,Timing_Reversion_Month+1)</definedName>
    <definedName name="Range_NOI">OFFSET(Underwriting!$L$130,0,0,1,Timing_Reversion_Month+1)</definedName>
    <definedName name="Range_PermDebt">Underwriting!$A$76:$A$80</definedName>
    <definedName name="Range_PermDS">Underwriting!$A$139:$A$140</definedName>
    <definedName name="Range_Total_Cost">OFFSET(Underwriting!$L$53,0,0,1,Timing_Reversion_Month+1)</definedName>
    <definedName name="Recalc?">Underwriting!$D$293</definedName>
    <definedName name="Rel_2nd_Promote">Underwriting!$A$247:$A$267</definedName>
    <definedName name="Rel_Calc">Underwriting!$EP$1:$JX$1</definedName>
    <definedName name="Rel_End">Underwriting!$A$287</definedName>
    <definedName name="Rel_Hard_Costs">Underwriting!$A$35</definedName>
    <definedName name="Rel_Land_Costs">Underwriting!$A$29</definedName>
    <definedName name="Rel_Other_Income">Underwriting!$A$106</definedName>
    <definedName name="Rel_PermDebtPayoff">Underwriting!$A$208</definedName>
    <definedName name="Rel_PermDS">Underwriting!$A$204</definedName>
    <definedName name="Rel_PermFunding">Underwriting!$A$201</definedName>
    <definedName name="Rel_Retail_Base">'Retail Income'!$A$15</definedName>
    <definedName name="Rel_Retail_Income_ProForma">Underwriting!$A$160</definedName>
    <definedName name="Rel_Retail_Recovery_Income">'Retail Income'!$A$21</definedName>
    <definedName name="Rel_Retail_Reserves">Underwriting!$A$135</definedName>
    <definedName name="Rel_Retail_Reserves_ProForma">Underwriting!$A$183</definedName>
    <definedName name="Rel_Reversion_Other_Income">Underwriting!$A$159</definedName>
    <definedName name="Rel_Sensitivity">Underwriting!$A$269</definedName>
    <definedName name="Rel_Soft_Costs">Underwriting!$A$43</definedName>
    <definedName name="Rel_Unit_Types">Underwriting!$A$96</definedName>
    <definedName name="Retail_Income_Include?">Underwriting!$A$108</definedName>
    <definedName name="Scurve_Dist">Data!$E$4</definedName>
    <definedName name="Show_Calc?">Underwriting!$EO$5</definedName>
    <definedName name="Stabilization_1st_Month">Underwriting!$D$86</definedName>
    <definedName name="Timing_Analysis_End_Month">Underwriting!$H$13</definedName>
    <definedName name="Timing_Construction_End">Underwriting!$E$53</definedName>
    <definedName name="Timing_Growth_Begin_Expenses">Underwriting!$E$114</definedName>
    <definedName name="Timing_Growth_Begin_Income">Underwriting!$E$85</definedName>
    <definedName name="Timing_Operation_Begin_Month">Underwriting!$D$84</definedName>
    <definedName name="Timing_Reversion_Month">Underwriting!$D$147</definedName>
    <definedName name="Unit_Type">Underwriting!$I$8</definedName>
    <definedName name="Units">Underwriting!$I$17</definedName>
    <definedName name="Units_Retail">'Retail Income'!$E$15</definedName>
    <definedName name="Units_SF_M2">Underwriting!$I$18</definedName>
    <definedName name="Valuation_Reversion">Underwriting!$I$191</definedName>
    <definedName name="Valuation_Trended">Underwriting!$H$191</definedName>
    <definedName name="Valuation_Untrended">Underwriting!$G$191</definedName>
    <definedName name="Version" localSheetId="2">'Annual Cash Flow'!#REF!</definedName>
  </definedNames>
  <calcPr calcId="191029" calcMode="autoNoTable" iterateCount="250"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26" i="4" l="1"/>
  <c r="K28" i="4"/>
  <c r="EP57" i="4"/>
  <c r="EP58" i="4" s="1"/>
  <c r="C289" i="4" l="1"/>
  <c r="G289" i="4" l="1"/>
  <c r="R3" i="9" l="1"/>
  <c r="K58" i="4" l="1"/>
  <c r="K57" i="4"/>
  <c r="B33" i="1" l="1"/>
  <c r="B32" i="1"/>
  <c r="B37" i="1"/>
  <c r="L77" i="4"/>
  <c r="N62" i="4"/>
  <c r="M62" i="4"/>
  <c r="L62" i="4"/>
  <c r="N61" i="4"/>
  <c r="M61" i="4"/>
  <c r="L61" i="4"/>
  <c r="JX63" i="4"/>
  <c r="JW63" i="4"/>
  <c r="JV63" i="4"/>
  <c r="JU63" i="4"/>
  <c r="JT63" i="4"/>
  <c r="JS63" i="4"/>
  <c r="JR63" i="4"/>
  <c r="JQ63" i="4"/>
  <c r="JP63" i="4"/>
  <c r="JO63" i="4"/>
  <c r="JN63" i="4"/>
  <c r="JM63" i="4"/>
  <c r="JL63" i="4"/>
  <c r="JK63" i="4"/>
  <c r="JJ63" i="4"/>
  <c r="JI63" i="4"/>
  <c r="JH63" i="4"/>
  <c r="JG63" i="4"/>
  <c r="JF63" i="4"/>
  <c r="JE63" i="4"/>
  <c r="JD63" i="4"/>
  <c r="JC63" i="4"/>
  <c r="JB63" i="4"/>
  <c r="JA63" i="4"/>
  <c r="IZ63" i="4"/>
  <c r="IY63" i="4"/>
  <c r="IX63" i="4"/>
  <c r="IW63" i="4"/>
  <c r="IV63" i="4"/>
  <c r="IU63" i="4"/>
  <c r="IT63" i="4"/>
  <c r="IS63" i="4"/>
  <c r="IR63" i="4"/>
  <c r="IQ63" i="4"/>
  <c r="IP63" i="4"/>
  <c r="IO63" i="4"/>
  <c r="IN63" i="4"/>
  <c r="IM63" i="4"/>
  <c r="IL63" i="4"/>
  <c r="IK63" i="4"/>
  <c r="IJ63" i="4"/>
  <c r="II63" i="4"/>
  <c r="IH63" i="4"/>
  <c r="IG63" i="4"/>
  <c r="IF63" i="4"/>
  <c r="IE63" i="4"/>
  <c r="ID63" i="4"/>
  <c r="IC63" i="4"/>
  <c r="IB63" i="4"/>
  <c r="IA63" i="4"/>
  <c r="HZ63" i="4"/>
  <c r="HY63" i="4"/>
  <c r="HX63" i="4"/>
  <c r="HW63" i="4"/>
  <c r="HV63" i="4"/>
  <c r="HU63" i="4"/>
  <c r="HT63" i="4"/>
  <c r="HS63" i="4"/>
  <c r="HR63" i="4"/>
  <c r="HQ63" i="4"/>
  <c r="HP63" i="4"/>
  <c r="HO63" i="4"/>
  <c r="HN63" i="4"/>
  <c r="HM63" i="4"/>
  <c r="HL63" i="4"/>
  <c r="HK63" i="4"/>
  <c r="HJ63" i="4"/>
  <c r="HI63" i="4"/>
  <c r="HH63" i="4"/>
  <c r="HG63" i="4"/>
  <c r="HF63" i="4"/>
  <c r="HE63" i="4"/>
  <c r="HD63" i="4"/>
  <c r="HC63" i="4"/>
  <c r="HB63" i="4"/>
  <c r="HA63" i="4"/>
  <c r="GZ63" i="4"/>
  <c r="GY63" i="4"/>
  <c r="GX63" i="4"/>
  <c r="GW63" i="4"/>
  <c r="GV63" i="4"/>
  <c r="GU63" i="4"/>
  <c r="GT63" i="4"/>
  <c r="GS63" i="4"/>
  <c r="GR63" i="4"/>
  <c r="GQ63" i="4"/>
  <c r="GP63" i="4"/>
  <c r="GO63" i="4"/>
  <c r="GN63" i="4"/>
  <c r="GM63" i="4"/>
  <c r="GL63" i="4"/>
  <c r="GK63" i="4"/>
  <c r="GJ63" i="4"/>
  <c r="GI63" i="4"/>
  <c r="GH63" i="4"/>
  <c r="GG63" i="4"/>
  <c r="GF63" i="4"/>
  <c r="GE63" i="4"/>
  <c r="GD63" i="4"/>
  <c r="GC63" i="4"/>
  <c r="GB63" i="4"/>
  <c r="GA63" i="4"/>
  <c r="FZ63" i="4"/>
  <c r="FY63" i="4"/>
  <c r="FX63" i="4"/>
  <c r="FW63" i="4"/>
  <c r="FV63" i="4"/>
  <c r="FU63" i="4"/>
  <c r="FT63" i="4"/>
  <c r="FS63" i="4"/>
  <c r="FR63" i="4"/>
  <c r="FQ63" i="4"/>
  <c r="FP63" i="4"/>
  <c r="FO63" i="4"/>
  <c r="FN63" i="4"/>
  <c r="FM63" i="4"/>
  <c r="FL63" i="4"/>
  <c r="FK63" i="4"/>
  <c r="FJ63" i="4"/>
  <c r="FI63" i="4"/>
  <c r="FH63" i="4"/>
  <c r="FG63" i="4"/>
  <c r="FF63" i="4"/>
  <c r="FE63" i="4"/>
  <c r="FD63" i="4"/>
  <c r="FC63" i="4"/>
  <c r="FB63" i="4"/>
  <c r="FA63" i="4"/>
  <c r="EZ63" i="4"/>
  <c r="EY63" i="4"/>
  <c r="EX63" i="4"/>
  <c r="EW63" i="4"/>
  <c r="EV63" i="4"/>
  <c r="JX64" i="4"/>
  <c r="JW64" i="4"/>
  <c r="JV64" i="4"/>
  <c r="JU64" i="4"/>
  <c r="JT64" i="4"/>
  <c r="JS64" i="4"/>
  <c r="JR64" i="4"/>
  <c r="JQ64" i="4"/>
  <c r="JP64" i="4"/>
  <c r="JO64" i="4"/>
  <c r="JN64" i="4"/>
  <c r="JM64" i="4"/>
  <c r="JL64" i="4"/>
  <c r="JK64" i="4"/>
  <c r="JJ64" i="4"/>
  <c r="JI64" i="4"/>
  <c r="JH64" i="4"/>
  <c r="JG64" i="4"/>
  <c r="JF64" i="4"/>
  <c r="JE64" i="4"/>
  <c r="JD64" i="4"/>
  <c r="JC64" i="4"/>
  <c r="JB64" i="4"/>
  <c r="JA64" i="4"/>
  <c r="IZ64" i="4"/>
  <c r="IY64" i="4"/>
  <c r="IX64" i="4"/>
  <c r="IW64" i="4"/>
  <c r="IV64" i="4"/>
  <c r="IU64" i="4"/>
  <c r="IT64" i="4"/>
  <c r="IS64" i="4"/>
  <c r="IR64" i="4"/>
  <c r="IQ64" i="4"/>
  <c r="IP64" i="4"/>
  <c r="IO64" i="4"/>
  <c r="IN64" i="4"/>
  <c r="IM64" i="4"/>
  <c r="IL64" i="4"/>
  <c r="IK64" i="4"/>
  <c r="IJ64" i="4"/>
  <c r="II64" i="4"/>
  <c r="IH64" i="4"/>
  <c r="IG64" i="4"/>
  <c r="IF64" i="4"/>
  <c r="IE64" i="4"/>
  <c r="ID64" i="4"/>
  <c r="IC64" i="4"/>
  <c r="IB64" i="4"/>
  <c r="IA64" i="4"/>
  <c r="HZ64" i="4"/>
  <c r="HY64" i="4"/>
  <c r="HX64" i="4"/>
  <c r="HW64" i="4"/>
  <c r="HV64" i="4"/>
  <c r="HU64" i="4"/>
  <c r="HT64" i="4"/>
  <c r="HS64" i="4"/>
  <c r="HR64" i="4"/>
  <c r="HQ64" i="4"/>
  <c r="HP64" i="4"/>
  <c r="HO64" i="4"/>
  <c r="HN64" i="4"/>
  <c r="HM64" i="4"/>
  <c r="HL64" i="4"/>
  <c r="HK64" i="4"/>
  <c r="HJ64" i="4"/>
  <c r="HI64" i="4"/>
  <c r="HH64" i="4"/>
  <c r="HG64" i="4"/>
  <c r="HF64" i="4"/>
  <c r="HE64" i="4"/>
  <c r="HD64" i="4"/>
  <c r="HC64" i="4"/>
  <c r="HB64" i="4"/>
  <c r="HA64" i="4"/>
  <c r="GZ64" i="4"/>
  <c r="GY64" i="4"/>
  <c r="GX64" i="4"/>
  <c r="GW64" i="4"/>
  <c r="GV64" i="4"/>
  <c r="GU64" i="4"/>
  <c r="GT64" i="4"/>
  <c r="GS64" i="4"/>
  <c r="GR64" i="4"/>
  <c r="GQ64" i="4"/>
  <c r="GP64" i="4"/>
  <c r="GO64" i="4"/>
  <c r="GN64" i="4"/>
  <c r="GM64" i="4"/>
  <c r="GL64" i="4"/>
  <c r="GK64" i="4"/>
  <c r="GJ64" i="4"/>
  <c r="GI64" i="4"/>
  <c r="GH64" i="4"/>
  <c r="GG64" i="4"/>
  <c r="GF64" i="4"/>
  <c r="GE64" i="4"/>
  <c r="GD64" i="4"/>
  <c r="GC64" i="4"/>
  <c r="GB64" i="4"/>
  <c r="GA64" i="4"/>
  <c r="FZ64" i="4"/>
  <c r="FY64" i="4"/>
  <c r="FX64" i="4"/>
  <c r="FW64" i="4"/>
  <c r="FV64" i="4"/>
  <c r="FU64" i="4"/>
  <c r="FT64" i="4"/>
  <c r="FS64" i="4"/>
  <c r="FR64" i="4"/>
  <c r="FQ64" i="4"/>
  <c r="FP64" i="4"/>
  <c r="FO64" i="4"/>
  <c r="FN64" i="4"/>
  <c r="FM64" i="4"/>
  <c r="FL64" i="4"/>
  <c r="FK64" i="4"/>
  <c r="FJ64" i="4"/>
  <c r="FI64" i="4"/>
  <c r="FH64" i="4"/>
  <c r="FG64" i="4"/>
  <c r="FF64" i="4"/>
  <c r="FE64" i="4"/>
  <c r="FD64" i="4"/>
  <c r="FC64" i="4"/>
  <c r="FB64" i="4"/>
  <c r="FA64" i="4"/>
  <c r="EZ64" i="4"/>
  <c r="EY64" i="4"/>
  <c r="EX64" i="4"/>
  <c r="EW64" i="4"/>
  <c r="EV64" i="4"/>
  <c r="EN62" i="4"/>
  <c r="EM62" i="4"/>
  <c r="EL62" i="4"/>
  <c r="EK62" i="4"/>
  <c r="EJ62" i="4"/>
  <c r="EI62" i="4"/>
  <c r="EH62" i="4"/>
  <c r="EG62" i="4"/>
  <c r="EF62" i="4"/>
  <c r="EE62" i="4"/>
  <c r="ED62" i="4"/>
  <c r="EC62" i="4"/>
  <c r="EB62" i="4"/>
  <c r="EA62" i="4"/>
  <c r="DZ62" i="4"/>
  <c r="DY62" i="4"/>
  <c r="DX62" i="4"/>
  <c r="DW62" i="4"/>
  <c r="DV62" i="4"/>
  <c r="DU62" i="4"/>
  <c r="DT62" i="4"/>
  <c r="DS62" i="4"/>
  <c r="DR62" i="4"/>
  <c r="DQ62" i="4"/>
  <c r="DP62" i="4"/>
  <c r="DO62" i="4"/>
  <c r="DN62" i="4"/>
  <c r="DM62" i="4"/>
  <c r="DL62" i="4"/>
  <c r="DK62" i="4"/>
  <c r="DJ62" i="4"/>
  <c r="DI62" i="4"/>
  <c r="DH62" i="4"/>
  <c r="DG62" i="4"/>
  <c r="DF62" i="4"/>
  <c r="DE62" i="4"/>
  <c r="DD62" i="4"/>
  <c r="DC62" i="4"/>
  <c r="DB62" i="4"/>
  <c r="DA62" i="4"/>
  <c r="CZ62" i="4"/>
  <c r="CY62" i="4"/>
  <c r="CX62" i="4"/>
  <c r="CW62" i="4"/>
  <c r="CV62" i="4"/>
  <c r="CU62" i="4"/>
  <c r="CT62" i="4"/>
  <c r="CS62" i="4"/>
  <c r="CR62" i="4"/>
  <c r="CQ62" i="4"/>
  <c r="CP62" i="4"/>
  <c r="CO62" i="4"/>
  <c r="CN62" i="4"/>
  <c r="CM62" i="4"/>
  <c r="CL62" i="4"/>
  <c r="CK62" i="4"/>
  <c r="CJ62" i="4"/>
  <c r="CI62" i="4"/>
  <c r="CH62" i="4"/>
  <c r="CG62" i="4"/>
  <c r="CF62" i="4"/>
  <c r="CE62" i="4"/>
  <c r="CD62" i="4"/>
  <c r="CC62" i="4"/>
  <c r="CB62" i="4"/>
  <c r="CA62" i="4"/>
  <c r="BZ62" i="4"/>
  <c r="BY62" i="4"/>
  <c r="BX62" i="4"/>
  <c r="BW62" i="4"/>
  <c r="BV62" i="4"/>
  <c r="BU62" i="4"/>
  <c r="BT62" i="4"/>
  <c r="BS62" i="4"/>
  <c r="BR62" i="4"/>
  <c r="BQ62" i="4"/>
  <c r="BP62" i="4"/>
  <c r="BO62" i="4"/>
  <c r="BN62" i="4"/>
  <c r="BM62" i="4"/>
  <c r="BL62" i="4"/>
  <c r="BK62" i="4"/>
  <c r="BJ62" i="4"/>
  <c r="BI62" i="4"/>
  <c r="BH62" i="4"/>
  <c r="BG62" i="4"/>
  <c r="BF62" i="4"/>
  <c r="BE62" i="4"/>
  <c r="BD62" i="4"/>
  <c r="BC62" i="4"/>
  <c r="BB62" i="4"/>
  <c r="BA62" i="4"/>
  <c r="AZ62" i="4"/>
  <c r="AY62" i="4"/>
  <c r="AX62" i="4"/>
  <c r="AW62" i="4"/>
  <c r="AV62" i="4"/>
  <c r="AU62" i="4"/>
  <c r="AT62" i="4"/>
  <c r="AS62" i="4"/>
  <c r="AR62" i="4"/>
  <c r="AQ62" i="4"/>
  <c r="AP62" i="4"/>
  <c r="AO62" i="4"/>
  <c r="AN62" i="4"/>
  <c r="AM62" i="4"/>
  <c r="AL62" i="4"/>
  <c r="AK62" i="4"/>
  <c r="AJ62" i="4"/>
  <c r="AI62" i="4"/>
  <c r="AH62" i="4"/>
  <c r="AG62" i="4"/>
  <c r="AF62" i="4"/>
  <c r="AE62" i="4"/>
  <c r="AD62" i="4"/>
  <c r="AC62" i="4"/>
  <c r="AB62" i="4"/>
  <c r="AA62" i="4"/>
  <c r="Z62" i="4"/>
  <c r="Y62" i="4"/>
  <c r="X62" i="4"/>
  <c r="W62" i="4"/>
  <c r="V62" i="4"/>
  <c r="U62" i="4"/>
  <c r="T62" i="4"/>
  <c r="S62" i="4"/>
  <c r="R62" i="4"/>
  <c r="Q62" i="4"/>
  <c r="P62" i="4"/>
  <c r="O62" i="4"/>
  <c r="F35" i="1" l="1"/>
  <c r="H233" i="4"/>
  <c r="EQ208" i="4" s="1"/>
  <c r="G235" i="4"/>
  <c r="G236" i="4"/>
  <c r="B26" i="1" l="1"/>
  <c r="B191" i="4" s="1"/>
  <c r="B74" i="4"/>
  <c r="E77" i="4"/>
  <c r="G253" i="4" l="1"/>
  <c r="P3" i="1"/>
  <c r="E49" i="4"/>
  <c r="E26" i="4"/>
  <c r="E27" i="4"/>
  <c r="E28" i="4"/>
  <c r="B7" i="1" l="1"/>
  <c r="B21" i="3"/>
  <c r="B20" i="3"/>
  <c r="B19" i="3"/>
  <c r="B18" i="3"/>
  <c r="H257" i="4"/>
  <c r="H256" i="4"/>
  <c r="H255" i="4"/>
  <c r="H254" i="4"/>
  <c r="I253" i="4"/>
  <c r="H253" i="4"/>
  <c r="H234" i="4"/>
  <c r="H236" i="4"/>
  <c r="H235" i="4"/>
  <c r="G10" i="6"/>
  <c r="G35" i="6" s="1"/>
  <c r="G52" i="6" s="1"/>
  <c r="G66" i="6" s="1"/>
  <c r="G75" i="6" s="1"/>
  <c r="G90" i="6" s="1"/>
  <c r="G98" i="6" s="1"/>
  <c r="G106" i="6" s="1"/>
  <c r="G110" i="6" s="1"/>
  <c r="G125" i="6" s="1"/>
  <c r="F174" i="4"/>
  <c r="E174" i="4"/>
  <c r="D174" i="4"/>
  <c r="H5" i="7"/>
  <c r="E20" i="7"/>
  <c r="B20" i="7"/>
  <c r="E11" i="7"/>
  <c r="F41" i="7"/>
  <c r="F40" i="7"/>
  <c r="H24" i="7"/>
  <c r="H28" i="7" s="1"/>
  <c r="F108" i="4" s="1"/>
  <c r="F135" i="4" s="1"/>
  <c r="H17" i="7"/>
  <c r="H11" i="7"/>
  <c r="G89" i="4"/>
  <c r="F193" i="4"/>
  <c r="G101" i="4"/>
  <c r="D89" i="4"/>
  <c r="G24" i="4"/>
  <c r="G55" i="4" s="1"/>
  <c r="G64" i="4" s="1"/>
  <c r="F18" i="4"/>
  <c r="B18" i="4"/>
  <c r="I26" i="4"/>
  <c r="D15" i="4"/>
  <c r="C15" i="4"/>
  <c r="E10" i="1" l="1"/>
  <c r="E9" i="1"/>
  <c r="G6" i="9" l="1"/>
  <c r="B3" i="9"/>
  <c r="R2" i="9"/>
  <c r="EN61" i="4" l="1"/>
  <c r="EM61" i="4"/>
  <c r="EL61" i="4"/>
  <c r="EK61" i="4"/>
  <c r="EJ61" i="4"/>
  <c r="EI61" i="4"/>
  <c r="EH61" i="4"/>
  <c r="EG61" i="4"/>
  <c r="EF61" i="4"/>
  <c r="EE61" i="4"/>
  <c r="ED61" i="4"/>
  <c r="EC61" i="4"/>
  <c r="EB61" i="4"/>
  <c r="EA61" i="4"/>
  <c r="DZ61" i="4"/>
  <c r="DY61" i="4"/>
  <c r="DX61" i="4"/>
  <c r="DW61" i="4"/>
  <c r="DV61" i="4"/>
  <c r="DU61" i="4"/>
  <c r="DT61" i="4"/>
  <c r="DS61" i="4"/>
  <c r="DR61" i="4"/>
  <c r="DQ61" i="4"/>
  <c r="DP61" i="4"/>
  <c r="DO61" i="4"/>
  <c r="DN61" i="4"/>
  <c r="DM61" i="4"/>
  <c r="DL61" i="4"/>
  <c r="DK61" i="4"/>
  <c r="DJ61" i="4"/>
  <c r="DI61" i="4"/>
  <c r="DH61" i="4"/>
  <c r="DG61" i="4"/>
  <c r="DF61" i="4"/>
  <c r="DE61" i="4"/>
  <c r="DD61" i="4"/>
  <c r="DC61" i="4"/>
  <c r="DB61" i="4"/>
  <c r="DA61" i="4"/>
  <c r="CZ61" i="4"/>
  <c r="CY61" i="4"/>
  <c r="CX61" i="4"/>
  <c r="CW61" i="4"/>
  <c r="CV61" i="4"/>
  <c r="CU61" i="4"/>
  <c r="CT61" i="4"/>
  <c r="CS61" i="4"/>
  <c r="CR61" i="4"/>
  <c r="CQ61" i="4"/>
  <c r="CP61" i="4"/>
  <c r="CO61" i="4"/>
  <c r="CN61" i="4"/>
  <c r="CM61" i="4"/>
  <c r="CL61" i="4"/>
  <c r="CK61" i="4"/>
  <c r="CJ61" i="4"/>
  <c r="CI61" i="4"/>
  <c r="CH61" i="4"/>
  <c r="CG61" i="4"/>
  <c r="CF61" i="4"/>
  <c r="CE61" i="4"/>
  <c r="CD61" i="4"/>
  <c r="CC61" i="4"/>
  <c r="CB61" i="4"/>
  <c r="CA61" i="4"/>
  <c r="BZ61" i="4"/>
  <c r="BY61" i="4"/>
  <c r="BX61" i="4"/>
  <c r="BW61" i="4"/>
  <c r="BV61" i="4"/>
  <c r="BU61" i="4"/>
  <c r="BT61" i="4"/>
  <c r="BS61" i="4"/>
  <c r="BR61" i="4"/>
  <c r="BQ61" i="4"/>
  <c r="BP61" i="4"/>
  <c r="BO61" i="4"/>
  <c r="BN61" i="4"/>
  <c r="BM61" i="4"/>
  <c r="BL61" i="4"/>
  <c r="BK61" i="4"/>
  <c r="BJ61" i="4"/>
  <c r="BI61" i="4"/>
  <c r="BH61" i="4"/>
  <c r="BG61" i="4"/>
  <c r="BF61" i="4"/>
  <c r="BE61" i="4"/>
  <c r="BD61" i="4"/>
  <c r="BC61" i="4"/>
  <c r="BB61" i="4"/>
  <c r="BA61" i="4"/>
  <c r="AZ61" i="4"/>
  <c r="AY61" i="4"/>
  <c r="AX61" i="4"/>
  <c r="AW61" i="4"/>
  <c r="AV61" i="4"/>
  <c r="AU61" i="4"/>
  <c r="AT61" i="4"/>
  <c r="AS61" i="4"/>
  <c r="AR61" i="4"/>
  <c r="AQ61" i="4"/>
  <c r="AP61" i="4"/>
  <c r="AO61" i="4"/>
  <c r="AN61" i="4"/>
  <c r="AM61" i="4"/>
  <c r="AL61" i="4"/>
  <c r="AK61" i="4"/>
  <c r="AJ61" i="4"/>
  <c r="AI61" i="4"/>
  <c r="AH61" i="4"/>
  <c r="AG61" i="4"/>
  <c r="AF61" i="4"/>
  <c r="AE61" i="4"/>
  <c r="AD61" i="4"/>
  <c r="AC61" i="4"/>
  <c r="AB61" i="4"/>
  <c r="AA61" i="4"/>
  <c r="Z61" i="4"/>
  <c r="Y61" i="4"/>
  <c r="X61" i="4"/>
  <c r="W61" i="4"/>
  <c r="V61" i="4"/>
  <c r="U61" i="4"/>
  <c r="T61" i="4"/>
  <c r="S61" i="4"/>
  <c r="R61" i="4"/>
  <c r="Q61" i="4"/>
  <c r="P61" i="4"/>
  <c r="O61" i="4"/>
  <c r="G83" i="4" l="1"/>
  <c r="ET41" i="4" l="1"/>
  <c r="ES41" i="4"/>
  <c r="EU41" i="4" s="1"/>
  <c r="E5" i="1"/>
  <c r="B3" i="1"/>
  <c r="I14" i="7" l="1"/>
  <c r="I13" i="7"/>
  <c r="G158" i="4" l="1"/>
  <c r="B158" i="4"/>
  <c r="G95" i="4" l="1"/>
  <c r="G94" i="4"/>
  <c r="G93" i="4"/>
  <c r="G92" i="4"/>
  <c r="G91" i="4"/>
  <c r="G90" i="4"/>
  <c r="EP95" i="4" l="1"/>
  <c r="I95" i="4"/>
  <c r="M37" i="1" l="1"/>
  <c r="M36" i="1"/>
  <c r="M35" i="1"/>
  <c r="M34" i="1"/>
  <c r="P33" i="1"/>
  <c r="O33" i="1"/>
  <c r="P37" i="1"/>
  <c r="O37" i="1"/>
  <c r="P36" i="1"/>
  <c r="O36" i="1"/>
  <c r="P35" i="1"/>
  <c r="O35" i="1"/>
  <c r="G281" i="4"/>
  <c r="C281" i="4"/>
  <c r="G272" i="4" l="1"/>
  <c r="C272" i="4"/>
  <c r="F22" i="1"/>
  <c r="F20" i="1"/>
  <c r="N34" i="1" l="1"/>
  <c r="G32" i="1"/>
  <c r="G33" i="1"/>
  <c r="G34" i="1"/>
  <c r="G35" i="1"/>
  <c r="L31" i="1"/>
  <c r="L30" i="1"/>
  <c r="L29" i="1"/>
  <c r="E14" i="1"/>
  <c r="E13" i="1"/>
  <c r="E8" i="1"/>
  <c r="P2" i="1"/>
  <c r="N35" i="1" l="1"/>
  <c r="B226" i="4"/>
  <c r="B225" i="4"/>
  <c r="B223" i="4"/>
  <c r="E249" i="4"/>
  <c r="E250" i="4" s="1"/>
  <c r="E251" i="4" s="1"/>
  <c r="C266" i="4"/>
  <c r="B266" i="4"/>
  <c r="C265" i="4"/>
  <c r="B265" i="4"/>
  <c r="C261" i="4"/>
  <c r="B261" i="4"/>
  <c r="C260" i="4"/>
  <c r="B224" i="4" s="1"/>
  <c r="B260" i="4"/>
  <c r="EP258" i="4"/>
  <c r="F257" i="4"/>
  <c r="EP249" i="4"/>
  <c r="H250" i="4"/>
  <c r="H251" i="4" s="1"/>
  <c r="EP240" i="4"/>
  <c r="EP226" i="4"/>
  <c r="EP217" i="4"/>
  <c r="H221" i="4"/>
  <c r="N36" i="1" l="1"/>
  <c r="L21" i="1"/>
  <c r="B34" i="1"/>
  <c r="I254" i="4"/>
  <c r="I257" i="4"/>
  <c r="B35" i="1"/>
  <c r="L22" i="1"/>
  <c r="B36" i="1"/>
  <c r="L23" i="1"/>
  <c r="EP203" i="4"/>
  <c r="N37" i="1" l="1"/>
  <c r="I255" i="4"/>
  <c r="I256" i="4"/>
  <c r="I236" i="4"/>
  <c r="I235" i="4"/>
  <c r="I234" i="4"/>
  <c r="I233" i="4"/>
  <c r="F236" i="4"/>
  <c r="C240" i="4"/>
  <c r="C245" i="4" s="1"/>
  <c r="C239" i="4"/>
  <c r="C244" i="4" s="1"/>
  <c r="D39" i="7" l="1"/>
  <c r="EQ14" i="7"/>
  <c r="EQ13" i="7"/>
  <c r="EQ12" i="7"/>
  <c r="F32" i="7"/>
  <c r="F31" i="7"/>
  <c r="F30" i="7"/>
  <c r="F29" i="7"/>
  <c r="B19" i="7" l="1"/>
  <c r="B18" i="7"/>
  <c r="K3" i="7" l="1"/>
  <c r="E15" i="7"/>
  <c r="G20" i="7" s="1"/>
  <c r="B10" i="6"/>
  <c r="B33" i="6" s="1"/>
  <c r="B17" i="6"/>
  <c r="E17" i="6"/>
  <c r="B24" i="6"/>
  <c r="E24" i="6"/>
  <c r="B31" i="6"/>
  <c r="E31" i="6"/>
  <c r="B35" i="6"/>
  <c r="B50" i="6" s="1"/>
  <c r="E36" i="6"/>
  <c r="E37" i="6"/>
  <c r="E38" i="6"/>
  <c r="E39" i="6"/>
  <c r="E40" i="6"/>
  <c r="E41" i="6"/>
  <c r="E42" i="6"/>
  <c r="E43" i="6"/>
  <c r="E44" i="6"/>
  <c r="E45" i="6"/>
  <c r="E46" i="6"/>
  <c r="C47" i="6"/>
  <c r="D47" i="6"/>
  <c r="B52" i="6"/>
  <c r="B64" i="6" s="1"/>
  <c r="E64" i="6"/>
  <c r="B66" i="6"/>
  <c r="B73" i="6" s="1"/>
  <c r="E73" i="6"/>
  <c r="B75" i="6"/>
  <c r="B88" i="6" s="1"/>
  <c r="E88" i="6"/>
  <c r="B90" i="6"/>
  <c r="B96" i="6" s="1"/>
  <c r="E96" i="6"/>
  <c r="B98" i="6"/>
  <c r="B101" i="6" s="1"/>
  <c r="F101" i="6"/>
  <c r="B106" i="6"/>
  <c r="B108" i="6" s="1"/>
  <c r="F107" i="6"/>
  <c r="B110" i="6"/>
  <c r="B116" i="6" s="1"/>
  <c r="E116" i="6"/>
  <c r="B118" i="6"/>
  <c r="B125" i="6" s="1"/>
  <c r="G120" i="6"/>
  <c r="E127" i="6" s="1"/>
  <c r="G121" i="6"/>
  <c r="E128" i="6" s="1"/>
  <c r="G122" i="6"/>
  <c r="E129" i="6" s="1"/>
  <c r="G123" i="6"/>
  <c r="E130" i="6" s="1"/>
  <c r="B126" i="6"/>
  <c r="E126" i="6"/>
  <c r="B127" i="6"/>
  <c r="B128" i="6"/>
  <c r="B129" i="6"/>
  <c r="B130" i="6"/>
  <c r="B2" i="7"/>
  <c r="B183" i="4"/>
  <c r="B182" i="4"/>
  <c r="B110" i="4"/>
  <c r="I31" i="7" l="1"/>
  <c r="I30" i="7"/>
  <c r="I29" i="7"/>
  <c r="I32" i="7"/>
  <c r="E33" i="6"/>
  <c r="H39" i="7"/>
  <c r="I39" i="7"/>
  <c r="G18" i="7"/>
  <c r="G19" i="7"/>
  <c r="E131" i="6"/>
  <c r="B131" i="6"/>
  <c r="E47" i="6"/>
  <c r="I33" i="7" l="1"/>
  <c r="E48" i="6"/>
  <c r="I19" i="7" l="1"/>
  <c r="H19" i="7" s="1"/>
  <c r="I20" i="7"/>
  <c r="H20" i="7" s="1"/>
  <c r="H33" i="7"/>
  <c r="I18" i="7"/>
  <c r="H18" i="7" s="1"/>
  <c r="I113" i="4"/>
  <c r="B2" i="6"/>
  <c r="I21" i="7" l="1"/>
  <c r="H21" i="7" s="1"/>
  <c r="ER101" i="4"/>
  <c r="ER88" i="4"/>
  <c r="ER43" i="4" l="1"/>
  <c r="ER35" i="4"/>
  <c r="ER29" i="4"/>
  <c r="H229" i="4" l="1"/>
  <c r="H230" i="4" l="1"/>
  <c r="EU65" i="4"/>
  <c r="B189" i="4" l="1"/>
  <c r="I189" i="4"/>
  <c r="G189" i="4"/>
  <c r="I188" i="4"/>
  <c r="I215" i="4" s="1"/>
  <c r="P28" i="1" s="1"/>
  <c r="H188" i="4"/>
  <c r="H215" i="4" s="1"/>
  <c r="O28" i="1" s="1"/>
  <c r="G188" i="4"/>
  <c r="G215" i="4" s="1"/>
  <c r="N28" i="1" s="1"/>
  <c r="I185" i="4"/>
  <c r="H185" i="4"/>
  <c r="G185" i="4"/>
  <c r="G151" i="4"/>
  <c r="B186" i="4"/>
  <c r="B184" i="4"/>
  <c r="B181" i="4"/>
  <c r="B180" i="4"/>
  <c r="B178" i="4"/>
  <c r="B176" i="4"/>
  <c r="B175" i="4"/>
  <c r="B174" i="4"/>
  <c r="B173" i="4"/>
  <c r="B172" i="4"/>
  <c r="B171" i="4"/>
  <c r="B170" i="4"/>
  <c r="B169" i="4"/>
  <c r="B168" i="4"/>
  <c r="B167" i="4"/>
  <c r="B166" i="4"/>
  <c r="B165" i="4"/>
  <c r="B163" i="4"/>
  <c r="B162" i="4"/>
  <c r="B161" i="4"/>
  <c r="B159" i="4"/>
  <c r="B157" i="4"/>
  <c r="B156" i="4"/>
  <c r="B155" i="4"/>
  <c r="B154" i="4"/>
  <c r="B153" i="4"/>
  <c r="B152" i="4"/>
  <c r="B151" i="4"/>
  <c r="B150" i="4"/>
  <c r="B149" i="4"/>
  <c r="EU127" i="4"/>
  <c r="ET127" i="4"/>
  <c r="ES127" i="4"/>
  <c r="ER126" i="4"/>
  <c r="ER124" i="4"/>
  <c r="ER123" i="4"/>
  <c r="ER122" i="4"/>
  <c r="ER121" i="4"/>
  <c r="ER120" i="4"/>
  <c r="ER119" i="4"/>
  <c r="ER118" i="4"/>
  <c r="EU115" i="4"/>
  <c r="I104" i="4"/>
  <c r="I94" i="4"/>
  <c r="I93" i="4"/>
  <c r="I92" i="4"/>
  <c r="I91" i="4"/>
  <c r="I90" i="4"/>
  <c r="I96" i="4" l="1"/>
  <c r="G157" i="4"/>
  <c r="G217" i="4"/>
  <c r="N30" i="1" s="1"/>
  <c r="I26" i="1"/>
  <c r="I217" i="4"/>
  <c r="K26" i="1"/>
  <c r="EP94" i="4"/>
  <c r="EP93" i="4"/>
  <c r="EP92" i="4"/>
  <c r="EP91" i="4"/>
  <c r="EP90" i="4"/>
  <c r="L82" i="4"/>
  <c r="C96" i="4"/>
  <c r="P30" i="1" l="1"/>
  <c r="E96" i="4"/>
  <c r="I87" i="4" s="1"/>
  <c r="I17" i="4"/>
  <c r="F96" i="4"/>
  <c r="D96" i="4"/>
  <c r="G101" i="6" s="1"/>
  <c r="L64" i="4"/>
  <c r="E16" i="4" l="1"/>
  <c r="I102" i="4"/>
  <c r="I32" i="4"/>
  <c r="H105" i="4"/>
  <c r="ER95" i="4"/>
  <c r="ES95" i="4"/>
  <c r="I133" i="4"/>
  <c r="H104" i="4"/>
  <c r="H98" i="4"/>
  <c r="H23" i="4"/>
  <c r="E6" i="1"/>
  <c r="F15" i="6"/>
  <c r="F20" i="6"/>
  <c r="F12" i="6"/>
  <c r="F16" i="6"/>
  <c r="F21" i="6"/>
  <c r="F26" i="6"/>
  <c r="F30" i="6"/>
  <c r="F67" i="6"/>
  <c r="F71" i="6"/>
  <c r="F94" i="6"/>
  <c r="F13" i="6"/>
  <c r="F55" i="6"/>
  <c r="F59" i="6"/>
  <c r="F63" i="6"/>
  <c r="F78" i="6"/>
  <c r="F82" i="6"/>
  <c r="F86" i="6"/>
  <c r="F14" i="6"/>
  <c r="F19" i="6"/>
  <c r="F23" i="6"/>
  <c r="F28" i="6"/>
  <c r="F62" i="6"/>
  <c r="F69" i="6"/>
  <c r="F81" i="6"/>
  <c r="F43" i="6"/>
  <c r="E49" i="6"/>
  <c r="F57" i="6"/>
  <c r="F76" i="6"/>
  <c r="F87" i="6"/>
  <c r="F93" i="6"/>
  <c r="F113" i="6"/>
  <c r="F40" i="6"/>
  <c r="F58" i="6"/>
  <c r="F70" i="6"/>
  <c r="F77" i="6"/>
  <c r="F44" i="6"/>
  <c r="F83" i="6"/>
  <c r="F114" i="6"/>
  <c r="F27" i="6"/>
  <c r="F54" i="6"/>
  <c r="F95" i="6"/>
  <c r="F72" i="6"/>
  <c r="F79" i="6"/>
  <c r="F53" i="6"/>
  <c r="F36" i="6"/>
  <c r="F41" i="6"/>
  <c r="F60" i="6"/>
  <c r="F84" i="6"/>
  <c r="F111" i="6"/>
  <c r="F115" i="6"/>
  <c r="F112" i="6"/>
  <c r="F29" i="6"/>
  <c r="F85" i="6"/>
  <c r="F91" i="6"/>
  <c r="F22" i="6"/>
  <c r="F42" i="6"/>
  <c r="F56" i="6"/>
  <c r="F61" i="6"/>
  <c r="F68" i="6"/>
  <c r="F80" i="6"/>
  <c r="F92" i="6"/>
  <c r="F129" i="6"/>
  <c r="F126" i="6"/>
  <c r="F46" i="6"/>
  <c r="F37" i="6"/>
  <c r="F39" i="6"/>
  <c r="F38" i="6"/>
  <c r="G30" i="7"/>
  <c r="F127" i="6"/>
  <c r="F128" i="6"/>
  <c r="G31" i="7"/>
  <c r="G32" i="7"/>
  <c r="G29" i="7"/>
  <c r="E101" i="6"/>
  <c r="F45" i="6"/>
  <c r="F130" i="6"/>
  <c r="F48" i="6"/>
  <c r="ES91" i="4"/>
  <c r="ER93" i="4"/>
  <c r="ES94" i="4"/>
  <c r="ES90" i="4"/>
  <c r="ER92" i="4"/>
  <c r="ES93" i="4"/>
  <c r="ER91" i="4"/>
  <c r="ER94" i="4"/>
  <c r="ER90" i="4"/>
  <c r="ES92" i="4"/>
  <c r="I18" i="4"/>
  <c r="G23" i="4" s="1"/>
  <c r="EP50" i="4"/>
  <c r="F24" i="6" l="1"/>
  <c r="F17" i="6"/>
  <c r="F31" i="6"/>
  <c r="G105" i="4"/>
  <c r="H102" i="4"/>
  <c r="G49" i="4"/>
  <c r="G88" i="4"/>
  <c r="G98" i="4"/>
  <c r="G40" i="4"/>
  <c r="G56" i="4"/>
  <c r="G32" i="4"/>
  <c r="G104" i="4"/>
  <c r="G102" i="4"/>
  <c r="E7" i="1"/>
  <c r="I88" i="4"/>
  <c r="F73" i="6"/>
  <c r="F116" i="6"/>
  <c r="G182" i="4"/>
  <c r="H134" i="4"/>
  <c r="F131" i="6"/>
  <c r="F96" i="6"/>
  <c r="F47" i="6"/>
  <c r="F64" i="6"/>
  <c r="F88" i="6"/>
  <c r="F49" i="6"/>
  <c r="G49" i="6"/>
  <c r="E50" i="6"/>
  <c r="E103" i="6" s="1"/>
  <c r="G53" i="6"/>
  <c r="G57" i="6"/>
  <c r="G61" i="6"/>
  <c r="G76" i="6"/>
  <c r="G80" i="6"/>
  <c r="G84" i="6"/>
  <c r="G13" i="6"/>
  <c r="G22" i="6"/>
  <c r="G27" i="6"/>
  <c r="G68" i="6"/>
  <c r="G72" i="6"/>
  <c r="G91" i="6"/>
  <c r="G95" i="6"/>
  <c r="G15" i="6"/>
  <c r="G23" i="6"/>
  <c r="G30" i="6"/>
  <c r="G56" i="6"/>
  <c r="G86" i="6"/>
  <c r="G92" i="6"/>
  <c r="G112" i="6"/>
  <c r="G16" i="6"/>
  <c r="G62" i="6"/>
  <c r="G69" i="6"/>
  <c r="G81" i="6"/>
  <c r="G77" i="6"/>
  <c r="G63" i="6"/>
  <c r="G82" i="6"/>
  <c r="G87" i="6"/>
  <c r="G93" i="6"/>
  <c r="G113" i="6"/>
  <c r="G26" i="6"/>
  <c r="G40" i="6"/>
  <c r="G58" i="6"/>
  <c r="G94" i="6"/>
  <c r="G19" i="6"/>
  <c r="G59" i="6"/>
  <c r="G71" i="6"/>
  <c r="G78" i="6"/>
  <c r="G83" i="6"/>
  <c r="G114" i="6"/>
  <c r="G126" i="6"/>
  <c r="G70" i="6"/>
  <c r="G20" i="6"/>
  <c r="G28" i="6"/>
  <c r="G45" i="6"/>
  <c r="G54" i="6"/>
  <c r="G12" i="6"/>
  <c r="G21" i="6"/>
  <c r="G55" i="6"/>
  <c r="G60" i="6"/>
  <c r="G67" i="6"/>
  <c r="G79" i="6"/>
  <c r="G111" i="6"/>
  <c r="G115" i="6"/>
  <c r="G14" i="6"/>
  <c r="G29" i="6"/>
  <c r="G85" i="6"/>
  <c r="G41" i="6"/>
  <c r="G36" i="6"/>
  <c r="G44" i="6"/>
  <c r="G42" i="6"/>
  <c r="G43" i="6"/>
  <c r="G37" i="6"/>
  <c r="G127" i="6"/>
  <c r="G128" i="6"/>
  <c r="G39" i="6"/>
  <c r="G38" i="6"/>
  <c r="G129" i="6"/>
  <c r="G46" i="6"/>
  <c r="G130" i="6"/>
  <c r="G48" i="6"/>
  <c r="H118" i="4"/>
  <c r="G166" i="4"/>
  <c r="G155" i="4"/>
  <c r="H126" i="4"/>
  <c r="G174" i="4"/>
  <c r="H120" i="4"/>
  <c r="G168" i="4"/>
  <c r="G181" i="4"/>
  <c r="H123" i="4"/>
  <c r="G171" i="4"/>
  <c r="H122" i="4"/>
  <c r="G170" i="4"/>
  <c r="H124" i="4"/>
  <c r="G172" i="4"/>
  <c r="H121" i="4"/>
  <c r="G169" i="4"/>
  <c r="ET42" i="4"/>
  <c r="ET40" i="4"/>
  <c r="ET39" i="4"/>
  <c r="ET38" i="4"/>
  <c r="ET34" i="4"/>
  <c r="ET33" i="4"/>
  <c r="ET32" i="4"/>
  <c r="ET28" i="4"/>
  <c r="ET27" i="4"/>
  <c r="ET26" i="4"/>
  <c r="ES42" i="4"/>
  <c r="ES40" i="4"/>
  <c r="ES39" i="4"/>
  <c r="EU39" i="4" s="1"/>
  <c r="ES38" i="4"/>
  <c r="EU38" i="4" s="1"/>
  <c r="ES34" i="4"/>
  <c r="ES33" i="4"/>
  <c r="EU33" i="4" s="1"/>
  <c r="ES32" i="4"/>
  <c r="EU32" i="4" s="1"/>
  <c r="ES28" i="4"/>
  <c r="ES27" i="4"/>
  <c r="ES26" i="4"/>
  <c r="EV22" i="4"/>
  <c r="EV3" i="4"/>
  <c r="M4" i="3"/>
  <c r="N4" i="3" s="1"/>
  <c r="O4" i="3" s="1"/>
  <c r="P4" i="3" s="1"/>
  <c r="Q4" i="3" s="1"/>
  <c r="N5" i="3"/>
  <c r="O5" i="3" s="1"/>
  <c r="P5" i="3" s="1"/>
  <c r="Q5" i="3" s="1"/>
  <c r="R5" i="3" s="1"/>
  <c r="G24" i="6" l="1"/>
  <c r="G17" i="6"/>
  <c r="G31" i="6"/>
  <c r="EU34" i="4"/>
  <c r="L34" i="4"/>
  <c r="EU40" i="4"/>
  <c r="L40" i="4"/>
  <c r="EU27" i="4"/>
  <c r="EU42" i="4"/>
  <c r="H88" i="4"/>
  <c r="H18" i="4"/>
  <c r="EV195" i="4"/>
  <c r="EV197" i="4"/>
  <c r="F50" i="6"/>
  <c r="G131" i="6"/>
  <c r="F33" i="6"/>
  <c r="F103" i="6"/>
  <c r="G103" i="6"/>
  <c r="G64" i="6"/>
  <c r="G73" i="6"/>
  <c r="G116" i="6"/>
  <c r="G96" i="6"/>
  <c r="G88" i="6"/>
  <c r="G47" i="6"/>
  <c r="G50" i="6" s="1"/>
  <c r="EV47" i="4"/>
  <c r="EV51" i="4"/>
  <c r="EU26" i="4"/>
  <c r="EU28" i="4"/>
  <c r="S5" i="3"/>
  <c r="T5" i="3" s="1"/>
  <c r="U5" i="3" s="1"/>
  <c r="V5" i="3" s="1"/>
  <c r="W5" i="3" s="1"/>
  <c r="X5" i="3" s="1"/>
  <c r="Y5" i="3" s="1"/>
  <c r="Z5" i="3" s="1"/>
  <c r="AA5" i="3" s="1"/>
  <c r="AB5" i="3" s="1"/>
  <c r="AC5" i="3" s="1"/>
  <c r="AD5" i="3" s="1"/>
  <c r="AE5" i="3" s="1"/>
  <c r="AF5" i="3" s="1"/>
  <c r="AG5" i="3" s="1"/>
  <c r="AH5" i="3" s="1"/>
  <c r="AI5" i="3" s="1"/>
  <c r="AJ5" i="3" s="1"/>
  <c r="AK5" i="3" s="1"/>
  <c r="L6" i="3"/>
  <c r="R4" i="3"/>
  <c r="B3" i="3"/>
  <c r="H119" i="4" l="1"/>
  <c r="G167" i="4"/>
  <c r="S4" i="3"/>
  <c r="E43" i="4"/>
  <c r="D43" i="4"/>
  <c r="E35" i="4"/>
  <c r="D35" i="4"/>
  <c r="E29" i="4"/>
  <c r="D29" i="4"/>
  <c r="D53" i="4" l="1"/>
  <c r="E53" i="4"/>
  <c r="D84" i="4" s="1"/>
  <c r="I33" i="4"/>
  <c r="EP32" i="4"/>
  <c r="T4" i="3"/>
  <c r="H32" i="4"/>
  <c r="M3" i="4"/>
  <c r="M77" i="4" s="1"/>
  <c r="L2" i="4"/>
  <c r="L23" i="4"/>
  <c r="M22" i="4"/>
  <c r="E19" i="4"/>
  <c r="F14" i="7" l="1"/>
  <c r="L84" i="4"/>
  <c r="M40" i="4"/>
  <c r="M34" i="4"/>
  <c r="G33" i="4"/>
  <c r="G34" i="4"/>
  <c r="K5" i="7"/>
  <c r="EP33" i="4"/>
  <c r="D15" i="1"/>
  <c r="E20" i="4"/>
  <c r="E12" i="1" s="1"/>
  <c r="E11" i="1"/>
  <c r="EV2" i="4"/>
  <c r="K2" i="7"/>
  <c r="M64" i="4"/>
  <c r="L3" i="7"/>
  <c r="L83" i="4"/>
  <c r="D144" i="4"/>
  <c r="E85" i="4"/>
  <c r="E114" i="4" s="1"/>
  <c r="M82" i="4"/>
  <c r="M84" i="4" s="1"/>
  <c r="H33" i="4"/>
  <c r="EW22" i="4"/>
  <c r="M23" i="4"/>
  <c r="EQ41" i="4" s="1"/>
  <c r="ER26" i="4"/>
  <c r="EQ26" i="4"/>
  <c r="EV23" i="4"/>
  <c r="ER28" i="4"/>
  <c r="EQ28" i="4"/>
  <c r="ER27" i="4"/>
  <c r="EQ27" i="4"/>
  <c r="H34" i="4"/>
  <c r="N22" i="4"/>
  <c r="N3" i="4"/>
  <c r="N77" i="4" s="1"/>
  <c r="EW3" i="4"/>
  <c r="EW126" i="4" s="1"/>
  <c r="M2" i="4"/>
  <c r="I35" i="4"/>
  <c r="U4" i="3"/>
  <c r="K33" i="1" l="1"/>
  <c r="J33" i="1" s="1"/>
  <c r="EW114" i="4"/>
  <c r="EW113" i="4" s="1"/>
  <c r="N40" i="4"/>
  <c r="N34" i="4"/>
  <c r="EW195" i="4"/>
  <c r="EW88" i="4"/>
  <c r="EW87" i="4" s="1"/>
  <c r="D12" i="7"/>
  <c r="G35" i="4"/>
  <c r="EP34" i="4"/>
  <c r="H35" i="4"/>
  <c r="D145" i="4"/>
  <c r="D16" i="1"/>
  <c r="EV3" i="7"/>
  <c r="EW197" i="4"/>
  <c r="EW2" i="4"/>
  <c r="L2" i="7"/>
  <c r="O3" i="4"/>
  <c r="M3" i="7"/>
  <c r="V4" i="3"/>
  <c r="M83" i="4"/>
  <c r="L5" i="7"/>
  <c r="N82" i="4"/>
  <c r="N84" i="4" s="1"/>
  <c r="M89" i="4"/>
  <c r="EW83" i="4"/>
  <c r="EW116" i="4" s="1"/>
  <c r="EW123" i="4"/>
  <c r="EW124" i="4"/>
  <c r="EW122" i="4"/>
  <c r="EW121" i="4"/>
  <c r="EW120" i="4"/>
  <c r="EW119" i="4"/>
  <c r="EW118" i="4"/>
  <c r="EX3" i="4"/>
  <c r="EX126" i="4" s="1"/>
  <c r="N64" i="4"/>
  <c r="EW51" i="4"/>
  <c r="EW47" i="4"/>
  <c r="EX22" i="4"/>
  <c r="N2" i="4"/>
  <c r="N23" i="4"/>
  <c r="EQ42" i="4"/>
  <c r="EQ40" i="4"/>
  <c r="EQ38" i="4"/>
  <c r="EQ33" i="4"/>
  <c r="EQ39" i="4"/>
  <c r="EQ32" i="4"/>
  <c r="EQ34" i="4"/>
  <c r="EW23" i="4"/>
  <c r="I38" i="4"/>
  <c r="I39" i="4"/>
  <c r="N39" i="4" s="1"/>
  <c r="O22" i="4"/>
  <c r="B2" i="4"/>
  <c r="N3" i="7" l="1"/>
  <c r="O77" i="4"/>
  <c r="I33" i="1"/>
  <c r="B2" i="1"/>
  <c r="B2" i="9"/>
  <c r="E17" i="4"/>
  <c r="EX88" i="4"/>
  <c r="EX87" i="4" s="1"/>
  <c r="EX114" i="4"/>
  <c r="EX113" i="4" s="1"/>
  <c r="O38" i="4"/>
  <c r="O39" i="4"/>
  <c r="O40" i="4"/>
  <c r="O34" i="4"/>
  <c r="G39" i="4"/>
  <c r="L39" i="4"/>
  <c r="M39" i="4"/>
  <c r="L38" i="4"/>
  <c r="M38" i="4"/>
  <c r="N38" i="4"/>
  <c r="D13" i="7"/>
  <c r="E18" i="7"/>
  <c r="ER12" i="7"/>
  <c r="EV12" i="7" s="1"/>
  <c r="L14" i="7"/>
  <c r="ER14" i="7"/>
  <c r="EV14" i="7" s="1"/>
  <c r="G38" i="4"/>
  <c r="P3" i="4"/>
  <c r="O64" i="4"/>
  <c r="O2" i="4"/>
  <c r="EY2" i="4" s="1"/>
  <c r="EX197" i="4"/>
  <c r="EX195" i="4"/>
  <c r="W4" i="3"/>
  <c r="N83" i="4"/>
  <c r="M5" i="7"/>
  <c r="EX2" i="4"/>
  <c r="M2" i="7"/>
  <c r="EX51" i="4"/>
  <c r="EW3" i="7"/>
  <c r="EY3" i="4"/>
  <c r="EY126" i="4" s="1"/>
  <c r="N89" i="4"/>
  <c r="O82" i="4"/>
  <c r="O84" i="4" s="1"/>
  <c r="EW85" i="4"/>
  <c r="EX83" i="4"/>
  <c r="EX89" i="4" s="1"/>
  <c r="EX124" i="4"/>
  <c r="EX123" i="4"/>
  <c r="EX122" i="4"/>
  <c r="EX121" i="4"/>
  <c r="EX119" i="4"/>
  <c r="EX118" i="4"/>
  <c r="EX120" i="4"/>
  <c r="EX47" i="4"/>
  <c r="EW89" i="4"/>
  <c r="O23" i="4"/>
  <c r="EX23" i="4"/>
  <c r="EY22" i="4"/>
  <c r="H39" i="4"/>
  <c r="EP39" i="4"/>
  <c r="EP38" i="4"/>
  <c r="H38" i="4"/>
  <c r="P22" i="4"/>
  <c r="O3" i="7" l="1"/>
  <c r="P77" i="4"/>
  <c r="EZ3" i="4"/>
  <c r="EZ123" i="4" s="1"/>
  <c r="I27" i="4"/>
  <c r="EP26" i="4"/>
  <c r="EX26" i="4" s="1"/>
  <c r="G26" i="4"/>
  <c r="H26" i="4"/>
  <c r="EY88" i="4"/>
  <c r="EY87" i="4" s="1"/>
  <c r="EY114" i="4"/>
  <c r="EY113" i="4" s="1"/>
  <c r="P39" i="4"/>
  <c r="P38" i="4"/>
  <c r="P40" i="4"/>
  <c r="P34" i="4"/>
  <c r="M26" i="4"/>
  <c r="N14" i="7"/>
  <c r="F12" i="7"/>
  <c r="M14" i="7"/>
  <c r="E19" i="7"/>
  <c r="F13" i="7" s="1"/>
  <c r="O13" i="7" s="1"/>
  <c r="ER13" i="7"/>
  <c r="EV13" i="7" s="1"/>
  <c r="EV15" i="7" s="1"/>
  <c r="L9" i="7" s="1"/>
  <c r="O14" i="7"/>
  <c r="Q3" i="4"/>
  <c r="R3" i="4" s="1"/>
  <c r="P64" i="4"/>
  <c r="P2" i="4"/>
  <c r="EZ2" i="4" s="1"/>
  <c r="N2" i="7"/>
  <c r="EY83" i="4"/>
  <c r="EY89" i="4" s="1"/>
  <c r="EY117" i="4" s="1"/>
  <c r="EY195" i="4"/>
  <c r="EY127" i="4"/>
  <c r="EY3" i="7"/>
  <c r="EZ197" i="4"/>
  <c r="EX3" i="7"/>
  <c r="EY197" i="4"/>
  <c r="EY47" i="4"/>
  <c r="O89" i="4"/>
  <c r="EY124" i="4"/>
  <c r="EY51" i="4"/>
  <c r="EY118" i="4"/>
  <c r="O83" i="4"/>
  <c r="N5" i="7"/>
  <c r="EY120" i="4"/>
  <c r="EW14" i="7"/>
  <c r="EW12" i="7"/>
  <c r="EY119" i="4"/>
  <c r="EY121" i="4"/>
  <c r="EY122" i="4"/>
  <c r="EY123" i="4"/>
  <c r="X4" i="3"/>
  <c r="P82" i="4"/>
  <c r="P84" i="4" s="1"/>
  <c r="EX116" i="4"/>
  <c r="EZ83" i="4"/>
  <c r="EZ116" i="4" s="1"/>
  <c r="EZ122" i="4"/>
  <c r="EZ121" i="4"/>
  <c r="EZ124" i="4"/>
  <c r="EZ120" i="4"/>
  <c r="EZ118" i="4"/>
  <c r="EZ47" i="4"/>
  <c r="EZ51" i="4"/>
  <c r="EX117" i="4"/>
  <c r="EW117" i="4"/>
  <c r="P23" i="4"/>
  <c r="EY23" i="4"/>
  <c r="EZ22" i="4"/>
  <c r="Q22" i="4"/>
  <c r="EZ88" i="4" l="1"/>
  <c r="EZ87" i="4" s="1"/>
  <c r="Q3" i="7"/>
  <c r="R77" i="4"/>
  <c r="P3" i="7"/>
  <c r="Q77" i="4"/>
  <c r="Q2" i="4"/>
  <c r="FA2" i="4" s="1"/>
  <c r="EZ119" i="4"/>
  <c r="EZ195" i="4"/>
  <c r="EZ114" i="4"/>
  <c r="EZ113" i="4" s="1"/>
  <c r="EZ126" i="4"/>
  <c r="P27" i="4"/>
  <c r="O127" i="4"/>
  <c r="Q42" i="4"/>
  <c r="EV26" i="4"/>
  <c r="L26" i="4" s="1"/>
  <c r="EW26" i="4"/>
  <c r="G27" i="4"/>
  <c r="L27" i="4"/>
  <c r="H27" i="4"/>
  <c r="EP27" i="4"/>
  <c r="M27" i="4"/>
  <c r="N27" i="4"/>
  <c r="O27" i="4"/>
  <c r="EX127" i="4"/>
  <c r="N127" i="4" s="1"/>
  <c r="EW127" i="4"/>
  <c r="M127" i="4" s="1"/>
  <c r="Q40" i="4"/>
  <c r="Q34" i="4"/>
  <c r="Q39" i="4"/>
  <c r="Q38" i="4"/>
  <c r="Q27" i="4"/>
  <c r="N26" i="4"/>
  <c r="L13" i="7"/>
  <c r="N13" i="7"/>
  <c r="M13" i="7"/>
  <c r="F15" i="7"/>
  <c r="EW13" i="7"/>
  <c r="EW15" i="7" s="1"/>
  <c r="M9" i="7" s="1"/>
  <c r="E21" i="7"/>
  <c r="EY12" i="7"/>
  <c r="P13" i="7"/>
  <c r="EX12" i="7"/>
  <c r="FA3" i="4"/>
  <c r="P14" i="7"/>
  <c r="O2" i="7"/>
  <c r="Q64" i="4"/>
  <c r="EX14" i="7"/>
  <c r="EY116" i="4"/>
  <c r="EX13" i="7"/>
  <c r="EY14" i="7"/>
  <c r="EY13" i="7"/>
  <c r="Q14" i="7"/>
  <c r="Q13" i="7"/>
  <c r="P2" i="7"/>
  <c r="P83" i="4"/>
  <c r="O5" i="7"/>
  <c r="Y4" i="3"/>
  <c r="EZ89" i="4"/>
  <c r="EZ117" i="4" s="1"/>
  <c r="Q82" i="4"/>
  <c r="Q84" i="4" s="1"/>
  <c r="P89" i="4"/>
  <c r="FA121" i="4"/>
  <c r="FA119" i="4"/>
  <c r="FB3" i="4"/>
  <c r="R64" i="4"/>
  <c r="FA22" i="4"/>
  <c r="EY27" i="4"/>
  <c r="EY26" i="4"/>
  <c r="Q23" i="4"/>
  <c r="EZ23" i="4"/>
  <c r="R22" i="4"/>
  <c r="S3" i="4"/>
  <c r="R2" i="4"/>
  <c r="R3" i="7" l="1"/>
  <c r="S77" i="4"/>
  <c r="FB114" i="4"/>
  <c r="FB113" i="4" s="1"/>
  <c r="FB126" i="4"/>
  <c r="FA120" i="4"/>
  <c r="FA126" i="4"/>
  <c r="EV27" i="4"/>
  <c r="EW27" i="4"/>
  <c r="EX27" i="4"/>
  <c r="O42" i="4"/>
  <c r="N42" i="4"/>
  <c r="L42" i="4"/>
  <c r="M42" i="4"/>
  <c r="P42" i="4"/>
  <c r="FA47" i="4"/>
  <c r="FA124" i="4"/>
  <c r="FA118" i="4"/>
  <c r="EZ127" i="4"/>
  <c r="P127" i="4" s="1"/>
  <c r="EW128" i="4"/>
  <c r="EX128" i="4"/>
  <c r="FA197" i="4"/>
  <c r="FA114" i="4"/>
  <c r="FA113" i="4" s="1"/>
  <c r="Q10" i="7"/>
  <c r="FA195" i="4"/>
  <c r="FA88" i="4"/>
  <c r="FA87" i="4" s="1"/>
  <c r="R39" i="4"/>
  <c r="R34" i="4"/>
  <c r="R40" i="4"/>
  <c r="R42" i="4"/>
  <c r="R38" i="4"/>
  <c r="R27" i="4"/>
  <c r="FB195" i="4"/>
  <c r="FB88" i="4"/>
  <c r="FB87" i="4" s="1"/>
  <c r="FA123" i="4"/>
  <c r="FA83" i="4"/>
  <c r="FA116" i="4" s="1"/>
  <c r="O26" i="4"/>
  <c r="L10" i="7"/>
  <c r="N10" i="7"/>
  <c r="M10" i="7"/>
  <c r="M31" i="7" s="1"/>
  <c r="O10" i="7"/>
  <c r="P10" i="7"/>
  <c r="EZ3" i="7"/>
  <c r="FA122" i="4"/>
  <c r="FA51" i="4"/>
  <c r="EX15" i="7"/>
  <c r="N9" i="7" s="1"/>
  <c r="EY15" i="7"/>
  <c r="O9" i="7" s="1"/>
  <c r="FA3" i="7"/>
  <c r="FB197" i="4"/>
  <c r="Z4" i="3"/>
  <c r="Q83" i="4"/>
  <c r="P5" i="7"/>
  <c r="FB2" i="4"/>
  <c r="Q2" i="7"/>
  <c r="R14" i="7"/>
  <c r="R13" i="7"/>
  <c r="R10" i="7"/>
  <c r="R82" i="4"/>
  <c r="R84" i="4" s="1"/>
  <c r="Q89" i="4"/>
  <c r="FB83" i="4"/>
  <c r="FB116" i="4" s="1"/>
  <c r="FB123" i="4"/>
  <c r="FB124" i="4"/>
  <c r="FB121" i="4"/>
  <c r="FB119" i="4"/>
  <c r="FB118" i="4"/>
  <c r="FB122" i="4"/>
  <c r="FB120" i="4"/>
  <c r="EY128" i="4"/>
  <c r="FB47" i="4"/>
  <c r="FB51" i="4"/>
  <c r="FC3" i="4"/>
  <c r="S64" i="4"/>
  <c r="FB22" i="4"/>
  <c r="R23" i="4"/>
  <c r="FA23" i="4"/>
  <c r="EZ27" i="4"/>
  <c r="EZ26" i="4"/>
  <c r="S22" i="4"/>
  <c r="T3" i="4"/>
  <c r="S2" i="4"/>
  <c r="S3" i="7" l="1"/>
  <c r="T77" i="4"/>
  <c r="FC114" i="4"/>
  <c r="FC113" i="4" s="1"/>
  <c r="FC126" i="4"/>
  <c r="EZ13" i="7"/>
  <c r="N31" i="7"/>
  <c r="EZ128" i="4"/>
  <c r="O30" i="7"/>
  <c r="M32" i="7"/>
  <c r="M30" i="7"/>
  <c r="FA89" i="4"/>
  <c r="FA117" i="4" s="1"/>
  <c r="S40" i="4"/>
  <c r="S39" i="4"/>
  <c r="S38" i="4"/>
  <c r="S42" i="4"/>
  <c r="S34" i="4"/>
  <c r="S27" i="4"/>
  <c r="FC195" i="4"/>
  <c r="FC88" i="4"/>
  <c r="FC87" i="4" s="1"/>
  <c r="M29" i="7"/>
  <c r="P26" i="4"/>
  <c r="L29" i="7"/>
  <c r="L30" i="7"/>
  <c r="L32" i="7"/>
  <c r="L31" i="7"/>
  <c r="EZ14" i="7"/>
  <c r="EZ12" i="7"/>
  <c r="FA12" i="7"/>
  <c r="O31" i="7"/>
  <c r="O29" i="7"/>
  <c r="N30" i="7"/>
  <c r="O32" i="7"/>
  <c r="N29" i="7"/>
  <c r="N32" i="7"/>
  <c r="FA13" i="7"/>
  <c r="FA14" i="7"/>
  <c r="FB3" i="7"/>
  <c r="FC197" i="4"/>
  <c r="FC2" i="4"/>
  <c r="R2" i="7"/>
  <c r="AA4" i="3"/>
  <c r="S14" i="7"/>
  <c r="S13" i="7"/>
  <c r="S10" i="7"/>
  <c r="R83" i="4"/>
  <c r="Q5" i="7"/>
  <c r="R89" i="4"/>
  <c r="S82" i="4"/>
  <c r="S84" i="4" s="1"/>
  <c r="FB89" i="4"/>
  <c r="FB117" i="4" s="1"/>
  <c r="FC83" i="4"/>
  <c r="FC116" i="4" s="1"/>
  <c r="FC124" i="4"/>
  <c r="FC123" i="4"/>
  <c r="FC122" i="4"/>
  <c r="FC121" i="4"/>
  <c r="FC118" i="4"/>
  <c r="FC119" i="4"/>
  <c r="FC120" i="4"/>
  <c r="FC47" i="4"/>
  <c r="FC51" i="4"/>
  <c r="FD3" i="4"/>
  <c r="T64" i="4"/>
  <c r="FC22" i="4"/>
  <c r="FA27" i="4"/>
  <c r="FA26" i="4"/>
  <c r="S23" i="4"/>
  <c r="FB23" i="4"/>
  <c r="T22" i="4"/>
  <c r="T2" i="4"/>
  <c r="U3" i="4"/>
  <c r="T3" i="7" l="1"/>
  <c r="U77" i="4"/>
  <c r="FD114" i="4"/>
  <c r="FD113" i="4" s="1"/>
  <c r="FD126" i="4"/>
  <c r="S89" i="4"/>
  <c r="FB127" i="4"/>
  <c r="R127" i="4" s="1"/>
  <c r="FA127" i="4"/>
  <c r="Q127" i="4" s="1"/>
  <c r="M33" i="7"/>
  <c r="M20" i="7" s="1"/>
  <c r="EZ15" i="7"/>
  <c r="P9" i="7" s="1"/>
  <c r="P29" i="7" s="1"/>
  <c r="T34" i="4"/>
  <c r="T40" i="4"/>
  <c r="T38" i="4"/>
  <c r="T39" i="4"/>
  <c r="T42" i="4"/>
  <c r="T27" i="4"/>
  <c r="FD195" i="4"/>
  <c r="FD88" i="4"/>
  <c r="FD87" i="4" s="1"/>
  <c r="Q26" i="4"/>
  <c r="L33" i="7"/>
  <c r="L20" i="7" s="1"/>
  <c r="FB12" i="7"/>
  <c r="O33" i="7"/>
  <c r="O20" i="7" s="1"/>
  <c r="N33" i="7"/>
  <c r="N20" i="7" s="1"/>
  <c r="FB13" i="7"/>
  <c r="FB14" i="7"/>
  <c r="FA15" i="7"/>
  <c r="Q9" i="7" s="1"/>
  <c r="Q29" i="7" s="1"/>
  <c r="FC3" i="7"/>
  <c r="FD197" i="4"/>
  <c r="FD2" i="4"/>
  <c r="S2" i="7"/>
  <c r="T13" i="7"/>
  <c r="T14" i="7"/>
  <c r="T10" i="7"/>
  <c r="S83" i="4"/>
  <c r="R5" i="7"/>
  <c r="AB4" i="3"/>
  <c r="T82" i="4"/>
  <c r="T84" i="4" s="1"/>
  <c r="FC89" i="4"/>
  <c r="FC117" i="4" s="1"/>
  <c r="FD83" i="4"/>
  <c r="FD116" i="4" s="1"/>
  <c r="FD124" i="4"/>
  <c r="FD122" i="4"/>
  <c r="FD121" i="4"/>
  <c r="FD123" i="4"/>
  <c r="FD119" i="4"/>
  <c r="FD120" i="4"/>
  <c r="FD118" i="4"/>
  <c r="FD47" i="4"/>
  <c r="FD51" i="4"/>
  <c r="FE3" i="4"/>
  <c r="U64" i="4"/>
  <c r="T23" i="4"/>
  <c r="FC23" i="4"/>
  <c r="FD22" i="4"/>
  <c r="FB27" i="4"/>
  <c r="FB26" i="4"/>
  <c r="U22" i="4"/>
  <c r="V3" i="4"/>
  <c r="U2" i="4"/>
  <c r="U3" i="7" l="1"/>
  <c r="V77" i="4"/>
  <c r="FE114" i="4"/>
  <c r="FE113" i="4" s="1"/>
  <c r="FE126" i="4"/>
  <c r="FB128" i="4"/>
  <c r="M18" i="7"/>
  <c r="M19" i="7"/>
  <c r="FA128" i="4"/>
  <c r="FC127" i="4"/>
  <c r="S127" i="4" s="1"/>
  <c r="P32" i="7"/>
  <c r="P30" i="7"/>
  <c r="P31" i="7"/>
  <c r="U40" i="4"/>
  <c r="U38" i="4"/>
  <c r="U42" i="4"/>
  <c r="U39" i="4"/>
  <c r="U34" i="4"/>
  <c r="U27" i="4"/>
  <c r="FE195" i="4"/>
  <c r="FE88" i="4"/>
  <c r="FE87" i="4" s="1"/>
  <c r="R26" i="4"/>
  <c r="L19" i="7"/>
  <c r="L18" i="7"/>
  <c r="N18" i="7"/>
  <c r="O18" i="7"/>
  <c r="O19" i="7"/>
  <c r="FC13" i="7"/>
  <c r="N19" i="7"/>
  <c r="FB15" i="7"/>
  <c r="R9" i="7" s="1"/>
  <c r="R31" i="7" s="1"/>
  <c r="Q31" i="7"/>
  <c r="T89" i="4"/>
  <c r="FC14" i="7"/>
  <c r="Q30" i="7"/>
  <c r="Q32" i="7"/>
  <c r="FC12" i="7"/>
  <c r="FD3" i="7"/>
  <c r="FE197" i="4"/>
  <c r="FE2" i="4"/>
  <c r="T2" i="7"/>
  <c r="U14" i="7"/>
  <c r="U13" i="7"/>
  <c r="U10" i="7"/>
  <c r="T83" i="4"/>
  <c r="S5" i="7"/>
  <c r="AC4" i="3"/>
  <c r="U82" i="4"/>
  <c r="U84" i="4" s="1"/>
  <c r="FD89" i="4"/>
  <c r="FE83" i="4"/>
  <c r="FE116" i="4" s="1"/>
  <c r="FE124" i="4"/>
  <c r="FE122" i="4"/>
  <c r="FE121" i="4"/>
  <c r="FE120" i="4"/>
  <c r="FE119" i="4"/>
  <c r="FE123" i="4"/>
  <c r="FE118" i="4"/>
  <c r="FE47" i="4"/>
  <c r="FE51" i="4"/>
  <c r="FF3" i="4"/>
  <c r="V64" i="4"/>
  <c r="FC26" i="4"/>
  <c r="FC27" i="4"/>
  <c r="U23" i="4"/>
  <c r="FD23" i="4"/>
  <c r="FE22" i="4"/>
  <c r="V22" i="4"/>
  <c r="W3" i="4"/>
  <c r="V2" i="4"/>
  <c r="V3" i="7" l="1"/>
  <c r="W77" i="4"/>
  <c r="FF114" i="4"/>
  <c r="FF113" i="4" s="1"/>
  <c r="FF126" i="4"/>
  <c r="M21" i="7"/>
  <c r="U89" i="4"/>
  <c r="FC128" i="4"/>
  <c r="P33" i="7"/>
  <c r="P20" i="7" s="1"/>
  <c r="L21" i="7"/>
  <c r="FF195" i="4"/>
  <c r="FF88" i="4"/>
  <c r="FF87" i="4" s="1"/>
  <c r="V42" i="4"/>
  <c r="V40" i="4"/>
  <c r="V38" i="4"/>
  <c r="V34" i="4"/>
  <c r="V27" i="4"/>
  <c r="V39" i="4"/>
  <c r="S26" i="4"/>
  <c r="O21" i="7"/>
  <c r="FD13" i="7"/>
  <c r="N21" i="7"/>
  <c r="R29" i="7"/>
  <c r="R32" i="7"/>
  <c r="R30" i="7"/>
  <c r="FC15" i="7"/>
  <c r="S9" i="7" s="1"/>
  <c r="S32" i="7" s="1"/>
  <c r="Q33" i="7"/>
  <c r="Q20" i="7" s="1"/>
  <c r="FD14" i="7"/>
  <c r="FD12" i="7"/>
  <c r="FE3" i="7"/>
  <c r="FF197" i="4"/>
  <c r="V13" i="7"/>
  <c r="V14" i="7"/>
  <c r="V10" i="7"/>
  <c r="FF2" i="4"/>
  <c r="U2" i="7"/>
  <c r="U83" i="4"/>
  <c r="T5" i="7"/>
  <c r="AD4" i="3"/>
  <c r="V82" i="4"/>
  <c r="V84" i="4" s="1"/>
  <c r="FD117" i="4"/>
  <c r="FE89" i="4"/>
  <c r="FF83" i="4"/>
  <c r="FF89" i="4" s="1"/>
  <c r="FF123" i="4"/>
  <c r="FF124" i="4"/>
  <c r="FF120" i="4"/>
  <c r="FF118" i="4"/>
  <c r="FF121" i="4"/>
  <c r="FF119" i="4"/>
  <c r="FF122" i="4"/>
  <c r="FF47" i="4"/>
  <c r="FF51" i="4"/>
  <c r="FG3" i="4"/>
  <c r="W64" i="4"/>
  <c r="FF22" i="4"/>
  <c r="FD27" i="4"/>
  <c r="FD26" i="4"/>
  <c r="V23" i="4"/>
  <c r="FE23" i="4"/>
  <c r="W22" i="4"/>
  <c r="X3" i="4"/>
  <c r="W2" i="4"/>
  <c r="W3" i="7" l="1"/>
  <c r="W14" i="7" s="1"/>
  <c r="X77" i="4"/>
  <c r="FG114" i="4"/>
  <c r="FG113" i="4" s="1"/>
  <c r="FG126" i="4"/>
  <c r="V89" i="4"/>
  <c r="P18" i="7"/>
  <c r="P19" i="7"/>
  <c r="FD127" i="4"/>
  <c r="T127" i="4" s="1"/>
  <c r="W38" i="4"/>
  <c r="W42" i="4"/>
  <c r="W39" i="4"/>
  <c r="W40" i="4"/>
  <c r="W27" i="4"/>
  <c r="W34" i="4"/>
  <c r="FG195" i="4"/>
  <c r="FG88" i="4"/>
  <c r="FG87" i="4" s="1"/>
  <c r="T26" i="4"/>
  <c r="FE14" i="7"/>
  <c r="R33" i="7"/>
  <c r="R20" i="7" s="1"/>
  <c r="S30" i="7"/>
  <c r="S29" i="7"/>
  <c r="S31" i="7"/>
  <c r="Q18" i="7"/>
  <c r="Q19" i="7"/>
  <c r="FE13" i="7"/>
  <c r="FD15" i="7"/>
  <c r="T9" i="7" s="1"/>
  <c r="T30" i="7" s="1"/>
  <c r="FE12" i="7"/>
  <c r="FF3" i="7"/>
  <c r="FG197" i="4"/>
  <c r="AE4" i="3"/>
  <c r="FG2" i="4"/>
  <c r="V2" i="7"/>
  <c r="V83" i="4"/>
  <c r="U5" i="7"/>
  <c r="W82" i="4"/>
  <c r="W84" i="4" s="1"/>
  <c r="FE117" i="4"/>
  <c r="FF116" i="4"/>
  <c r="FG83" i="4"/>
  <c r="FG89" i="4" s="1"/>
  <c r="FG124" i="4"/>
  <c r="FG123" i="4"/>
  <c r="FG122" i="4"/>
  <c r="FG121" i="4"/>
  <c r="FG120" i="4"/>
  <c r="FG118" i="4"/>
  <c r="FG119" i="4"/>
  <c r="FG47" i="4"/>
  <c r="FG51" i="4"/>
  <c r="FF117" i="4"/>
  <c r="FH3" i="4"/>
  <c r="X64" i="4"/>
  <c r="FG22" i="4"/>
  <c r="FE27" i="4"/>
  <c r="FE26" i="4"/>
  <c r="W23" i="4"/>
  <c r="FF23" i="4"/>
  <c r="X22" i="4"/>
  <c r="Y3" i="4"/>
  <c r="X2" i="4"/>
  <c r="W10" i="7" l="1"/>
  <c r="W13" i="7"/>
  <c r="X3" i="7"/>
  <c r="Y77" i="4"/>
  <c r="FH114" i="4"/>
  <c r="FH113" i="4" s="1"/>
  <c r="FH126" i="4"/>
  <c r="P21" i="7"/>
  <c r="FE127" i="4"/>
  <c r="U127" i="4" s="1"/>
  <c r="FF127" i="4"/>
  <c r="V127" i="4" s="1"/>
  <c r="FD128" i="4"/>
  <c r="FH195" i="4"/>
  <c r="FH88" i="4"/>
  <c r="FH87" i="4" s="1"/>
  <c r="X42" i="4"/>
  <c r="X39" i="4"/>
  <c r="X38" i="4"/>
  <c r="X34" i="4"/>
  <c r="X27" i="4"/>
  <c r="X40" i="4"/>
  <c r="U26" i="4"/>
  <c r="FF13" i="7"/>
  <c r="R18" i="7"/>
  <c r="R19" i="7"/>
  <c r="S33" i="7"/>
  <c r="S20" i="7" s="1"/>
  <c r="W89" i="4"/>
  <c r="FF14" i="7"/>
  <c r="Q21" i="7"/>
  <c r="T32" i="7"/>
  <c r="FE15" i="7"/>
  <c r="U9" i="7" s="1"/>
  <c r="U32" i="7" s="1"/>
  <c r="T31" i="7"/>
  <c r="T29" i="7"/>
  <c r="FF12" i="7"/>
  <c r="FG3" i="7"/>
  <c r="FH197" i="4"/>
  <c r="FH2" i="4"/>
  <c r="W2" i="7"/>
  <c r="X14" i="7"/>
  <c r="X13" i="7"/>
  <c r="X10" i="7"/>
  <c r="AF4" i="3"/>
  <c r="W83" i="4"/>
  <c r="V5" i="7"/>
  <c r="X82" i="4"/>
  <c r="X84" i="4" s="1"/>
  <c r="FG116" i="4"/>
  <c r="FH83" i="4"/>
  <c r="FH89" i="4" s="1"/>
  <c r="FH123" i="4"/>
  <c r="FH122" i="4"/>
  <c r="FH121" i="4"/>
  <c r="FH124" i="4"/>
  <c r="FH120" i="4"/>
  <c r="FH119" i="4"/>
  <c r="FH118" i="4"/>
  <c r="FH51" i="4"/>
  <c r="FH47" i="4"/>
  <c r="FG117" i="4"/>
  <c r="FI3" i="4"/>
  <c r="Y64" i="4"/>
  <c r="FH22" i="4"/>
  <c r="X23" i="4"/>
  <c r="FG23" i="4"/>
  <c r="FF26" i="4"/>
  <c r="FF27" i="4"/>
  <c r="Y22" i="4"/>
  <c r="Y2" i="4"/>
  <c r="Z3" i="4"/>
  <c r="Y3" i="7" l="1"/>
  <c r="Y13" i="7" s="1"/>
  <c r="Z77" i="4"/>
  <c r="FI114" i="4"/>
  <c r="FI113" i="4" s="1"/>
  <c r="FI126" i="4"/>
  <c r="FE128" i="4"/>
  <c r="FF128" i="4"/>
  <c r="FG127" i="4"/>
  <c r="W127" i="4" s="1"/>
  <c r="Y42" i="4"/>
  <c r="Y34" i="4"/>
  <c r="Y40" i="4"/>
  <c r="Y39" i="4"/>
  <c r="Y38" i="4"/>
  <c r="Y27" i="4"/>
  <c r="FI195" i="4"/>
  <c r="FI88" i="4"/>
  <c r="FI87" i="4" s="1"/>
  <c r="V26" i="4"/>
  <c r="FG12" i="7"/>
  <c r="R21" i="7"/>
  <c r="S19" i="7"/>
  <c r="S18" i="7"/>
  <c r="FF15" i="7"/>
  <c r="V9" i="7" s="1"/>
  <c r="V31" i="7" s="1"/>
  <c r="U30" i="7"/>
  <c r="U31" i="7"/>
  <c r="U29" i="7"/>
  <c r="T33" i="7"/>
  <c r="T20" i="7" s="1"/>
  <c r="FG14" i="7"/>
  <c r="FG13" i="7"/>
  <c r="FH3" i="7"/>
  <c r="FI197" i="4"/>
  <c r="AG4" i="3"/>
  <c r="X83" i="4"/>
  <c r="W5" i="7"/>
  <c r="FI2" i="4"/>
  <c r="X2" i="7"/>
  <c r="X89" i="4"/>
  <c r="Y82" i="4"/>
  <c r="Y84" i="4" s="1"/>
  <c r="FH116" i="4"/>
  <c r="FI83" i="4"/>
  <c r="FI116" i="4" s="1"/>
  <c r="FI124" i="4"/>
  <c r="FI123" i="4"/>
  <c r="FI122" i="4"/>
  <c r="FI121" i="4"/>
  <c r="FI120" i="4"/>
  <c r="FI119" i="4"/>
  <c r="FI118" i="4"/>
  <c r="FI51" i="4"/>
  <c r="FI47" i="4"/>
  <c r="FH117" i="4"/>
  <c r="FJ3" i="4"/>
  <c r="Z64" i="4"/>
  <c r="FG26" i="4"/>
  <c r="FG27" i="4"/>
  <c r="FI22" i="4"/>
  <c r="Y23" i="4"/>
  <c r="FH23" i="4"/>
  <c r="Z22" i="4"/>
  <c r="AA3" i="4"/>
  <c r="Z2" i="4"/>
  <c r="Y10" i="7" l="1"/>
  <c r="Y14" i="7"/>
  <c r="Z3" i="7"/>
  <c r="AA77" i="4"/>
  <c r="FJ114" i="4"/>
  <c r="FJ113" i="4" s="1"/>
  <c r="FJ126" i="4"/>
  <c r="FG128" i="4"/>
  <c r="Y89" i="4"/>
  <c r="FH127" i="4"/>
  <c r="X127" i="4" s="1"/>
  <c r="Z39" i="4"/>
  <c r="Z34" i="4"/>
  <c r="Z40" i="4"/>
  <c r="Z42" i="4"/>
  <c r="Z38" i="4"/>
  <c r="Z27" i="4"/>
  <c r="FJ195" i="4"/>
  <c r="FJ88" i="4"/>
  <c r="FJ87" i="4" s="1"/>
  <c r="W26" i="4"/>
  <c r="T19" i="7"/>
  <c r="FH13" i="7"/>
  <c r="S21" i="7"/>
  <c r="V29" i="7"/>
  <c r="V32" i="7"/>
  <c r="V30" i="7"/>
  <c r="U33" i="7"/>
  <c r="U20" i="7" s="1"/>
  <c r="T18" i="7"/>
  <c r="FG15" i="7"/>
  <c r="W9" i="7" s="1"/>
  <c r="W32" i="7" s="1"/>
  <c r="FH14" i="7"/>
  <c r="FH12" i="7"/>
  <c r="FI3" i="7"/>
  <c r="FJ197" i="4"/>
  <c r="FJ2" i="4"/>
  <c r="Y2" i="7"/>
  <c r="Z13" i="7"/>
  <c r="Z14" i="7"/>
  <c r="Z10" i="7"/>
  <c r="AH4" i="3"/>
  <c r="Y83" i="4"/>
  <c r="X5" i="7"/>
  <c r="Z82" i="4"/>
  <c r="Z84" i="4" s="1"/>
  <c r="FI89" i="4"/>
  <c r="FJ83" i="4"/>
  <c r="FJ116" i="4" s="1"/>
  <c r="FJ124" i="4"/>
  <c r="FJ123" i="4"/>
  <c r="FJ119" i="4"/>
  <c r="FJ122" i="4"/>
  <c r="FJ120" i="4"/>
  <c r="FJ118" i="4"/>
  <c r="FJ121" i="4"/>
  <c r="FJ47" i="4"/>
  <c r="FJ51" i="4"/>
  <c r="FK3" i="4"/>
  <c r="AA64" i="4"/>
  <c r="FH27" i="4"/>
  <c r="FH26" i="4"/>
  <c r="Z23" i="4"/>
  <c r="FI23" i="4"/>
  <c r="FJ22" i="4"/>
  <c r="AA22" i="4"/>
  <c r="AB3" i="4"/>
  <c r="AA2" i="4"/>
  <c r="AA3" i="7" l="1"/>
  <c r="AB77" i="4"/>
  <c r="FK114" i="4"/>
  <c r="FK113" i="4" s="1"/>
  <c r="FK126" i="4"/>
  <c r="Z89" i="4"/>
  <c r="FH128" i="4"/>
  <c r="AA40" i="4"/>
  <c r="AA39" i="4"/>
  <c r="AA34" i="4"/>
  <c r="AA42" i="4"/>
  <c r="AA38" i="4"/>
  <c r="AA27" i="4"/>
  <c r="FK195" i="4"/>
  <c r="FK88" i="4"/>
  <c r="FK87" i="4" s="1"/>
  <c r="X26" i="4"/>
  <c r="U18" i="7"/>
  <c r="FI14" i="7"/>
  <c r="V33" i="7"/>
  <c r="V20" i="7" s="1"/>
  <c r="U19" i="7"/>
  <c r="T21" i="7"/>
  <c r="W31" i="7"/>
  <c r="FH15" i="7"/>
  <c r="X9" i="7" s="1"/>
  <c r="X31" i="7" s="1"/>
  <c r="W30" i="7"/>
  <c r="W29" i="7"/>
  <c r="FI13" i="7"/>
  <c r="FJ3" i="7"/>
  <c r="FK197" i="4"/>
  <c r="FI12" i="7"/>
  <c r="Z83" i="4"/>
  <c r="Y5" i="7"/>
  <c r="AI4" i="3"/>
  <c r="FK2" i="4"/>
  <c r="Z2" i="7"/>
  <c r="AA14" i="7"/>
  <c r="AA13" i="7"/>
  <c r="AA10" i="7"/>
  <c r="AA82" i="4"/>
  <c r="AA84" i="4" s="1"/>
  <c r="FI117" i="4"/>
  <c r="FJ89" i="4"/>
  <c r="FK83" i="4"/>
  <c r="FK116" i="4" s="1"/>
  <c r="FK124" i="4"/>
  <c r="FK123" i="4"/>
  <c r="FK122" i="4"/>
  <c r="FK121" i="4"/>
  <c r="FK120" i="4"/>
  <c r="FK119" i="4"/>
  <c r="FK118" i="4"/>
  <c r="FK47" i="4"/>
  <c r="FK51" i="4"/>
  <c r="FL3" i="4"/>
  <c r="AB64" i="4"/>
  <c r="FK22" i="4"/>
  <c r="FI26" i="4"/>
  <c r="FI27" i="4"/>
  <c r="AA23" i="4"/>
  <c r="FJ23" i="4"/>
  <c r="AB22" i="4"/>
  <c r="AB2" i="4"/>
  <c r="AC3" i="4"/>
  <c r="AB3" i="7" l="1"/>
  <c r="AC77" i="4"/>
  <c r="FL114" i="4"/>
  <c r="FL113" i="4" s="1"/>
  <c r="FL126" i="4"/>
  <c r="FI127" i="4"/>
  <c r="Y127" i="4" s="1"/>
  <c r="AB34" i="4"/>
  <c r="AB40" i="4"/>
  <c r="AB38" i="4"/>
  <c r="AB39" i="4"/>
  <c r="AB42" i="4"/>
  <c r="AB27" i="4"/>
  <c r="FL195" i="4"/>
  <c r="FL88" i="4"/>
  <c r="FL87" i="4" s="1"/>
  <c r="Y26" i="4"/>
  <c r="FJ12" i="7"/>
  <c r="W33" i="7"/>
  <c r="W20" i="7" s="1"/>
  <c r="V19" i="7"/>
  <c r="V18" i="7"/>
  <c r="U21" i="7"/>
  <c r="X30" i="7"/>
  <c r="X29" i="7"/>
  <c r="FI15" i="7"/>
  <c r="Y9" i="7" s="1"/>
  <c r="Y32" i="7" s="1"/>
  <c r="X32" i="7"/>
  <c r="FJ14" i="7"/>
  <c r="FJ13" i="7"/>
  <c r="FK3" i="7"/>
  <c r="FL197" i="4"/>
  <c r="AJ4" i="3"/>
  <c r="FL2" i="4"/>
  <c r="AA2" i="7"/>
  <c r="AA83" i="4"/>
  <c r="Z5" i="7"/>
  <c r="AB13" i="7"/>
  <c r="AB14" i="7"/>
  <c r="AB10" i="7"/>
  <c r="AA89" i="4"/>
  <c r="AB82" i="4"/>
  <c r="AB84" i="4" s="1"/>
  <c r="FJ117" i="4"/>
  <c r="FL83" i="4"/>
  <c r="FL89" i="4" s="1"/>
  <c r="FL122" i="4"/>
  <c r="FL121" i="4"/>
  <c r="FL123" i="4"/>
  <c r="FL119" i="4"/>
  <c r="FL124" i="4"/>
  <c r="FL120" i="4"/>
  <c r="FL118" i="4"/>
  <c r="FL51" i="4"/>
  <c r="FK89" i="4"/>
  <c r="FL47" i="4"/>
  <c r="FM3" i="4"/>
  <c r="AC64" i="4"/>
  <c r="AB23" i="4"/>
  <c r="FK23" i="4"/>
  <c r="FL22" i="4"/>
  <c r="FJ26" i="4"/>
  <c r="FJ27" i="4"/>
  <c r="AC22" i="4"/>
  <c r="AC2" i="4"/>
  <c r="AD3" i="4"/>
  <c r="AC3" i="7" l="1"/>
  <c r="AD77" i="4"/>
  <c r="FM114" i="4"/>
  <c r="FM113" i="4" s="1"/>
  <c r="FM126" i="4"/>
  <c r="AB89" i="4"/>
  <c r="FI128" i="4"/>
  <c r="FJ127" i="4"/>
  <c r="Z127" i="4" s="1"/>
  <c r="AC40" i="4"/>
  <c r="AC38" i="4"/>
  <c r="AC42" i="4"/>
  <c r="AC34" i="4"/>
  <c r="AC39" i="4"/>
  <c r="AC27" i="4"/>
  <c r="FM195" i="4"/>
  <c r="FM88" i="4"/>
  <c r="FM87" i="4" s="1"/>
  <c r="Z26" i="4"/>
  <c r="FK14" i="7"/>
  <c r="W19" i="7"/>
  <c r="V21" i="7"/>
  <c r="W18" i="7"/>
  <c r="FJ15" i="7"/>
  <c r="Z9" i="7" s="1"/>
  <c r="Z30" i="7" s="1"/>
  <c r="Y30" i="7"/>
  <c r="Y31" i="7"/>
  <c r="X33" i="7"/>
  <c r="X20" i="7" s="1"/>
  <c r="Y29" i="7"/>
  <c r="FK12" i="7"/>
  <c r="FL3" i="7"/>
  <c r="FM197" i="4"/>
  <c r="FK13" i="7"/>
  <c r="AB83" i="4"/>
  <c r="AA5" i="7"/>
  <c r="AK4" i="3"/>
  <c r="AC14" i="7"/>
  <c r="AC13" i="7"/>
  <c r="AC10" i="7"/>
  <c r="FM2" i="4"/>
  <c r="AB2" i="7"/>
  <c r="AC82" i="4"/>
  <c r="AC84" i="4" s="1"/>
  <c r="FK117" i="4"/>
  <c r="FL116" i="4"/>
  <c r="FM83" i="4"/>
  <c r="FM116" i="4" s="1"/>
  <c r="FM123" i="4"/>
  <c r="FM124" i="4"/>
  <c r="FM122" i="4"/>
  <c r="FM121" i="4"/>
  <c r="FM120" i="4"/>
  <c r="FM119" i="4"/>
  <c r="FM118" i="4"/>
  <c r="FM47" i="4"/>
  <c r="FL117" i="4"/>
  <c r="FM51" i="4"/>
  <c r="FN3" i="4"/>
  <c r="AD64" i="4"/>
  <c r="FK27" i="4"/>
  <c r="FK26" i="4"/>
  <c r="FM22" i="4"/>
  <c r="AC23" i="4"/>
  <c r="FL23" i="4"/>
  <c r="AD22" i="4"/>
  <c r="AE3" i="4"/>
  <c r="AD2" i="4"/>
  <c r="AD3" i="7" l="1"/>
  <c r="AD13" i="7" s="1"/>
  <c r="AE77" i="4"/>
  <c r="FN114" i="4"/>
  <c r="FN113" i="4" s="1"/>
  <c r="FN126" i="4"/>
  <c r="FK127" i="4"/>
  <c r="AA127" i="4" s="1"/>
  <c r="FJ128" i="4"/>
  <c r="FL127" i="4"/>
  <c r="AB127" i="4" s="1"/>
  <c r="AD42" i="4"/>
  <c r="AD40" i="4"/>
  <c r="AD39" i="4"/>
  <c r="AD27" i="4"/>
  <c r="AD34" i="4"/>
  <c r="AD38" i="4"/>
  <c r="FN195" i="4"/>
  <c r="FN88" i="4"/>
  <c r="FN87" i="4" s="1"/>
  <c r="AA26" i="4"/>
  <c r="FL13" i="7"/>
  <c r="Z31" i="7"/>
  <c r="Z32" i="7"/>
  <c r="W21" i="7"/>
  <c r="Z29" i="7"/>
  <c r="X18" i="7"/>
  <c r="X19" i="7"/>
  <c r="Y33" i="7"/>
  <c r="Y20" i="7" s="1"/>
  <c r="FK15" i="7"/>
  <c r="AA9" i="7" s="1"/>
  <c r="AA29" i="7" s="1"/>
  <c r="FL12" i="7"/>
  <c r="FL14" i="7"/>
  <c r="FM3" i="7"/>
  <c r="FN197" i="4"/>
  <c r="I6" i="3"/>
  <c r="AK6" i="3" s="1"/>
  <c r="FN2" i="4"/>
  <c r="AC2" i="7"/>
  <c r="AC89" i="4"/>
  <c r="AC83" i="4"/>
  <c r="AB5" i="7"/>
  <c r="AD82" i="4"/>
  <c r="AD84" i="4" s="1"/>
  <c r="FM89" i="4"/>
  <c r="FN83" i="4"/>
  <c r="FN116" i="4" s="1"/>
  <c r="FN124" i="4"/>
  <c r="FN123" i="4"/>
  <c r="FN122" i="4"/>
  <c r="FN121" i="4"/>
  <c r="FN119" i="4"/>
  <c r="FN118" i="4"/>
  <c r="FN120" i="4"/>
  <c r="FN51" i="4"/>
  <c r="FN47" i="4"/>
  <c r="FO3" i="4"/>
  <c r="AE64" i="4"/>
  <c r="FN22" i="4"/>
  <c r="AD23" i="4"/>
  <c r="ER41" i="4" s="1"/>
  <c r="FM23" i="4"/>
  <c r="FL27" i="4"/>
  <c r="FL26" i="4"/>
  <c r="AE22" i="4"/>
  <c r="AF3" i="4"/>
  <c r="AE2" i="4"/>
  <c r="AD10" i="7" l="1"/>
  <c r="AE3" i="7"/>
  <c r="AF77" i="4"/>
  <c r="AD14" i="7"/>
  <c r="FO114" i="4"/>
  <c r="FO113" i="4" s="1"/>
  <c r="FO126" i="4"/>
  <c r="AD89" i="4"/>
  <c r="FL128" i="4"/>
  <c r="FK128" i="4"/>
  <c r="AE38" i="4"/>
  <c r="AE42" i="4"/>
  <c r="AE39" i="4"/>
  <c r="AE40" i="4"/>
  <c r="AE34" i="4"/>
  <c r="AE27" i="4"/>
  <c r="FO195" i="4"/>
  <c r="FO88" i="4"/>
  <c r="FO87" i="4" s="1"/>
  <c r="AB26" i="4"/>
  <c r="FM12" i="7"/>
  <c r="Z33" i="7"/>
  <c r="Z20" i="7" s="1"/>
  <c r="X21" i="7"/>
  <c r="Y18" i="7"/>
  <c r="Y19" i="7"/>
  <c r="FL15" i="7"/>
  <c r="AB9" i="7" s="1"/>
  <c r="AB30" i="7" s="1"/>
  <c r="AA31" i="7"/>
  <c r="AA32" i="7"/>
  <c r="AA30" i="7"/>
  <c r="FM13" i="7"/>
  <c r="FM14" i="7"/>
  <c r="FN3" i="7"/>
  <c r="FO197" i="4"/>
  <c r="FO2" i="4"/>
  <c r="AD2" i="7"/>
  <c r="AE14" i="7"/>
  <c r="AE13" i="7"/>
  <c r="AE10" i="7"/>
  <c r="O6" i="3"/>
  <c r="N6" i="3"/>
  <c r="M6" i="3"/>
  <c r="P6" i="3"/>
  <c r="R6" i="3"/>
  <c r="Q6" i="3"/>
  <c r="S6" i="3"/>
  <c r="T6" i="3"/>
  <c r="U6" i="3"/>
  <c r="V6" i="3"/>
  <c r="W6" i="3"/>
  <c r="X6" i="3"/>
  <c r="Y6" i="3"/>
  <c r="Z6" i="3"/>
  <c r="AA6" i="3"/>
  <c r="AB6" i="3"/>
  <c r="AC6" i="3"/>
  <c r="AD6" i="3"/>
  <c r="AE6" i="3"/>
  <c r="AF6" i="3"/>
  <c r="AG6" i="3"/>
  <c r="AH6" i="3"/>
  <c r="AI6" i="3"/>
  <c r="AJ6" i="3"/>
  <c r="AD83" i="4"/>
  <c r="AC5" i="7"/>
  <c r="AE82" i="4"/>
  <c r="AE89" i="4" s="1"/>
  <c r="FM117" i="4"/>
  <c r="FN89" i="4"/>
  <c r="FO47" i="4"/>
  <c r="FO124" i="4"/>
  <c r="FO123" i="4"/>
  <c r="FO122" i="4"/>
  <c r="FO121" i="4"/>
  <c r="FO119" i="4"/>
  <c r="FO118" i="4"/>
  <c r="FO120" i="4"/>
  <c r="FO51" i="4"/>
  <c r="FO83" i="4"/>
  <c r="FO116" i="4" s="1"/>
  <c r="FP3" i="4"/>
  <c r="FP126" i="4" s="1"/>
  <c r="AF64" i="4"/>
  <c r="FO22" i="4"/>
  <c r="FM26" i="4"/>
  <c r="FM27" i="4"/>
  <c r="AE23" i="4"/>
  <c r="ER39" i="4"/>
  <c r="ER34" i="4"/>
  <c r="FM34" i="4" s="1"/>
  <c r="ER32" i="4"/>
  <c r="FM32" i="4" s="1"/>
  <c r="AC32" i="4" s="1"/>
  <c r="ER33" i="4"/>
  <c r="FM33" i="4" s="1"/>
  <c r="AC33" i="4" s="1"/>
  <c r="ER42" i="4"/>
  <c r="FN23" i="4"/>
  <c r="ER40" i="4"/>
  <c r="ER38" i="4"/>
  <c r="FM38" i="4" s="1"/>
  <c r="AF22" i="4"/>
  <c r="AG3" i="4"/>
  <c r="AF2" i="4"/>
  <c r="AF3" i="7" l="1"/>
  <c r="AF14" i="7" s="1"/>
  <c r="AG77" i="4"/>
  <c r="FM127" i="4"/>
  <c r="AC127" i="4" s="1"/>
  <c r="FP88" i="4"/>
  <c r="FP87" i="4" s="1"/>
  <c r="FP114" i="4"/>
  <c r="FP113" i="4" s="1"/>
  <c r="AF42" i="4"/>
  <c r="AF39" i="4"/>
  <c r="AF38" i="4"/>
  <c r="AF40" i="4"/>
  <c r="AF34" i="4"/>
  <c r="AF27" i="4"/>
  <c r="AC26" i="4"/>
  <c r="Z18" i="7"/>
  <c r="FN13" i="7"/>
  <c r="Z19" i="7"/>
  <c r="AB31" i="7"/>
  <c r="AB29" i="7"/>
  <c r="FN12" i="7"/>
  <c r="AB32" i="7"/>
  <c r="Y21" i="7"/>
  <c r="FN14" i="7"/>
  <c r="FM15" i="7"/>
  <c r="AC9" i="7" s="1"/>
  <c r="AC30" i="7" s="1"/>
  <c r="AA33" i="7"/>
  <c r="AA20" i="7" s="1"/>
  <c r="FP197" i="4"/>
  <c r="FP195" i="4"/>
  <c r="AE83" i="4"/>
  <c r="AD5" i="7"/>
  <c r="FP2" i="4"/>
  <c r="AE2" i="7"/>
  <c r="AF10" i="7"/>
  <c r="FP51" i="4"/>
  <c r="FO3" i="7"/>
  <c r="AF82" i="4"/>
  <c r="AF89" i="4" s="1"/>
  <c r="FN117" i="4"/>
  <c r="FP83" i="4"/>
  <c r="FP116" i="4" s="1"/>
  <c r="FP121" i="4"/>
  <c r="FP122" i="4"/>
  <c r="FP124" i="4"/>
  <c r="FP120" i="4"/>
  <c r="FP123" i="4"/>
  <c r="FP119" i="4"/>
  <c r="FP118" i="4"/>
  <c r="FO89" i="4"/>
  <c r="FO117" i="4" s="1"/>
  <c r="FP47" i="4"/>
  <c r="FQ3" i="4"/>
  <c r="AG64" i="4"/>
  <c r="AC35" i="4"/>
  <c r="EX38" i="4"/>
  <c r="EW38" i="4"/>
  <c r="EV38" i="4"/>
  <c r="EY38" i="4"/>
  <c r="EZ38" i="4"/>
  <c r="FA38" i="4"/>
  <c r="FB38" i="4"/>
  <c r="FC38" i="4"/>
  <c r="FD38" i="4"/>
  <c r="FE38" i="4"/>
  <c r="FF38" i="4"/>
  <c r="FG38" i="4"/>
  <c r="FH38" i="4"/>
  <c r="FI38" i="4"/>
  <c r="FJ38" i="4"/>
  <c r="FK38" i="4"/>
  <c r="FL38" i="4"/>
  <c r="EV33" i="4"/>
  <c r="L33" i="4" s="1"/>
  <c r="EW33" i="4"/>
  <c r="M33" i="4" s="1"/>
  <c r="EX33" i="4"/>
  <c r="N33" i="4" s="1"/>
  <c r="EY33" i="4"/>
  <c r="O33" i="4" s="1"/>
  <c r="EZ33" i="4"/>
  <c r="P33" i="4" s="1"/>
  <c r="FA33" i="4"/>
  <c r="Q33" i="4" s="1"/>
  <c r="FB33" i="4"/>
  <c r="R33" i="4" s="1"/>
  <c r="FC33" i="4"/>
  <c r="S33" i="4" s="1"/>
  <c r="FD33" i="4"/>
  <c r="T33" i="4" s="1"/>
  <c r="FE33" i="4"/>
  <c r="U33" i="4" s="1"/>
  <c r="FF33" i="4"/>
  <c r="V33" i="4" s="1"/>
  <c r="FG33" i="4"/>
  <c r="W33" i="4" s="1"/>
  <c r="FH33" i="4"/>
  <c r="X33" i="4" s="1"/>
  <c r="FI33" i="4"/>
  <c r="Y33" i="4" s="1"/>
  <c r="FJ33" i="4"/>
  <c r="Z33" i="4" s="1"/>
  <c r="FK33" i="4"/>
  <c r="AA33" i="4" s="1"/>
  <c r="FL33" i="4"/>
  <c r="AB33" i="4" s="1"/>
  <c r="EW32" i="4"/>
  <c r="M32" i="4" s="1"/>
  <c r="EV32" i="4"/>
  <c r="L32" i="4" s="1"/>
  <c r="EX32" i="4"/>
  <c r="N32" i="4" s="1"/>
  <c r="EY32" i="4"/>
  <c r="O32" i="4" s="1"/>
  <c r="EZ32" i="4"/>
  <c r="P32" i="4" s="1"/>
  <c r="FA32" i="4"/>
  <c r="Q32" i="4" s="1"/>
  <c r="FB32" i="4"/>
  <c r="R32" i="4" s="1"/>
  <c r="FC32" i="4"/>
  <c r="S32" i="4" s="1"/>
  <c r="FD32" i="4"/>
  <c r="T32" i="4" s="1"/>
  <c r="FE32" i="4"/>
  <c r="U32" i="4" s="1"/>
  <c r="FF32" i="4"/>
  <c r="V32" i="4" s="1"/>
  <c r="FG32" i="4"/>
  <c r="W32" i="4" s="1"/>
  <c r="FH32" i="4"/>
  <c r="X32" i="4" s="1"/>
  <c r="FI32" i="4"/>
  <c r="Y32" i="4" s="1"/>
  <c r="FJ32" i="4"/>
  <c r="Z32" i="4" s="1"/>
  <c r="FK32" i="4"/>
  <c r="AA32" i="4" s="1"/>
  <c r="FL32" i="4"/>
  <c r="AB32" i="4" s="1"/>
  <c r="AF23" i="4"/>
  <c r="FO23" i="4"/>
  <c r="FN26" i="4"/>
  <c r="FN27" i="4"/>
  <c r="FN32" i="4"/>
  <c r="AD32" i="4" s="1"/>
  <c r="FN33" i="4"/>
  <c r="AD33" i="4" s="1"/>
  <c r="FN34" i="4"/>
  <c r="FN39" i="4"/>
  <c r="FN38" i="4"/>
  <c r="EV34" i="4"/>
  <c r="EW34" i="4"/>
  <c r="EX34" i="4"/>
  <c r="EY34" i="4"/>
  <c r="EZ34" i="4"/>
  <c r="FA34" i="4"/>
  <c r="FB34" i="4"/>
  <c r="FC34" i="4"/>
  <c r="FD34" i="4"/>
  <c r="FE34" i="4"/>
  <c r="FF34" i="4"/>
  <c r="FG34" i="4"/>
  <c r="FH34" i="4"/>
  <c r="FI34" i="4"/>
  <c r="FJ34" i="4"/>
  <c r="FK34" i="4"/>
  <c r="FL34" i="4"/>
  <c r="FP22" i="4"/>
  <c r="EX39" i="4"/>
  <c r="EV39" i="4"/>
  <c r="EW39" i="4"/>
  <c r="EY39" i="4"/>
  <c r="EZ39" i="4"/>
  <c r="FA39" i="4"/>
  <c r="FB39" i="4"/>
  <c r="FC39" i="4"/>
  <c r="FD39" i="4"/>
  <c r="FE39" i="4"/>
  <c r="FF39" i="4"/>
  <c r="FG39" i="4"/>
  <c r="FH39" i="4"/>
  <c r="FI39" i="4"/>
  <c r="FJ39" i="4"/>
  <c r="FK39" i="4"/>
  <c r="FL39" i="4"/>
  <c r="FM39" i="4"/>
  <c r="AG22" i="4"/>
  <c r="AG2" i="4"/>
  <c r="AH3" i="4"/>
  <c r="AF13" i="7" l="1"/>
  <c r="AG3" i="7"/>
  <c r="AH77" i="4"/>
  <c r="FQ114" i="4"/>
  <c r="FQ113" i="4" s="1"/>
  <c r="FQ126" i="4"/>
  <c r="FN127" i="4"/>
  <c r="AD127" i="4" s="1"/>
  <c r="FM128" i="4"/>
  <c r="Z21" i="7"/>
  <c r="AG42" i="4"/>
  <c r="AG39" i="4"/>
  <c r="AG38" i="4"/>
  <c r="AG40" i="4"/>
  <c r="AG34" i="4"/>
  <c r="AG27" i="4"/>
  <c r="FQ195" i="4"/>
  <c r="FQ88" i="4"/>
  <c r="FQ87" i="4" s="1"/>
  <c r="AD26" i="4"/>
  <c r="AA18" i="7"/>
  <c r="FN15" i="7"/>
  <c r="AD9" i="7" s="1"/>
  <c r="AD31" i="7" s="1"/>
  <c r="AB33" i="7"/>
  <c r="AB20" i="7" s="1"/>
  <c r="AC32" i="7"/>
  <c r="AC29" i="7"/>
  <c r="AC31" i="7"/>
  <c r="AA19" i="7"/>
  <c r="FP3" i="7"/>
  <c r="FQ197" i="4"/>
  <c r="FQ2" i="4"/>
  <c r="AF2" i="7"/>
  <c r="FO13" i="7"/>
  <c r="FO14" i="7"/>
  <c r="FO12" i="7"/>
  <c r="AF83" i="4"/>
  <c r="AE5" i="7"/>
  <c r="AG13" i="7"/>
  <c r="AG14" i="7"/>
  <c r="AG10" i="7"/>
  <c r="AG82" i="4"/>
  <c r="AG89" i="4" s="1"/>
  <c r="FP89" i="4"/>
  <c r="FQ83" i="4"/>
  <c r="FQ116" i="4" s="1"/>
  <c r="FQ122" i="4"/>
  <c r="FQ123" i="4"/>
  <c r="FQ121" i="4"/>
  <c r="FQ120" i="4"/>
  <c r="FQ119" i="4"/>
  <c r="FQ124" i="4"/>
  <c r="FQ118" i="4"/>
  <c r="FQ47" i="4"/>
  <c r="FQ51" i="4"/>
  <c r="FR3" i="4"/>
  <c r="AH64" i="4"/>
  <c r="AB35" i="4"/>
  <c r="X35" i="4"/>
  <c r="T35" i="4"/>
  <c r="P35" i="4"/>
  <c r="V35" i="4"/>
  <c r="N35" i="4"/>
  <c r="U35" i="4"/>
  <c r="W35" i="4"/>
  <c r="S35" i="4"/>
  <c r="FO27" i="4"/>
  <c r="FO26" i="4"/>
  <c r="FO32" i="4"/>
  <c r="AE32" i="4" s="1"/>
  <c r="FO33" i="4"/>
  <c r="AE33" i="4" s="1"/>
  <c r="FO34" i="4"/>
  <c r="FO39" i="4"/>
  <c r="FO38" i="4"/>
  <c r="FQ22" i="4"/>
  <c r="AA35" i="4"/>
  <c r="O35" i="4"/>
  <c r="AG23" i="4"/>
  <c r="FP23" i="4"/>
  <c r="Y35" i="4"/>
  <c r="Q35" i="4"/>
  <c r="L35" i="4"/>
  <c r="AD35" i="4"/>
  <c r="Z35" i="4"/>
  <c r="R35" i="4"/>
  <c r="M35" i="4"/>
  <c r="AH22" i="4"/>
  <c r="AI3" i="4"/>
  <c r="AH2" i="4"/>
  <c r="AH3" i="7" l="1"/>
  <c r="AI77" i="4"/>
  <c r="FR114" i="4"/>
  <c r="FR113" i="4" s="1"/>
  <c r="FR126" i="4"/>
  <c r="FN128" i="4"/>
  <c r="AH39" i="4"/>
  <c r="AH34" i="4"/>
  <c r="AH40" i="4"/>
  <c r="AH42" i="4"/>
  <c r="AH38" i="4"/>
  <c r="AH27" i="4"/>
  <c r="FR195" i="4"/>
  <c r="FR88" i="4"/>
  <c r="FR87" i="4" s="1"/>
  <c r="AE26" i="4"/>
  <c r="FP14" i="7"/>
  <c r="AD29" i="7"/>
  <c r="AD32" i="7"/>
  <c r="AD30" i="7"/>
  <c r="AB19" i="7"/>
  <c r="AB18" i="7"/>
  <c r="AA21" i="7"/>
  <c r="AC33" i="7"/>
  <c r="AC20" i="7" s="1"/>
  <c r="FP12" i="7"/>
  <c r="FP13" i="7"/>
  <c r="FQ3" i="7"/>
  <c r="FR197" i="4"/>
  <c r="FO15" i="7"/>
  <c r="AE9" i="7" s="1"/>
  <c r="AE29" i="7" s="1"/>
  <c r="FR2" i="4"/>
  <c r="AG2" i="7"/>
  <c r="AH13" i="7"/>
  <c r="AH14" i="7"/>
  <c r="AH10" i="7"/>
  <c r="AG83" i="4"/>
  <c r="AF5" i="7"/>
  <c r="AH82" i="4"/>
  <c r="AH89" i="4" s="1"/>
  <c r="FP117" i="4"/>
  <c r="FQ89" i="4"/>
  <c r="FR83" i="4"/>
  <c r="FR116" i="4" s="1"/>
  <c r="FR123" i="4"/>
  <c r="FR124" i="4"/>
  <c r="FR122" i="4"/>
  <c r="FR121" i="4"/>
  <c r="FR118" i="4"/>
  <c r="FR120" i="4"/>
  <c r="FR119" i="4"/>
  <c r="FR51" i="4"/>
  <c r="FR47" i="4"/>
  <c r="FS3" i="4"/>
  <c r="AI64" i="4"/>
  <c r="AE35" i="4"/>
  <c r="AH23" i="4"/>
  <c r="FQ23" i="4"/>
  <c r="FP26" i="4"/>
  <c r="FP27" i="4"/>
  <c r="FP32" i="4"/>
  <c r="AF32" i="4" s="1"/>
  <c r="FP33" i="4"/>
  <c r="AF33" i="4" s="1"/>
  <c r="FP34" i="4"/>
  <c r="FP38" i="4"/>
  <c r="FP39" i="4"/>
  <c r="FR22" i="4"/>
  <c r="AI22" i="4"/>
  <c r="AJ3" i="4"/>
  <c r="AI2" i="4"/>
  <c r="AI3" i="7" l="1"/>
  <c r="AJ77" i="4"/>
  <c r="FS114" i="4"/>
  <c r="FS113" i="4" s="1"/>
  <c r="FS126" i="4"/>
  <c r="FS195" i="4"/>
  <c r="FS88" i="4"/>
  <c r="FS87" i="4" s="1"/>
  <c r="AI40" i="4"/>
  <c r="AI39" i="4"/>
  <c r="AI38" i="4"/>
  <c r="AI42" i="4"/>
  <c r="AI34" i="4"/>
  <c r="AI27" i="4"/>
  <c r="AF26" i="4"/>
  <c r="FQ13" i="7"/>
  <c r="AD33" i="7"/>
  <c r="AD20" i="7" s="1"/>
  <c r="AB21" i="7"/>
  <c r="AC19" i="7"/>
  <c r="AC18" i="7"/>
  <c r="FP15" i="7"/>
  <c r="AF9" i="7" s="1"/>
  <c r="AF30" i="7" s="1"/>
  <c r="FQ14" i="7"/>
  <c r="FQ12" i="7"/>
  <c r="FR3" i="7"/>
  <c r="FS197" i="4"/>
  <c r="AE32" i="7"/>
  <c r="AE30" i="7"/>
  <c r="AE31" i="7"/>
  <c r="AH83" i="4"/>
  <c r="AG5" i="7"/>
  <c r="FS2" i="4"/>
  <c r="AH2" i="7"/>
  <c r="AI14" i="7"/>
  <c r="AI13" i="7"/>
  <c r="AI10" i="7"/>
  <c r="AI82" i="4"/>
  <c r="AI89" i="4" s="1"/>
  <c r="FR89" i="4"/>
  <c r="FQ117" i="4"/>
  <c r="FS83" i="4"/>
  <c r="FS116" i="4" s="1"/>
  <c r="FS124" i="4"/>
  <c r="FS123" i="4"/>
  <c r="FS122" i="4"/>
  <c r="FS121" i="4"/>
  <c r="FS119" i="4"/>
  <c r="FS118" i="4"/>
  <c r="FS120" i="4"/>
  <c r="FS47" i="4"/>
  <c r="FS51" i="4"/>
  <c r="FT3" i="4"/>
  <c r="AJ64" i="4"/>
  <c r="AI23" i="4"/>
  <c r="FR23" i="4"/>
  <c r="AF35" i="4"/>
  <c r="FQ26" i="4"/>
  <c r="FQ27" i="4"/>
  <c r="FQ33" i="4"/>
  <c r="AG33" i="4" s="1"/>
  <c r="FQ32" i="4"/>
  <c r="AG32" i="4" s="1"/>
  <c r="FQ34" i="4"/>
  <c r="FQ39" i="4"/>
  <c r="FQ38" i="4"/>
  <c r="FS22" i="4"/>
  <c r="AJ22" i="4"/>
  <c r="AJ2" i="4"/>
  <c r="AK3" i="4"/>
  <c r="AJ3" i="7" l="1"/>
  <c r="AK77" i="4"/>
  <c r="FT114" i="4"/>
  <c r="FT113" i="4" s="1"/>
  <c r="FT126" i="4"/>
  <c r="FT195" i="4"/>
  <c r="FT88" i="4"/>
  <c r="FT87" i="4" s="1"/>
  <c r="AJ34" i="4"/>
  <c r="AJ40" i="4"/>
  <c r="AJ38" i="4"/>
  <c r="AJ39" i="4"/>
  <c r="AJ42" i="4"/>
  <c r="AJ27" i="4"/>
  <c r="AG26" i="4"/>
  <c r="AD18" i="7"/>
  <c r="FR13" i="7"/>
  <c r="AD19" i="7"/>
  <c r="AC21" i="7"/>
  <c r="AF31" i="7"/>
  <c r="FQ15" i="7"/>
  <c r="AG9" i="7" s="1"/>
  <c r="AG31" i="7" s="1"/>
  <c r="FR12" i="7"/>
  <c r="AF32" i="7"/>
  <c r="FR14" i="7"/>
  <c r="AF29" i="7"/>
  <c r="FS3" i="7"/>
  <c r="FT197" i="4"/>
  <c r="AE33" i="7"/>
  <c r="AE20" i="7" s="1"/>
  <c r="AI83" i="4"/>
  <c r="AH5" i="7"/>
  <c r="AJ14" i="7"/>
  <c r="AJ13" i="7"/>
  <c r="AJ10" i="7"/>
  <c r="FT2" i="4"/>
  <c r="AI2" i="7"/>
  <c r="AJ82" i="4"/>
  <c r="AJ89" i="4" s="1"/>
  <c r="FR117" i="4"/>
  <c r="FS89" i="4"/>
  <c r="FS117" i="4" s="1"/>
  <c r="FT83" i="4"/>
  <c r="FT116" i="4" s="1"/>
  <c r="FT124" i="4"/>
  <c r="FT121" i="4"/>
  <c r="FT123" i="4"/>
  <c r="FT119" i="4"/>
  <c r="FT120" i="4"/>
  <c r="FT122" i="4"/>
  <c r="FT118" i="4"/>
  <c r="FT47" i="4"/>
  <c r="FT51" i="4"/>
  <c r="FU3" i="4"/>
  <c r="AK64" i="4"/>
  <c r="FR27" i="4"/>
  <c r="FR26" i="4"/>
  <c r="FR32" i="4"/>
  <c r="AH32" i="4" s="1"/>
  <c r="FR33" i="4"/>
  <c r="AH33" i="4" s="1"/>
  <c r="FR34" i="4"/>
  <c r="FR39" i="4"/>
  <c r="FR38" i="4"/>
  <c r="AJ23" i="4"/>
  <c r="FS23" i="4"/>
  <c r="FT22" i="4"/>
  <c r="AG35" i="4"/>
  <c r="AK22" i="4"/>
  <c r="AL3" i="4"/>
  <c r="AK2" i="4"/>
  <c r="AK3" i="7" l="1"/>
  <c r="AL77" i="4"/>
  <c r="FU114" i="4"/>
  <c r="FU113" i="4" s="1"/>
  <c r="FU126" i="4"/>
  <c r="AD21" i="7"/>
  <c r="FU195" i="4"/>
  <c r="FU88" i="4"/>
  <c r="FU87" i="4" s="1"/>
  <c r="AK40" i="4"/>
  <c r="AK38" i="4"/>
  <c r="AK42" i="4"/>
  <c r="AK39" i="4"/>
  <c r="AK34" i="4"/>
  <c r="AK27" i="4"/>
  <c r="AH26" i="4"/>
  <c r="FS14" i="7"/>
  <c r="AG29" i="7"/>
  <c r="AG32" i="7"/>
  <c r="AF33" i="7"/>
  <c r="AF20" i="7" s="1"/>
  <c r="AG30" i="7"/>
  <c r="FR15" i="7"/>
  <c r="AH9" i="7" s="1"/>
  <c r="AH29" i="7" s="1"/>
  <c r="AE19" i="7"/>
  <c r="FS13" i="7"/>
  <c r="FS12" i="7"/>
  <c r="FT3" i="7"/>
  <c r="FU197" i="4"/>
  <c r="AE18" i="7"/>
  <c r="FU2" i="4"/>
  <c r="AJ2" i="7"/>
  <c r="AK14" i="7"/>
  <c r="AK13" i="7"/>
  <c r="AK10" i="7"/>
  <c r="AJ83" i="4"/>
  <c r="AI5" i="7"/>
  <c r="AK82" i="4"/>
  <c r="AK89" i="4" s="1"/>
  <c r="FT89" i="4"/>
  <c r="FU83" i="4"/>
  <c r="FU116" i="4" s="1"/>
  <c r="FU122" i="4"/>
  <c r="FU124" i="4"/>
  <c r="FU121" i="4"/>
  <c r="FU120" i="4"/>
  <c r="FU119" i="4"/>
  <c r="FU123" i="4"/>
  <c r="FU118" i="4"/>
  <c r="FU47" i="4"/>
  <c r="FU51" i="4"/>
  <c r="FV3" i="4"/>
  <c r="AL64" i="4"/>
  <c r="FU22" i="4"/>
  <c r="FS26" i="4"/>
  <c r="FS27" i="4"/>
  <c r="FS32" i="4"/>
  <c r="AI32" i="4" s="1"/>
  <c r="FS33" i="4"/>
  <c r="AI33" i="4" s="1"/>
  <c r="FS34" i="4"/>
  <c r="FS39" i="4"/>
  <c r="FS38" i="4"/>
  <c r="AK23" i="4"/>
  <c r="FT23" i="4"/>
  <c r="AH35" i="4"/>
  <c r="AL22" i="4"/>
  <c r="AM3" i="4"/>
  <c r="AL2" i="4"/>
  <c r="AL3" i="7" l="1"/>
  <c r="AM77" i="4"/>
  <c r="FV114" i="4"/>
  <c r="FV113" i="4" s="1"/>
  <c r="FV126" i="4"/>
  <c r="FV195" i="4"/>
  <c r="FV88" i="4"/>
  <c r="FV87" i="4" s="1"/>
  <c r="AL42" i="4"/>
  <c r="AL40" i="4"/>
  <c r="AL38" i="4"/>
  <c r="AL39" i="4"/>
  <c r="AL34" i="4"/>
  <c r="AL27" i="4"/>
  <c r="AI26" i="4"/>
  <c r="AF19" i="7"/>
  <c r="AF18" i="7"/>
  <c r="FT13" i="7"/>
  <c r="AG33" i="7"/>
  <c r="AG20" i="7" s="1"/>
  <c r="AH31" i="7"/>
  <c r="AH30" i="7"/>
  <c r="AH32" i="7"/>
  <c r="FT14" i="7"/>
  <c r="FS15" i="7"/>
  <c r="AI9" i="7" s="1"/>
  <c r="AI29" i="7" s="1"/>
  <c r="AE21" i="7"/>
  <c r="FT12" i="7"/>
  <c r="FU3" i="7"/>
  <c r="FV197" i="4"/>
  <c r="AK83" i="4"/>
  <c r="AJ5" i="7"/>
  <c r="FV2" i="4"/>
  <c r="AK2" i="7"/>
  <c r="AL14" i="7"/>
  <c r="AL13" i="7"/>
  <c r="AL10" i="7"/>
  <c r="AL82" i="4"/>
  <c r="AL89" i="4" s="1"/>
  <c r="FU89" i="4"/>
  <c r="FT117" i="4"/>
  <c r="FV83" i="4"/>
  <c r="FV116" i="4" s="1"/>
  <c r="FV122" i="4"/>
  <c r="FV123" i="4"/>
  <c r="FV120" i="4"/>
  <c r="FV124" i="4"/>
  <c r="FV118" i="4"/>
  <c r="FV121" i="4"/>
  <c r="FV119" i="4"/>
  <c r="FV47" i="4"/>
  <c r="FV51" i="4"/>
  <c r="FW3" i="4"/>
  <c r="AM64" i="4"/>
  <c r="AI35" i="4"/>
  <c r="FT26" i="4"/>
  <c r="FT27" i="4"/>
  <c r="FT32" i="4"/>
  <c r="AJ32" i="4" s="1"/>
  <c r="FT33" i="4"/>
  <c r="AJ33" i="4" s="1"/>
  <c r="FT34" i="4"/>
  <c r="FT39" i="4"/>
  <c r="FT38" i="4"/>
  <c r="FV22" i="4"/>
  <c r="AL23" i="4"/>
  <c r="FU23" i="4"/>
  <c r="AM22" i="4"/>
  <c r="AN3" i="4"/>
  <c r="AM2" i="4"/>
  <c r="AM3" i="7" l="1"/>
  <c r="AM10" i="7" s="1"/>
  <c r="AN77" i="4"/>
  <c r="FW114" i="4"/>
  <c r="FW113" i="4" s="1"/>
  <c r="FW126" i="4"/>
  <c r="FW195" i="4"/>
  <c r="FW88" i="4"/>
  <c r="FW87" i="4" s="1"/>
  <c r="AM38" i="4"/>
  <c r="AM42" i="4"/>
  <c r="AM39" i="4"/>
  <c r="AM40" i="4"/>
  <c r="AM34" i="4"/>
  <c r="AM27" i="4"/>
  <c r="AJ26" i="4"/>
  <c r="AF21" i="7"/>
  <c r="AG18" i="7"/>
  <c r="FU13" i="7"/>
  <c r="AG19" i="7"/>
  <c r="FT15" i="7"/>
  <c r="AJ9" i="7" s="1"/>
  <c r="AJ31" i="7" s="1"/>
  <c r="AI30" i="7"/>
  <c r="AH33" i="7"/>
  <c r="AH20" i="7" s="1"/>
  <c r="AI32" i="7"/>
  <c r="AI31" i="7"/>
  <c r="FU14" i="7"/>
  <c r="FU12" i="7"/>
  <c r="FV3" i="7"/>
  <c r="FW197" i="4"/>
  <c r="AL83" i="4"/>
  <c r="AK5" i="7"/>
  <c r="FW2" i="4"/>
  <c r="AL2" i="7"/>
  <c r="AM14" i="7"/>
  <c r="AM82" i="4"/>
  <c r="AM89" i="4" s="1"/>
  <c r="FU117" i="4"/>
  <c r="FV89" i="4"/>
  <c r="FV117" i="4" s="1"/>
  <c r="FW83" i="4"/>
  <c r="FW116" i="4" s="1"/>
  <c r="FW124" i="4"/>
  <c r="FW123" i="4"/>
  <c r="FW122" i="4"/>
  <c r="FW121" i="4"/>
  <c r="FW118" i="4"/>
  <c r="FW119" i="4"/>
  <c r="FW120" i="4"/>
  <c r="FW51" i="4"/>
  <c r="FW47" i="4"/>
  <c r="FX3" i="4"/>
  <c r="AN64" i="4"/>
  <c r="FU27" i="4"/>
  <c r="FU26" i="4"/>
  <c r="FU32" i="4"/>
  <c r="AK32" i="4" s="1"/>
  <c r="FU33" i="4"/>
  <c r="AK33" i="4" s="1"/>
  <c r="FU34" i="4"/>
  <c r="FU39" i="4"/>
  <c r="FU38" i="4"/>
  <c r="AM23" i="4"/>
  <c r="FV23" i="4"/>
  <c r="AJ35" i="4"/>
  <c r="FW22" i="4"/>
  <c r="AN22" i="4"/>
  <c r="AO3" i="4"/>
  <c r="AN2" i="4"/>
  <c r="AM13" i="7" l="1"/>
  <c r="AN3" i="7"/>
  <c r="AO77" i="4"/>
  <c r="FX114" i="4"/>
  <c r="FX113" i="4" s="1"/>
  <c r="FX126" i="4"/>
  <c r="FX195" i="4"/>
  <c r="FX88" i="4"/>
  <c r="FX87" i="4" s="1"/>
  <c r="AN42" i="4"/>
  <c r="AN39" i="4"/>
  <c r="AN38" i="4"/>
  <c r="AN40" i="4"/>
  <c r="AN27" i="4"/>
  <c r="AN34" i="4"/>
  <c r="AK26" i="4"/>
  <c r="FV12" i="7"/>
  <c r="AG21" i="7"/>
  <c r="AJ32" i="7"/>
  <c r="AJ29" i="7"/>
  <c r="AJ30" i="7"/>
  <c r="AH19" i="7"/>
  <c r="AH18" i="7"/>
  <c r="AI33" i="7"/>
  <c r="AI20" i="7" s="1"/>
  <c r="FU15" i="7"/>
  <c r="AK9" i="7" s="1"/>
  <c r="AK32" i="7" s="1"/>
  <c r="FV13" i="7"/>
  <c r="FV14" i="7"/>
  <c r="FW3" i="7"/>
  <c r="FX197" i="4"/>
  <c r="AM83" i="4"/>
  <c r="AL5" i="7"/>
  <c r="FX2" i="4"/>
  <c r="AM2" i="7"/>
  <c r="AN14" i="7"/>
  <c r="AN13" i="7"/>
  <c r="AN10" i="7"/>
  <c r="AN82" i="4"/>
  <c r="AN89" i="4" s="1"/>
  <c r="FW89" i="4"/>
  <c r="FW117" i="4" s="1"/>
  <c r="FX83" i="4"/>
  <c r="FX116" i="4" s="1"/>
  <c r="FX123" i="4"/>
  <c r="FX121" i="4"/>
  <c r="FX124" i="4"/>
  <c r="FX122" i="4"/>
  <c r="FX119" i="4"/>
  <c r="FX118" i="4"/>
  <c r="FX120" i="4"/>
  <c r="FX47" i="4"/>
  <c r="FX51" i="4"/>
  <c r="FY3" i="4"/>
  <c r="FY126" i="4" s="1"/>
  <c r="AO64" i="4"/>
  <c r="AK35" i="4"/>
  <c r="FV27" i="4"/>
  <c r="FV26" i="4"/>
  <c r="FV33" i="4"/>
  <c r="AL33" i="4" s="1"/>
  <c r="FV32" i="4"/>
  <c r="AL32" i="4" s="1"/>
  <c r="FV34" i="4"/>
  <c r="FV38" i="4"/>
  <c r="FV39" i="4"/>
  <c r="FX22" i="4"/>
  <c r="AN23" i="4"/>
  <c r="FW23" i="4"/>
  <c r="AO22" i="4"/>
  <c r="AP3" i="4"/>
  <c r="AO2" i="4"/>
  <c r="AO3" i="7" l="1"/>
  <c r="AP77" i="4"/>
  <c r="FY88" i="4"/>
  <c r="FY87" i="4" s="1"/>
  <c r="FY114" i="4"/>
  <c r="FY113" i="4" s="1"/>
  <c r="AO42" i="4"/>
  <c r="AO39" i="4"/>
  <c r="AO40" i="4"/>
  <c r="AO34" i="4"/>
  <c r="AO38" i="4"/>
  <c r="AO27" i="4"/>
  <c r="AL26" i="4"/>
  <c r="FW14" i="7"/>
  <c r="AH21" i="7"/>
  <c r="AI19" i="7"/>
  <c r="AJ33" i="7"/>
  <c r="AJ20" i="7" s="1"/>
  <c r="AI18" i="7"/>
  <c r="AK30" i="7"/>
  <c r="AK29" i="7"/>
  <c r="FV15" i="7"/>
  <c r="AL9" i="7" s="1"/>
  <c r="AL30" i="7" s="1"/>
  <c r="AK31" i="7"/>
  <c r="FW13" i="7"/>
  <c r="FW12" i="7"/>
  <c r="FY197" i="4"/>
  <c r="FY195" i="4"/>
  <c r="AN83" i="4"/>
  <c r="AM5" i="7"/>
  <c r="FY2" i="4"/>
  <c r="AN2" i="7"/>
  <c r="AO13" i="7"/>
  <c r="AO14" i="7"/>
  <c r="AO10" i="7"/>
  <c r="FY47" i="4"/>
  <c r="FX3" i="7"/>
  <c r="AO82" i="4"/>
  <c r="AO89" i="4" s="1"/>
  <c r="FX89" i="4"/>
  <c r="FY83" i="4"/>
  <c r="FY116" i="4" s="1"/>
  <c r="FY124" i="4"/>
  <c r="FY123" i="4"/>
  <c r="FY121" i="4"/>
  <c r="FY120" i="4"/>
  <c r="FY119" i="4"/>
  <c r="FY122" i="4"/>
  <c r="FY118" i="4"/>
  <c r="FY51" i="4"/>
  <c r="FZ3" i="4"/>
  <c r="AP64" i="4"/>
  <c r="FY22" i="4"/>
  <c r="AO23" i="4"/>
  <c r="FX23" i="4"/>
  <c r="AL35" i="4"/>
  <c r="FW26" i="4"/>
  <c r="FW27" i="4"/>
  <c r="FW32" i="4"/>
  <c r="AM32" i="4" s="1"/>
  <c r="FW33" i="4"/>
  <c r="AM33" i="4" s="1"/>
  <c r="FW34" i="4"/>
  <c r="FW38" i="4"/>
  <c r="FW39" i="4"/>
  <c r="AP22" i="4"/>
  <c r="AQ3" i="4"/>
  <c r="AP2" i="4"/>
  <c r="AP3" i="7" l="1"/>
  <c r="AQ77" i="4"/>
  <c r="FZ114" i="4"/>
  <c r="FZ113" i="4" s="1"/>
  <c r="FZ126" i="4"/>
  <c r="FZ195" i="4"/>
  <c r="FZ88" i="4"/>
  <c r="FZ87" i="4" s="1"/>
  <c r="AP39" i="4"/>
  <c r="AP34" i="4"/>
  <c r="AP40" i="4"/>
  <c r="AP42" i="4"/>
  <c r="AP38" i="4"/>
  <c r="AP27" i="4"/>
  <c r="AM26" i="4"/>
  <c r="AJ18" i="7"/>
  <c r="AJ19" i="7"/>
  <c r="AI21" i="7"/>
  <c r="AL32" i="7"/>
  <c r="AK33" i="7"/>
  <c r="AK20" i="7" s="1"/>
  <c r="AL31" i="7"/>
  <c r="AL29" i="7"/>
  <c r="FW15" i="7"/>
  <c r="AM9" i="7" s="1"/>
  <c r="AM32" i="7" s="1"/>
  <c r="FY3" i="7"/>
  <c r="FZ197" i="4"/>
  <c r="AO83" i="4"/>
  <c r="AN5" i="7"/>
  <c r="FX13" i="7"/>
  <c r="FX12" i="7"/>
  <c r="FX14" i="7"/>
  <c r="FZ2" i="4"/>
  <c r="AO2" i="7"/>
  <c r="AP13" i="7"/>
  <c r="AP14" i="7"/>
  <c r="AP10" i="7"/>
  <c r="AP82" i="4"/>
  <c r="AP89" i="4" s="1"/>
  <c r="FY89" i="4"/>
  <c r="FX117" i="4"/>
  <c r="FZ83" i="4"/>
  <c r="FZ116" i="4" s="1"/>
  <c r="FZ122" i="4"/>
  <c r="FZ124" i="4"/>
  <c r="FZ119" i="4"/>
  <c r="FZ123" i="4"/>
  <c r="FZ120" i="4"/>
  <c r="FZ118" i="4"/>
  <c r="FZ121" i="4"/>
  <c r="FZ47" i="4"/>
  <c r="FZ51" i="4"/>
  <c r="GA3" i="4"/>
  <c r="GA126" i="4" s="1"/>
  <c r="AQ64" i="4"/>
  <c r="AP23" i="4"/>
  <c r="FY23" i="4"/>
  <c r="AM35" i="4"/>
  <c r="FZ22" i="4"/>
  <c r="FX26" i="4"/>
  <c r="FX27" i="4"/>
  <c r="FX33" i="4"/>
  <c r="AN33" i="4" s="1"/>
  <c r="FX32" i="4"/>
  <c r="AN32" i="4" s="1"/>
  <c r="FX34" i="4"/>
  <c r="FX39" i="4"/>
  <c r="FX38" i="4"/>
  <c r="AQ22" i="4"/>
  <c r="AR3" i="4"/>
  <c r="AQ2" i="4"/>
  <c r="AQ3" i="7" l="1"/>
  <c r="AQ14" i="7" s="1"/>
  <c r="AR77" i="4"/>
  <c r="GA88" i="4"/>
  <c r="GA87" i="4" s="1"/>
  <c r="GA114" i="4"/>
  <c r="GA113" i="4" s="1"/>
  <c r="AQ40" i="4"/>
  <c r="AQ39" i="4"/>
  <c r="AQ42" i="4"/>
  <c r="AQ38" i="4"/>
  <c r="AQ34" i="4"/>
  <c r="AQ27" i="4"/>
  <c r="AN26" i="4"/>
  <c r="AK19" i="7"/>
  <c r="FY14" i="7"/>
  <c r="AJ21" i="7"/>
  <c r="AM30" i="7"/>
  <c r="AK18" i="7"/>
  <c r="AL33" i="7"/>
  <c r="AL20" i="7" s="1"/>
  <c r="AM29" i="7"/>
  <c r="AM31" i="7"/>
  <c r="GA197" i="4"/>
  <c r="GA195" i="4"/>
  <c r="FY12" i="7"/>
  <c r="FY13" i="7"/>
  <c r="AP83" i="4"/>
  <c r="AO5" i="7"/>
  <c r="GA2" i="4"/>
  <c r="AP2" i="7"/>
  <c r="AQ13" i="7"/>
  <c r="GA51" i="4"/>
  <c r="FZ3" i="7"/>
  <c r="FX15" i="7"/>
  <c r="AN9" i="7" s="1"/>
  <c r="FY117" i="4"/>
  <c r="AQ82" i="4"/>
  <c r="AQ89" i="4" s="1"/>
  <c r="FZ89" i="4"/>
  <c r="GA83" i="4"/>
  <c r="GA116" i="4" s="1"/>
  <c r="GA124" i="4"/>
  <c r="GA123" i="4"/>
  <c r="GA122" i="4"/>
  <c r="GA121" i="4"/>
  <c r="GA120" i="4"/>
  <c r="GA119" i="4"/>
  <c r="GA118" i="4"/>
  <c r="GA47" i="4"/>
  <c r="GB3" i="4"/>
  <c r="AR64" i="4"/>
  <c r="GA22" i="4"/>
  <c r="FY27" i="4"/>
  <c r="FY26" i="4"/>
  <c r="FY32" i="4"/>
  <c r="AO32" i="4" s="1"/>
  <c r="FY33" i="4"/>
  <c r="AO33" i="4" s="1"/>
  <c r="FY34" i="4"/>
  <c r="FY39" i="4"/>
  <c r="FY38" i="4"/>
  <c r="AN35" i="4"/>
  <c r="AQ23" i="4"/>
  <c r="FZ23" i="4"/>
  <c r="AR22" i="4"/>
  <c r="AR2" i="4"/>
  <c r="AS3" i="4"/>
  <c r="AQ10" i="7" l="1"/>
  <c r="AR3" i="7"/>
  <c r="AS77" i="4"/>
  <c r="GB114" i="4"/>
  <c r="GB113" i="4" s="1"/>
  <c r="GB126" i="4"/>
  <c r="AK21" i="7"/>
  <c r="GB195" i="4"/>
  <c r="GB88" i="4"/>
  <c r="GB87" i="4" s="1"/>
  <c r="AR34" i="4"/>
  <c r="AR40" i="4"/>
  <c r="AR38" i="4"/>
  <c r="AR39" i="4"/>
  <c r="AR42" i="4"/>
  <c r="AR27" i="4"/>
  <c r="AO26" i="4"/>
  <c r="AL19" i="7"/>
  <c r="AL18" i="7"/>
  <c r="AM33" i="7"/>
  <c r="AM20" i="7" s="1"/>
  <c r="FY15" i="7"/>
  <c r="AO9" i="7" s="1"/>
  <c r="AO31" i="7" s="1"/>
  <c r="GA3" i="7"/>
  <c r="GB197" i="4"/>
  <c r="AN30" i="7"/>
  <c r="AN29" i="7"/>
  <c r="AN32" i="7"/>
  <c r="AN31" i="7"/>
  <c r="AR13" i="7"/>
  <c r="AR14" i="7"/>
  <c r="AR10" i="7"/>
  <c r="FZ13" i="7"/>
  <c r="FZ12" i="7"/>
  <c r="FZ14" i="7"/>
  <c r="GB2" i="4"/>
  <c r="AQ2" i="7"/>
  <c r="AQ83" i="4"/>
  <c r="AP5" i="7"/>
  <c r="AR82" i="4"/>
  <c r="AR89" i="4" s="1"/>
  <c r="FZ117" i="4"/>
  <c r="GA89" i="4"/>
  <c r="GB83" i="4"/>
  <c r="GB116" i="4" s="1"/>
  <c r="GB122" i="4"/>
  <c r="GB121" i="4"/>
  <c r="GB123" i="4"/>
  <c r="GB124" i="4"/>
  <c r="GB120" i="4"/>
  <c r="GB118" i="4"/>
  <c r="GB119" i="4"/>
  <c r="GB47" i="4"/>
  <c r="GB51" i="4"/>
  <c r="GC3" i="4"/>
  <c r="AS64" i="4"/>
  <c r="AO35" i="4"/>
  <c r="AR23" i="4"/>
  <c r="GA23" i="4"/>
  <c r="GB22" i="4"/>
  <c r="FZ26" i="4"/>
  <c r="FZ27" i="4"/>
  <c r="FZ32" i="4"/>
  <c r="AP32" i="4" s="1"/>
  <c r="FZ33" i="4"/>
  <c r="AP33" i="4" s="1"/>
  <c r="FZ34" i="4"/>
  <c r="FZ39" i="4"/>
  <c r="FZ38" i="4"/>
  <c r="AS22" i="4"/>
  <c r="AT3" i="4"/>
  <c r="AS2" i="4"/>
  <c r="AS3" i="7" l="1"/>
  <c r="AT77" i="4"/>
  <c r="GC114" i="4"/>
  <c r="GC113" i="4" s="1"/>
  <c r="GC126" i="4"/>
  <c r="GC195" i="4"/>
  <c r="GC88" i="4"/>
  <c r="GC87" i="4" s="1"/>
  <c r="AS40" i="4"/>
  <c r="AS38" i="4"/>
  <c r="AS42" i="4"/>
  <c r="AS27" i="4"/>
  <c r="AS39" i="4"/>
  <c r="AS34" i="4"/>
  <c r="AP26" i="4"/>
  <c r="GA12" i="7"/>
  <c r="AM19" i="7"/>
  <c r="AL21" i="7"/>
  <c r="AM18" i="7"/>
  <c r="AO32" i="7"/>
  <c r="AO30" i="7"/>
  <c r="AO29" i="7"/>
  <c r="GA14" i="7"/>
  <c r="GA13" i="7"/>
  <c r="GB3" i="7"/>
  <c r="GC197" i="4"/>
  <c r="AN33" i="7"/>
  <c r="AN20" i="7" s="1"/>
  <c r="FZ15" i="7"/>
  <c r="AP9" i="7" s="1"/>
  <c r="AP29" i="7" s="1"/>
  <c r="AR83" i="4"/>
  <c r="AQ5" i="7"/>
  <c r="GC2" i="4"/>
  <c r="AR2" i="7"/>
  <c r="AS13" i="7"/>
  <c r="AS14" i="7"/>
  <c r="AS10" i="7"/>
  <c r="AS82" i="4"/>
  <c r="AS89" i="4" s="1"/>
  <c r="GA117" i="4"/>
  <c r="GB89" i="4"/>
  <c r="GC83" i="4"/>
  <c r="GC116" i="4" s="1"/>
  <c r="GC123" i="4"/>
  <c r="GC124" i="4"/>
  <c r="GC122" i="4"/>
  <c r="GC121" i="4"/>
  <c r="GC120" i="4"/>
  <c r="GC119" i="4"/>
  <c r="GC118" i="4"/>
  <c r="GC51" i="4"/>
  <c r="GC47" i="4"/>
  <c r="GD3" i="4"/>
  <c r="AT64" i="4"/>
  <c r="GA26" i="4"/>
  <c r="GA27" i="4"/>
  <c r="GA33" i="4"/>
  <c r="AQ33" i="4" s="1"/>
  <c r="GA32" i="4"/>
  <c r="AQ32" i="4" s="1"/>
  <c r="GA34" i="4"/>
  <c r="GA38" i="4"/>
  <c r="GA39" i="4"/>
  <c r="GC22" i="4"/>
  <c r="AP35" i="4"/>
  <c r="AS23" i="4"/>
  <c r="GB23" i="4"/>
  <c r="AT22" i="4"/>
  <c r="AU3" i="4"/>
  <c r="AT2" i="4"/>
  <c r="AT3" i="7" l="1"/>
  <c r="AU77" i="4"/>
  <c r="GD114" i="4"/>
  <c r="GD113" i="4" s="1"/>
  <c r="GD126" i="4"/>
  <c r="GD195" i="4"/>
  <c r="GD88" i="4"/>
  <c r="GD87" i="4" s="1"/>
  <c r="AT42" i="4"/>
  <c r="AT40" i="4"/>
  <c r="AT34" i="4"/>
  <c r="AT39" i="4"/>
  <c r="AT38" i="4"/>
  <c r="AT27" i="4"/>
  <c r="AQ26" i="4"/>
  <c r="AN19" i="7"/>
  <c r="GB12" i="7"/>
  <c r="AM21" i="7"/>
  <c r="AO33" i="7"/>
  <c r="AO20" i="7" s="1"/>
  <c r="GA15" i="7"/>
  <c r="AQ9" i="7" s="1"/>
  <c r="AQ29" i="7" s="1"/>
  <c r="GB13" i="7"/>
  <c r="GB14" i="7"/>
  <c r="AP30" i="7"/>
  <c r="GC3" i="7"/>
  <c r="GD197" i="4"/>
  <c r="AP31" i="7"/>
  <c r="AP32" i="7"/>
  <c r="AN18" i="7"/>
  <c r="AT14" i="7"/>
  <c r="AT13" i="7"/>
  <c r="AT10" i="7"/>
  <c r="AS83" i="4"/>
  <c r="AR5" i="7"/>
  <c r="GD2" i="4"/>
  <c r="AS2" i="7"/>
  <c r="AT82" i="4"/>
  <c r="AT89" i="4" s="1"/>
  <c r="GB117" i="4"/>
  <c r="GC89" i="4"/>
  <c r="GC117" i="4" s="1"/>
  <c r="GD83" i="4"/>
  <c r="GD116" i="4" s="1"/>
  <c r="GD124" i="4"/>
  <c r="GD123" i="4"/>
  <c r="GD122" i="4"/>
  <c r="GD121" i="4"/>
  <c r="GD119" i="4"/>
  <c r="GD118" i="4"/>
  <c r="GD120" i="4"/>
  <c r="GD47" i="4"/>
  <c r="GD51" i="4"/>
  <c r="GE3" i="4"/>
  <c r="AU64" i="4"/>
  <c r="GD22" i="4"/>
  <c r="GB27" i="4"/>
  <c r="GB26" i="4"/>
  <c r="GB32" i="4"/>
  <c r="AR32" i="4" s="1"/>
  <c r="GB33" i="4"/>
  <c r="AR33" i="4" s="1"/>
  <c r="GB34" i="4"/>
  <c r="GB38" i="4"/>
  <c r="GB39" i="4"/>
  <c r="AQ35" i="4"/>
  <c r="AT23" i="4"/>
  <c r="GC23" i="4"/>
  <c r="AU22" i="4"/>
  <c r="AV3" i="4"/>
  <c r="AU2" i="4"/>
  <c r="AU3" i="7" l="1"/>
  <c r="AV77" i="4"/>
  <c r="GE114" i="4"/>
  <c r="GE113" i="4" s="1"/>
  <c r="GE126" i="4"/>
  <c r="GE195" i="4"/>
  <c r="GE88" i="4"/>
  <c r="GE87" i="4" s="1"/>
  <c r="AU38" i="4"/>
  <c r="AU42" i="4"/>
  <c r="AU39" i="4"/>
  <c r="AU40" i="4"/>
  <c r="AU34" i="4"/>
  <c r="AU27" i="4"/>
  <c r="AR26" i="4"/>
  <c r="GC13" i="7"/>
  <c r="AO18" i="7"/>
  <c r="AO19" i="7"/>
  <c r="AQ30" i="7"/>
  <c r="AQ32" i="7"/>
  <c r="AQ31" i="7"/>
  <c r="GB15" i="7"/>
  <c r="AR9" i="7" s="1"/>
  <c r="AR32" i="7" s="1"/>
  <c r="AN21" i="7"/>
  <c r="AP33" i="7"/>
  <c r="AP20" i="7" s="1"/>
  <c r="GC12" i="7"/>
  <c r="GC14" i="7"/>
  <c r="GD3" i="7"/>
  <c r="GE197" i="4"/>
  <c r="GE2" i="4"/>
  <c r="AT2" i="7"/>
  <c r="AT83" i="4"/>
  <c r="AS5" i="7"/>
  <c r="AU14" i="7"/>
  <c r="AU13" i="7"/>
  <c r="AU10" i="7"/>
  <c r="AU82" i="4"/>
  <c r="AU89" i="4" s="1"/>
  <c r="GD89" i="4"/>
  <c r="GE83" i="4"/>
  <c r="GE116" i="4" s="1"/>
  <c r="GE124" i="4"/>
  <c r="GE123" i="4"/>
  <c r="GE122" i="4"/>
  <c r="GE121" i="4"/>
  <c r="GE119" i="4"/>
  <c r="GE118" i="4"/>
  <c r="GE120" i="4"/>
  <c r="GE47" i="4"/>
  <c r="GE51" i="4"/>
  <c r="GF3" i="4"/>
  <c r="AV64" i="4"/>
  <c r="AR35" i="4"/>
  <c r="AU23" i="4"/>
  <c r="GD23" i="4"/>
  <c r="GE22" i="4"/>
  <c r="GC26" i="4"/>
  <c r="GC27" i="4"/>
  <c r="GC32" i="4"/>
  <c r="AS32" i="4" s="1"/>
  <c r="GC33" i="4"/>
  <c r="AS33" i="4" s="1"/>
  <c r="GC34" i="4"/>
  <c r="GC39" i="4"/>
  <c r="GC38" i="4"/>
  <c r="AV22" i="4"/>
  <c r="AW3" i="4"/>
  <c r="AV2" i="4"/>
  <c r="AV3" i="7" l="1"/>
  <c r="AV10" i="7" s="1"/>
  <c r="AW77" i="4"/>
  <c r="GF114" i="4"/>
  <c r="GF113" i="4" s="1"/>
  <c r="GF126" i="4"/>
  <c r="GF195" i="4"/>
  <c r="GF88" i="4"/>
  <c r="GF87" i="4" s="1"/>
  <c r="AV42" i="4"/>
  <c r="AV39" i="4"/>
  <c r="AV38" i="4"/>
  <c r="AV40" i="4"/>
  <c r="AV34" i="4"/>
  <c r="AV27" i="4"/>
  <c r="AS26" i="4"/>
  <c r="AP19" i="7"/>
  <c r="GD14" i="7"/>
  <c r="AO21" i="7"/>
  <c r="AQ33" i="7"/>
  <c r="AQ20" i="7" s="1"/>
  <c r="AR29" i="7"/>
  <c r="AR31" i="7"/>
  <c r="AR30" i="7"/>
  <c r="GC15" i="7"/>
  <c r="AS9" i="7" s="1"/>
  <c r="AS30" i="7" s="1"/>
  <c r="AP18" i="7"/>
  <c r="GD13" i="7"/>
  <c r="GD12" i="7"/>
  <c r="GE3" i="7"/>
  <c r="GF197" i="4"/>
  <c r="AU83" i="4"/>
  <c r="AT5" i="7"/>
  <c r="GF2" i="4"/>
  <c r="AU2" i="7"/>
  <c r="AV13" i="7"/>
  <c r="AV82" i="4"/>
  <c r="AV89" i="4" s="1"/>
  <c r="GD117" i="4"/>
  <c r="GF83" i="4"/>
  <c r="GF116" i="4" s="1"/>
  <c r="GF121" i="4"/>
  <c r="GF122" i="4"/>
  <c r="GF124" i="4"/>
  <c r="GF123" i="4"/>
  <c r="GF120" i="4"/>
  <c r="GF119" i="4"/>
  <c r="GF118" i="4"/>
  <c r="GE89" i="4"/>
  <c r="GF47" i="4"/>
  <c r="GF51" i="4"/>
  <c r="GG3" i="4"/>
  <c r="GG126" i="4" s="1"/>
  <c r="AW64" i="4"/>
  <c r="AS35" i="4"/>
  <c r="GD26" i="4"/>
  <c r="GD27" i="4"/>
  <c r="GD33" i="4"/>
  <c r="AT33" i="4" s="1"/>
  <c r="GD32" i="4"/>
  <c r="AT32" i="4" s="1"/>
  <c r="GD34" i="4"/>
  <c r="GD38" i="4"/>
  <c r="GD39" i="4"/>
  <c r="GF22" i="4"/>
  <c r="AV23" i="4"/>
  <c r="GE23" i="4"/>
  <c r="AW22" i="4"/>
  <c r="AW2" i="4"/>
  <c r="AX3" i="4"/>
  <c r="AV14" i="7" l="1"/>
  <c r="AW3" i="7"/>
  <c r="AX77" i="4"/>
  <c r="GG88" i="4"/>
  <c r="GG87" i="4" s="1"/>
  <c r="GG114" i="4"/>
  <c r="GG113" i="4" s="1"/>
  <c r="AW42" i="4"/>
  <c r="AW40" i="4"/>
  <c r="AW34" i="4"/>
  <c r="AW38" i="4"/>
  <c r="AW39" i="4"/>
  <c r="AW27" i="4"/>
  <c r="AT26" i="4"/>
  <c r="AQ19" i="7"/>
  <c r="GE12" i="7"/>
  <c r="AQ18" i="7"/>
  <c r="AP21" i="7"/>
  <c r="AR33" i="7"/>
  <c r="AR20" i="7" s="1"/>
  <c r="AS31" i="7"/>
  <c r="AS29" i="7"/>
  <c r="AS32" i="7"/>
  <c r="GD15" i="7"/>
  <c r="AT9" i="7" s="1"/>
  <c r="AT30" i="7" s="1"/>
  <c r="GG197" i="4"/>
  <c r="GG195" i="4"/>
  <c r="GE13" i="7"/>
  <c r="GE14" i="7"/>
  <c r="AW14" i="7"/>
  <c r="AW13" i="7"/>
  <c r="AW10" i="7"/>
  <c r="GG2" i="4"/>
  <c r="AV2" i="7"/>
  <c r="GG51" i="4"/>
  <c r="GF3" i="7"/>
  <c r="AV83" i="4"/>
  <c r="AU5" i="7"/>
  <c r="AW82" i="4"/>
  <c r="AW89" i="4" s="1"/>
  <c r="GF89" i="4"/>
  <c r="GF117" i="4" s="1"/>
  <c r="GG47" i="4"/>
  <c r="GE117" i="4"/>
  <c r="GG83" i="4"/>
  <c r="GG116" i="4" s="1"/>
  <c r="GG122" i="4"/>
  <c r="GG123" i="4"/>
  <c r="GG121" i="4"/>
  <c r="GG120" i="4"/>
  <c r="GG119" i="4"/>
  <c r="GG124" i="4"/>
  <c r="GG118" i="4"/>
  <c r="GH3" i="4"/>
  <c r="AX64" i="4"/>
  <c r="GE26" i="4"/>
  <c r="GE27" i="4"/>
  <c r="GE33" i="4"/>
  <c r="AU33" i="4" s="1"/>
  <c r="GE32" i="4"/>
  <c r="AU32" i="4" s="1"/>
  <c r="GE34" i="4"/>
  <c r="GE38" i="4"/>
  <c r="GE39" i="4"/>
  <c r="AW23" i="4"/>
  <c r="GF23" i="4"/>
  <c r="GG22" i="4"/>
  <c r="AT35" i="4"/>
  <c r="AX22" i="4"/>
  <c r="AY3" i="4"/>
  <c r="AX2" i="4"/>
  <c r="AX3" i="7" l="1"/>
  <c r="AY77" i="4"/>
  <c r="GH114" i="4"/>
  <c r="GH113" i="4" s="1"/>
  <c r="GH126" i="4"/>
  <c r="GH195" i="4"/>
  <c r="GH88" i="4"/>
  <c r="GH87" i="4" s="1"/>
  <c r="AX39" i="4"/>
  <c r="AX34" i="4"/>
  <c r="AX40" i="4"/>
  <c r="AX42" i="4"/>
  <c r="AX38" i="4"/>
  <c r="AX27" i="4"/>
  <c r="AU26" i="4"/>
  <c r="AR19" i="7"/>
  <c r="AR18" i="7"/>
  <c r="AQ21" i="7"/>
  <c r="AS33" i="7"/>
  <c r="AS20" i="7" s="1"/>
  <c r="AT31" i="7"/>
  <c r="AT29" i="7"/>
  <c r="AT32" i="7"/>
  <c r="GE15" i="7"/>
  <c r="AU9" i="7" s="1"/>
  <c r="AU32" i="7" s="1"/>
  <c r="GG3" i="7"/>
  <c r="GH197" i="4"/>
  <c r="GF13" i="7"/>
  <c r="GF14" i="7"/>
  <c r="GF12" i="7"/>
  <c r="AX14" i="7"/>
  <c r="AX13" i="7"/>
  <c r="AX10" i="7"/>
  <c r="GH2" i="4"/>
  <c r="AW2" i="7"/>
  <c r="AW83" i="4"/>
  <c r="AV5" i="7"/>
  <c r="AX82" i="4"/>
  <c r="AX89" i="4" s="1"/>
  <c r="GG89" i="4"/>
  <c r="GG117" i="4" s="1"/>
  <c r="GH83" i="4"/>
  <c r="GH116" i="4" s="1"/>
  <c r="GH123" i="4"/>
  <c r="GH124" i="4"/>
  <c r="GH122" i="4"/>
  <c r="GH121" i="4"/>
  <c r="GH118" i="4"/>
  <c r="GH119" i="4"/>
  <c r="GH120" i="4"/>
  <c r="GH51" i="4"/>
  <c r="GH47" i="4"/>
  <c r="GI3" i="4"/>
  <c r="AY64" i="4"/>
  <c r="AU35" i="4"/>
  <c r="GF27" i="4"/>
  <c r="GF26" i="4"/>
  <c r="GF32" i="4"/>
  <c r="AV32" i="4" s="1"/>
  <c r="GF33" i="4"/>
  <c r="AV33" i="4" s="1"/>
  <c r="GF34" i="4"/>
  <c r="GF39" i="4"/>
  <c r="GF38" i="4"/>
  <c r="GH22" i="4"/>
  <c r="AX23" i="4"/>
  <c r="GG23" i="4"/>
  <c r="AY22" i="4"/>
  <c r="AZ3" i="4"/>
  <c r="AY2" i="4"/>
  <c r="AY3" i="7" l="1"/>
  <c r="AZ77" i="4"/>
  <c r="GI114" i="4"/>
  <c r="GI113" i="4" s="1"/>
  <c r="GI126" i="4"/>
  <c r="AR21" i="7"/>
  <c r="GI195" i="4"/>
  <c r="GI88" i="4"/>
  <c r="GI87" i="4" s="1"/>
  <c r="AY40" i="4"/>
  <c r="AY39" i="4"/>
  <c r="AY38" i="4"/>
  <c r="AY42" i="4"/>
  <c r="AY27" i="4"/>
  <c r="AY34" i="4"/>
  <c r="AV26" i="4"/>
  <c r="GG14" i="7"/>
  <c r="AS19" i="7"/>
  <c r="AS18" i="7"/>
  <c r="AT33" i="7"/>
  <c r="AT20" i="7" s="1"/>
  <c r="AU31" i="7"/>
  <c r="AU29" i="7"/>
  <c r="AU30" i="7"/>
  <c r="GG12" i="7"/>
  <c r="GG13" i="7"/>
  <c r="GH3" i="7"/>
  <c r="GI197" i="4"/>
  <c r="GI2" i="4"/>
  <c r="AX2" i="7"/>
  <c r="AY14" i="7"/>
  <c r="AY13" i="7"/>
  <c r="AY10" i="7"/>
  <c r="AX83" i="4"/>
  <c r="AW5" i="7"/>
  <c r="GF15" i="7"/>
  <c r="AV9" i="7" s="1"/>
  <c r="AY82" i="4"/>
  <c r="AY89" i="4" s="1"/>
  <c r="GH89" i="4"/>
  <c r="GI83" i="4"/>
  <c r="GI116" i="4" s="1"/>
  <c r="GI124" i="4"/>
  <c r="GI123" i="4"/>
  <c r="GI122" i="4"/>
  <c r="GI121" i="4"/>
  <c r="GI118" i="4"/>
  <c r="GI120" i="4"/>
  <c r="GI119" i="4"/>
  <c r="GI51" i="4"/>
  <c r="GI47" i="4"/>
  <c r="GJ3" i="4"/>
  <c r="GJ126" i="4" s="1"/>
  <c r="AZ64" i="4"/>
  <c r="GG26" i="4"/>
  <c r="GG27" i="4"/>
  <c r="GG32" i="4"/>
  <c r="AW32" i="4" s="1"/>
  <c r="GG33" i="4"/>
  <c r="AW33" i="4" s="1"/>
  <c r="GG34" i="4"/>
  <c r="GG39" i="4"/>
  <c r="GG38" i="4"/>
  <c r="AY23" i="4"/>
  <c r="GH23" i="4"/>
  <c r="GI22" i="4"/>
  <c r="AV35" i="4"/>
  <c r="AZ22" i="4"/>
  <c r="AZ2" i="4"/>
  <c r="BA3" i="4"/>
  <c r="AZ3" i="7" l="1"/>
  <c r="AZ13" i="7" s="1"/>
  <c r="BA77" i="4"/>
  <c r="GJ88" i="4"/>
  <c r="GJ87" i="4" s="1"/>
  <c r="GJ114" i="4"/>
  <c r="GJ113" i="4" s="1"/>
  <c r="AZ34" i="4"/>
  <c r="AZ40" i="4"/>
  <c r="AZ38" i="4"/>
  <c r="AZ39" i="4"/>
  <c r="AZ42" i="4"/>
  <c r="AZ27" i="4"/>
  <c r="AW26" i="4"/>
  <c r="AT19" i="7"/>
  <c r="GH14" i="7"/>
  <c r="AS21" i="7"/>
  <c r="AT18" i="7"/>
  <c r="GG15" i="7"/>
  <c r="AW9" i="7" s="1"/>
  <c r="AW30" i="7" s="1"/>
  <c r="AU33" i="7"/>
  <c r="AU20" i="7" s="1"/>
  <c r="GJ197" i="4"/>
  <c r="GJ195" i="4"/>
  <c r="GH12" i="7"/>
  <c r="GH13" i="7"/>
  <c r="AY83" i="4"/>
  <c r="AX5" i="7"/>
  <c r="AZ14" i="7"/>
  <c r="GJ51" i="4"/>
  <c r="GI3" i="7"/>
  <c r="AV29" i="7"/>
  <c r="AV31" i="7"/>
  <c r="AV32" i="7"/>
  <c r="AV30" i="7"/>
  <c r="GJ2" i="4"/>
  <c r="AY2" i="7"/>
  <c r="AZ82" i="4"/>
  <c r="AZ89" i="4" s="1"/>
  <c r="GH117" i="4"/>
  <c r="GI89" i="4"/>
  <c r="GI117" i="4" s="1"/>
  <c r="GJ83" i="4"/>
  <c r="GJ116" i="4" s="1"/>
  <c r="GJ124" i="4"/>
  <c r="GJ121" i="4"/>
  <c r="GJ123" i="4"/>
  <c r="GJ122" i="4"/>
  <c r="GJ119" i="4"/>
  <c r="GJ120" i="4"/>
  <c r="GJ118" i="4"/>
  <c r="GJ47" i="4"/>
  <c r="GK3" i="4"/>
  <c r="BA64" i="4"/>
  <c r="AW35" i="4"/>
  <c r="GJ22" i="4"/>
  <c r="AZ23" i="4"/>
  <c r="GI23" i="4"/>
  <c r="GH27" i="4"/>
  <c r="GH26" i="4"/>
  <c r="GH32" i="4"/>
  <c r="AX32" i="4" s="1"/>
  <c r="GH33" i="4"/>
  <c r="AX33" i="4" s="1"/>
  <c r="GH34" i="4"/>
  <c r="GH38" i="4"/>
  <c r="GH39" i="4"/>
  <c r="BA22" i="4"/>
  <c r="BB3" i="4"/>
  <c r="BA2" i="4"/>
  <c r="AZ10" i="7" l="1"/>
  <c r="BA3" i="7"/>
  <c r="BB77" i="4"/>
  <c r="GK114" i="4"/>
  <c r="GK113" i="4" s="1"/>
  <c r="GK126" i="4"/>
  <c r="GK195" i="4"/>
  <c r="GK88" i="4"/>
  <c r="GK87" i="4" s="1"/>
  <c r="BA40" i="4"/>
  <c r="BA38" i="4"/>
  <c r="BA42" i="4"/>
  <c r="BA39" i="4"/>
  <c r="BA34" i="4"/>
  <c r="BA27" i="4"/>
  <c r="AX26" i="4"/>
  <c r="AT21" i="7"/>
  <c r="AU18" i="7"/>
  <c r="AU19" i="7"/>
  <c r="AW31" i="7"/>
  <c r="AW29" i="7"/>
  <c r="AW32" i="7"/>
  <c r="GH15" i="7"/>
  <c r="AX9" i="7" s="1"/>
  <c r="AX29" i="7" s="1"/>
  <c r="GJ3" i="7"/>
  <c r="GK197" i="4"/>
  <c r="AV33" i="7"/>
  <c r="AV20" i="7" s="1"/>
  <c r="GI12" i="7"/>
  <c r="GI13" i="7"/>
  <c r="GI14" i="7"/>
  <c r="BA14" i="7"/>
  <c r="BA13" i="7"/>
  <c r="BA10" i="7"/>
  <c r="GK2" i="4"/>
  <c r="AZ2" i="7"/>
  <c r="AZ83" i="4"/>
  <c r="AY5" i="7"/>
  <c r="BA82" i="4"/>
  <c r="BA89" i="4" s="1"/>
  <c r="GJ89" i="4"/>
  <c r="GJ117" i="4" s="1"/>
  <c r="GK83" i="4"/>
  <c r="GK116" i="4" s="1"/>
  <c r="GK122" i="4"/>
  <c r="GK124" i="4"/>
  <c r="GK121" i="4"/>
  <c r="GK120" i="4"/>
  <c r="GK119" i="4"/>
  <c r="GK118" i="4"/>
  <c r="GK123" i="4"/>
  <c r="GK51" i="4"/>
  <c r="GK47" i="4"/>
  <c r="GL3" i="4"/>
  <c r="BB64" i="4"/>
  <c r="AX35" i="4"/>
  <c r="GI26" i="4"/>
  <c r="GI27" i="4"/>
  <c r="GI32" i="4"/>
  <c r="AY32" i="4" s="1"/>
  <c r="GI33" i="4"/>
  <c r="AY33" i="4" s="1"/>
  <c r="GI34" i="4"/>
  <c r="GI39" i="4"/>
  <c r="GI38" i="4"/>
  <c r="GK22" i="4"/>
  <c r="BA23" i="4"/>
  <c r="GJ23" i="4"/>
  <c r="BB22" i="4"/>
  <c r="BC3" i="4"/>
  <c r="BB2" i="4"/>
  <c r="BB3" i="7" l="1"/>
  <c r="BC77" i="4"/>
  <c r="GL114" i="4"/>
  <c r="GL113" i="4" s="1"/>
  <c r="GL126" i="4"/>
  <c r="GL195" i="4"/>
  <c r="GL88" i="4"/>
  <c r="GL87" i="4" s="1"/>
  <c r="BB42" i="4"/>
  <c r="BB40" i="4"/>
  <c r="BB38" i="4"/>
  <c r="BB39" i="4"/>
  <c r="BB34" i="4"/>
  <c r="BB27" i="4"/>
  <c r="AY26" i="4"/>
  <c r="AV18" i="7"/>
  <c r="GJ13" i="7"/>
  <c r="AU21" i="7"/>
  <c r="AW33" i="7"/>
  <c r="AW20" i="7" s="1"/>
  <c r="GJ12" i="7"/>
  <c r="AX30" i="7"/>
  <c r="AX31" i="7"/>
  <c r="AX32" i="7"/>
  <c r="GK3" i="7"/>
  <c r="GL197" i="4"/>
  <c r="GJ14" i="7"/>
  <c r="AV19" i="7"/>
  <c r="BA83" i="4"/>
  <c r="AZ5" i="7"/>
  <c r="GI15" i="7"/>
  <c r="AY9" i="7" s="1"/>
  <c r="GL2" i="4"/>
  <c r="BA2" i="7"/>
  <c r="BB14" i="7"/>
  <c r="BB13" i="7"/>
  <c r="BB10" i="7"/>
  <c r="BB82" i="4"/>
  <c r="BB89" i="4" s="1"/>
  <c r="GK89" i="4"/>
  <c r="GK117" i="4" s="1"/>
  <c r="GL83" i="4"/>
  <c r="GL116" i="4" s="1"/>
  <c r="GL122" i="4"/>
  <c r="GL123" i="4"/>
  <c r="GL120" i="4"/>
  <c r="GL118" i="4"/>
  <c r="GL121" i="4"/>
  <c r="GL119" i="4"/>
  <c r="GL124" i="4"/>
  <c r="GL51" i="4"/>
  <c r="GL47" i="4"/>
  <c r="GM3" i="4"/>
  <c r="BC64" i="4"/>
  <c r="GJ26" i="4"/>
  <c r="GJ27" i="4"/>
  <c r="GJ33" i="4"/>
  <c r="AZ33" i="4" s="1"/>
  <c r="GJ32" i="4"/>
  <c r="AZ32" i="4" s="1"/>
  <c r="GJ34" i="4"/>
  <c r="GJ38" i="4"/>
  <c r="GJ39" i="4"/>
  <c r="AY35" i="4"/>
  <c r="BB23" i="4"/>
  <c r="GK23" i="4"/>
  <c r="GL22" i="4"/>
  <c r="BC22" i="4"/>
  <c r="BD3" i="4"/>
  <c r="BC2" i="4"/>
  <c r="BC3" i="7" l="1"/>
  <c r="BC14" i="7" s="1"/>
  <c r="BD77" i="4"/>
  <c r="GM114" i="4"/>
  <c r="GM113" i="4" s="1"/>
  <c r="GM126" i="4"/>
  <c r="GM195" i="4"/>
  <c r="GM88" i="4"/>
  <c r="GM87" i="4" s="1"/>
  <c r="BC38" i="4"/>
  <c r="BC42" i="4"/>
  <c r="BC39" i="4"/>
  <c r="BC40" i="4"/>
  <c r="BC27" i="4"/>
  <c r="BC34" i="4"/>
  <c r="AZ26" i="4"/>
  <c r="AW18" i="7"/>
  <c r="GK14" i="7"/>
  <c r="AW19" i="7"/>
  <c r="GJ15" i="7"/>
  <c r="AZ9" i="7" s="1"/>
  <c r="AZ30" i="7" s="1"/>
  <c r="AX33" i="7"/>
  <c r="AX20" i="7" s="1"/>
  <c r="GK13" i="7"/>
  <c r="GK12" i="7"/>
  <c r="GL3" i="7"/>
  <c r="GM197" i="4"/>
  <c r="AV21" i="7"/>
  <c r="AY29" i="7"/>
  <c r="AY30" i="7"/>
  <c r="AY32" i="7"/>
  <c r="AY31" i="7"/>
  <c r="GM2" i="4"/>
  <c r="BB2" i="7"/>
  <c r="BC10" i="7"/>
  <c r="BB83" i="4"/>
  <c r="BA5" i="7"/>
  <c r="BC82" i="4"/>
  <c r="BC89" i="4" s="1"/>
  <c r="GL89" i="4"/>
  <c r="GL117" i="4" s="1"/>
  <c r="GM83" i="4"/>
  <c r="GM116" i="4" s="1"/>
  <c r="GM124" i="4"/>
  <c r="GM123" i="4"/>
  <c r="GM122" i="4"/>
  <c r="GM121" i="4"/>
  <c r="GM119" i="4"/>
  <c r="GM120" i="4"/>
  <c r="GM118" i="4"/>
  <c r="GM51" i="4"/>
  <c r="GM47" i="4"/>
  <c r="GN3" i="4"/>
  <c r="BD64" i="4"/>
  <c r="GM22" i="4"/>
  <c r="AZ35" i="4"/>
  <c r="BC23" i="4"/>
  <c r="GL23" i="4"/>
  <c r="GK27" i="4"/>
  <c r="GK26" i="4"/>
  <c r="GK32" i="4"/>
  <c r="BA32" i="4" s="1"/>
  <c r="GK33" i="4"/>
  <c r="BA33" i="4" s="1"/>
  <c r="GK34" i="4"/>
  <c r="GK39" i="4"/>
  <c r="GK38" i="4"/>
  <c r="BD22" i="4"/>
  <c r="BE3" i="4"/>
  <c r="BD2" i="4"/>
  <c r="BC13" i="7" l="1"/>
  <c r="BD3" i="7"/>
  <c r="BE77" i="4"/>
  <c r="GN114" i="4"/>
  <c r="GN113" i="4" s="1"/>
  <c r="GN126" i="4"/>
  <c r="GN195" i="4"/>
  <c r="GN88" i="4"/>
  <c r="GN87" i="4" s="1"/>
  <c r="AZ29" i="7"/>
  <c r="BD42" i="4"/>
  <c r="BD39" i="4"/>
  <c r="BD38" i="4"/>
  <c r="BD34" i="4"/>
  <c r="BD27" i="4"/>
  <c r="BD40" i="4"/>
  <c r="BA26" i="4"/>
  <c r="AX19" i="7"/>
  <c r="GL13" i="7"/>
  <c r="AW21" i="7"/>
  <c r="AZ32" i="7"/>
  <c r="AZ31" i="7"/>
  <c r="GL12" i="7"/>
  <c r="GL14" i="7"/>
  <c r="AX18" i="7"/>
  <c r="GK15" i="7"/>
  <c r="BA9" i="7" s="1"/>
  <c r="BA29" i="7" s="1"/>
  <c r="GM3" i="7"/>
  <c r="GN197" i="4"/>
  <c r="BC83" i="4"/>
  <c r="BB5" i="7"/>
  <c r="BD14" i="7"/>
  <c r="BD13" i="7"/>
  <c r="BD10" i="7"/>
  <c r="GN2" i="4"/>
  <c r="BC2" i="7"/>
  <c r="AY33" i="7"/>
  <c r="AY20" i="7" s="1"/>
  <c r="BD82" i="4"/>
  <c r="BD89" i="4" s="1"/>
  <c r="GM89" i="4"/>
  <c r="GM117" i="4" s="1"/>
  <c r="GN123" i="4"/>
  <c r="GN121" i="4"/>
  <c r="GN124" i="4"/>
  <c r="GN122" i="4"/>
  <c r="GN119" i="4"/>
  <c r="GN118" i="4"/>
  <c r="GN120" i="4"/>
  <c r="GN51" i="4"/>
  <c r="GN83" i="4"/>
  <c r="GN116" i="4" s="1"/>
  <c r="GN47" i="4"/>
  <c r="GO3" i="4"/>
  <c r="GO126" i="4" s="1"/>
  <c r="BE64" i="4"/>
  <c r="BA35" i="4"/>
  <c r="BD23" i="4"/>
  <c r="GM23" i="4"/>
  <c r="GL27" i="4"/>
  <c r="GL26" i="4"/>
  <c r="GL33" i="4"/>
  <c r="BB33" i="4" s="1"/>
  <c r="GL32" i="4"/>
  <c r="BB32" i="4" s="1"/>
  <c r="GL34" i="4"/>
  <c r="GL38" i="4"/>
  <c r="GL39" i="4"/>
  <c r="GN22" i="4"/>
  <c r="BE22" i="4"/>
  <c r="BE2" i="4"/>
  <c r="BF3" i="4"/>
  <c r="BE3" i="7" l="1"/>
  <c r="BF77" i="4"/>
  <c r="GO88" i="4"/>
  <c r="GO87" i="4" s="1"/>
  <c r="GO114" i="4"/>
  <c r="GO113" i="4" s="1"/>
  <c r="BE42" i="4"/>
  <c r="BE39" i="4"/>
  <c r="BE34" i="4"/>
  <c r="BE40" i="4"/>
  <c r="BE27" i="4"/>
  <c r="BE38" i="4"/>
  <c r="BB26" i="4"/>
  <c r="GM14" i="7"/>
  <c r="AZ33" i="7"/>
  <c r="AZ20" i="7" s="1"/>
  <c r="BA30" i="7"/>
  <c r="AX21" i="7"/>
  <c r="GL15" i="7"/>
  <c r="BB9" i="7" s="1"/>
  <c r="BB32" i="7" s="1"/>
  <c r="GM13" i="7"/>
  <c r="BA31" i="7"/>
  <c r="BA32" i="7"/>
  <c r="GO197" i="4"/>
  <c r="GO195" i="4"/>
  <c r="GM12" i="7"/>
  <c r="AY19" i="7"/>
  <c r="AY18" i="7"/>
  <c r="GO2" i="4"/>
  <c r="BD2" i="7"/>
  <c r="GO51" i="4"/>
  <c r="GN3" i="7"/>
  <c r="BE14" i="7"/>
  <c r="BE13" i="7"/>
  <c r="BE10" i="7"/>
  <c r="BD83" i="4"/>
  <c r="BC5" i="7"/>
  <c r="BE82" i="4"/>
  <c r="BE89" i="4" s="1"/>
  <c r="GO83" i="4"/>
  <c r="GO116" i="4" s="1"/>
  <c r="GO124" i="4"/>
  <c r="GO123" i="4"/>
  <c r="GO121" i="4"/>
  <c r="GO120" i="4"/>
  <c r="GO119" i="4"/>
  <c r="GO118" i="4"/>
  <c r="GO122" i="4"/>
  <c r="GO47" i="4"/>
  <c r="GN89" i="4"/>
  <c r="GP3" i="4"/>
  <c r="BF64" i="4"/>
  <c r="GM26" i="4"/>
  <c r="GM27" i="4"/>
  <c r="GM32" i="4"/>
  <c r="BC32" i="4" s="1"/>
  <c r="GM33" i="4"/>
  <c r="BC33" i="4" s="1"/>
  <c r="GM34" i="4"/>
  <c r="GM38" i="4"/>
  <c r="GM39" i="4"/>
  <c r="GO22" i="4"/>
  <c r="BE23" i="4"/>
  <c r="GN23" i="4"/>
  <c r="BB35" i="4"/>
  <c r="BF22" i="4"/>
  <c r="BG3" i="4"/>
  <c r="BF2" i="4"/>
  <c r="BF3" i="7" l="1"/>
  <c r="BG77" i="4"/>
  <c r="GP114" i="4"/>
  <c r="GP113" i="4" s="1"/>
  <c r="GP126" i="4"/>
  <c r="GP195" i="4"/>
  <c r="GP88" i="4"/>
  <c r="GP87" i="4" s="1"/>
  <c r="BF39" i="4"/>
  <c r="BF34" i="4"/>
  <c r="BF40" i="4"/>
  <c r="BF42" i="4"/>
  <c r="BF38" i="4"/>
  <c r="BF27" i="4"/>
  <c r="BC26" i="4"/>
  <c r="AZ19" i="7"/>
  <c r="BB30" i="7"/>
  <c r="AZ18" i="7"/>
  <c r="BB31" i="7"/>
  <c r="BB29" i="7"/>
  <c r="BA33" i="7"/>
  <c r="BA20" i="7" s="1"/>
  <c r="GM15" i="7"/>
  <c r="BC9" i="7" s="1"/>
  <c r="BC31" i="7" s="1"/>
  <c r="GO3" i="7"/>
  <c r="GP197" i="4"/>
  <c r="AY21" i="7"/>
  <c r="BE83" i="4"/>
  <c r="BD5" i="7"/>
  <c r="GP2" i="4"/>
  <c r="BE2" i="7"/>
  <c r="BF13" i="7"/>
  <c r="BF14" i="7"/>
  <c r="BF10" i="7"/>
  <c r="GN13" i="7"/>
  <c r="GN12" i="7"/>
  <c r="GN14" i="7"/>
  <c r="BF82" i="4"/>
  <c r="BF89" i="4" s="1"/>
  <c r="GO89" i="4"/>
  <c r="GP122" i="4"/>
  <c r="GP124" i="4"/>
  <c r="GP119" i="4"/>
  <c r="GP120" i="4"/>
  <c r="GP118" i="4"/>
  <c r="GP123" i="4"/>
  <c r="GP121" i="4"/>
  <c r="GP51" i="4"/>
  <c r="GP83" i="4"/>
  <c r="GP116" i="4" s="1"/>
  <c r="GN117" i="4"/>
  <c r="GP47" i="4"/>
  <c r="GQ3" i="4"/>
  <c r="BG64" i="4"/>
  <c r="BF23" i="4"/>
  <c r="GO23" i="4"/>
  <c r="BC35" i="4"/>
  <c r="GP22" i="4"/>
  <c r="GN26" i="4"/>
  <c r="GN27" i="4"/>
  <c r="GN33" i="4"/>
  <c r="BD33" i="4" s="1"/>
  <c r="GN32" i="4"/>
  <c r="BD32" i="4" s="1"/>
  <c r="GN34" i="4"/>
  <c r="GN39" i="4"/>
  <c r="GN38" i="4"/>
  <c r="BG22" i="4"/>
  <c r="BH3" i="4"/>
  <c r="BG2" i="4"/>
  <c r="BG3" i="7" l="1"/>
  <c r="BH77" i="4"/>
  <c r="GQ114" i="4"/>
  <c r="GQ113" i="4" s="1"/>
  <c r="GQ126" i="4"/>
  <c r="GQ195" i="4"/>
  <c r="GQ88" i="4"/>
  <c r="GQ87" i="4" s="1"/>
  <c r="BG40" i="4"/>
  <c r="BG39" i="4"/>
  <c r="BG34" i="4"/>
  <c r="BG42" i="4"/>
  <c r="BG38" i="4"/>
  <c r="BG27" i="4"/>
  <c r="BD26" i="4"/>
  <c r="BA19" i="7"/>
  <c r="GO12" i="7"/>
  <c r="BB33" i="7"/>
  <c r="BB20" i="7" s="1"/>
  <c r="AZ21" i="7"/>
  <c r="BA18" i="7"/>
  <c r="BC32" i="7"/>
  <c r="BC30" i="7"/>
  <c r="BC29" i="7"/>
  <c r="GO13" i="7"/>
  <c r="GO14" i="7"/>
  <c r="GP3" i="7"/>
  <c r="GQ197" i="4"/>
  <c r="BF83" i="4"/>
  <c r="BE5" i="7"/>
  <c r="GQ2" i="4"/>
  <c r="BF2" i="7"/>
  <c r="BG14" i="7"/>
  <c r="BG13" i="7"/>
  <c r="BG10" i="7"/>
  <c r="GN15" i="7"/>
  <c r="BD9" i="7" s="1"/>
  <c r="BG82" i="4"/>
  <c r="BG89" i="4" s="1"/>
  <c r="GO117" i="4"/>
  <c r="GQ124" i="4"/>
  <c r="GQ123" i="4"/>
  <c r="GQ122" i="4"/>
  <c r="GQ121" i="4"/>
  <c r="GQ120" i="4"/>
  <c r="GQ118" i="4"/>
  <c r="GQ119" i="4"/>
  <c r="GQ47" i="4"/>
  <c r="GQ83" i="4"/>
  <c r="GQ51" i="4"/>
  <c r="GP89" i="4"/>
  <c r="GR3" i="4"/>
  <c r="BH64" i="4"/>
  <c r="BD35" i="4"/>
  <c r="GO26" i="4"/>
  <c r="GO27" i="4"/>
  <c r="GO33" i="4"/>
  <c r="BE33" i="4" s="1"/>
  <c r="GO32" i="4"/>
  <c r="BE32" i="4" s="1"/>
  <c r="GO34" i="4"/>
  <c r="GO39" i="4"/>
  <c r="GO38" i="4"/>
  <c r="GQ22" i="4"/>
  <c r="BG23" i="4"/>
  <c r="GP23" i="4"/>
  <c r="BH22" i="4"/>
  <c r="BH2" i="4"/>
  <c r="BI3" i="4"/>
  <c r="BH3" i="7" l="1"/>
  <c r="BI77" i="4"/>
  <c r="GR114" i="4"/>
  <c r="GR113" i="4" s="1"/>
  <c r="GR126" i="4"/>
  <c r="GR195" i="4"/>
  <c r="GR88" i="4"/>
  <c r="GR87" i="4" s="1"/>
  <c r="BH34" i="4"/>
  <c r="BH40" i="4"/>
  <c r="BH38" i="4"/>
  <c r="BH39" i="4"/>
  <c r="BH42" i="4"/>
  <c r="BH27" i="4"/>
  <c r="BE26" i="4"/>
  <c r="GP12" i="7"/>
  <c r="BB19" i="7"/>
  <c r="BB18" i="7"/>
  <c r="BA21" i="7"/>
  <c r="GO15" i="7"/>
  <c r="BE9" i="7" s="1"/>
  <c r="BE30" i="7" s="1"/>
  <c r="BC33" i="7"/>
  <c r="BC20" i="7" s="1"/>
  <c r="GP13" i="7"/>
  <c r="GP14" i="7"/>
  <c r="GQ3" i="7"/>
  <c r="GR197" i="4"/>
  <c r="BH14" i="7"/>
  <c r="BH13" i="7"/>
  <c r="BH10" i="7"/>
  <c r="GR2" i="4"/>
  <c r="BG2" i="7"/>
  <c r="BD29" i="7"/>
  <c r="BD32" i="7"/>
  <c r="BD30" i="7"/>
  <c r="BD31" i="7"/>
  <c r="BG83" i="4"/>
  <c r="BF5" i="7"/>
  <c r="BH82" i="4"/>
  <c r="BH89" i="4" s="1"/>
  <c r="GR83" i="4"/>
  <c r="GR116" i="4" s="1"/>
  <c r="GR122" i="4"/>
  <c r="GR121" i="4"/>
  <c r="GR123" i="4"/>
  <c r="GR124" i="4"/>
  <c r="GR120" i="4"/>
  <c r="GR118" i="4"/>
  <c r="GR119" i="4"/>
  <c r="GQ116" i="4"/>
  <c r="GR51" i="4"/>
  <c r="GP117" i="4"/>
  <c r="GQ89" i="4"/>
  <c r="GQ117" i="4" s="1"/>
  <c r="GR47" i="4"/>
  <c r="GS3" i="4"/>
  <c r="BI64" i="4"/>
  <c r="BH23" i="4"/>
  <c r="GQ23" i="4"/>
  <c r="BE35" i="4"/>
  <c r="GR22" i="4"/>
  <c r="GP26" i="4"/>
  <c r="GP27" i="4"/>
  <c r="GP32" i="4"/>
  <c r="BF32" i="4" s="1"/>
  <c r="GP33" i="4"/>
  <c r="BF33" i="4" s="1"/>
  <c r="GP34" i="4"/>
  <c r="GP38" i="4"/>
  <c r="GP39" i="4"/>
  <c r="BI22" i="4"/>
  <c r="BJ3" i="4"/>
  <c r="BI2" i="4"/>
  <c r="BI3" i="7" l="1"/>
  <c r="BJ77" i="4"/>
  <c r="GS114" i="4"/>
  <c r="GS113" i="4" s="1"/>
  <c r="GS126" i="4"/>
  <c r="BB21" i="7"/>
  <c r="BI40" i="4"/>
  <c r="BI38" i="4"/>
  <c r="BI42" i="4"/>
  <c r="BI34" i="4"/>
  <c r="BI39" i="4"/>
  <c r="BI27" i="4"/>
  <c r="GS195" i="4"/>
  <c r="GS88" i="4"/>
  <c r="GS87" i="4" s="1"/>
  <c r="BF26" i="4"/>
  <c r="BC18" i="7"/>
  <c r="GQ12" i="7"/>
  <c r="BC19" i="7"/>
  <c r="BE29" i="7"/>
  <c r="BE31" i="7"/>
  <c r="BE32" i="7"/>
  <c r="GP15" i="7"/>
  <c r="BF9" i="7" s="1"/>
  <c r="BF32" i="7" s="1"/>
  <c r="GQ13" i="7"/>
  <c r="GQ14" i="7"/>
  <c r="GR3" i="7"/>
  <c r="GS197" i="4"/>
  <c r="BD33" i="7"/>
  <c r="BD20" i="7" s="1"/>
  <c r="BH83" i="4"/>
  <c r="BG5" i="7"/>
  <c r="GS2" i="4"/>
  <c r="BH2" i="7"/>
  <c r="BI13" i="7"/>
  <c r="BI14" i="7"/>
  <c r="BI10" i="7"/>
  <c r="BI82" i="4"/>
  <c r="BI89" i="4" s="1"/>
  <c r="GR89" i="4"/>
  <c r="GS123" i="4"/>
  <c r="GS124" i="4"/>
  <c r="GS122" i="4"/>
  <c r="GS121" i="4"/>
  <c r="GS120" i="4"/>
  <c r="GS119" i="4"/>
  <c r="GS118" i="4"/>
  <c r="GS51" i="4"/>
  <c r="GS83" i="4"/>
  <c r="GS116" i="4" s="1"/>
  <c r="GS47" i="4"/>
  <c r="GT3" i="4"/>
  <c r="BJ64" i="4"/>
  <c r="BF35" i="4"/>
  <c r="GS22" i="4"/>
  <c r="GQ27" i="4"/>
  <c r="GQ26" i="4"/>
  <c r="GQ33" i="4"/>
  <c r="BG33" i="4" s="1"/>
  <c r="GQ32" i="4"/>
  <c r="BG32" i="4" s="1"/>
  <c r="GQ34" i="4"/>
  <c r="GQ39" i="4"/>
  <c r="GQ38" i="4"/>
  <c r="BI23" i="4"/>
  <c r="GR23" i="4"/>
  <c r="BJ22" i="4"/>
  <c r="BK3" i="4"/>
  <c r="BJ2" i="4"/>
  <c r="BJ3" i="7" l="1"/>
  <c r="BK77" i="4"/>
  <c r="GT114" i="4"/>
  <c r="GT113" i="4" s="1"/>
  <c r="GT126" i="4"/>
  <c r="BC21" i="7"/>
  <c r="GT195" i="4"/>
  <c r="GT88" i="4"/>
  <c r="GT87" i="4" s="1"/>
  <c r="BJ42" i="4"/>
  <c r="BJ40" i="4"/>
  <c r="BJ39" i="4"/>
  <c r="BJ27" i="4"/>
  <c r="BJ34" i="4"/>
  <c r="BJ38" i="4"/>
  <c r="BG26" i="4"/>
  <c r="BD19" i="7"/>
  <c r="GR13" i="7"/>
  <c r="BE33" i="7"/>
  <c r="BE20" i="7" s="1"/>
  <c r="BF30" i="7"/>
  <c r="BF29" i="7"/>
  <c r="BF31" i="7"/>
  <c r="GQ15" i="7"/>
  <c r="BG9" i="7" s="1"/>
  <c r="BG32" i="7" s="1"/>
  <c r="GR14" i="7"/>
  <c r="GR12" i="7"/>
  <c r="BD18" i="7"/>
  <c r="GS3" i="7"/>
  <c r="GT197" i="4"/>
  <c r="BI83" i="4"/>
  <c r="BH5" i="7"/>
  <c r="GT2" i="4"/>
  <c r="BI2" i="7"/>
  <c r="BJ14" i="7"/>
  <c r="BJ13" i="7"/>
  <c r="BJ10" i="7"/>
  <c r="BJ82" i="4"/>
  <c r="BJ89" i="4" s="1"/>
  <c r="GR117" i="4"/>
  <c r="GT51" i="4"/>
  <c r="GT124" i="4"/>
  <c r="GT123" i="4"/>
  <c r="GT122" i="4"/>
  <c r="GT121" i="4"/>
  <c r="GT119" i="4"/>
  <c r="GT118" i="4"/>
  <c r="GT120" i="4"/>
  <c r="GT47" i="4"/>
  <c r="GT83" i="4"/>
  <c r="GT116" i="4" s="1"/>
  <c r="GS89" i="4"/>
  <c r="GU3" i="4"/>
  <c r="GU126" i="4" s="1"/>
  <c r="BK64" i="4"/>
  <c r="GR27" i="4"/>
  <c r="GR26" i="4"/>
  <c r="GR32" i="4"/>
  <c r="BH32" i="4" s="1"/>
  <c r="GR33" i="4"/>
  <c r="BH33" i="4" s="1"/>
  <c r="GR34" i="4"/>
  <c r="GR39" i="4"/>
  <c r="GR38" i="4"/>
  <c r="BG35" i="4"/>
  <c r="BJ23" i="4"/>
  <c r="GS23" i="4"/>
  <c r="GT22" i="4"/>
  <c r="BK22" i="4"/>
  <c r="BL3" i="4"/>
  <c r="BK2" i="4"/>
  <c r="BK3" i="7" l="1"/>
  <c r="BL77" i="4"/>
  <c r="GU88" i="4"/>
  <c r="GU87" i="4" s="1"/>
  <c r="GU114" i="4"/>
  <c r="GU113" i="4" s="1"/>
  <c r="BK38" i="4"/>
  <c r="BK42" i="4"/>
  <c r="BK39" i="4"/>
  <c r="BK40" i="4"/>
  <c r="BK34" i="4"/>
  <c r="BK27" i="4"/>
  <c r="BH26" i="4"/>
  <c r="BE19" i="7"/>
  <c r="GS12" i="7"/>
  <c r="BG31" i="7"/>
  <c r="BG30" i="7"/>
  <c r="BE18" i="7"/>
  <c r="BG29" i="7"/>
  <c r="BF33" i="7"/>
  <c r="BF20" i="7" s="1"/>
  <c r="GR15" i="7"/>
  <c r="BH9" i="7" s="1"/>
  <c r="BH29" i="7" s="1"/>
  <c r="BD21" i="7"/>
  <c r="GU197" i="4"/>
  <c r="GU195" i="4"/>
  <c r="GS14" i="7"/>
  <c r="GS13" i="7"/>
  <c r="GU2" i="4"/>
  <c r="BJ2" i="7"/>
  <c r="GU47" i="4"/>
  <c r="GT3" i="7"/>
  <c r="BJ83" i="4"/>
  <c r="BI5" i="7"/>
  <c r="BK13" i="7"/>
  <c r="BK14" i="7"/>
  <c r="BK10" i="7"/>
  <c r="BK82" i="4"/>
  <c r="BK89" i="4" s="1"/>
  <c r="GU83" i="4"/>
  <c r="GU116" i="4" s="1"/>
  <c r="GU124" i="4"/>
  <c r="GU123" i="4"/>
  <c r="GU122" i="4"/>
  <c r="GU121" i="4"/>
  <c r="GU119" i="4"/>
  <c r="GU118" i="4"/>
  <c r="GU120" i="4"/>
  <c r="GU51" i="4"/>
  <c r="GS117" i="4"/>
  <c r="GT89" i="4"/>
  <c r="GV3" i="4"/>
  <c r="BL64" i="4"/>
  <c r="BH35" i="4"/>
  <c r="GU22" i="4"/>
  <c r="BK23" i="4"/>
  <c r="GT23" i="4"/>
  <c r="GS26" i="4"/>
  <c r="GS27" i="4"/>
  <c r="GS33" i="4"/>
  <c r="BI33" i="4" s="1"/>
  <c r="GS32" i="4"/>
  <c r="BI32" i="4" s="1"/>
  <c r="GS34" i="4"/>
  <c r="GS38" i="4"/>
  <c r="GS39" i="4"/>
  <c r="BL22" i="4"/>
  <c r="BM3" i="4"/>
  <c r="BL2" i="4"/>
  <c r="BL3" i="7" l="1"/>
  <c r="BM77" i="4"/>
  <c r="GV114" i="4"/>
  <c r="GV113" i="4" s="1"/>
  <c r="GV126" i="4"/>
  <c r="GV195" i="4"/>
  <c r="GV88" i="4"/>
  <c r="GV87" i="4" s="1"/>
  <c r="BL42" i="4"/>
  <c r="BL39" i="4"/>
  <c r="BL38" i="4"/>
  <c r="BL40" i="4"/>
  <c r="BL34" i="4"/>
  <c r="BL27" i="4"/>
  <c r="BI26" i="4"/>
  <c r="BF18" i="7"/>
  <c r="BG33" i="7"/>
  <c r="BG20" i="7" s="1"/>
  <c r="BH32" i="7"/>
  <c r="BH30" i="7"/>
  <c r="BF19" i="7"/>
  <c r="BE21" i="7"/>
  <c r="BH31" i="7"/>
  <c r="GS15" i="7"/>
  <c r="BI9" i="7" s="1"/>
  <c r="BI30" i="7" s="1"/>
  <c r="GU3" i="7"/>
  <c r="GV197" i="4"/>
  <c r="GT14" i="7"/>
  <c r="GT12" i="7"/>
  <c r="GT13" i="7"/>
  <c r="GV2" i="4"/>
  <c r="BK2" i="7"/>
  <c r="BL14" i="7"/>
  <c r="BL13" i="7"/>
  <c r="BL10" i="7"/>
  <c r="BK83" i="4"/>
  <c r="BJ5" i="7"/>
  <c r="BL82" i="4"/>
  <c r="BL89" i="4" s="1"/>
  <c r="GU89" i="4"/>
  <c r="GU117" i="4" s="1"/>
  <c r="GV83" i="4"/>
  <c r="GV116" i="4" s="1"/>
  <c r="GV121" i="4"/>
  <c r="GV122" i="4"/>
  <c r="GV124" i="4"/>
  <c r="GV120" i="4"/>
  <c r="GV123" i="4"/>
  <c r="GV119" i="4"/>
  <c r="GV118" i="4"/>
  <c r="GV51" i="4"/>
  <c r="GT117" i="4"/>
  <c r="GV47" i="4"/>
  <c r="GW3" i="4"/>
  <c r="BM64" i="4"/>
  <c r="GT26" i="4"/>
  <c r="GT27" i="4"/>
  <c r="GT33" i="4"/>
  <c r="BJ33" i="4" s="1"/>
  <c r="GT32" i="4"/>
  <c r="BJ32" i="4" s="1"/>
  <c r="GT34" i="4"/>
  <c r="GT38" i="4"/>
  <c r="GT39" i="4"/>
  <c r="GV22" i="4"/>
  <c r="BL23" i="4"/>
  <c r="GU23" i="4"/>
  <c r="BI35" i="4"/>
  <c r="BM22" i="4"/>
  <c r="BN3" i="4"/>
  <c r="BM2" i="4"/>
  <c r="BM3" i="7" l="1"/>
  <c r="BN77" i="4"/>
  <c r="GW114" i="4"/>
  <c r="GW113" i="4" s="1"/>
  <c r="GW126" i="4"/>
  <c r="GW195" i="4"/>
  <c r="GW88" i="4"/>
  <c r="GW87" i="4" s="1"/>
  <c r="BM42" i="4"/>
  <c r="BM38" i="4"/>
  <c r="BM40" i="4"/>
  <c r="BM27" i="4"/>
  <c r="BM34" i="4"/>
  <c r="BM39" i="4"/>
  <c r="BJ26" i="4"/>
  <c r="GU14" i="7"/>
  <c r="BF21" i="7"/>
  <c r="BG19" i="7"/>
  <c r="BG18" i="7"/>
  <c r="BH33" i="7"/>
  <c r="BH20" i="7" s="1"/>
  <c r="BI29" i="7"/>
  <c r="BI32" i="7"/>
  <c r="BI31" i="7"/>
  <c r="GU13" i="7"/>
  <c r="GU12" i="7"/>
  <c r="GV3" i="7"/>
  <c r="GW197" i="4"/>
  <c r="BL83" i="4"/>
  <c r="BK5" i="7"/>
  <c r="GW2" i="4"/>
  <c r="BL2" i="7"/>
  <c r="BM14" i="7"/>
  <c r="BM13" i="7"/>
  <c r="BM10" i="7"/>
  <c r="GT15" i="7"/>
  <c r="BJ9" i="7" s="1"/>
  <c r="BM82" i="4"/>
  <c r="BM89" i="4" s="1"/>
  <c r="GV89" i="4"/>
  <c r="GW83" i="4"/>
  <c r="GW116" i="4" s="1"/>
  <c r="GW122" i="4"/>
  <c r="GW123" i="4"/>
  <c r="GW121" i="4"/>
  <c r="GW120" i="4"/>
  <c r="GW119" i="4"/>
  <c r="GW124" i="4"/>
  <c r="GW118" i="4"/>
  <c r="GW47" i="4"/>
  <c r="GW51" i="4"/>
  <c r="GX3" i="4"/>
  <c r="BN64" i="4"/>
  <c r="GU27" i="4"/>
  <c r="GU26" i="4"/>
  <c r="GU32" i="4"/>
  <c r="BK32" i="4" s="1"/>
  <c r="GU33" i="4"/>
  <c r="BK33" i="4" s="1"/>
  <c r="GU34" i="4"/>
  <c r="GU38" i="4"/>
  <c r="GU39" i="4"/>
  <c r="BM23" i="4"/>
  <c r="GV23" i="4"/>
  <c r="BJ35" i="4"/>
  <c r="GW22" i="4"/>
  <c r="BN22" i="4"/>
  <c r="BO3" i="4"/>
  <c r="BN2" i="4"/>
  <c r="BN3" i="7" l="1"/>
  <c r="BO77" i="4"/>
  <c r="GX114" i="4"/>
  <c r="GX113" i="4" s="1"/>
  <c r="GX126" i="4"/>
  <c r="GX195" i="4"/>
  <c r="GX88" i="4"/>
  <c r="GX87" i="4" s="1"/>
  <c r="BN39" i="4"/>
  <c r="BN34" i="4"/>
  <c r="BN40" i="4"/>
  <c r="BN42" i="4"/>
  <c r="BN38" i="4"/>
  <c r="BN27" i="4"/>
  <c r="BK26" i="4"/>
  <c r="BH19" i="7"/>
  <c r="GV13" i="7"/>
  <c r="BH18" i="7"/>
  <c r="BG21" i="7"/>
  <c r="BI33" i="7"/>
  <c r="BI20" i="7" s="1"/>
  <c r="GU15" i="7"/>
  <c r="BK9" i="7" s="1"/>
  <c r="BK32" i="7" s="1"/>
  <c r="GV12" i="7"/>
  <c r="GV14" i="7"/>
  <c r="GW3" i="7"/>
  <c r="GX197" i="4"/>
  <c r="BM83" i="4"/>
  <c r="BL5" i="7"/>
  <c r="BJ30" i="7"/>
  <c r="BJ32" i="7"/>
  <c r="BJ31" i="7"/>
  <c r="BJ29" i="7"/>
  <c r="BN14" i="7"/>
  <c r="BN13" i="7"/>
  <c r="BN10" i="7"/>
  <c r="GX2" i="4"/>
  <c r="BM2" i="7"/>
  <c r="BN82" i="4"/>
  <c r="BN89" i="4" s="1"/>
  <c r="GV117" i="4"/>
  <c r="GW89" i="4"/>
  <c r="GW117" i="4" s="1"/>
  <c r="GX83" i="4"/>
  <c r="GX116" i="4" s="1"/>
  <c r="GX123" i="4"/>
  <c r="GX124" i="4"/>
  <c r="GX122" i="4"/>
  <c r="GX121" i="4"/>
  <c r="GX118" i="4"/>
  <c r="GX119" i="4"/>
  <c r="GX120" i="4"/>
  <c r="GX47" i="4"/>
  <c r="GX51" i="4"/>
  <c r="GY3" i="4"/>
  <c r="BO64" i="4"/>
  <c r="BK35" i="4"/>
  <c r="GV27" i="4"/>
  <c r="GV26" i="4"/>
  <c r="GV32" i="4"/>
  <c r="BL32" i="4" s="1"/>
  <c r="GV33" i="4"/>
  <c r="BL33" i="4" s="1"/>
  <c r="GV34" i="4"/>
  <c r="GV38" i="4"/>
  <c r="GV39" i="4"/>
  <c r="GX22" i="4"/>
  <c r="BN23" i="4"/>
  <c r="GW23" i="4"/>
  <c r="BO22" i="4"/>
  <c r="BP3" i="4"/>
  <c r="BO2" i="4"/>
  <c r="BO3" i="7" l="1"/>
  <c r="BP77" i="4"/>
  <c r="GY114" i="4"/>
  <c r="GY113" i="4" s="1"/>
  <c r="GY126" i="4"/>
  <c r="BH21" i="7"/>
  <c r="GY195" i="4"/>
  <c r="GY88" i="4"/>
  <c r="GY87" i="4" s="1"/>
  <c r="BO40" i="4"/>
  <c r="BO39" i="4"/>
  <c r="BO38" i="4"/>
  <c r="BO42" i="4"/>
  <c r="BO34" i="4"/>
  <c r="BO27" i="4"/>
  <c r="BL26" i="4"/>
  <c r="BI19" i="7"/>
  <c r="GW13" i="7"/>
  <c r="BK29" i="7"/>
  <c r="BK30" i="7"/>
  <c r="BI18" i="7"/>
  <c r="BK31" i="7"/>
  <c r="GV15" i="7"/>
  <c r="BL9" i="7" s="1"/>
  <c r="BL32" i="7" s="1"/>
  <c r="GW12" i="7"/>
  <c r="GW14" i="7"/>
  <c r="GX3" i="7"/>
  <c r="GY197" i="4"/>
  <c r="BJ33" i="7"/>
  <c r="BJ20" i="7" s="1"/>
  <c r="BO13" i="7"/>
  <c r="BO14" i="7"/>
  <c r="BO10" i="7"/>
  <c r="BN83" i="4"/>
  <c r="BM5" i="7"/>
  <c r="GY2" i="4"/>
  <c r="BN2" i="7"/>
  <c r="BO82" i="4"/>
  <c r="BO89" i="4" s="1"/>
  <c r="GX89" i="4"/>
  <c r="GX117" i="4" s="1"/>
  <c r="GY83" i="4"/>
  <c r="GY116" i="4" s="1"/>
  <c r="GY124" i="4"/>
  <c r="GY123" i="4"/>
  <c r="GY122" i="4"/>
  <c r="GY121" i="4"/>
  <c r="GY118" i="4"/>
  <c r="GY119" i="4"/>
  <c r="GY120" i="4"/>
  <c r="GY47" i="4"/>
  <c r="GY51" i="4"/>
  <c r="GZ3" i="4"/>
  <c r="BP64" i="4"/>
  <c r="GY22" i="4"/>
  <c r="GW27" i="4"/>
  <c r="GW26" i="4"/>
  <c r="GW32" i="4"/>
  <c r="BM32" i="4" s="1"/>
  <c r="GW33" i="4"/>
  <c r="BM33" i="4" s="1"/>
  <c r="GW34" i="4"/>
  <c r="GW38" i="4"/>
  <c r="GW39" i="4"/>
  <c r="BL35" i="4"/>
  <c r="BO23" i="4"/>
  <c r="GX23" i="4"/>
  <c r="BP22" i="4"/>
  <c r="BP2" i="4"/>
  <c r="BQ3" i="4"/>
  <c r="BP3" i="7" l="1"/>
  <c r="BQ77" i="4"/>
  <c r="GZ114" i="4"/>
  <c r="GZ113" i="4" s="1"/>
  <c r="GZ126" i="4"/>
  <c r="GZ195" i="4"/>
  <c r="GZ88" i="4"/>
  <c r="GZ87" i="4" s="1"/>
  <c r="BP34" i="4"/>
  <c r="BP40" i="4"/>
  <c r="BP38" i="4"/>
  <c r="BP39" i="4"/>
  <c r="BP42" i="4"/>
  <c r="BP27" i="4"/>
  <c r="BM26" i="4"/>
  <c r="BJ18" i="7"/>
  <c r="GX13" i="7"/>
  <c r="BI21" i="7"/>
  <c r="BK33" i="7"/>
  <c r="BK20" i="7" s="1"/>
  <c r="GW15" i="7"/>
  <c r="BM9" i="7" s="1"/>
  <c r="BM32" i="7" s="1"/>
  <c r="BL30" i="7"/>
  <c r="BL29" i="7"/>
  <c r="BL31" i="7"/>
  <c r="GX12" i="7"/>
  <c r="GX14" i="7"/>
  <c r="GY3" i="7"/>
  <c r="GZ197" i="4"/>
  <c r="BJ19" i="7"/>
  <c r="GZ2" i="4"/>
  <c r="BO2" i="7"/>
  <c r="BO83" i="4"/>
  <c r="BN5" i="7"/>
  <c r="BP13" i="7"/>
  <c r="BP14" i="7"/>
  <c r="BP10" i="7"/>
  <c r="BP82" i="4"/>
  <c r="BP89" i="4" s="1"/>
  <c r="GY89" i="4"/>
  <c r="GY117" i="4" s="1"/>
  <c r="GZ83" i="4"/>
  <c r="GZ116" i="4" s="1"/>
  <c r="GZ124" i="4"/>
  <c r="GZ121" i="4"/>
  <c r="GZ123" i="4"/>
  <c r="GZ119" i="4"/>
  <c r="GZ122" i="4"/>
  <c r="GZ120" i="4"/>
  <c r="GZ118" i="4"/>
  <c r="GZ51" i="4"/>
  <c r="GZ47" i="4"/>
  <c r="HA3" i="4"/>
  <c r="BQ64" i="4"/>
  <c r="BM35" i="4"/>
  <c r="GZ22" i="4"/>
  <c r="GX27" i="4"/>
  <c r="GX26" i="4"/>
  <c r="GX33" i="4"/>
  <c r="BN33" i="4" s="1"/>
  <c r="GX32" i="4"/>
  <c r="BN32" i="4" s="1"/>
  <c r="GX34" i="4"/>
  <c r="GX38" i="4"/>
  <c r="GX39" i="4"/>
  <c r="BP23" i="4"/>
  <c r="GY23" i="4"/>
  <c r="BQ22" i="4"/>
  <c r="BR3" i="4"/>
  <c r="BQ2" i="4"/>
  <c r="BQ3" i="7" l="1"/>
  <c r="BR77" i="4"/>
  <c r="HA114" i="4"/>
  <c r="HA113" i="4" s="1"/>
  <c r="HA126" i="4"/>
  <c r="HA195" i="4"/>
  <c r="HA88" i="4"/>
  <c r="HA87" i="4" s="1"/>
  <c r="BQ40" i="4"/>
  <c r="BQ38" i="4"/>
  <c r="BQ42" i="4"/>
  <c r="BQ34" i="4"/>
  <c r="BQ39" i="4"/>
  <c r="BQ27" i="4"/>
  <c r="BN26" i="4"/>
  <c r="BK19" i="7"/>
  <c r="GY13" i="7"/>
  <c r="BM29" i="7"/>
  <c r="BM30" i="7"/>
  <c r="BK18" i="7"/>
  <c r="BM31" i="7"/>
  <c r="BL33" i="7"/>
  <c r="BL20" i="7" s="1"/>
  <c r="GX15" i="7"/>
  <c r="BN9" i="7" s="1"/>
  <c r="BN30" i="7" s="1"/>
  <c r="GY12" i="7"/>
  <c r="GY14" i="7"/>
  <c r="BJ21" i="7"/>
  <c r="GZ3" i="7"/>
  <c r="HA197" i="4"/>
  <c r="BQ14" i="7"/>
  <c r="BQ13" i="7"/>
  <c r="BQ10" i="7"/>
  <c r="BP83" i="4"/>
  <c r="BO5" i="7"/>
  <c r="HA2" i="4"/>
  <c r="BP2" i="7"/>
  <c r="BQ82" i="4"/>
  <c r="BQ89" i="4" s="1"/>
  <c r="GZ89" i="4"/>
  <c r="GZ117" i="4" s="1"/>
  <c r="HA83" i="4"/>
  <c r="HA116" i="4" s="1"/>
  <c r="HA122" i="4"/>
  <c r="HA124" i="4"/>
  <c r="HA121" i="4"/>
  <c r="HA120" i="4"/>
  <c r="HA119" i="4"/>
  <c r="HA123" i="4"/>
  <c r="HA118" i="4"/>
  <c r="HA47" i="4"/>
  <c r="HA51" i="4"/>
  <c r="HB3" i="4"/>
  <c r="BR64" i="4"/>
  <c r="BN35" i="4"/>
  <c r="GY26" i="4"/>
  <c r="GY27" i="4"/>
  <c r="GY32" i="4"/>
  <c r="BO32" i="4" s="1"/>
  <c r="GY33" i="4"/>
  <c r="BO33" i="4" s="1"/>
  <c r="GY34" i="4"/>
  <c r="GY38" i="4"/>
  <c r="GY39" i="4"/>
  <c r="BQ23" i="4"/>
  <c r="GZ23" i="4"/>
  <c r="HA22" i="4"/>
  <c r="BR22" i="4"/>
  <c r="BS3" i="4"/>
  <c r="BR2" i="4"/>
  <c r="BR3" i="7" l="1"/>
  <c r="BS77" i="4"/>
  <c r="HB114" i="4"/>
  <c r="HB113" i="4" s="1"/>
  <c r="HB126" i="4"/>
  <c r="HB195" i="4"/>
  <c r="HB88" i="4"/>
  <c r="HB87" i="4" s="1"/>
  <c r="BR42" i="4"/>
  <c r="BR40" i="4"/>
  <c r="BR38" i="4"/>
  <c r="BR34" i="4"/>
  <c r="BR39" i="4"/>
  <c r="BR27" i="4"/>
  <c r="BK21" i="7"/>
  <c r="BO26" i="4"/>
  <c r="BM33" i="7"/>
  <c r="BM20" i="7" s="1"/>
  <c r="GZ14" i="7"/>
  <c r="BL19" i="7"/>
  <c r="BL18" i="7"/>
  <c r="BN31" i="7"/>
  <c r="BN29" i="7"/>
  <c r="BN32" i="7"/>
  <c r="GY15" i="7"/>
  <c r="BO9" i="7" s="1"/>
  <c r="BO31" i="7" s="1"/>
  <c r="GZ13" i="7"/>
  <c r="GZ12" i="7"/>
  <c r="HA3" i="7"/>
  <c r="HB197" i="4"/>
  <c r="BR13" i="7"/>
  <c r="BR14" i="7"/>
  <c r="BR10" i="7"/>
  <c r="HB2" i="4"/>
  <c r="BQ2" i="7"/>
  <c r="BQ83" i="4"/>
  <c r="BP5" i="7"/>
  <c r="BR82" i="4"/>
  <c r="BR89" i="4" s="1"/>
  <c r="HA89" i="4"/>
  <c r="HA117" i="4" s="1"/>
  <c r="HB83" i="4"/>
  <c r="HB116" i="4" s="1"/>
  <c r="HB122" i="4"/>
  <c r="HB123" i="4"/>
  <c r="HB120" i="4"/>
  <c r="HB118" i="4"/>
  <c r="HB124" i="4"/>
  <c r="HB121" i="4"/>
  <c r="HB119" i="4"/>
  <c r="HB47" i="4"/>
  <c r="HB51" i="4"/>
  <c r="HC3" i="4"/>
  <c r="HC126" i="4" s="1"/>
  <c r="BS64" i="4"/>
  <c r="HB22" i="4"/>
  <c r="BR23" i="4"/>
  <c r="HA23" i="4"/>
  <c r="BO35" i="4"/>
  <c r="GZ26" i="4"/>
  <c r="GZ27" i="4"/>
  <c r="GZ33" i="4"/>
  <c r="BP33" i="4" s="1"/>
  <c r="GZ32" i="4"/>
  <c r="BP32" i="4" s="1"/>
  <c r="GZ34" i="4"/>
  <c r="GZ39" i="4"/>
  <c r="GZ38" i="4"/>
  <c r="BS22" i="4"/>
  <c r="BT3" i="4"/>
  <c r="BS2" i="4"/>
  <c r="BS3" i="7" l="1"/>
  <c r="BT77" i="4"/>
  <c r="HC88" i="4"/>
  <c r="HC87" i="4" s="1"/>
  <c r="HC114" i="4"/>
  <c r="HC113" i="4" s="1"/>
  <c r="BS38" i="4"/>
  <c r="BS42" i="4"/>
  <c r="BS39" i="4"/>
  <c r="BS40" i="4"/>
  <c r="BS34" i="4"/>
  <c r="BS27" i="4"/>
  <c r="BP26" i="4"/>
  <c r="BM19" i="7"/>
  <c r="BM18" i="7"/>
  <c r="HA14" i="7"/>
  <c r="BO29" i="7"/>
  <c r="BO32" i="7"/>
  <c r="BL21" i="7"/>
  <c r="BO30" i="7"/>
  <c r="BN33" i="7"/>
  <c r="BN20" i="7" s="1"/>
  <c r="HA12" i="7"/>
  <c r="HA13" i="7"/>
  <c r="GZ15" i="7"/>
  <c r="BP9" i="7" s="1"/>
  <c r="BP30" i="7" s="1"/>
  <c r="HC197" i="4"/>
  <c r="HC195" i="4"/>
  <c r="BR83" i="4"/>
  <c r="BQ5" i="7"/>
  <c r="BS13" i="7"/>
  <c r="BS14" i="7"/>
  <c r="BS10" i="7"/>
  <c r="HC51" i="4"/>
  <c r="HB3" i="7"/>
  <c r="HC2" i="4"/>
  <c r="BR2" i="7"/>
  <c r="BS82" i="4"/>
  <c r="BS89" i="4" s="1"/>
  <c r="HB89" i="4"/>
  <c r="HB117" i="4" s="1"/>
  <c r="HC83" i="4"/>
  <c r="HC116" i="4" s="1"/>
  <c r="HC124" i="4"/>
  <c r="HC123" i="4"/>
  <c r="HC122" i="4"/>
  <c r="HC121" i="4"/>
  <c r="HC118" i="4"/>
  <c r="HC120" i="4"/>
  <c r="HC119" i="4"/>
  <c r="HC47" i="4"/>
  <c r="HD3" i="4"/>
  <c r="BT64" i="4"/>
  <c r="HC22" i="4"/>
  <c r="BP35" i="4"/>
  <c r="HA26" i="4"/>
  <c r="HA27" i="4"/>
  <c r="HA32" i="4"/>
  <c r="BQ32" i="4" s="1"/>
  <c r="HA33" i="4"/>
  <c r="BQ33" i="4" s="1"/>
  <c r="HA34" i="4"/>
  <c r="HA38" i="4"/>
  <c r="HA39" i="4"/>
  <c r="BS23" i="4"/>
  <c r="HB23" i="4"/>
  <c r="BT22" i="4"/>
  <c r="BU3" i="4"/>
  <c r="BT2" i="4"/>
  <c r="BT3" i="7" l="1"/>
  <c r="BU77" i="4"/>
  <c r="HD114" i="4"/>
  <c r="HD113" i="4" s="1"/>
  <c r="HD126" i="4"/>
  <c r="BM21" i="7"/>
  <c r="HD195" i="4"/>
  <c r="HD88" i="4"/>
  <c r="HD87" i="4" s="1"/>
  <c r="BT42" i="4"/>
  <c r="BT39" i="4"/>
  <c r="BT38" i="4"/>
  <c r="BT40" i="4"/>
  <c r="BT34" i="4"/>
  <c r="BT27" i="4"/>
  <c r="BQ26" i="4"/>
  <c r="BO33" i="7"/>
  <c r="BO20" i="7" s="1"/>
  <c r="BN19" i="7"/>
  <c r="BN18" i="7"/>
  <c r="BP32" i="7"/>
  <c r="HA15" i="7"/>
  <c r="BQ9" i="7" s="1"/>
  <c r="BQ32" i="7" s="1"/>
  <c r="BP31" i="7"/>
  <c r="BP29" i="7"/>
  <c r="HC3" i="7"/>
  <c r="HD197" i="4"/>
  <c r="BS83" i="4"/>
  <c r="BR5" i="7"/>
  <c r="HB13" i="7"/>
  <c r="HB12" i="7"/>
  <c r="HB14" i="7"/>
  <c r="HD2" i="4"/>
  <c r="BS2" i="7"/>
  <c r="BT13" i="7"/>
  <c r="BT14" i="7"/>
  <c r="BT10" i="7"/>
  <c r="BT82" i="4"/>
  <c r="BT89" i="4" s="1"/>
  <c r="HC89" i="4"/>
  <c r="HC117" i="4" s="1"/>
  <c r="HD83" i="4"/>
  <c r="HD116" i="4" s="1"/>
  <c r="HD123" i="4"/>
  <c r="HD121" i="4"/>
  <c r="HD124" i="4"/>
  <c r="HD122" i="4"/>
  <c r="HD120" i="4"/>
  <c r="HD119" i="4"/>
  <c r="HD118" i="4"/>
  <c r="HD47" i="4"/>
  <c r="HD51" i="4"/>
  <c r="HE3" i="4"/>
  <c r="BU64" i="4"/>
  <c r="BT23" i="4"/>
  <c r="HC23" i="4"/>
  <c r="BQ35" i="4"/>
  <c r="HD22" i="4"/>
  <c r="HB27" i="4"/>
  <c r="HB26" i="4"/>
  <c r="HB32" i="4"/>
  <c r="BR32" i="4" s="1"/>
  <c r="HB33" i="4"/>
  <c r="BR33" i="4" s="1"/>
  <c r="HB34" i="4"/>
  <c r="HB39" i="4"/>
  <c r="HB38" i="4"/>
  <c r="BU22" i="4"/>
  <c r="BV3" i="4"/>
  <c r="BU2" i="4"/>
  <c r="BU3" i="7" l="1"/>
  <c r="BV77" i="4"/>
  <c r="HE114" i="4"/>
  <c r="HE113" i="4" s="1"/>
  <c r="HE126" i="4"/>
  <c r="HE195" i="4"/>
  <c r="HE88" i="4"/>
  <c r="HE87" i="4" s="1"/>
  <c r="BU42" i="4"/>
  <c r="BU40" i="4"/>
  <c r="BU39" i="4"/>
  <c r="BU34" i="4"/>
  <c r="BU27" i="4"/>
  <c r="BU38" i="4"/>
  <c r="BR26" i="4"/>
  <c r="HC12" i="7"/>
  <c r="BO18" i="7"/>
  <c r="BO19" i="7"/>
  <c r="BN21" i="7"/>
  <c r="BQ29" i="7"/>
  <c r="BQ30" i="7"/>
  <c r="BQ31" i="7"/>
  <c r="BP33" i="7"/>
  <c r="BP20" i="7" s="1"/>
  <c r="HC13" i="7"/>
  <c r="HC14" i="7"/>
  <c r="HD3" i="7"/>
  <c r="HE197" i="4"/>
  <c r="HB15" i="7"/>
  <c r="BR9" i="7" s="1"/>
  <c r="BR29" i="7" s="1"/>
  <c r="BT83" i="4"/>
  <c r="BS5" i="7"/>
  <c r="HE2" i="4"/>
  <c r="BT2" i="7"/>
  <c r="BU14" i="7"/>
  <c r="BU13" i="7"/>
  <c r="BU10" i="7"/>
  <c r="BU82" i="4"/>
  <c r="BU89" i="4" s="1"/>
  <c r="HD89" i="4"/>
  <c r="HE47" i="4"/>
  <c r="HE124" i="4"/>
  <c r="HE123" i="4"/>
  <c r="HE121" i="4"/>
  <c r="HE120" i="4"/>
  <c r="HE119" i="4"/>
  <c r="HE122" i="4"/>
  <c r="HE118" i="4"/>
  <c r="HE51" i="4"/>
  <c r="HE83" i="4"/>
  <c r="HE116" i="4" s="1"/>
  <c r="HF3" i="4"/>
  <c r="BV64" i="4"/>
  <c r="HE22" i="4"/>
  <c r="HC26" i="4"/>
  <c r="HC27" i="4"/>
  <c r="HC32" i="4"/>
  <c r="BS32" i="4" s="1"/>
  <c r="HC33" i="4"/>
  <c r="BS33" i="4" s="1"/>
  <c r="HC34" i="4"/>
  <c r="HC38" i="4"/>
  <c r="HC39" i="4"/>
  <c r="BR35" i="4"/>
  <c r="BU23" i="4"/>
  <c r="HD23" i="4"/>
  <c r="BV22" i="4"/>
  <c r="BW3" i="4"/>
  <c r="BV2" i="4"/>
  <c r="BV3" i="7" l="1"/>
  <c r="BV10" i="7" s="1"/>
  <c r="BW77" i="4"/>
  <c r="HF114" i="4"/>
  <c r="HF113" i="4" s="1"/>
  <c r="HF126" i="4"/>
  <c r="HF195" i="4"/>
  <c r="HF88" i="4"/>
  <c r="HF87" i="4" s="1"/>
  <c r="BV39" i="4"/>
  <c r="BV34" i="4"/>
  <c r="BV40" i="4"/>
  <c r="BV42" i="4"/>
  <c r="BV38" i="4"/>
  <c r="BV27" i="4"/>
  <c r="BS26" i="4"/>
  <c r="BP19" i="7"/>
  <c r="HD14" i="7"/>
  <c r="BO21" i="7"/>
  <c r="BQ33" i="7"/>
  <c r="BQ20" i="7" s="1"/>
  <c r="BP18" i="7"/>
  <c r="HC15" i="7"/>
  <c r="BS9" i="7" s="1"/>
  <c r="BS31" i="7" s="1"/>
  <c r="HD12" i="7"/>
  <c r="HD13" i="7"/>
  <c r="HE3" i="7"/>
  <c r="HF197" i="4"/>
  <c r="BR30" i="7"/>
  <c r="BR32" i="7"/>
  <c r="BR31" i="7"/>
  <c r="BU83" i="4"/>
  <c r="BT5" i="7"/>
  <c r="HF2" i="4"/>
  <c r="BU2" i="7"/>
  <c r="BV13" i="7"/>
  <c r="BV82" i="4"/>
  <c r="BV89" i="4" s="1"/>
  <c r="HD117" i="4"/>
  <c r="HF83" i="4"/>
  <c r="HF116" i="4" s="1"/>
  <c r="HF122" i="4"/>
  <c r="HF124" i="4"/>
  <c r="HF119" i="4"/>
  <c r="HF121" i="4"/>
  <c r="HF120" i="4"/>
  <c r="HF118" i="4"/>
  <c r="HF123" i="4"/>
  <c r="HE89" i="4"/>
  <c r="HF47" i="4"/>
  <c r="HF51" i="4"/>
  <c r="HG3" i="4"/>
  <c r="BW64" i="4"/>
  <c r="BS35" i="4"/>
  <c r="BV23" i="4"/>
  <c r="HE23" i="4"/>
  <c r="HF22" i="4"/>
  <c r="HD26" i="4"/>
  <c r="HD27" i="4"/>
  <c r="HD32" i="4"/>
  <c r="BT32" i="4" s="1"/>
  <c r="HD33" i="4"/>
  <c r="BT33" i="4" s="1"/>
  <c r="HD34" i="4"/>
  <c r="HD38" i="4"/>
  <c r="HD39" i="4"/>
  <c r="BW22" i="4"/>
  <c r="BX3" i="4"/>
  <c r="BW2" i="4"/>
  <c r="BV14" i="7" l="1"/>
  <c r="BW3" i="7"/>
  <c r="BX77" i="4"/>
  <c r="HG114" i="4"/>
  <c r="HG113" i="4" s="1"/>
  <c r="HG126" i="4"/>
  <c r="HG195" i="4"/>
  <c r="HG88" i="4"/>
  <c r="HG87" i="4" s="1"/>
  <c r="BW40" i="4"/>
  <c r="BW39" i="4"/>
  <c r="BW42" i="4"/>
  <c r="BW38" i="4"/>
  <c r="BW34" i="4"/>
  <c r="BW27" i="4"/>
  <c r="BP21" i="7"/>
  <c r="BT26" i="4"/>
  <c r="HE14" i="7"/>
  <c r="BQ18" i="7"/>
  <c r="BQ19" i="7"/>
  <c r="BS30" i="7"/>
  <c r="BS29" i="7"/>
  <c r="BS32" i="7"/>
  <c r="HD15" i="7"/>
  <c r="BT9" i="7" s="1"/>
  <c r="BT32" i="7" s="1"/>
  <c r="HE13" i="7"/>
  <c r="HE12" i="7"/>
  <c r="HF3" i="7"/>
  <c r="HG197" i="4"/>
  <c r="BR33" i="7"/>
  <c r="BR20" i="7" s="1"/>
  <c r="HG2" i="4"/>
  <c r="BV2" i="7"/>
  <c r="BW13" i="7"/>
  <c r="BW14" i="7"/>
  <c r="BW10" i="7"/>
  <c r="BV83" i="4"/>
  <c r="BU5" i="7"/>
  <c r="BW82" i="4"/>
  <c r="BW89" i="4" s="1"/>
  <c r="HF89" i="4"/>
  <c r="HF117" i="4" s="1"/>
  <c r="HG83" i="4"/>
  <c r="HG116" i="4" s="1"/>
  <c r="HG124" i="4"/>
  <c r="HG123" i="4"/>
  <c r="HG122" i="4"/>
  <c r="HG121" i="4"/>
  <c r="HG120" i="4"/>
  <c r="HG118" i="4"/>
  <c r="HG119" i="4"/>
  <c r="HE117" i="4"/>
  <c r="HG47" i="4"/>
  <c r="HG51" i="4"/>
  <c r="HH3" i="4"/>
  <c r="HH126" i="4" s="1"/>
  <c r="BX64" i="4"/>
  <c r="HE27" i="4"/>
  <c r="HE26" i="4"/>
  <c r="HE33" i="4"/>
  <c r="BU33" i="4" s="1"/>
  <c r="HE32" i="4"/>
  <c r="BU32" i="4" s="1"/>
  <c r="HE34" i="4"/>
  <c r="HE39" i="4"/>
  <c r="HE38" i="4"/>
  <c r="HG22" i="4"/>
  <c r="BT35" i="4"/>
  <c r="BW23" i="4"/>
  <c r="HF23" i="4"/>
  <c r="BX22" i="4"/>
  <c r="BX2" i="4"/>
  <c r="BY3" i="4"/>
  <c r="BX3" i="7" l="1"/>
  <c r="BY77" i="4"/>
  <c r="HH88" i="4"/>
  <c r="HH87" i="4" s="1"/>
  <c r="HH114" i="4"/>
  <c r="HH113" i="4" s="1"/>
  <c r="BX34" i="4"/>
  <c r="BX40" i="4"/>
  <c r="BX38" i="4"/>
  <c r="BX39" i="4"/>
  <c r="BX42" i="4"/>
  <c r="BX27" i="4"/>
  <c r="BU26" i="4"/>
  <c r="HF12" i="7"/>
  <c r="BQ21" i="7"/>
  <c r="BS33" i="7"/>
  <c r="BS20" i="7" s="1"/>
  <c r="BT30" i="7"/>
  <c r="BT31" i="7"/>
  <c r="BR19" i="7"/>
  <c r="BT29" i="7"/>
  <c r="HE15" i="7"/>
  <c r="BU9" i="7" s="1"/>
  <c r="BU29" i="7" s="1"/>
  <c r="HH197" i="4"/>
  <c r="HH195" i="4"/>
  <c r="HF14" i="7"/>
  <c r="HF13" i="7"/>
  <c r="BR18" i="7"/>
  <c r="HH51" i="4"/>
  <c r="HG3" i="7"/>
  <c r="BX14" i="7"/>
  <c r="BX13" i="7"/>
  <c r="BX10" i="7"/>
  <c r="HH2" i="4"/>
  <c r="BW2" i="7"/>
  <c r="BW83" i="4"/>
  <c r="BV5" i="7"/>
  <c r="BX82" i="4"/>
  <c r="BX89" i="4" s="1"/>
  <c r="HG89" i="4"/>
  <c r="HG117" i="4" s="1"/>
  <c r="HH83" i="4"/>
  <c r="HH116" i="4" s="1"/>
  <c r="HH122" i="4"/>
  <c r="HH121" i="4"/>
  <c r="HH123" i="4"/>
  <c r="HH119" i="4"/>
  <c r="HH124" i="4"/>
  <c r="HH120" i="4"/>
  <c r="HH118" i="4"/>
  <c r="HH47" i="4"/>
  <c r="HI3" i="4"/>
  <c r="BY64" i="4"/>
  <c r="BU35" i="4"/>
  <c r="HF27" i="4"/>
  <c r="HF26" i="4"/>
  <c r="HF32" i="4"/>
  <c r="BV32" i="4" s="1"/>
  <c r="HF33" i="4"/>
  <c r="BV33" i="4" s="1"/>
  <c r="HF34" i="4"/>
  <c r="HF39" i="4"/>
  <c r="HF38" i="4"/>
  <c r="HH22" i="4"/>
  <c r="BX23" i="4"/>
  <c r="HG23" i="4"/>
  <c r="BY22" i="4"/>
  <c r="BZ3" i="4"/>
  <c r="BY2" i="4"/>
  <c r="BY3" i="7" l="1"/>
  <c r="BY14" i="7" s="1"/>
  <c r="BZ77" i="4"/>
  <c r="HI114" i="4"/>
  <c r="HI113" i="4" s="1"/>
  <c r="HI126" i="4"/>
  <c r="HI195" i="4"/>
  <c r="HI88" i="4"/>
  <c r="HI87" i="4" s="1"/>
  <c r="BY40" i="4"/>
  <c r="BY38" i="4"/>
  <c r="BY42" i="4"/>
  <c r="BY39" i="4"/>
  <c r="BY34" i="4"/>
  <c r="BY27" i="4"/>
  <c r="BV26" i="4"/>
  <c r="BS18" i="7"/>
  <c r="BR21" i="7"/>
  <c r="BS19" i="7"/>
  <c r="BT33" i="7"/>
  <c r="BT20" i="7" s="1"/>
  <c r="BU32" i="7"/>
  <c r="BU31" i="7"/>
  <c r="BU30" i="7"/>
  <c r="HF15" i="7"/>
  <c r="BV9" i="7" s="1"/>
  <c r="BV31" i="7" s="1"/>
  <c r="HH3" i="7"/>
  <c r="HI197" i="4"/>
  <c r="HI2" i="4"/>
  <c r="BX2" i="7"/>
  <c r="HG14" i="7"/>
  <c r="HG12" i="7"/>
  <c r="HG13" i="7"/>
  <c r="BX83" i="4"/>
  <c r="BW5" i="7"/>
  <c r="BY82" i="4"/>
  <c r="BY89" i="4" s="1"/>
  <c r="HH89" i="4"/>
  <c r="HH117" i="4" s="1"/>
  <c r="HI83" i="4"/>
  <c r="HI116" i="4" s="1"/>
  <c r="HI123" i="4"/>
  <c r="HI124" i="4"/>
  <c r="HI122" i="4"/>
  <c r="HI121" i="4"/>
  <c r="HI120" i="4"/>
  <c r="HI119" i="4"/>
  <c r="HI118" i="4"/>
  <c r="HI47" i="4"/>
  <c r="HI51" i="4"/>
  <c r="HJ3" i="4"/>
  <c r="BZ64" i="4"/>
  <c r="HI22" i="4"/>
  <c r="HG27" i="4"/>
  <c r="HG26" i="4"/>
  <c r="HG32" i="4"/>
  <c r="BW32" i="4" s="1"/>
  <c r="HG33" i="4"/>
  <c r="BW33" i="4" s="1"/>
  <c r="HG34" i="4"/>
  <c r="HG38" i="4"/>
  <c r="HG39" i="4"/>
  <c r="BY23" i="4"/>
  <c r="HH23" i="4"/>
  <c r="BV35" i="4"/>
  <c r="BZ22" i="4"/>
  <c r="CA3" i="4"/>
  <c r="BZ2" i="4"/>
  <c r="BY10" i="7" l="1"/>
  <c r="BZ3" i="7"/>
  <c r="BZ13" i="7" s="1"/>
  <c r="CA77" i="4"/>
  <c r="BY13" i="7"/>
  <c r="HJ114" i="4"/>
  <c r="HJ113" i="4" s="1"/>
  <c r="HJ126" i="4"/>
  <c r="HJ195" i="4"/>
  <c r="HJ88" i="4"/>
  <c r="HJ87" i="4" s="1"/>
  <c r="BZ42" i="4"/>
  <c r="BZ40" i="4"/>
  <c r="BZ39" i="4"/>
  <c r="BZ34" i="4"/>
  <c r="BZ27" i="4"/>
  <c r="BZ38" i="4"/>
  <c r="BW26" i="4"/>
  <c r="BT18" i="7"/>
  <c r="HH13" i="7"/>
  <c r="BT19" i="7"/>
  <c r="BS21" i="7"/>
  <c r="BU33" i="7"/>
  <c r="BU20" i="7" s="1"/>
  <c r="BV29" i="7"/>
  <c r="BV32" i="7"/>
  <c r="BV30" i="7"/>
  <c r="HH12" i="7"/>
  <c r="HH14" i="7"/>
  <c r="HI3" i="7"/>
  <c r="HJ197" i="4"/>
  <c r="HG15" i="7"/>
  <c r="BW9" i="7" s="1"/>
  <c r="BW32" i="7" s="1"/>
  <c r="BZ14" i="7"/>
  <c r="BZ10" i="7"/>
  <c r="HJ2" i="4"/>
  <c r="BY2" i="7"/>
  <c r="BY83" i="4"/>
  <c r="BX5" i="7"/>
  <c r="BZ82" i="4"/>
  <c r="BZ89" i="4" s="1"/>
  <c r="HI89" i="4"/>
  <c r="HI117" i="4" s="1"/>
  <c r="HJ124" i="4"/>
  <c r="HJ123" i="4"/>
  <c r="HJ121" i="4"/>
  <c r="HJ119" i="4"/>
  <c r="HJ118" i="4"/>
  <c r="HJ122" i="4"/>
  <c r="HJ120" i="4"/>
  <c r="HJ51" i="4"/>
  <c r="HJ83" i="4"/>
  <c r="HJ116" i="4" s="1"/>
  <c r="HJ47" i="4"/>
  <c r="HK3" i="4"/>
  <c r="CA64" i="4"/>
  <c r="BW35" i="4"/>
  <c r="HJ22" i="4"/>
  <c r="BZ23" i="4"/>
  <c r="HI23" i="4"/>
  <c r="HH26" i="4"/>
  <c r="HH27" i="4"/>
  <c r="HH33" i="4"/>
  <c r="BX33" i="4" s="1"/>
  <c r="HH32" i="4"/>
  <c r="BX32" i="4" s="1"/>
  <c r="HH34" i="4"/>
  <c r="HH39" i="4"/>
  <c r="HH38" i="4"/>
  <c r="CA22" i="4"/>
  <c r="CB3" i="4"/>
  <c r="CA2" i="4"/>
  <c r="CA3" i="7" l="1"/>
  <c r="CB77" i="4"/>
  <c r="HK114" i="4"/>
  <c r="HK113" i="4" s="1"/>
  <c r="HK126" i="4"/>
  <c r="HK195" i="4"/>
  <c r="HK88" i="4"/>
  <c r="HK87" i="4" s="1"/>
  <c r="CA38" i="4"/>
  <c r="CA42" i="4"/>
  <c r="CA39" i="4"/>
  <c r="CA40" i="4"/>
  <c r="CA34" i="4"/>
  <c r="CA27" i="4"/>
  <c r="BX26" i="4"/>
  <c r="BU19" i="7"/>
  <c r="BU18" i="7"/>
  <c r="HI14" i="7"/>
  <c r="BT21" i="7"/>
  <c r="HH15" i="7"/>
  <c r="BX9" i="7" s="1"/>
  <c r="BX29" i="7" s="1"/>
  <c r="BV33" i="7"/>
  <c r="BV20" i="7" s="1"/>
  <c r="HI13" i="7"/>
  <c r="HI12" i="7"/>
  <c r="HJ3" i="7"/>
  <c r="HK197" i="4"/>
  <c r="BW31" i="7"/>
  <c r="BW29" i="7"/>
  <c r="BW30" i="7"/>
  <c r="CA13" i="7"/>
  <c r="CA14" i="7"/>
  <c r="CA10" i="7"/>
  <c r="BZ83" i="4"/>
  <c r="BY5" i="7"/>
  <c r="HK2" i="4"/>
  <c r="BZ2" i="7"/>
  <c r="CA82" i="4"/>
  <c r="CA89" i="4" s="1"/>
  <c r="HK51" i="4"/>
  <c r="HK124" i="4"/>
  <c r="HK123" i="4"/>
  <c r="HK122" i="4"/>
  <c r="HK121" i="4"/>
  <c r="HK119" i="4"/>
  <c r="HK118" i="4"/>
  <c r="HK120" i="4"/>
  <c r="HK47" i="4"/>
  <c r="HK83" i="4"/>
  <c r="HK116" i="4" s="1"/>
  <c r="HJ89" i="4"/>
  <c r="HL3" i="4"/>
  <c r="CB64" i="4"/>
  <c r="BX35" i="4"/>
  <c r="HK22" i="4"/>
  <c r="HI26" i="4"/>
  <c r="HI27" i="4"/>
  <c r="HI33" i="4"/>
  <c r="BY33" i="4" s="1"/>
  <c r="HI32" i="4"/>
  <c r="BY32" i="4" s="1"/>
  <c r="HI34" i="4"/>
  <c r="HI39" i="4"/>
  <c r="HI38" i="4"/>
  <c r="CA23" i="4"/>
  <c r="HJ23" i="4"/>
  <c r="CB22" i="4"/>
  <c r="CC3" i="4"/>
  <c r="CB2" i="4"/>
  <c r="CB3" i="7" l="1"/>
  <c r="CC77" i="4"/>
  <c r="HL114" i="4"/>
  <c r="HL113" i="4" s="1"/>
  <c r="HL126" i="4"/>
  <c r="HL195" i="4"/>
  <c r="HL88" i="4"/>
  <c r="HL87" i="4" s="1"/>
  <c r="CB42" i="4"/>
  <c r="CB39" i="4"/>
  <c r="CB38" i="4"/>
  <c r="CB40" i="4"/>
  <c r="CB34" i="4"/>
  <c r="CB27" i="4"/>
  <c r="BY26" i="4"/>
  <c r="BU21" i="7"/>
  <c r="BV19" i="7"/>
  <c r="HJ13" i="7"/>
  <c r="BV18" i="7"/>
  <c r="BX32" i="7"/>
  <c r="BX31" i="7"/>
  <c r="BX30" i="7"/>
  <c r="HI15" i="7"/>
  <c r="BY9" i="7" s="1"/>
  <c r="BY30" i="7" s="1"/>
  <c r="HJ12" i="7"/>
  <c r="HJ14" i="7"/>
  <c r="HK3" i="7"/>
  <c r="HL197" i="4"/>
  <c r="BW33" i="7"/>
  <c r="BW20" i="7" s="1"/>
  <c r="CB13" i="7"/>
  <c r="CB14" i="7"/>
  <c r="CB10" i="7"/>
  <c r="CA83" i="4"/>
  <c r="BZ5" i="7"/>
  <c r="HL2" i="4"/>
  <c r="CA2" i="7"/>
  <c r="CB82" i="4"/>
  <c r="CB89" i="4" s="1"/>
  <c r="HL83" i="4"/>
  <c r="HL116" i="4" s="1"/>
  <c r="HL121" i="4"/>
  <c r="HL122" i="4"/>
  <c r="HL124" i="4"/>
  <c r="HL120" i="4"/>
  <c r="HL123" i="4"/>
  <c r="HL119" i="4"/>
  <c r="HL118" i="4"/>
  <c r="HL47" i="4"/>
  <c r="HK89" i="4"/>
  <c r="HK117" i="4" s="1"/>
  <c r="HJ117" i="4"/>
  <c r="HL51" i="4"/>
  <c r="HM3" i="4"/>
  <c r="CC64" i="4"/>
  <c r="HJ27" i="4"/>
  <c r="HJ26" i="4"/>
  <c r="HJ33" i="4"/>
  <c r="BZ33" i="4" s="1"/>
  <c r="HJ32" i="4"/>
  <c r="BZ32" i="4" s="1"/>
  <c r="HJ34" i="4"/>
  <c r="HJ39" i="4"/>
  <c r="HJ38" i="4"/>
  <c r="BY35" i="4"/>
  <c r="CB23" i="4"/>
  <c r="HK23" i="4"/>
  <c r="HL22" i="4"/>
  <c r="CC22" i="4"/>
  <c r="CD3" i="4"/>
  <c r="CC2" i="4"/>
  <c r="CC3" i="7" l="1"/>
  <c r="CD77" i="4"/>
  <c r="HM114" i="4"/>
  <c r="HM113" i="4" s="1"/>
  <c r="HM126" i="4"/>
  <c r="HM195" i="4"/>
  <c r="HM88" i="4"/>
  <c r="HM87" i="4" s="1"/>
  <c r="CC42" i="4"/>
  <c r="CC40" i="4"/>
  <c r="CC34" i="4"/>
  <c r="CC39" i="4"/>
  <c r="CC38" i="4"/>
  <c r="CC27" i="4"/>
  <c r="BZ26" i="4"/>
  <c r="HK12" i="7"/>
  <c r="BV21" i="7"/>
  <c r="BX33" i="7"/>
  <c r="BX20" i="7" s="1"/>
  <c r="BY32" i="7"/>
  <c r="HJ15" i="7"/>
  <c r="BZ9" i="7" s="1"/>
  <c r="BZ29" i="7" s="1"/>
  <c r="BY31" i="7"/>
  <c r="BY29" i="7"/>
  <c r="HK13" i="7"/>
  <c r="HK14" i="7"/>
  <c r="BW19" i="7"/>
  <c r="HL3" i="7"/>
  <c r="HM197" i="4"/>
  <c r="BW18" i="7"/>
  <c r="HM2" i="4"/>
  <c r="CB2" i="7"/>
  <c r="CC14" i="7"/>
  <c r="CC13" i="7"/>
  <c r="CC10" i="7"/>
  <c r="CB83" i="4"/>
  <c r="CA5" i="7"/>
  <c r="CC82" i="4"/>
  <c r="CC89" i="4" s="1"/>
  <c r="HL89" i="4"/>
  <c r="HM83" i="4"/>
  <c r="HM116" i="4" s="1"/>
  <c r="HM122" i="4"/>
  <c r="HM123" i="4"/>
  <c r="HM121" i="4"/>
  <c r="HM120" i="4"/>
  <c r="HM119" i="4"/>
  <c r="HM118" i="4"/>
  <c r="HM124" i="4"/>
  <c r="HM47" i="4"/>
  <c r="HM51" i="4"/>
  <c r="HN3" i="4"/>
  <c r="CD64" i="4"/>
  <c r="BZ35" i="4"/>
  <c r="CC23" i="4"/>
  <c r="HL23" i="4"/>
  <c r="HM22" i="4"/>
  <c r="HK27" i="4"/>
  <c r="HK26" i="4"/>
  <c r="HK32" i="4"/>
  <c r="CA32" i="4" s="1"/>
  <c r="HK33" i="4"/>
  <c r="CA33" i="4" s="1"/>
  <c r="HK34" i="4"/>
  <c r="HK39" i="4"/>
  <c r="HK38" i="4"/>
  <c r="CD22" i="4"/>
  <c r="CE3" i="4"/>
  <c r="CD2" i="4"/>
  <c r="CD3" i="7" l="1"/>
  <c r="CD14" i="7" s="1"/>
  <c r="CE77" i="4"/>
  <c r="HN114" i="4"/>
  <c r="HN113" i="4" s="1"/>
  <c r="HN126" i="4"/>
  <c r="HN195" i="4"/>
  <c r="HN88" i="4"/>
  <c r="HN87" i="4" s="1"/>
  <c r="CD39" i="4"/>
  <c r="CD34" i="4"/>
  <c r="CD40" i="4"/>
  <c r="CD42" i="4"/>
  <c r="CD38" i="4"/>
  <c r="CD27" i="4"/>
  <c r="CA26" i="4"/>
  <c r="BX19" i="7"/>
  <c r="BX18" i="7"/>
  <c r="HL14" i="7"/>
  <c r="BZ30" i="7"/>
  <c r="BZ31" i="7"/>
  <c r="BZ32" i="7"/>
  <c r="BY33" i="7"/>
  <c r="BY20" i="7" s="1"/>
  <c r="HK15" i="7"/>
  <c r="CA9" i="7" s="1"/>
  <c r="CA31" i="7" s="1"/>
  <c r="BW21" i="7"/>
  <c r="HL13" i="7"/>
  <c r="HL12" i="7"/>
  <c r="HM3" i="7"/>
  <c r="HN197" i="4"/>
  <c r="CC83" i="4"/>
  <c r="CB5" i="7"/>
  <c r="HN2" i="4"/>
  <c r="CC2" i="7"/>
  <c r="CD82" i="4"/>
  <c r="CD89" i="4" s="1"/>
  <c r="HL117" i="4"/>
  <c r="HM89" i="4"/>
  <c r="HN83" i="4"/>
  <c r="HN116" i="4" s="1"/>
  <c r="HN123" i="4"/>
  <c r="HN124" i="4"/>
  <c r="HN122" i="4"/>
  <c r="HN121" i="4"/>
  <c r="HN118" i="4"/>
  <c r="HN119" i="4"/>
  <c r="HN120" i="4"/>
  <c r="HN47" i="4"/>
  <c r="HN51" i="4"/>
  <c r="HO3" i="4"/>
  <c r="CE64" i="4"/>
  <c r="HL27" i="4"/>
  <c r="HL26" i="4"/>
  <c r="HL33" i="4"/>
  <c r="CB33" i="4" s="1"/>
  <c r="HL32" i="4"/>
  <c r="CB32" i="4" s="1"/>
  <c r="HL34" i="4"/>
  <c r="HL39" i="4"/>
  <c r="HL38" i="4"/>
  <c r="HN22" i="4"/>
  <c r="CA35" i="4"/>
  <c r="CD23" i="4"/>
  <c r="HM23" i="4"/>
  <c r="CE22" i="4"/>
  <c r="CF3" i="4"/>
  <c r="CE2" i="4"/>
  <c r="CE3" i="7" l="1"/>
  <c r="CF77" i="4"/>
  <c r="CD10" i="7"/>
  <c r="CD13" i="7"/>
  <c r="HO114" i="4"/>
  <c r="HO113" i="4" s="1"/>
  <c r="HO126" i="4"/>
  <c r="HO195" i="4"/>
  <c r="HO88" i="4"/>
  <c r="HO87" i="4" s="1"/>
  <c r="CE40" i="4"/>
  <c r="CE39" i="4"/>
  <c r="CE38" i="4"/>
  <c r="CE42" i="4"/>
  <c r="CE27" i="4"/>
  <c r="CE34" i="4"/>
  <c r="CB26" i="4"/>
  <c r="BX21" i="7"/>
  <c r="BY19" i="7"/>
  <c r="HM13" i="7"/>
  <c r="BZ33" i="7"/>
  <c r="BZ20" i="7" s="1"/>
  <c r="BY18" i="7"/>
  <c r="CA29" i="7"/>
  <c r="CA30" i="7"/>
  <c r="CA32" i="7"/>
  <c r="HL15" i="7"/>
  <c r="CB9" i="7" s="1"/>
  <c r="CB32" i="7" s="1"/>
  <c r="HM14" i="7"/>
  <c r="HM12" i="7"/>
  <c r="HN3" i="7"/>
  <c r="HO197" i="4"/>
  <c r="HO2" i="4"/>
  <c r="CD2" i="7"/>
  <c r="CD83" i="4"/>
  <c r="CC5" i="7"/>
  <c r="CE14" i="7"/>
  <c r="CE13" i="7"/>
  <c r="CE10" i="7"/>
  <c r="CE82" i="4"/>
  <c r="CE89" i="4" s="1"/>
  <c r="HM117" i="4"/>
  <c r="HN89" i="4"/>
  <c r="HN117" i="4" s="1"/>
  <c r="HO83" i="4"/>
  <c r="HO116" i="4" s="1"/>
  <c r="HO124" i="4"/>
  <c r="HO123" i="4"/>
  <c r="HO122" i="4"/>
  <c r="HO121" i="4"/>
  <c r="HO118" i="4"/>
  <c r="HO119" i="4"/>
  <c r="HO120" i="4"/>
  <c r="HO47" i="4"/>
  <c r="HO51" i="4"/>
  <c r="HP3" i="4"/>
  <c r="HP126" i="4" s="1"/>
  <c r="CF64" i="4"/>
  <c r="HO22" i="4"/>
  <c r="CE23" i="4"/>
  <c r="HN23" i="4"/>
  <c r="CB35" i="4"/>
  <c r="HM26" i="4"/>
  <c r="HM27" i="4"/>
  <c r="HM32" i="4"/>
  <c r="CC32" i="4" s="1"/>
  <c r="HM33" i="4"/>
  <c r="CC33" i="4" s="1"/>
  <c r="HM34" i="4"/>
  <c r="HM39" i="4"/>
  <c r="HM38" i="4"/>
  <c r="CF22" i="4"/>
  <c r="CF2" i="4"/>
  <c r="CG3" i="4"/>
  <c r="CF3" i="7" l="1"/>
  <c r="CG77" i="4"/>
  <c r="HP88" i="4"/>
  <c r="HP87" i="4" s="1"/>
  <c r="HP114" i="4"/>
  <c r="HP113" i="4" s="1"/>
  <c r="CF34" i="4"/>
  <c r="CF40" i="4"/>
  <c r="CF38" i="4"/>
  <c r="CF39" i="4"/>
  <c r="CF42" i="4"/>
  <c r="CF27" i="4"/>
  <c r="CC26" i="4"/>
  <c r="HN12" i="7"/>
  <c r="BZ19" i="7"/>
  <c r="BZ18" i="7"/>
  <c r="BY21" i="7"/>
  <c r="CA33" i="7"/>
  <c r="CA20" i="7" s="1"/>
  <c r="CB31" i="7"/>
  <c r="CB30" i="7"/>
  <c r="CB29" i="7"/>
  <c r="HN14" i="7"/>
  <c r="HM15" i="7"/>
  <c r="CC9" i="7" s="1"/>
  <c r="CC31" i="7" s="1"/>
  <c r="HP197" i="4"/>
  <c r="HP195" i="4"/>
  <c r="HN13" i="7"/>
  <c r="CE83" i="4"/>
  <c r="CD5" i="7"/>
  <c r="CF13" i="7"/>
  <c r="CF14" i="7"/>
  <c r="CF10" i="7"/>
  <c r="HP2" i="4"/>
  <c r="CE2" i="7"/>
  <c r="HP51" i="4"/>
  <c r="HO3" i="7"/>
  <c r="CF82" i="4"/>
  <c r="CF89" i="4" s="1"/>
  <c r="HO89" i="4"/>
  <c r="HO117" i="4" s="1"/>
  <c r="HP83" i="4"/>
  <c r="HP116" i="4" s="1"/>
  <c r="HP124" i="4"/>
  <c r="HP121" i="4"/>
  <c r="HP123" i="4"/>
  <c r="HP119" i="4"/>
  <c r="HP120" i="4"/>
  <c r="HP118" i="4"/>
  <c r="HP122" i="4"/>
  <c r="HP47" i="4"/>
  <c r="HQ3" i="4"/>
  <c r="CG64" i="4"/>
  <c r="CC35" i="4"/>
  <c r="HN27" i="4"/>
  <c r="HN26" i="4"/>
  <c r="HN32" i="4"/>
  <c r="CD32" i="4" s="1"/>
  <c r="HN33" i="4"/>
  <c r="CD33" i="4" s="1"/>
  <c r="HN34" i="4"/>
  <c r="HN39" i="4"/>
  <c r="HN38" i="4"/>
  <c r="HP22" i="4"/>
  <c r="CF23" i="4"/>
  <c r="HO23" i="4"/>
  <c r="CG22" i="4"/>
  <c r="CH3" i="4"/>
  <c r="CG2" i="4"/>
  <c r="CG3" i="7" l="1"/>
  <c r="CG14" i="7" s="1"/>
  <c r="CH77" i="4"/>
  <c r="HQ114" i="4"/>
  <c r="HQ113" i="4" s="1"/>
  <c r="HQ126" i="4"/>
  <c r="HQ195" i="4"/>
  <c r="HQ88" i="4"/>
  <c r="HQ87" i="4" s="1"/>
  <c r="CG40" i="4"/>
  <c r="CG38" i="4"/>
  <c r="CG42" i="4"/>
  <c r="CG39" i="4"/>
  <c r="CG34" i="4"/>
  <c r="CG27" i="4"/>
  <c r="CD26" i="4"/>
  <c r="CA19" i="7"/>
  <c r="BZ21" i="7"/>
  <c r="CA18" i="7"/>
  <c r="HN15" i="7"/>
  <c r="CD9" i="7" s="1"/>
  <c r="CD29" i="7" s="1"/>
  <c r="CB33" i="7"/>
  <c r="CB20" i="7" s="1"/>
  <c r="CC30" i="7"/>
  <c r="CC32" i="7"/>
  <c r="CC29" i="7"/>
  <c r="HP3" i="7"/>
  <c r="HQ197" i="4"/>
  <c r="HO13" i="7"/>
  <c r="HO14" i="7"/>
  <c r="HO12" i="7"/>
  <c r="HQ2" i="4"/>
  <c r="CF2" i="7"/>
  <c r="CF83" i="4"/>
  <c r="CE5" i="7"/>
  <c r="CG82" i="4"/>
  <c r="CG89" i="4" s="1"/>
  <c r="HP89" i="4"/>
  <c r="HP117" i="4" s="1"/>
  <c r="HQ47" i="4"/>
  <c r="HQ122" i="4"/>
  <c r="HQ124" i="4"/>
  <c r="HQ121" i="4"/>
  <c r="HQ120" i="4"/>
  <c r="HQ119" i="4"/>
  <c r="HQ118" i="4"/>
  <c r="HQ123" i="4"/>
  <c r="HQ51" i="4"/>
  <c r="HQ83" i="4"/>
  <c r="HQ116" i="4" s="1"/>
  <c r="HR3" i="4"/>
  <c r="CH64" i="4"/>
  <c r="CD35" i="4"/>
  <c r="HQ22" i="4"/>
  <c r="HO26" i="4"/>
  <c r="HO27" i="4"/>
  <c r="HO33" i="4"/>
  <c r="CE33" i="4" s="1"/>
  <c r="HO32" i="4"/>
  <c r="CE32" i="4" s="1"/>
  <c r="HO34" i="4"/>
  <c r="HO39" i="4"/>
  <c r="HO38" i="4"/>
  <c r="CG23" i="4"/>
  <c r="HP23" i="4"/>
  <c r="CH22" i="4"/>
  <c r="CI3" i="4"/>
  <c r="CH2" i="4"/>
  <c r="CH3" i="7" l="1"/>
  <c r="CI77" i="4"/>
  <c r="CG10" i="7"/>
  <c r="CG13" i="7"/>
  <c r="HR114" i="4"/>
  <c r="HR113" i="4" s="1"/>
  <c r="HR126" i="4"/>
  <c r="HR195" i="4"/>
  <c r="HR88" i="4"/>
  <c r="HR87" i="4" s="1"/>
  <c r="CH42" i="4"/>
  <c r="CH40" i="4"/>
  <c r="CH38" i="4"/>
  <c r="CH34" i="4"/>
  <c r="CH27" i="4"/>
  <c r="CH39" i="4"/>
  <c r="CE26" i="4"/>
  <c r="CB19" i="7"/>
  <c r="HP13" i="7"/>
  <c r="CA21" i="7"/>
  <c r="CD32" i="7"/>
  <c r="CD31" i="7"/>
  <c r="CD30" i="7"/>
  <c r="CB18" i="7"/>
  <c r="CC33" i="7"/>
  <c r="CC20" i="7" s="1"/>
  <c r="HP12" i="7"/>
  <c r="HP14" i="7"/>
  <c r="HQ3" i="7"/>
  <c r="HR197" i="4"/>
  <c r="HO15" i="7"/>
  <c r="CE9" i="7" s="1"/>
  <c r="CE32" i="7" s="1"/>
  <c r="CH13" i="7"/>
  <c r="CH14" i="7"/>
  <c r="CH10" i="7"/>
  <c r="CG83" i="4"/>
  <c r="CF5" i="7"/>
  <c r="HR2" i="4"/>
  <c r="CG2" i="7"/>
  <c r="CH82" i="4"/>
  <c r="CH89" i="4" s="1"/>
  <c r="HR83" i="4"/>
  <c r="HR116" i="4" s="1"/>
  <c r="HR122" i="4"/>
  <c r="HR123" i="4"/>
  <c r="HR124" i="4"/>
  <c r="HR120" i="4"/>
  <c r="HR118" i="4"/>
  <c r="HR121" i="4"/>
  <c r="HR119" i="4"/>
  <c r="HR47" i="4"/>
  <c r="HR51" i="4"/>
  <c r="HQ89" i="4"/>
  <c r="HS3" i="4"/>
  <c r="CI64" i="4"/>
  <c r="CE35" i="4"/>
  <c r="HR22" i="4"/>
  <c r="CH23" i="4"/>
  <c r="HQ23" i="4"/>
  <c r="HP26" i="4"/>
  <c r="HP27" i="4"/>
  <c r="HP32" i="4"/>
  <c r="CF32" i="4" s="1"/>
  <c r="HP33" i="4"/>
  <c r="CF33" i="4" s="1"/>
  <c r="HP34" i="4"/>
  <c r="HP39" i="4"/>
  <c r="HP38" i="4"/>
  <c r="CI22" i="4"/>
  <c r="CJ3" i="4"/>
  <c r="CI2" i="4"/>
  <c r="CI3" i="7" l="1"/>
  <c r="CJ77" i="4"/>
  <c r="HS114" i="4"/>
  <c r="HS113" i="4" s="1"/>
  <c r="HS126" i="4"/>
  <c r="HS195" i="4"/>
  <c r="HS88" i="4"/>
  <c r="HS87" i="4" s="1"/>
  <c r="CI38" i="4"/>
  <c r="CI42" i="4"/>
  <c r="CI39" i="4"/>
  <c r="CI40" i="4"/>
  <c r="CI27" i="4"/>
  <c r="CI34" i="4"/>
  <c r="CF26" i="4"/>
  <c r="CC19" i="7"/>
  <c r="HQ13" i="7"/>
  <c r="CB21" i="7"/>
  <c r="CD33" i="7"/>
  <c r="CD20" i="7" s="1"/>
  <c r="CC18" i="7"/>
  <c r="HP15" i="7"/>
  <c r="CF9" i="7" s="1"/>
  <c r="CF31" i="7" s="1"/>
  <c r="HQ14" i="7"/>
  <c r="HQ12" i="7"/>
  <c r="CE31" i="7"/>
  <c r="HR3" i="7"/>
  <c r="HS197" i="4"/>
  <c r="CE30" i="7"/>
  <c r="CE29" i="7"/>
  <c r="CH83" i="4"/>
  <c r="CG5" i="7"/>
  <c r="HS2" i="4"/>
  <c r="CH2" i="7"/>
  <c r="CI13" i="7"/>
  <c r="CI14" i="7"/>
  <c r="CI10" i="7"/>
  <c r="CI82" i="4"/>
  <c r="CI89" i="4" s="1"/>
  <c r="HR89" i="4"/>
  <c r="HR117" i="4" s="1"/>
  <c r="HS83" i="4"/>
  <c r="HS116" i="4" s="1"/>
  <c r="HS124" i="4"/>
  <c r="HS123" i="4"/>
  <c r="HS122" i="4"/>
  <c r="HS121" i="4"/>
  <c r="HS118" i="4"/>
  <c r="HS120" i="4"/>
  <c r="HS119" i="4"/>
  <c r="HS47" i="4"/>
  <c r="HS51" i="4"/>
  <c r="HQ117" i="4"/>
  <c r="HT3" i="4"/>
  <c r="CJ64" i="4"/>
  <c r="HQ27" i="4"/>
  <c r="HQ26" i="4"/>
  <c r="HQ32" i="4"/>
  <c r="CG32" i="4" s="1"/>
  <c r="HQ33" i="4"/>
  <c r="CG33" i="4" s="1"/>
  <c r="HQ34" i="4"/>
  <c r="HQ38" i="4"/>
  <c r="HQ39" i="4"/>
  <c r="HS22" i="4"/>
  <c r="CI23" i="4"/>
  <c r="HR23" i="4"/>
  <c r="CF35" i="4"/>
  <c r="CJ22" i="4"/>
  <c r="CK3" i="4"/>
  <c r="CJ2" i="4"/>
  <c r="CJ3" i="7" l="1"/>
  <c r="CK77" i="4"/>
  <c r="HT114" i="4"/>
  <c r="HT113" i="4" s="1"/>
  <c r="HT126" i="4"/>
  <c r="HT195" i="4"/>
  <c r="HT88" i="4"/>
  <c r="HT87" i="4" s="1"/>
  <c r="CJ42" i="4"/>
  <c r="CJ39" i="4"/>
  <c r="CJ38" i="4"/>
  <c r="CJ34" i="4"/>
  <c r="CJ27" i="4"/>
  <c r="CJ40" i="4"/>
  <c r="CG26" i="4"/>
  <c r="CD19" i="7"/>
  <c r="HR14" i="7"/>
  <c r="CC21" i="7"/>
  <c r="CD18" i="7"/>
  <c r="HQ15" i="7"/>
  <c r="CG9" i="7" s="1"/>
  <c r="CG30" i="7" s="1"/>
  <c r="CF32" i="7"/>
  <c r="CF29" i="7"/>
  <c r="CF30" i="7"/>
  <c r="HR13" i="7"/>
  <c r="HR12" i="7"/>
  <c r="CE33" i="7"/>
  <c r="CE20" i="7" s="1"/>
  <c r="HS3" i="7"/>
  <c r="HT197" i="4"/>
  <c r="CJ13" i="7"/>
  <c r="CJ14" i="7"/>
  <c r="CJ10" i="7"/>
  <c r="CI83" i="4"/>
  <c r="CH5" i="7"/>
  <c r="HT2" i="4"/>
  <c r="CI2" i="7"/>
  <c r="CJ82" i="4"/>
  <c r="CJ89" i="4" s="1"/>
  <c r="HS89" i="4"/>
  <c r="HS117" i="4" s="1"/>
  <c r="HT123" i="4"/>
  <c r="HT121" i="4"/>
  <c r="HT124" i="4"/>
  <c r="HT122" i="4"/>
  <c r="HT118" i="4"/>
  <c r="HT119" i="4"/>
  <c r="HT120" i="4"/>
  <c r="HT51" i="4"/>
  <c r="HT83" i="4"/>
  <c r="HT116" i="4" s="1"/>
  <c r="HT47" i="4"/>
  <c r="HU3" i="4"/>
  <c r="CK64" i="4"/>
  <c r="CG35" i="4"/>
  <c r="HT22" i="4"/>
  <c r="CJ23" i="4"/>
  <c r="HS23" i="4"/>
  <c r="HR27" i="4"/>
  <c r="HR26" i="4"/>
  <c r="HR33" i="4"/>
  <c r="CH33" i="4" s="1"/>
  <c r="HR32" i="4"/>
  <c r="CH32" i="4" s="1"/>
  <c r="HR34" i="4"/>
  <c r="HR39" i="4"/>
  <c r="HR38" i="4"/>
  <c r="CK22" i="4"/>
  <c r="CL3" i="4"/>
  <c r="CK2" i="4"/>
  <c r="CK3" i="7" l="1"/>
  <c r="CL77" i="4"/>
  <c r="HU114" i="4"/>
  <c r="HU113" i="4" s="1"/>
  <c r="HU126" i="4"/>
  <c r="HU195" i="4"/>
  <c r="HU88" i="4"/>
  <c r="HU87" i="4" s="1"/>
  <c r="CK42" i="4"/>
  <c r="CK34" i="4"/>
  <c r="CK40" i="4"/>
  <c r="CK39" i="4"/>
  <c r="CK27" i="4"/>
  <c r="CK38" i="4"/>
  <c r="CH26" i="4"/>
  <c r="CE18" i="7"/>
  <c r="HS12" i="7"/>
  <c r="CD21" i="7"/>
  <c r="CG31" i="7"/>
  <c r="CG32" i="7"/>
  <c r="CG29" i="7"/>
  <c r="HR15" i="7"/>
  <c r="CH9" i="7" s="1"/>
  <c r="CH31" i="7" s="1"/>
  <c r="CF33" i="7"/>
  <c r="CF20" i="7" s="1"/>
  <c r="CE19" i="7"/>
  <c r="HS14" i="7"/>
  <c r="HS13" i="7"/>
  <c r="HT3" i="7"/>
  <c r="HU197" i="4"/>
  <c r="CK14" i="7"/>
  <c r="CK13" i="7"/>
  <c r="CK10" i="7"/>
  <c r="HU2" i="4"/>
  <c r="CJ2" i="7"/>
  <c r="CJ83" i="4"/>
  <c r="CI5" i="7"/>
  <c r="CK82" i="4"/>
  <c r="CK89" i="4" s="1"/>
  <c r="HU83" i="4"/>
  <c r="HU116" i="4" s="1"/>
  <c r="HU124" i="4"/>
  <c r="HU123" i="4"/>
  <c r="HU121" i="4"/>
  <c r="HU120" i="4"/>
  <c r="HU119" i="4"/>
  <c r="HU118" i="4"/>
  <c r="HU122" i="4"/>
  <c r="HU47" i="4"/>
  <c r="HU51" i="4"/>
  <c r="HT89" i="4"/>
  <c r="HV3" i="4"/>
  <c r="CL64" i="4"/>
  <c r="HU22" i="4"/>
  <c r="HS27" i="4"/>
  <c r="HS26" i="4"/>
  <c r="HS32" i="4"/>
  <c r="CI32" i="4" s="1"/>
  <c r="HS33" i="4"/>
  <c r="CI33" i="4" s="1"/>
  <c r="HS34" i="4"/>
  <c r="HS39" i="4"/>
  <c r="HS38" i="4"/>
  <c r="CH35" i="4"/>
  <c r="CK23" i="4"/>
  <c r="HT23" i="4"/>
  <c r="CL22" i="4"/>
  <c r="CM3" i="4"/>
  <c r="CL2" i="4"/>
  <c r="CL3" i="7" l="1"/>
  <c r="CM77" i="4"/>
  <c r="HV114" i="4"/>
  <c r="HV113" i="4" s="1"/>
  <c r="HV126" i="4"/>
  <c r="HV195" i="4"/>
  <c r="HV88" i="4"/>
  <c r="HV87" i="4" s="1"/>
  <c r="CL39" i="4"/>
  <c r="CL34" i="4"/>
  <c r="CL40" i="4"/>
  <c r="CL42" i="4"/>
  <c r="CL38" i="4"/>
  <c r="CL27" i="4"/>
  <c r="CI26" i="4"/>
  <c r="CF19" i="7"/>
  <c r="HT14" i="7"/>
  <c r="CG33" i="7"/>
  <c r="CG20" i="7" s="1"/>
  <c r="CH32" i="7"/>
  <c r="CH29" i="7"/>
  <c r="CH30" i="7"/>
  <c r="CF18" i="7"/>
  <c r="HS15" i="7"/>
  <c r="CI9" i="7" s="1"/>
  <c r="CI29" i="7" s="1"/>
  <c r="CE21" i="7"/>
  <c r="HT13" i="7"/>
  <c r="HT12" i="7"/>
  <c r="HU3" i="7"/>
  <c r="HV197" i="4"/>
  <c r="HV2" i="4"/>
  <c r="CK2" i="7"/>
  <c r="CL14" i="7"/>
  <c r="CL13" i="7"/>
  <c r="CL10" i="7"/>
  <c r="CK83" i="4"/>
  <c r="CJ5" i="7"/>
  <c r="CL82" i="4"/>
  <c r="CL89" i="4" s="1"/>
  <c r="HU89" i="4"/>
  <c r="HV122" i="4"/>
  <c r="HV124" i="4"/>
  <c r="HV123" i="4"/>
  <c r="HV119" i="4"/>
  <c r="HV120" i="4"/>
  <c r="HV118" i="4"/>
  <c r="HV121" i="4"/>
  <c r="HT117" i="4"/>
  <c r="HV51" i="4"/>
  <c r="HV83" i="4"/>
  <c r="HV116" i="4" s="1"/>
  <c r="HV47" i="4"/>
  <c r="HW3" i="4"/>
  <c r="HW126" i="4" s="1"/>
  <c r="CM64" i="4"/>
  <c r="CI35" i="4"/>
  <c r="CL23" i="4"/>
  <c r="HU23" i="4"/>
  <c r="HV22" i="4"/>
  <c r="HT26" i="4"/>
  <c r="HT27" i="4"/>
  <c r="HT32" i="4"/>
  <c r="CJ32" i="4" s="1"/>
  <c r="HT33" i="4"/>
  <c r="CJ33" i="4" s="1"/>
  <c r="HT34" i="4"/>
  <c r="HT39" i="4"/>
  <c r="HT38" i="4"/>
  <c r="CM22" i="4"/>
  <c r="CN3" i="4"/>
  <c r="CM2" i="4"/>
  <c r="CM3" i="7" l="1"/>
  <c r="CN77" i="4"/>
  <c r="HW88" i="4"/>
  <c r="HW87" i="4" s="1"/>
  <c r="HW114" i="4"/>
  <c r="HW113" i="4" s="1"/>
  <c r="CM40" i="4"/>
  <c r="CM39" i="4"/>
  <c r="CM34" i="4"/>
  <c r="CM42" i="4"/>
  <c r="CM38" i="4"/>
  <c r="CM27" i="4"/>
  <c r="CJ26" i="4"/>
  <c r="CG18" i="7"/>
  <c r="HU13" i="7"/>
  <c r="CF21" i="7"/>
  <c r="CG19" i="7"/>
  <c r="CH33" i="7"/>
  <c r="CH20" i="7" s="1"/>
  <c r="CI32" i="7"/>
  <c r="CI30" i="7"/>
  <c r="CI31" i="7"/>
  <c r="HT15" i="7"/>
  <c r="CJ9" i="7" s="1"/>
  <c r="CJ30" i="7" s="1"/>
  <c r="HU14" i="7"/>
  <c r="HW197" i="4"/>
  <c r="HW195" i="4"/>
  <c r="HU12" i="7"/>
  <c r="HW51" i="4"/>
  <c r="HV3" i="7"/>
  <c r="CL83" i="4"/>
  <c r="CK5" i="7"/>
  <c r="HW2" i="4"/>
  <c r="CL2" i="7"/>
  <c r="CM14" i="7"/>
  <c r="CM13" i="7"/>
  <c r="CM10" i="7"/>
  <c r="CM82" i="4"/>
  <c r="CM89" i="4" s="1"/>
  <c r="HU117" i="4"/>
  <c r="HW83" i="4"/>
  <c r="HW116" i="4" s="1"/>
  <c r="HW124" i="4"/>
  <c r="HW123" i="4"/>
  <c r="HW122" i="4"/>
  <c r="HW121" i="4"/>
  <c r="HW120" i="4"/>
  <c r="HW119" i="4"/>
  <c r="HW118" i="4"/>
  <c r="HW47" i="4"/>
  <c r="HV89" i="4"/>
  <c r="HX3" i="4"/>
  <c r="CN64" i="4"/>
  <c r="HU26" i="4"/>
  <c r="HU27" i="4"/>
  <c r="HU32" i="4"/>
  <c r="CK32" i="4" s="1"/>
  <c r="HU33" i="4"/>
  <c r="CK33" i="4" s="1"/>
  <c r="HU34" i="4"/>
  <c r="HU38" i="4"/>
  <c r="HU39" i="4"/>
  <c r="HW22" i="4"/>
  <c r="CJ35" i="4"/>
  <c r="CM23" i="4"/>
  <c r="HV23" i="4"/>
  <c r="CN22" i="4"/>
  <c r="CO3" i="4"/>
  <c r="CN2" i="4"/>
  <c r="CN3" i="7" l="1"/>
  <c r="CO77" i="4"/>
  <c r="HX114" i="4"/>
  <c r="HX113" i="4" s="1"/>
  <c r="HX126" i="4"/>
  <c r="HX195" i="4"/>
  <c r="HX88" i="4"/>
  <c r="HX87" i="4" s="1"/>
  <c r="CN34" i="4"/>
  <c r="CN40" i="4"/>
  <c r="CN38" i="4"/>
  <c r="CN39" i="4"/>
  <c r="CN42" i="4"/>
  <c r="CN27" i="4"/>
  <c r="CK26" i="4"/>
  <c r="CG21" i="7"/>
  <c r="CH18" i="7"/>
  <c r="CH19" i="7"/>
  <c r="CI33" i="7"/>
  <c r="CI20" i="7" s="1"/>
  <c r="HU15" i="7"/>
  <c r="CK9" i="7" s="1"/>
  <c r="CK32" i="7" s="1"/>
  <c r="CJ32" i="7"/>
  <c r="CJ31" i="7"/>
  <c r="CJ29" i="7"/>
  <c r="HW3" i="7"/>
  <c r="HX197" i="4"/>
  <c r="CN14" i="7"/>
  <c r="CN13" i="7"/>
  <c r="CN10" i="7"/>
  <c r="HX2" i="4"/>
  <c r="CM2" i="7"/>
  <c r="HV13" i="7"/>
  <c r="HV14" i="7"/>
  <c r="HV12" i="7"/>
  <c r="CM83" i="4"/>
  <c r="CL5" i="7"/>
  <c r="CN82" i="4"/>
  <c r="CN89" i="4" s="1"/>
  <c r="HW89" i="4"/>
  <c r="HW117" i="4" s="1"/>
  <c r="HX47" i="4"/>
  <c r="HX122" i="4"/>
  <c r="HX121" i="4"/>
  <c r="HX123" i="4"/>
  <c r="HX118" i="4"/>
  <c r="HX124" i="4"/>
  <c r="HX120" i="4"/>
  <c r="HX119" i="4"/>
  <c r="HV117" i="4"/>
  <c r="HX51" i="4"/>
  <c r="HX83" i="4"/>
  <c r="HX116" i="4" s="1"/>
  <c r="HY3" i="4"/>
  <c r="CO64" i="4"/>
  <c r="CN23" i="4"/>
  <c r="HW23" i="4"/>
  <c r="HX22" i="4"/>
  <c r="CK35" i="4"/>
  <c r="HV26" i="4"/>
  <c r="HV27" i="4"/>
  <c r="HV33" i="4"/>
  <c r="CL33" i="4" s="1"/>
  <c r="HV32" i="4"/>
  <c r="CL32" i="4" s="1"/>
  <c r="HV34" i="4"/>
  <c r="HV38" i="4"/>
  <c r="HV39" i="4"/>
  <c r="CO22" i="4"/>
  <c r="CP3" i="4"/>
  <c r="CO2" i="4"/>
  <c r="CO3" i="7" l="1"/>
  <c r="CO10" i="7" s="1"/>
  <c r="CP77" i="4"/>
  <c r="HY114" i="4"/>
  <c r="HY113" i="4" s="1"/>
  <c r="HY126" i="4"/>
  <c r="HY195" i="4"/>
  <c r="HY88" i="4"/>
  <c r="HY87" i="4" s="1"/>
  <c r="CO40" i="4"/>
  <c r="CO38" i="4"/>
  <c r="CO42" i="4"/>
  <c r="CO34" i="4"/>
  <c r="CO39" i="4"/>
  <c r="CO27" i="4"/>
  <c r="CI18" i="7"/>
  <c r="CL26" i="4"/>
  <c r="CI19" i="7"/>
  <c r="HW14" i="7"/>
  <c r="CH21" i="7"/>
  <c r="CK30" i="7"/>
  <c r="CK29" i="7"/>
  <c r="CK31" i="7"/>
  <c r="CJ33" i="7"/>
  <c r="CJ20" i="7" s="1"/>
  <c r="HW12" i="7"/>
  <c r="HW13" i="7"/>
  <c r="HX3" i="7"/>
  <c r="HY197" i="4"/>
  <c r="HY2" i="4"/>
  <c r="CN2" i="7"/>
  <c r="HV15" i="7"/>
  <c r="CL9" i="7" s="1"/>
  <c r="CN83" i="4"/>
  <c r="CM5" i="7"/>
  <c r="CO82" i="4"/>
  <c r="CO89" i="4" s="1"/>
  <c r="HY83" i="4"/>
  <c r="HY116" i="4" s="1"/>
  <c r="HY123" i="4"/>
  <c r="HY124" i="4"/>
  <c r="HY122" i="4"/>
  <c r="HY121" i="4"/>
  <c r="HY120" i="4"/>
  <c r="HY119" i="4"/>
  <c r="HY118" i="4"/>
  <c r="HY51" i="4"/>
  <c r="HX89" i="4"/>
  <c r="HY47" i="4"/>
  <c r="HZ3" i="4"/>
  <c r="CP64" i="4"/>
  <c r="CL35" i="4"/>
  <c r="CO23" i="4"/>
  <c r="HX23" i="4"/>
  <c r="HY22" i="4"/>
  <c r="HW27" i="4"/>
  <c r="HW26" i="4"/>
  <c r="HW32" i="4"/>
  <c r="CM32" i="4" s="1"/>
  <c r="HW33" i="4"/>
  <c r="CM33" i="4" s="1"/>
  <c r="HW34" i="4"/>
  <c r="HW39" i="4"/>
  <c r="HW38" i="4"/>
  <c r="CP22" i="4"/>
  <c r="CQ3" i="4"/>
  <c r="CP2" i="4"/>
  <c r="CO13" i="7" l="1"/>
  <c r="CO14" i="7"/>
  <c r="CP3" i="7"/>
  <c r="CQ77" i="4"/>
  <c r="HZ114" i="4"/>
  <c r="HZ113" i="4" s="1"/>
  <c r="HZ126" i="4"/>
  <c r="CI21" i="7"/>
  <c r="HZ195" i="4"/>
  <c r="HZ88" i="4"/>
  <c r="HZ87" i="4" s="1"/>
  <c r="CP42" i="4"/>
  <c r="CP40" i="4"/>
  <c r="CP39" i="4"/>
  <c r="CP27" i="4"/>
  <c r="CP38" i="4"/>
  <c r="CP34" i="4"/>
  <c r="CM26" i="4"/>
  <c r="CJ18" i="7"/>
  <c r="HX13" i="7"/>
  <c r="CK33" i="7"/>
  <c r="CK20" i="7" s="1"/>
  <c r="CJ19" i="7"/>
  <c r="HW15" i="7"/>
  <c r="CM9" i="7" s="1"/>
  <c r="CM32" i="7" s="1"/>
  <c r="HX14" i="7"/>
  <c r="HX12" i="7"/>
  <c r="HY3" i="7"/>
  <c r="HZ197" i="4"/>
  <c r="CL32" i="7"/>
  <c r="CL29" i="7"/>
  <c r="CL31" i="7"/>
  <c r="CL30" i="7"/>
  <c r="CO83" i="4"/>
  <c r="CN5" i="7"/>
  <c r="HZ2" i="4"/>
  <c r="CO2" i="7"/>
  <c r="CP14" i="7"/>
  <c r="CP13" i="7"/>
  <c r="CP10" i="7"/>
  <c r="CP82" i="4"/>
  <c r="CP89" i="4" s="1"/>
  <c r="HY89" i="4"/>
  <c r="HZ124" i="4"/>
  <c r="HZ123" i="4"/>
  <c r="HZ122" i="4"/>
  <c r="HZ118" i="4"/>
  <c r="HZ120" i="4"/>
  <c r="HZ121" i="4"/>
  <c r="HZ119" i="4"/>
  <c r="HX117" i="4"/>
  <c r="HZ51" i="4"/>
  <c r="HZ83" i="4"/>
  <c r="HZ116" i="4" s="1"/>
  <c r="HZ47" i="4"/>
  <c r="IA3" i="4"/>
  <c r="CQ64" i="4"/>
  <c r="CP23" i="4"/>
  <c r="HY23" i="4"/>
  <c r="HZ22" i="4"/>
  <c r="CM35" i="4"/>
  <c r="HX27" i="4"/>
  <c r="HX26" i="4"/>
  <c r="HX32" i="4"/>
  <c r="CN32" i="4" s="1"/>
  <c r="HX33" i="4"/>
  <c r="CN33" i="4" s="1"/>
  <c r="HX34" i="4"/>
  <c r="HX38" i="4"/>
  <c r="HX39" i="4"/>
  <c r="CQ22" i="4"/>
  <c r="CR3" i="4"/>
  <c r="CQ2" i="4"/>
  <c r="CQ3" i="7" l="1"/>
  <c r="CR77" i="4"/>
  <c r="IA114" i="4"/>
  <c r="IA113" i="4" s="1"/>
  <c r="IA126" i="4"/>
  <c r="IA195" i="4"/>
  <c r="IA88" i="4"/>
  <c r="IA87" i="4" s="1"/>
  <c r="CQ38" i="4"/>
  <c r="CQ42" i="4"/>
  <c r="CQ39" i="4"/>
  <c r="CQ40" i="4"/>
  <c r="CQ34" i="4"/>
  <c r="CQ27" i="4"/>
  <c r="CN26" i="4"/>
  <c r="CK18" i="7"/>
  <c r="HY13" i="7"/>
  <c r="CJ21" i="7"/>
  <c r="CK19" i="7"/>
  <c r="CM29" i="7"/>
  <c r="CM31" i="7"/>
  <c r="CM30" i="7"/>
  <c r="HX15" i="7"/>
  <c r="CN9" i="7" s="1"/>
  <c r="CN31" i="7" s="1"/>
  <c r="HY12" i="7"/>
  <c r="HY14" i="7"/>
  <c r="HZ3" i="7"/>
  <c r="IA197" i="4"/>
  <c r="CP83" i="4"/>
  <c r="CO5" i="7"/>
  <c r="CQ14" i="7"/>
  <c r="CQ13" i="7"/>
  <c r="CQ10" i="7"/>
  <c r="IA2" i="4"/>
  <c r="CP2" i="7"/>
  <c r="CL33" i="7"/>
  <c r="CL20" i="7" s="1"/>
  <c r="CQ82" i="4"/>
  <c r="CQ89" i="4" s="1"/>
  <c r="HY117" i="4"/>
  <c r="IA51" i="4"/>
  <c r="IA124" i="4"/>
  <c r="IA123" i="4"/>
  <c r="IA122" i="4"/>
  <c r="IA121" i="4"/>
  <c r="IA119" i="4"/>
  <c r="IA120" i="4"/>
  <c r="IA118" i="4"/>
  <c r="IA47" i="4"/>
  <c r="IA83" i="4"/>
  <c r="IA116" i="4" s="1"/>
  <c r="HZ89" i="4"/>
  <c r="IB3" i="4"/>
  <c r="IB126" i="4" s="1"/>
  <c r="CR64" i="4"/>
  <c r="CQ23" i="4"/>
  <c r="HZ23" i="4"/>
  <c r="CN35" i="4"/>
  <c r="IA22" i="4"/>
  <c r="HY27" i="4"/>
  <c r="HY26" i="4"/>
  <c r="HY32" i="4"/>
  <c r="CO32" i="4" s="1"/>
  <c r="HY33" i="4"/>
  <c r="CO33" i="4" s="1"/>
  <c r="HY34" i="4"/>
  <c r="HY39" i="4"/>
  <c r="HY38" i="4"/>
  <c r="CR22" i="4"/>
  <c r="CR2" i="4"/>
  <c r="CS3" i="4"/>
  <c r="CR3" i="7" l="1"/>
  <c r="CS77" i="4"/>
  <c r="IB88" i="4"/>
  <c r="IB87" i="4" s="1"/>
  <c r="IB114" i="4"/>
  <c r="IB113" i="4" s="1"/>
  <c r="CR42" i="4"/>
  <c r="CR39" i="4"/>
  <c r="CR38" i="4"/>
  <c r="CR40" i="4"/>
  <c r="CR34" i="4"/>
  <c r="CR27" i="4"/>
  <c r="CO26" i="4"/>
  <c r="HZ13" i="7"/>
  <c r="CK21" i="7"/>
  <c r="CN32" i="7"/>
  <c r="CN29" i="7"/>
  <c r="CM33" i="7"/>
  <c r="CM20" i="7" s="1"/>
  <c r="CN30" i="7"/>
  <c r="HY15" i="7"/>
  <c r="CO9" i="7" s="1"/>
  <c r="CO31" i="7" s="1"/>
  <c r="HZ14" i="7"/>
  <c r="HZ12" i="7"/>
  <c r="IB197" i="4"/>
  <c r="IB195" i="4"/>
  <c r="CQ83" i="4"/>
  <c r="CP5" i="7"/>
  <c r="CL19" i="7"/>
  <c r="CL18" i="7"/>
  <c r="CR14" i="7"/>
  <c r="CR13" i="7"/>
  <c r="CR10" i="7"/>
  <c r="IB2" i="4"/>
  <c r="CQ2" i="7"/>
  <c r="IB47" i="4"/>
  <c r="IA3" i="7"/>
  <c r="CR82" i="4"/>
  <c r="CR89" i="4" s="1"/>
  <c r="IB83" i="4"/>
  <c r="IB116" i="4" s="1"/>
  <c r="IB121" i="4"/>
  <c r="IB122" i="4"/>
  <c r="IB124" i="4"/>
  <c r="IB120" i="4"/>
  <c r="IB118" i="4"/>
  <c r="IB123" i="4"/>
  <c r="IB119" i="4"/>
  <c r="HZ117" i="4"/>
  <c r="IB51" i="4"/>
  <c r="IA89" i="4"/>
  <c r="IC3" i="4"/>
  <c r="IC126" i="4" s="1"/>
  <c r="CS64" i="4"/>
  <c r="CR23" i="4"/>
  <c r="IA23" i="4"/>
  <c r="IB22" i="4"/>
  <c r="CO35" i="4"/>
  <c r="HZ26" i="4"/>
  <c r="HZ27" i="4"/>
  <c r="HZ32" i="4"/>
  <c r="CP32" i="4" s="1"/>
  <c r="HZ33" i="4"/>
  <c r="CP33" i="4" s="1"/>
  <c r="HZ34" i="4"/>
  <c r="HZ38" i="4"/>
  <c r="HZ39" i="4"/>
  <c r="CS22" i="4"/>
  <c r="CT3" i="4"/>
  <c r="CS2" i="4"/>
  <c r="CS3" i="7" l="1"/>
  <c r="CS14" i="7" s="1"/>
  <c r="CT77" i="4"/>
  <c r="IC88" i="4"/>
  <c r="IC87" i="4" s="1"/>
  <c r="IC114" i="4"/>
  <c r="IC113" i="4" s="1"/>
  <c r="CS42" i="4"/>
  <c r="CS39" i="4"/>
  <c r="CS38" i="4"/>
  <c r="CS40" i="4"/>
  <c r="CS27" i="4"/>
  <c r="CS34" i="4"/>
  <c r="CP26" i="4"/>
  <c r="HZ15" i="7"/>
  <c r="CP9" i="7" s="1"/>
  <c r="CP31" i="7" s="1"/>
  <c r="CM19" i="7"/>
  <c r="CM18" i="7"/>
  <c r="CO30" i="7"/>
  <c r="CO32" i="7"/>
  <c r="CN33" i="7"/>
  <c r="CN20" i="7" s="1"/>
  <c r="CO29" i="7"/>
  <c r="IC197" i="4"/>
  <c r="IC195" i="4"/>
  <c r="CL21" i="7"/>
  <c r="CR83" i="4"/>
  <c r="CQ5" i="7"/>
  <c r="IC2" i="4"/>
  <c r="CR2" i="7"/>
  <c r="IC51" i="4"/>
  <c r="IB3" i="7"/>
  <c r="IA13" i="7"/>
  <c r="IA14" i="7"/>
  <c r="IA12" i="7"/>
  <c r="CS82" i="4"/>
  <c r="CS89" i="4" s="1"/>
  <c r="IC83" i="4"/>
  <c r="IC116" i="4" s="1"/>
  <c r="IC122" i="4"/>
  <c r="IC123" i="4"/>
  <c r="IC121" i="4"/>
  <c r="IC120" i="4"/>
  <c r="IC119" i="4"/>
  <c r="IC118" i="4"/>
  <c r="IC124" i="4"/>
  <c r="IB89" i="4"/>
  <c r="IB117" i="4" s="1"/>
  <c r="IC47" i="4"/>
  <c r="IA117" i="4"/>
  <c r="ID3" i="4"/>
  <c r="ID126" i="4" s="1"/>
  <c r="CT64" i="4"/>
  <c r="CS23" i="4"/>
  <c r="IB23" i="4"/>
  <c r="IC22" i="4"/>
  <c r="CP35" i="4"/>
  <c r="IA27" i="4"/>
  <c r="IA26" i="4"/>
  <c r="IA32" i="4"/>
  <c r="CQ32" i="4" s="1"/>
  <c r="IA33" i="4"/>
  <c r="CQ33" i="4" s="1"/>
  <c r="IA34" i="4"/>
  <c r="IA38" i="4"/>
  <c r="IA39" i="4"/>
  <c r="CT22" i="4"/>
  <c r="CU3" i="4"/>
  <c r="CT2" i="4"/>
  <c r="CS10" i="7" l="1"/>
  <c r="CS13" i="7"/>
  <c r="CT3" i="7"/>
  <c r="CT14" i="7" s="1"/>
  <c r="CU77" i="4"/>
  <c r="ID88" i="4"/>
  <c r="ID87" i="4" s="1"/>
  <c r="ID114" i="4"/>
  <c r="ID113" i="4" s="1"/>
  <c r="CT39" i="4"/>
  <c r="CT34" i="4"/>
  <c r="CT40" i="4"/>
  <c r="CT42" i="4"/>
  <c r="CT38" i="4"/>
  <c r="CT27" i="4"/>
  <c r="CQ26" i="4"/>
  <c r="CP29" i="7"/>
  <c r="CM21" i="7"/>
  <c r="CP30" i="7"/>
  <c r="CP32" i="7"/>
  <c r="CN19" i="7"/>
  <c r="CN18" i="7"/>
  <c r="CO33" i="7"/>
  <c r="CO20" i="7" s="1"/>
  <c r="ID197" i="4"/>
  <c r="ID195" i="4"/>
  <c r="IA15" i="7"/>
  <c r="CQ9" i="7" s="1"/>
  <c r="CQ30" i="7" s="1"/>
  <c r="IB12" i="7"/>
  <c r="IB14" i="7"/>
  <c r="IB13" i="7"/>
  <c r="CS83" i="4"/>
  <c r="CR5" i="7"/>
  <c r="ID2" i="4"/>
  <c r="CS2" i="7"/>
  <c r="CT13" i="7"/>
  <c r="CT10" i="7"/>
  <c r="ID51" i="4"/>
  <c r="IC3" i="7"/>
  <c r="CT82" i="4"/>
  <c r="CT89" i="4" s="1"/>
  <c r="IC89" i="4"/>
  <c r="IC117" i="4" s="1"/>
  <c r="ID47" i="4"/>
  <c r="ID83" i="4"/>
  <c r="ID116" i="4" s="1"/>
  <c r="ID123" i="4"/>
  <c r="ID124" i="4"/>
  <c r="ID122" i="4"/>
  <c r="ID121" i="4"/>
  <c r="ID118" i="4"/>
  <c r="ID119" i="4"/>
  <c r="ID120" i="4"/>
  <c r="IE3" i="4"/>
  <c r="IE126" i="4" s="1"/>
  <c r="CU64" i="4"/>
  <c r="CT23" i="4"/>
  <c r="IC23" i="4"/>
  <c r="ID22" i="4"/>
  <c r="CQ35" i="4"/>
  <c r="IB27" i="4"/>
  <c r="IB26" i="4"/>
  <c r="IB32" i="4"/>
  <c r="CR32" i="4" s="1"/>
  <c r="IB33" i="4"/>
  <c r="CR33" i="4" s="1"/>
  <c r="IB34" i="4"/>
  <c r="IB38" i="4"/>
  <c r="IB39" i="4"/>
  <c r="CU22" i="4"/>
  <c r="CV3" i="4"/>
  <c r="CU2" i="4"/>
  <c r="CU3" i="7" l="1"/>
  <c r="CV77" i="4"/>
  <c r="IE88" i="4"/>
  <c r="IE87" i="4" s="1"/>
  <c r="IE114" i="4"/>
  <c r="IE113" i="4" s="1"/>
  <c r="CU40" i="4"/>
  <c r="CU39" i="4"/>
  <c r="CU38" i="4"/>
  <c r="CU42" i="4"/>
  <c r="CU34" i="4"/>
  <c r="CU27" i="4"/>
  <c r="CR26" i="4"/>
  <c r="CN21" i="7"/>
  <c r="CP33" i="7"/>
  <c r="CP20" i="7" s="1"/>
  <c r="CO18" i="7"/>
  <c r="CO19" i="7"/>
  <c r="IE197" i="4"/>
  <c r="IE195" i="4"/>
  <c r="CQ32" i="7"/>
  <c r="CQ29" i="7"/>
  <c r="CQ31" i="7"/>
  <c r="IB15" i="7"/>
  <c r="CR9" i="7" s="1"/>
  <c r="CR29" i="7" s="1"/>
  <c r="IE2" i="4"/>
  <c r="CT2" i="7"/>
  <c r="CT83" i="4"/>
  <c r="CS5" i="7"/>
  <c r="CU13" i="7"/>
  <c r="CU14" i="7"/>
  <c r="CU10" i="7"/>
  <c r="IE51" i="4"/>
  <c r="ID3" i="7"/>
  <c r="IC12" i="7"/>
  <c r="IC14" i="7"/>
  <c r="IC13" i="7"/>
  <c r="CU82" i="4"/>
  <c r="CU89" i="4" s="1"/>
  <c r="ID89" i="4"/>
  <c r="ID117" i="4" s="1"/>
  <c r="IE83" i="4"/>
  <c r="IE116" i="4" s="1"/>
  <c r="IE124" i="4"/>
  <c r="IE123" i="4"/>
  <c r="IE122" i="4"/>
  <c r="IE121" i="4"/>
  <c r="IE118" i="4"/>
  <c r="IE119" i="4"/>
  <c r="IE120" i="4"/>
  <c r="IE47" i="4"/>
  <c r="IF3" i="4"/>
  <c r="CV64" i="4"/>
  <c r="CU23" i="4"/>
  <c r="ID23" i="4"/>
  <c r="IE22" i="4"/>
  <c r="CR35" i="4"/>
  <c r="IC27" i="4"/>
  <c r="IC26" i="4"/>
  <c r="IC33" i="4"/>
  <c r="CS33" i="4" s="1"/>
  <c r="IC32" i="4"/>
  <c r="CS32" i="4" s="1"/>
  <c r="IC34" i="4"/>
  <c r="IC39" i="4"/>
  <c r="IC38" i="4"/>
  <c r="CV22" i="4"/>
  <c r="CV2" i="4"/>
  <c r="CW3" i="4"/>
  <c r="CV3" i="7" l="1"/>
  <c r="CW77" i="4"/>
  <c r="IF114" i="4"/>
  <c r="IF113" i="4" s="1"/>
  <c r="IF126" i="4"/>
  <c r="IF195" i="4"/>
  <c r="IF88" i="4"/>
  <c r="IF87" i="4" s="1"/>
  <c r="CV34" i="4"/>
  <c r="CV40" i="4"/>
  <c r="CV38" i="4"/>
  <c r="CV39" i="4"/>
  <c r="CV42" i="4"/>
  <c r="CV27" i="4"/>
  <c r="CS26" i="4"/>
  <c r="CP19" i="7"/>
  <c r="CP18" i="7"/>
  <c r="CO21" i="7"/>
  <c r="IE3" i="7"/>
  <c r="IF197" i="4"/>
  <c r="CQ33" i="7"/>
  <c r="CQ20" i="7" s="1"/>
  <c r="CR32" i="7"/>
  <c r="CR30" i="7"/>
  <c r="CR31" i="7"/>
  <c r="CU83" i="4"/>
  <c r="CT5" i="7"/>
  <c r="IC15" i="7"/>
  <c r="CS9" i="7" s="1"/>
  <c r="ID14" i="7"/>
  <c r="ID12" i="7"/>
  <c r="ID13" i="7"/>
  <c r="CV14" i="7"/>
  <c r="CV13" i="7"/>
  <c r="CV10" i="7"/>
  <c r="IF2" i="4"/>
  <c r="CU2" i="7"/>
  <c r="CV82" i="4"/>
  <c r="CV89" i="4" s="1"/>
  <c r="IE89" i="4"/>
  <c r="IE117" i="4" s="1"/>
  <c r="IF124" i="4"/>
  <c r="IF121" i="4"/>
  <c r="IF123" i="4"/>
  <c r="IF119" i="4"/>
  <c r="IF120" i="4"/>
  <c r="IF122" i="4"/>
  <c r="IF118" i="4"/>
  <c r="IF47" i="4"/>
  <c r="IF83" i="4"/>
  <c r="IF116" i="4" s="1"/>
  <c r="IF51" i="4"/>
  <c r="IG3" i="4"/>
  <c r="IG126" i="4" s="1"/>
  <c r="CW64" i="4"/>
  <c r="CS35" i="4"/>
  <c r="IF22" i="4"/>
  <c r="ID27" i="4"/>
  <c r="ID26" i="4"/>
  <c r="ID32" i="4"/>
  <c r="CT32" i="4" s="1"/>
  <c r="ID33" i="4"/>
  <c r="CT33" i="4" s="1"/>
  <c r="ID34" i="4"/>
  <c r="ID39" i="4"/>
  <c r="ID38" i="4"/>
  <c r="CV23" i="4"/>
  <c r="IE23" i="4"/>
  <c r="CW22" i="4"/>
  <c r="CX3" i="4"/>
  <c r="CW2" i="4"/>
  <c r="CW3" i="7" l="1"/>
  <c r="CX77" i="4"/>
  <c r="IG88" i="4"/>
  <c r="IG87" i="4" s="1"/>
  <c r="IG114" i="4"/>
  <c r="IG113" i="4" s="1"/>
  <c r="CW40" i="4"/>
  <c r="CW38" i="4"/>
  <c r="CW42" i="4"/>
  <c r="CW39" i="4"/>
  <c r="CW34" i="4"/>
  <c r="CW27" i="4"/>
  <c r="CT26" i="4"/>
  <c r="CQ19" i="7"/>
  <c r="IE14" i="7"/>
  <c r="CP21" i="7"/>
  <c r="IG197" i="4"/>
  <c r="IG195" i="4"/>
  <c r="IE12" i="7"/>
  <c r="IE13" i="7"/>
  <c r="CQ18" i="7"/>
  <c r="CR33" i="7"/>
  <c r="CR20" i="7" s="1"/>
  <c r="ID15" i="7"/>
  <c r="CT9" i="7" s="1"/>
  <c r="CT31" i="7" s="1"/>
  <c r="IG2" i="4"/>
  <c r="CV2" i="7"/>
  <c r="CW14" i="7"/>
  <c r="CW13" i="7"/>
  <c r="CW10" i="7"/>
  <c r="IG51" i="4"/>
  <c r="IF3" i="7"/>
  <c r="CV83" i="4"/>
  <c r="CU5" i="7"/>
  <c r="CS30" i="7"/>
  <c r="CS29" i="7"/>
  <c r="CS31" i="7"/>
  <c r="CS32" i="7"/>
  <c r="CW82" i="4"/>
  <c r="CW89" i="4" s="1"/>
  <c r="IG47" i="4"/>
  <c r="IG83" i="4"/>
  <c r="IG116" i="4" s="1"/>
  <c r="IG122" i="4"/>
  <c r="IG124" i="4"/>
  <c r="IG121" i="4"/>
  <c r="IG120" i="4"/>
  <c r="IG119" i="4"/>
  <c r="IG118" i="4"/>
  <c r="IG123" i="4"/>
  <c r="IF89" i="4"/>
  <c r="IH3" i="4"/>
  <c r="CX64" i="4"/>
  <c r="IG22" i="4"/>
  <c r="CW23" i="4"/>
  <c r="IF23" i="4"/>
  <c r="CT35" i="4"/>
  <c r="IE26" i="4"/>
  <c r="IE27" i="4"/>
  <c r="IE33" i="4"/>
  <c r="CU33" i="4" s="1"/>
  <c r="IE32" i="4"/>
  <c r="CU32" i="4" s="1"/>
  <c r="IE34" i="4"/>
  <c r="IE38" i="4"/>
  <c r="IE39" i="4"/>
  <c r="CX22" i="4"/>
  <c r="CY3" i="4"/>
  <c r="CX2" i="4"/>
  <c r="CX3" i="7" l="1"/>
  <c r="CY77" i="4"/>
  <c r="IH114" i="4"/>
  <c r="IH113" i="4" s="1"/>
  <c r="IH126" i="4"/>
  <c r="IH195" i="4"/>
  <c r="IH88" i="4"/>
  <c r="IH87" i="4" s="1"/>
  <c r="CX42" i="4"/>
  <c r="CX40" i="4"/>
  <c r="CX38" i="4"/>
  <c r="CX39" i="4"/>
  <c r="CX34" i="4"/>
  <c r="CX27" i="4"/>
  <c r="CU26" i="4"/>
  <c r="CR19" i="7"/>
  <c r="IE15" i="7"/>
  <c r="CU9" i="7" s="1"/>
  <c r="CU30" i="7" s="1"/>
  <c r="CQ21" i="7"/>
  <c r="CT30" i="7"/>
  <c r="IG3" i="7"/>
  <c r="IH197" i="4"/>
  <c r="CR18" i="7"/>
  <c r="CT32" i="7"/>
  <c r="CT29" i="7"/>
  <c r="CS33" i="7"/>
  <c r="CS20" i="7" s="1"/>
  <c r="IF14" i="7"/>
  <c r="IF13" i="7"/>
  <c r="IF12" i="7"/>
  <c r="CW83" i="4"/>
  <c r="CV5" i="7"/>
  <c r="IH2" i="4"/>
  <c r="CW2" i="7"/>
  <c r="CX13" i="7"/>
  <c r="CX14" i="7"/>
  <c r="CX10" i="7"/>
  <c r="CX82" i="4"/>
  <c r="CX89" i="4" s="1"/>
  <c r="IG89" i="4"/>
  <c r="IH83" i="4"/>
  <c r="IH116" i="4" s="1"/>
  <c r="IH122" i="4"/>
  <c r="IH123" i="4"/>
  <c r="IH120" i="4"/>
  <c r="IH124" i="4"/>
  <c r="IH121" i="4"/>
  <c r="IH119" i="4"/>
  <c r="IH118" i="4"/>
  <c r="IF117" i="4"/>
  <c r="IH51" i="4"/>
  <c r="IH47" i="4"/>
  <c r="II3" i="4"/>
  <c r="CY64" i="4"/>
  <c r="CU35" i="4"/>
  <c r="IH22" i="4"/>
  <c r="IF27" i="4"/>
  <c r="IF26" i="4"/>
  <c r="IF32" i="4"/>
  <c r="CV32" i="4" s="1"/>
  <c r="IF33" i="4"/>
  <c r="CV33" i="4" s="1"/>
  <c r="IF34" i="4"/>
  <c r="IF39" i="4"/>
  <c r="IF38" i="4"/>
  <c r="CX23" i="4"/>
  <c r="IG23" i="4"/>
  <c r="CY22" i="4"/>
  <c r="CZ3" i="4"/>
  <c r="CY2" i="4"/>
  <c r="CY3" i="7" l="1"/>
  <c r="CY10" i="7" s="1"/>
  <c r="CZ77" i="4"/>
  <c r="II114" i="4"/>
  <c r="II113" i="4" s="1"/>
  <c r="II126" i="4"/>
  <c r="II195" i="4"/>
  <c r="II88" i="4"/>
  <c r="II87" i="4" s="1"/>
  <c r="CY38" i="4"/>
  <c r="CY42" i="4"/>
  <c r="CY39" i="4"/>
  <c r="CY40" i="4"/>
  <c r="CY34" i="4"/>
  <c r="CY27" i="4"/>
  <c r="CV26" i="4"/>
  <c r="CS19" i="7"/>
  <c r="IG14" i="7"/>
  <c r="CU32" i="7"/>
  <c r="CU31" i="7"/>
  <c r="CU29" i="7"/>
  <c r="IG13" i="7"/>
  <c r="IG12" i="7"/>
  <c r="CR21" i="7"/>
  <c r="IH3" i="7"/>
  <c r="II197" i="4"/>
  <c r="CT33" i="7"/>
  <c r="CT20" i="7" s="1"/>
  <c r="CS18" i="7"/>
  <c r="IF15" i="7"/>
  <c r="CV9" i="7" s="1"/>
  <c r="CV30" i="7" s="1"/>
  <c r="CX83" i="4"/>
  <c r="CW5" i="7"/>
  <c r="II2" i="4"/>
  <c r="CX2" i="7"/>
  <c r="CY13" i="7"/>
  <c r="CY82" i="4"/>
  <c r="CY89" i="4" s="1"/>
  <c r="IG117" i="4"/>
  <c r="IH89" i="4"/>
  <c r="II83" i="4"/>
  <c r="II116" i="4" s="1"/>
  <c r="II124" i="4"/>
  <c r="II123" i="4"/>
  <c r="II122" i="4"/>
  <c r="II121" i="4"/>
  <c r="II119" i="4"/>
  <c r="II118" i="4"/>
  <c r="II120" i="4"/>
  <c r="II47" i="4"/>
  <c r="II51" i="4"/>
  <c r="IJ3" i="4"/>
  <c r="CZ64" i="4"/>
  <c r="CV35" i="4"/>
  <c r="II22" i="4"/>
  <c r="CY23" i="4"/>
  <c r="IH23" i="4"/>
  <c r="IG26" i="4"/>
  <c r="IG27" i="4"/>
  <c r="IG32" i="4"/>
  <c r="CW32" i="4" s="1"/>
  <c r="IG33" i="4"/>
  <c r="CW33" i="4" s="1"/>
  <c r="IG34" i="4"/>
  <c r="IG38" i="4"/>
  <c r="IG39" i="4"/>
  <c r="CZ22" i="4"/>
  <c r="DA3" i="4"/>
  <c r="CZ2" i="4"/>
  <c r="CY14" i="7" l="1"/>
  <c r="CZ3" i="7"/>
  <c r="DA77" i="4"/>
  <c r="IJ114" i="4"/>
  <c r="IJ113" i="4" s="1"/>
  <c r="IJ126" i="4"/>
  <c r="IJ195" i="4"/>
  <c r="IJ88" i="4"/>
  <c r="IJ87" i="4" s="1"/>
  <c r="CZ42" i="4"/>
  <c r="CZ39" i="4"/>
  <c r="CZ38" i="4"/>
  <c r="CZ40" i="4"/>
  <c r="CZ34" i="4"/>
  <c r="CZ27" i="4"/>
  <c r="CW26" i="4"/>
  <c r="CT19" i="7"/>
  <c r="IH14" i="7"/>
  <c r="IG15" i="7"/>
  <c r="CW9" i="7" s="1"/>
  <c r="CW29" i="7" s="1"/>
  <c r="CU33" i="7"/>
  <c r="CU20" i="7" s="1"/>
  <c r="CT18" i="7"/>
  <c r="IH12" i="7"/>
  <c r="IH13" i="7"/>
  <c r="II3" i="7"/>
  <c r="IJ197" i="4"/>
  <c r="CS21" i="7"/>
  <c r="CV32" i="7"/>
  <c r="CV29" i="7"/>
  <c r="CV31" i="7"/>
  <c r="CY83" i="4"/>
  <c r="CX5" i="7"/>
  <c r="IJ2" i="4"/>
  <c r="CY2" i="7"/>
  <c r="CZ14" i="7"/>
  <c r="CZ13" i="7"/>
  <c r="CZ10" i="7"/>
  <c r="CZ82" i="4"/>
  <c r="CZ89" i="4" s="1"/>
  <c r="IH117" i="4"/>
  <c r="II89" i="4"/>
  <c r="IJ83" i="4"/>
  <c r="IJ116" i="4" s="1"/>
  <c r="IJ123" i="4"/>
  <c r="IJ121" i="4"/>
  <c r="IJ124" i="4"/>
  <c r="IJ122" i="4"/>
  <c r="IJ118" i="4"/>
  <c r="IJ119" i="4"/>
  <c r="IJ120" i="4"/>
  <c r="IJ51" i="4"/>
  <c r="IJ47" i="4"/>
  <c r="IK3" i="4"/>
  <c r="DA64" i="4"/>
  <c r="IJ22" i="4"/>
  <c r="CW35" i="4"/>
  <c r="IH27" i="4"/>
  <c r="IH26" i="4"/>
  <c r="IH33" i="4"/>
  <c r="CX33" i="4" s="1"/>
  <c r="IH32" i="4"/>
  <c r="CX32" i="4" s="1"/>
  <c r="IH34" i="4"/>
  <c r="IH38" i="4"/>
  <c r="IH39" i="4"/>
  <c r="CZ23" i="4"/>
  <c r="II23" i="4"/>
  <c r="DA22" i="4"/>
  <c r="DB3" i="4"/>
  <c r="DA2" i="4"/>
  <c r="DA3" i="7" l="1"/>
  <c r="DB77" i="4"/>
  <c r="IK114" i="4"/>
  <c r="IK113" i="4" s="1"/>
  <c r="IK126" i="4"/>
  <c r="IK195" i="4"/>
  <c r="IK88" i="4"/>
  <c r="IK87" i="4" s="1"/>
  <c r="DA42" i="4"/>
  <c r="DA39" i="4"/>
  <c r="DA40" i="4"/>
  <c r="DA34" i="4"/>
  <c r="DA38" i="4"/>
  <c r="DA27" i="4"/>
  <c r="CX26" i="4"/>
  <c r="CU18" i="7"/>
  <c r="II14" i="7"/>
  <c r="CU19" i="7"/>
  <c r="CW32" i="7"/>
  <c r="CW30" i="7"/>
  <c r="CW31" i="7"/>
  <c r="IH15" i="7"/>
  <c r="CX9" i="7" s="1"/>
  <c r="CX29" i="7" s="1"/>
  <c r="CT21" i="7"/>
  <c r="II12" i="7"/>
  <c r="II13" i="7"/>
  <c r="IJ3" i="7"/>
  <c r="IK197" i="4"/>
  <c r="CV33" i="7"/>
  <c r="CV20" i="7" s="1"/>
  <c r="DA13" i="7"/>
  <c r="DA14" i="7"/>
  <c r="DA10" i="7"/>
  <c r="IK2" i="4"/>
  <c r="CZ2" i="7"/>
  <c r="CZ83" i="4"/>
  <c r="CY5" i="7"/>
  <c r="DA82" i="4"/>
  <c r="DA89" i="4" s="1"/>
  <c r="II117" i="4"/>
  <c r="IJ89" i="4"/>
  <c r="IJ117" i="4" s="1"/>
  <c r="IK83" i="4"/>
  <c r="IK116" i="4" s="1"/>
  <c r="IK124" i="4"/>
  <c r="IK123" i="4"/>
  <c r="IK121" i="4"/>
  <c r="IK120" i="4"/>
  <c r="IK119" i="4"/>
  <c r="IK118" i="4"/>
  <c r="IK122" i="4"/>
  <c r="IK47" i="4"/>
  <c r="IK51" i="4"/>
  <c r="IL3" i="4"/>
  <c r="DB64" i="4"/>
  <c r="IK22" i="4"/>
  <c r="II27" i="4"/>
  <c r="II26" i="4"/>
  <c r="II33" i="4"/>
  <c r="CY33" i="4" s="1"/>
  <c r="II32" i="4"/>
  <c r="CY32" i="4" s="1"/>
  <c r="II34" i="4"/>
  <c r="II39" i="4"/>
  <c r="II38" i="4"/>
  <c r="DA23" i="4"/>
  <c r="IJ23" i="4"/>
  <c r="CX35" i="4"/>
  <c r="DB22" i="4"/>
  <c r="DC3" i="4"/>
  <c r="DB2" i="4"/>
  <c r="DB3" i="7" l="1"/>
  <c r="DC77" i="4"/>
  <c r="IL114" i="4"/>
  <c r="IL113" i="4" s="1"/>
  <c r="IL126" i="4"/>
  <c r="CU21" i="7"/>
  <c r="IL195" i="4"/>
  <c r="IL88" i="4"/>
  <c r="IL87" i="4" s="1"/>
  <c r="DB39" i="4"/>
  <c r="DB34" i="4"/>
  <c r="DB40" i="4"/>
  <c r="DB42" i="4"/>
  <c r="DB38" i="4"/>
  <c r="DB27" i="4"/>
  <c r="CY26" i="4"/>
  <c r="CV19" i="7"/>
  <c r="IJ12" i="7"/>
  <c r="CW33" i="7"/>
  <c r="CW20" i="7" s="1"/>
  <c r="II15" i="7"/>
  <c r="CY9" i="7" s="1"/>
  <c r="CY32" i="7" s="1"/>
  <c r="CX30" i="7"/>
  <c r="CX32" i="7"/>
  <c r="CX31" i="7"/>
  <c r="IJ13" i="7"/>
  <c r="IJ14" i="7"/>
  <c r="IK3" i="7"/>
  <c r="IL197" i="4"/>
  <c r="CV18" i="7"/>
  <c r="IL2" i="4"/>
  <c r="DA2" i="7"/>
  <c r="DB13" i="7"/>
  <c r="DB14" i="7"/>
  <c r="DB10" i="7"/>
  <c r="DA83" i="4"/>
  <c r="CZ5" i="7"/>
  <c r="DB82" i="4"/>
  <c r="DB89" i="4" s="1"/>
  <c r="IK89" i="4"/>
  <c r="IL83" i="4"/>
  <c r="IL116" i="4" s="1"/>
  <c r="IL122" i="4"/>
  <c r="IL124" i="4"/>
  <c r="IL119" i="4"/>
  <c r="IL123" i="4"/>
  <c r="IL120" i="4"/>
  <c r="IL121" i="4"/>
  <c r="IL118" i="4"/>
  <c r="IL51" i="4"/>
  <c r="IL47" i="4"/>
  <c r="IM3" i="4"/>
  <c r="DC64" i="4"/>
  <c r="CY35" i="4"/>
  <c r="IJ26" i="4"/>
  <c r="IJ27" i="4"/>
  <c r="IJ33" i="4"/>
  <c r="CZ33" i="4" s="1"/>
  <c r="IJ32" i="4"/>
  <c r="CZ32" i="4" s="1"/>
  <c r="IJ34" i="4"/>
  <c r="IJ39" i="4"/>
  <c r="IJ38" i="4"/>
  <c r="DB23" i="4"/>
  <c r="IK23" i="4"/>
  <c r="IL22" i="4"/>
  <c r="DC22" i="4"/>
  <c r="DD3" i="4"/>
  <c r="DC2" i="4"/>
  <c r="DC3" i="7" l="1"/>
  <c r="DD77" i="4"/>
  <c r="IM114" i="4"/>
  <c r="IM113" i="4" s="1"/>
  <c r="IM126" i="4"/>
  <c r="IM195" i="4"/>
  <c r="IM88" i="4"/>
  <c r="IM87" i="4" s="1"/>
  <c r="DC40" i="4"/>
  <c r="DC39" i="4"/>
  <c r="DC42" i="4"/>
  <c r="DC38" i="4"/>
  <c r="DC34" i="4"/>
  <c r="DC27" i="4"/>
  <c r="CZ26" i="4"/>
  <c r="IK14" i="7"/>
  <c r="CW19" i="7"/>
  <c r="CW18" i="7"/>
  <c r="CY29" i="7"/>
  <c r="CY31" i="7"/>
  <c r="CY30" i="7"/>
  <c r="CX33" i="7"/>
  <c r="CX20" i="7" s="1"/>
  <c r="IJ15" i="7"/>
  <c r="CZ9" i="7" s="1"/>
  <c r="CZ31" i="7" s="1"/>
  <c r="IK12" i="7"/>
  <c r="IK13" i="7"/>
  <c r="IL3" i="7"/>
  <c r="IM197" i="4"/>
  <c r="CV21" i="7"/>
  <c r="DB83" i="4"/>
  <c r="DA5" i="7"/>
  <c r="IM2" i="4"/>
  <c r="DB2" i="7"/>
  <c r="DC14" i="7"/>
  <c r="DC13" i="7"/>
  <c r="DC10" i="7"/>
  <c r="DC82" i="4"/>
  <c r="DC89" i="4" s="1"/>
  <c r="IK117" i="4"/>
  <c r="IL89" i="4"/>
  <c r="IL117" i="4" s="1"/>
  <c r="IM83" i="4"/>
  <c r="IM116" i="4" s="1"/>
  <c r="IM124" i="4"/>
  <c r="IM123" i="4"/>
  <c r="IM122" i="4"/>
  <c r="IM121" i="4"/>
  <c r="IM120" i="4"/>
  <c r="IM118" i="4"/>
  <c r="IM119" i="4"/>
  <c r="IM51" i="4"/>
  <c r="IM47" i="4"/>
  <c r="IN3" i="4"/>
  <c r="DD64" i="4"/>
  <c r="CZ35" i="4"/>
  <c r="DC23" i="4"/>
  <c r="IL23" i="4"/>
  <c r="IK27" i="4"/>
  <c r="IK26" i="4"/>
  <c r="IK32" i="4"/>
  <c r="DA32" i="4" s="1"/>
  <c r="IK33" i="4"/>
  <c r="DA33" i="4" s="1"/>
  <c r="IK34" i="4"/>
  <c r="IK39" i="4"/>
  <c r="IK38" i="4"/>
  <c r="IM22" i="4"/>
  <c r="DD22" i="4"/>
  <c r="DE3" i="4"/>
  <c r="DD2" i="4"/>
  <c r="DD3" i="7" l="1"/>
  <c r="DE77" i="4"/>
  <c r="IN114" i="4"/>
  <c r="IN113" i="4" s="1"/>
  <c r="IN126" i="4"/>
  <c r="IN195" i="4"/>
  <c r="IN88" i="4"/>
  <c r="IN87" i="4" s="1"/>
  <c r="DD34" i="4"/>
  <c r="DD40" i="4"/>
  <c r="DD38" i="4"/>
  <c r="DD39" i="4"/>
  <c r="DD42" i="4"/>
  <c r="DD27" i="4"/>
  <c r="DA26" i="4"/>
  <c r="CX18" i="7"/>
  <c r="IL14" i="7"/>
  <c r="CW21" i="7"/>
  <c r="CX19" i="7"/>
  <c r="IK15" i="7"/>
  <c r="DA9" i="7" s="1"/>
  <c r="DA29" i="7" s="1"/>
  <c r="CY33" i="7"/>
  <c r="CY20" i="7" s="1"/>
  <c r="CZ30" i="7"/>
  <c r="CZ29" i="7"/>
  <c r="CZ32" i="7"/>
  <c r="IL13" i="7"/>
  <c r="IL12" i="7"/>
  <c r="IM3" i="7"/>
  <c r="IN197" i="4"/>
  <c r="DD14" i="7"/>
  <c r="DD13" i="7"/>
  <c r="DD10" i="7"/>
  <c r="IN2" i="4"/>
  <c r="DC2" i="7"/>
  <c r="DC83" i="4"/>
  <c r="DB5" i="7"/>
  <c r="DD82" i="4"/>
  <c r="DD89" i="4" s="1"/>
  <c r="IM89" i="4"/>
  <c r="IN83" i="4"/>
  <c r="IN116" i="4" s="1"/>
  <c r="IN122" i="4"/>
  <c r="IN121" i="4"/>
  <c r="IN123" i="4"/>
  <c r="IN124" i="4"/>
  <c r="IN118" i="4"/>
  <c r="IN120" i="4"/>
  <c r="IN119" i="4"/>
  <c r="IN47" i="4"/>
  <c r="IN51" i="4"/>
  <c r="IO3" i="4"/>
  <c r="DE64" i="4"/>
  <c r="DA35" i="4"/>
  <c r="IN22" i="4"/>
  <c r="IL27" i="4"/>
  <c r="IL26" i="4"/>
  <c r="IL32" i="4"/>
  <c r="DB32" i="4" s="1"/>
  <c r="IL33" i="4"/>
  <c r="DB33" i="4" s="1"/>
  <c r="IL34" i="4"/>
  <c r="IL39" i="4"/>
  <c r="IL38" i="4"/>
  <c r="DD23" i="4"/>
  <c r="IM23" i="4"/>
  <c r="DE22" i="4"/>
  <c r="DF3" i="4"/>
  <c r="DE2" i="4"/>
  <c r="DE3" i="7" l="1"/>
  <c r="DF77" i="4"/>
  <c r="IO114" i="4"/>
  <c r="IO113" i="4" s="1"/>
  <c r="IO126" i="4"/>
  <c r="IO195" i="4"/>
  <c r="IO88" i="4"/>
  <c r="IO87" i="4" s="1"/>
  <c r="DE40" i="4"/>
  <c r="DE38" i="4"/>
  <c r="DE42" i="4"/>
  <c r="DE39" i="4"/>
  <c r="DE27" i="4"/>
  <c r="DE34" i="4"/>
  <c r="DB26" i="4"/>
  <c r="IM12" i="7"/>
  <c r="CY19" i="7"/>
  <c r="CY18" i="7"/>
  <c r="CX21" i="7"/>
  <c r="DA32" i="7"/>
  <c r="IL15" i="7"/>
  <c r="DB9" i="7" s="1"/>
  <c r="DB30" i="7" s="1"/>
  <c r="DA30" i="7"/>
  <c r="DA31" i="7"/>
  <c r="CZ33" i="7"/>
  <c r="CZ20" i="7" s="1"/>
  <c r="IM14" i="7"/>
  <c r="IM13" i="7"/>
  <c r="IN3" i="7"/>
  <c r="IO197" i="4"/>
  <c r="DD83" i="4"/>
  <c r="DC5" i="7"/>
  <c r="IO2" i="4"/>
  <c r="DD2" i="7"/>
  <c r="DE14" i="7"/>
  <c r="DE13" i="7"/>
  <c r="DE10" i="7"/>
  <c r="DE82" i="4"/>
  <c r="DE89" i="4" s="1"/>
  <c r="IM117" i="4"/>
  <c r="IN89" i="4"/>
  <c r="IN117" i="4" s="1"/>
  <c r="IO83" i="4"/>
  <c r="IO116" i="4" s="1"/>
  <c r="IO123" i="4"/>
  <c r="IO124" i="4"/>
  <c r="IO122" i="4"/>
  <c r="IO121" i="4"/>
  <c r="IO120" i="4"/>
  <c r="IO119" i="4"/>
  <c r="IO118" i="4"/>
  <c r="IO47" i="4"/>
  <c r="IO51" i="4"/>
  <c r="IP3" i="4"/>
  <c r="DF64" i="4"/>
  <c r="IM27" i="4"/>
  <c r="IM26" i="4"/>
  <c r="IM32" i="4"/>
  <c r="DC32" i="4" s="1"/>
  <c r="IM33" i="4"/>
  <c r="DC33" i="4" s="1"/>
  <c r="IM34" i="4"/>
  <c r="IM38" i="4"/>
  <c r="IM39" i="4"/>
  <c r="DE23" i="4"/>
  <c r="IN23" i="4"/>
  <c r="DB35" i="4"/>
  <c r="IO22" i="4"/>
  <c r="DF22" i="4"/>
  <c r="DG3" i="4"/>
  <c r="DF2" i="4"/>
  <c r="DF3" i="7" l="1"/>
  <c r="DG77" i="4"/>
  <c r="IP114" i="4"/>
  <c r="IP113" i="4" s="1"/>
  <c r="IP126" i="4"/>
  <c r="CY21" i="7"/>
  <c r="IP195" i="4"/>
  <c r="IP88" i="4"/>
  <c r="IP87" i="4" s="1"/>
  <c r="DF42" i="4"/>
  <c r="DF40" i="4"/>
  <c r="DF34" i="4"/>
  <c r="DF39" i="4"/>
  <c r="DF38" i="4"/>
  <c r="DF27" i="4"/>
  <c r="DC26" i="4"/>
  <c r="CZ19" i="7"/>
  <c r="IN14" i="7"/>
  <c r="CZ18" i="7"/>
  <c r="DB29" i="7"/>
  <c r="DB31" i="7"/>
  <c r="DB32" i="7"/>
  <c r="DA33" i="7"/>
  <c r="DA20" i="7" s="1"/>
  <c r="IM15" i="7"/>
  <c r="DC9" i="7" s="1"/>
  <c r="DC31" i="7" s="1"/>
  <c r="IN13" i="7"/>
  <c r="IN12" i="7"/>
  <c r="IO3" i="7"/>
  <c r="IP197" i="4"/>
  <c r="IP2" i="4"/>
  <c r="DE2" i="7"/>
  <c r="DF14" i="7"/>
  <c r="DF13" i="7"/>
  <c r="DF10" i="7"/>
  <c r="DE83" i="4"/>
  <c r="DD5" i="7"/>
  <c r="DF82" i="4"/>
  <c r="DF89" i="4" s="1"/>
  <c r="IO89" i="4"/>
  <c r="IP83" i="4"/>
  <c r="IP116" i="4" s="1"/>
  <c r="IP124" i="4"/>
  <c r="IP123" i="4"/>
  <c r="IP118" i="4"/>
  <c r="IP122" i="4"/>
  <c r="IP121" i="4"/>
  <c r="IP119" i="4"/>
  <c r="IP120" i="4"/>
  <c r="IP47" i="4"/>
  <c r="IP51" i="4"/>
  <c r="IQ3" i="4"/>
  <c r="IQ126" i="4" s="1"/>
  <c r="DG64" i="4"/>
  <c r="IN26" i="4"/>
  <c r="IN27" i="4"/>
  <c r="IN32" i="4"/>
  <c r="DD32" i="4" s="1"/>
  <c r="IN33" i="4"/>
  <c r="DD33" i="4" s="1"/>
  <c r="IN34" i="4"/>
  <c r="IN39" i="4"/>
  <c r="IN38" i="4"/>
  <c r="DF23" i="4"/>
  <c r="IO23" i="4"/>
  <c r="DC35" i="4"/>
  <c r="IP22" i="4"/>
  <c r="DG22" i="4"/>
  <c r="DH3" i="4"/>
  <c r="DG2" i="4"/>
  <c r="DG3" i="7" l="1"/>
  <c r="DH77" i="4"/>
  <c r="IQ88" i="4"/>
  <c r="IQ87" i="4" s="1"/>
  <c r="IQ114" i="4"/>
  <c r="IQ113" i="4" s="1"/>
  <c r="DG38" i="4"/>
  <c r="DG42" i="4"/>
  <c r="DG39" i="4"/>
  <c r="DG40" i="4"/>
  <c r="DG34" i="4"/>
  <c r="DG27" i="4"/>
  <c r="DD26" i="4"/>
  <c r="DA19" i="7"/>
  <c r="IO13" i="7"/>
  <c r="CZ21" i="7"/>
  <c r="DB33" i="7"/>
  <c r="DB20" i="7" s="1"/>
  <c r="DC32" i="7"/>
  <c r="DA18" i="7"/>
  <c r="DC29" i="7"/>
  <c r="DC30" i="7"/>
  <c r="IN15" i="7"/>
  <c r="DD9" i="7" s="1"/>
  <c r="DD30" i="7" s="1"/>
  <c r="IQ197" i="4"/>
  <c r="IQ195" i="4"/>
  <c r="IO12" i="7"/>
  <c r="IO14" i="7"/>
  <c r="IQ2" i="4"/>
  <c r="DF2" i="7"/>
  <c r="DF83" i="4"/>
  <c r="DE5" i="7"/>
  <c r="DG14" i="7"/>
  <c r="DG13" i="7"/>
  <c r="DG10" i="7"/>
  <c r="IQ51" i="4"/>
  <c r="IP3" i="7"/>
  <c r="DG82" i="4"/>
  <c r="DG89" i="4" s="1"/>
  <c r="IQ47" i="4"/>
  <c r="IO117" i="4"/>
  <c r="IP89" i="4"/>
  <c r="IQ83" i="4"/>
  <c r="IQ116" i="4" s="1"/>
  <c r="IQ124" i="4"/>
  <c r="IQ123" i="4"/>
  <c r="IQ122" i="4"/>
  <c r="IQ121" i="4"/>
  <c r="IQ119" i="4"/>
  <c r="IQ120" i="4"/>
  <c r="IQ118" i="4"/>
  <c r="IR3" i="4"/>
  <c r="DH64" i="4"/>
  <c r="DD35" i="4"/>
  <c r="DG23" i="4"/>
  <c r="IP23" i="4"/>
  <c r="IQ22" i="4"/>
  <c r="IO27" i="4"/>
  <c r="IO26" i="4"/>
  <c r="IO32" i="4"/>
  <c r="DE32" i="4" s="1"/>
  <c r="IO33" i="4"/>
  <c r="DE33" i="4" s="1"/>
  <c r="IO34" i="4"/>
  <c r="IO38" i="4"/>
  <c r="IO39" i="4"/>
  <c r="DH22" i="4"/>
  <c r="DI3" i="4"/>
  <c r="DH2" i="4"/>
  <c r="DH3" i="7" l="1"/>
  <c r="DI77" i="4"/>
  <c r="IR114" i="4"/>
  <c r="IR113" i="4" s="1"/>
  <c r="IR126" i="4"/>
  <c r="IR195" i="4"/>
  <c r="IR88" i="4"/>
  <c r="IR87" i="4" s="1"/>
  <c r="DH42" i="4"/>
  <c r="DH39" i="4"/>
  <c r="DH38" i="4"/>
  <c r="DH40" i="4"/>
  <c r="DH34" i="4"/>
  <c r="DH27" i="4"/>
  <c r="DE26" i="4"/>
  <c r="DA21" i="7"/>
  <c r="DB19" i="7"/>
  <c r="DB18" i="7"/>
  <c r="DC33" i="7"/>
  <c r="DC20" i="7" s="1"/>
  <c r="DD32" i="7"/>
  <c r="IO15" i="7"/>
  <c r="DE9" i="7" s="1"/>
  <c r="DE30" i="7" s="1"/>
  <c r="DD31" i="7"/>
  <c r="DD29" i="7"/>
  <c r="IQ3" i="7"/>
  <c r="IR197" i="4"/>
  <c r="IP13" i="7"/>
  <c r="IP12" i="7"/>
  <c r="IP14" i="7"/>
  <c r="IR2" i="4"/>
  <c r="DG2" i="7"/>
  <c r="DH13" i="7"/>
  <c r="DH14" i="7"/>
  <c r="DH10" i="7"/>
  <c r="DG83" i="4"/>
  <c r="DF5" i="7"/>
  <c r="DH82" i="4"/>
  <c r="DH89" i="4" s="1"/>
  <c r="IQ89" i="4"/>
  <c r="IQ117" i="4" s="1"/>
  <c r="IP117" i="4"/>
  <c r="IR83" i="4"/>
  <c r="IR116" i="4" s="1"/>
  <c r="IR121" i="4"/>
  <c r="IR122" i="4"/>
  <c r="IR124" i="4"/>
  <c r="IR123" i="4"/>
  <c r="IR120" i="4"/>
  <c r="IR119" i="4"/>
  <c r="IR118" i="4"/>
  <c r="IR47" i="4"/>
  <c r="IR51" i="4"/>
  <c r="IS3" i="4"/>
  <c r="DI64" i="4"/>
  <c r="IR22" i="4"/>
  <c r="DE35" i="4"/>
  <c r="IP27" i="4"/>
  <c r="IP26" i="4"/>
  <c r="IP32" i="4"/>
  <c r="DF32" i="4" s="1"/>
  <c r="IP33" i="4"/>
  <c r="DF33" i="4" s="1"/>
  <c r="IP34" i="4"/>
  <c r="IP39" i="4"/>
  <c r="IP38" i="4"/>
  <c r="DH23" i="4"/>
  <c r="IQ23" i="4"/>
  <c r="DI22" i="4"/>
  <c r="DJ3" i="4"/>
  <c r="DI2" i="4"/>
  <c r="DI3" i="7" l="1"/>
  <c r="DJ77" i="4"/>
  <c r="IS114" i="4"/>
  <c r="IS113" i="4" s="1"/>
  <c r="IS126" i="4"/>
  <c r="IS195" i="4"/>
  <c r="IS88" i="4"/>
  <c r="IS87" i="4" s="1"/>
  <c r="DI42" i="4"/>
  <c r="DI40" i="4"/>
  <c r="DI34" i="4"/>
  <c r="DI38" i="4"/>
  <c r="DI39" i="4"/>
  <c r="DI27" i="4"/>
  <c r="DF26" i="4"/>
  <c r="DC19" i="7"/>
  <c r="IQ12" i="7"/>
  <c r="DE29" i="7"/>
  <c r="DC18" i="7"/>
  <c r="DB21" i="7"/>
  <c r="DE31" i="7"/>
  <c r="DE32" i="7"/>
  <c r="DD33" i="7"/>
  <c r="DD20" i="7" s="1"/>
  <c r="IQ14" i="7"/>
  <c r="IQ13" i="7"/>
  <c r="IR3" i="7"/>
  <c r="IS197" i="4"/>
  <c r="DI13" i="7"/>
  <c r="DI14" i="7"/>
  <c r="DI10" i="7"/>
  <c r="IS2" i="4"/>
  <c r="DH2" i="7"/>
  <c r="DH83" i="4"/>
  <c r="DG5" i="7"/>
  <c r="IP15" i="7"/>
  <c r="DF9" i="7" s="1"/>
  <c r="DI82" i="4"/>
  <c r="DI89" i="4" s="1"/>
  <c r="IR89" i="4"/>
  <c r="IR117" i="4" s="1"/>
  <c r="IS83" i="4"/>
  <c r="IS116" i="4" s="1"/>
  <c r="IS122" i="4"/>
  <c r="IS123" i="4"/>
  <c r="IS121" i="4"/>
  <c r="IS120" i="4"/>
  <c r="IS119" i="4"/>
  <c r="IS118" i="4"/>
  <c r="IS124" i="4"/>
  <c r="IS47" i="4"/>
  <c r="IS51" i="4"/>
  <c r="IT3" i="4"/>
  <c r="IT126" i="4" s="1"/>
  <c r="DJ64" i="4"/>
  <c r="DF35" i="4"/>
  <c r="IS22" i="4"/>
  <c r="IQ26" i="4"/>
  <c r="IQ27" i="4"/>
  <c r="IQ33" i="4"/>
  <c r="DG33" i="4" s="1"/>
  <c r="IQ32" i="4"/>
  <c r="DG32" i="4" s="1"/>
  <c r="IQ34" i="4"/>
  <c r="IQ39" i="4"/>
  <c r="IQ38" i="4"/>
  <c r="DI23" i="4"/>
  <c r="IR23" i="4"/>
  <c r="DJ22" i="4"/>
  <c r="DK3" i="4"/>
  <c r="DJ2" i="4"/>
  <c r="DJ3" i="7" l="1"/>
  <c r="DJ13" i="7" s="1"/>
  <c r="DK77" i="4"/>
  <c r="IT88" i="4"/>
  <c r="IT87" i="4" s="1"/>
  <c r="IT114" i="4"/>
  <c r="IT113" i="4" s="1"/>
  <c r="DJ39" i="4"/>
  <c r="DJ34" i="4"/>
  <c r="DJ40" i="4"/>
  <c r="DJ42" i="4"/>
  <c r="DJ38" i="4"/>
  <c r="DJ27" i="4"/>
  <c r="DG26" i="4"/>
  <c r="DD19" i="7"/>
  <c r="IR12" i="7"/>
  <c r="DC21" i="7"/>
  <c r="DE33" i="7"/>
  <c r="DE20" i="7" s="1"/>
  <c r="DD18" i="7"/>
  <c r="IQ15" i="7"/>
  <c r="DG9" i="7" s="1"/>
  <c r="DG29" i="7" s="1"/>
  <c r="IR14" i="7"/>
  <c r="IT197" i="4"/>
  <c r="IT195" i="4"/>
  <c r="IR13" i="7"/>
  <c r="IT51" i="4"/>
  <c r="IS3" i="7"/>
  <c r="DF30" i="7"/>
  <c r="DF31" i="7"/>
  <c r="DF32" i="7"/>
  <c r="DF29" i="7"/>
  <c r="DI83" i="4"/>
  <c r="DH5" i="7"/>
  <c r="DJ10" i="7"/>
  <c r="IT2" i="4"/>
  <c r="DI2" i="7"/>
  <c r="DJ82" i="4"/>
  <c r="DJ89" i="4" s="1"/>
  <c r="IT47" i="4"/>
  <c r="IS89" i="4"/>
  <c r="IT83" i="4"/>
  <c r="IT116" i="4" s="1"/>
  <c r="IT123" i="4"/>
  <c r="IT124" i="4"/>
  <c r="IT122" i="4"/>
  <c r="IT121" i="4"/>
  <c r="IT118" i="4"/>
  <c r="IT120" i="4"/>
  <c r="IT119" i="4"/>
  <c r="IU3" i="4"/>
  <c r="DK64" i="4"/>
  <c r="DJ23" i="4"/>
  <c r="IS23" i="4"/>
  <c r="IT22" i="4"/>
  <c r="DG35" i="4"/>
  <c r="IR27" i="4"/>
  <c r="IR26" i="4"/>
  <c r="IR32" i="4"/>
  <c r="DH32" i="4" s="1"/>
  <c r="IR33" i="4"/>
  <c r="DH33" i="4" s="1"/>
  <c r="IR34" i="4"/>
  <c r="IR38" i="4"/>
  <c r="IR39" i="4"/>
  <c r="DK22" i="4"/>
  <c r="DL3" i="4"/>
  <c r="DK2" i="4"/>
  <c r="DJ14" i="7" l="1"/>
  <c r="DK3" i="7"/>
  <c r="DL77" i="4"/>
  <c r="IU114" i="4"/>
  <c r="IU113" i="4" s="1"/>
  <c r="IU126" i="4"/>
  <c r="IU195" i="4"/>
  <c r="IU88" i="4"/>
  <c r="IU87" i="4" s="1"/>
  <c r="DK40" i="4"/>
  <c r="DK39" i="4"/>
  <c r="DK38" i="4"/>
  <c r="DK42" i="4"/>
  <c r="DK34" i="4"/>
  <c r="DK27" i="4"/>
  <c r="DH26" i="4"/>
  <c r="DE18" i="7"/>
  <c r="DE19" i="7"/>
  <c r="IR15" i="7"/>
  <c r="DH9" i="7" s="1"/>
  <c r="DH32" i="7" s="1"/>
  <c r="DD21" i="7"/>
  <c r="DG30" i="7"/>
  <c r="DG32" i="7"/>
  <c r="DG31" i="7"/>
  <c r="IT3" i="7"/>
  <c r="IU197" i="4"/>
  <c r="DF33" i="7"/>
  <c r="DF20" i="7" s="1"/>
  <c r="DJ83" i="4"/>
  <c r="DI5" i="7"/>
  <c r="IU2" i="4"/>
  <c r="DJ2" i="7"/>
  <c r="DK14" i="7"/>
  <c r="DK13" i="7"/>
  <c r="DK10" i="7"/>
  <c r="IS12" i="7"/>
  <c r="IS14" i="7"/>
  <c r="IS13" i="7"/>
  <c r="DK82" i="4"/>
  <c r="DK89" i="4" s="1"/>
  <c r="IS117" i="4"/>
  <c r="IT89" i="4"/>
  <c r="IT117" i="4" s="1"/>
  <c r="IU83" i="4"/>
  <c r="IU116" i="4" s="1"/>
  <c r="IU124" i="4"/>
  <c r="IU123" i="4"/>
  <c r="IU122" i="4"/>
  <c r="IU121" i="4"/>
  <c r="IU118" i="4"/>
  <c r="IU120" i="4"/>
  <c r="IU119" i="4"/>
  <c r="IU47" i="4"/>
  <c r="IU51" i="4"/>
  <c r="IV3" i="4"/>
  <c r="IV126" i="4" s="1"/>
  <c r="DL64" i="4"/>
  <c r="IU22" i="4"/>
  <c r="DH35" i="4"/>
  <c r="IS27" i="4"/>
  <c r="IS26" i="4"/>
  <c r="IS32" i="4"/>
  <c r="DI32" i="4" s="1"/>
  <c r="IS33" i="4"/>
  <c r="DI33" i="4" s="1"/>
  <c r="IS34" i="4"/>
  <c r="IS39" i="4"/>
  <c r="IS38" i="4"/>
  <c r="DK23" i="4"/>
  <c r="IT23" i="4"/>
  <c r="DL22" i="4"/>
  <c r="DL2" i="4"/>
  <c r="DM3" i="4"/>
  <c r="DL3" i="7" l="1"/>
  <c r="DM77" i="4"/>
  <c r="IV88" i="4"/>
  <c r="IV87" i="4" s="1"/>
  <c r="IV114" i="4"/>
  <c r="IV113" i="4" s="1"/>
  <c r="DL34" i="4"/>
  <c r="DL40" i="4"/>
  <c r="DL38" i="4"/>
  <c r="DL39" i="4"/>
  <c r="DL42" i="4"/>
  <c r="DL27" i="4"/>
  <c r="DI26" i="4"/>
  <c r="DF18" i="7"/>
  <c r="IT14" i="7"/>
  <c r="DE21" i="7"/>
  <c r="DH30" i="7"/>
  <c r="DH31" i="7"/>
  <c r="DH29" i="7"/>
  <c r="DG33" i="7"/>
  <c r="DG20" i="7" s="1"/>
  <c r="IT13" i="7"/>
  <c r="IT12" i="7"/>
  <c r="IV197" i="4"/>
  <c r="IV195" i="4"/>
  <c r="DF19" i="7"/>
  <c r="IS15" i="7"/>
  <c r="DI9" i="7" s="1"/>
  <c r="DI29" i="7" s="1"/>
  <c r="DK83" i="4"/>
  <c r="DJ5" i="7"/>
  <c r="IV47" i="4"/>
  <c r="IU3" i="7"/>
  <c r="DL14" i="7"/>
  <c r="DL13" i="7"/>
  <c r="DL10" i="7"/>
  <c r="IV2" i="4"/>
  <c r="DK2" i="7"/>
  <c r="DL82" i="4"/>
  <c r="DL89" i="4" s="1"/>
  <c r="IV51" i="4"/>
  <c r="IU89" i="4"/>
  <c r="IV83" i="4"/>
  <c r="IV116" i="4" s="1"/>
  <c r="IV124" i="4"/>
  <c r="IV121" i="4"/>
  <c r="IV123" i="4"/>
  <c r="IV122" i="4"/>
  <c r="IV119" i="4"/>
  <c r="IV120" i="4"/>
  <c r="IV118" i="4"/>
  <c r="IW3" i="4"/>
  <c r="DM64" i="4"/>
  <c r="DI35" i="4"/>
  <c r="DL23" i="4"/>
  <c r="IU23" i="4"/>
  <c r="IV22" i="4"/>
  <c r="IT27" i="4"/>
  <c r="IT26" i="4"/>
  <c r="IT33" i="4"/>
  <c r="DJ33" i="4" s="1"/>
  <c r="IT32" i="4"/>
  <c r="DJ32" i="4" s="1"/>
  <c r="IT34" i="4"/>
  <c r="IT38" i="4"/>
  <c r="IT39" i="4"/>
  <c r="DM22" i="4"/>
  <c r="DN3" i="4"/>
  <c r="DM2" i="4"/>
  <c r="DM3" i="7" l="1"/>
  <c r="DM13" i="7" s="1"/>
  <c r="DN77" i="4"/>
  <c r="IW114" i="4"/>
  <c r="IW113" i="4" s="1"/>
  <c r="IW126" i="4"/>
  <c r="IW195" i="4"/>
  <c r="IW88" i="4"/>
  <c r="IW87" i="4" s="1"/>
  <c r="DM40" i="4"/>
  <c r="DM38" i="4"/>
  <c r="DM42" i="4"/>
  <c r="DM34" i="4"/>
  <c r="DM39" i="4"/>
  <c r="DM27" i="4"/>
  <c r="DJ26" i="4"/>
  <c r="DH33" i="7"/>
  <c r="DH20" i="7" s="1"/>
  <c r="DG18" i="7"/>
  <c r="DG19" i="7"/>
  <c r="IT15" i="7"/>
  <c r="DJ9" i="7" s="1"/>
  <c r="DJ31" i="7" s="1"/>
  <c r="IV3" i="7"/>
  <c r="IW197" i="4"/>
  <c r="DF21" i="7"/>
  <c r="DI31" i="7"/>
  <c r="DI32" i="7"/>
  <c r="DI30" i="7"/>
  <c r="DL83" i="4"/>
  <c r="DK5" i="7"/>
  <c r="IU12" i="7"/>
  <c r="IU13" i="7"/>
  <c r="IU14" i="7"/>
  <c r="IW2" i="4"/>
  <c r="DL2" i="7"/>
  <c r="DM82" i="4"/>
  <c r="DM89" i="4" s="1"/>
  <c r="IU117" i="4"/>
  <c r="IW122" i="4"/>
  <c r="IW124" i="4"/>
  <c r="IW121" i="4"/>
  <c r="IW120" i="4"/>
  <c r="IW119" i="4"/>
  <c r="IW118" i="4"/>
  <c r="IW123" i="4"/>
  <c r="IV89" i="4"/>
  <c r="IW51" i="4"/>
  <c r="IW83" i="4"/>
  <c r="IW116" i="4" s="1"/>
  <c r="IW47" i="4"/>
  <c r="IX3" i="4"/>
  <c r="DN64" i="4"/>
  <c r="IU26" i="4"/>
  <c r="IU27" i="4"/>
  <c r="IU32" i="4"/>
  <c r="DK32" i="4" s="1"/>
  <c r="IU33" i="4"/>
  <c r="DK33" i="4" s="1"/>
  <c r="IU34" i="4"/>
  <c r="IU38" i="4"/>
  <c r="IU39" i="4"/>
  <c r="IW22" i="4"/>
  <c r="DJ35" i="4"/>
  <c r="DM23" i="4"/>
  <c r="IV23" i="4"/>
  <c r="DN22" i="4"/>
  <c r="DO3" i="4"/>
  <c r="DN2" i="4"/>
  <c r="DM10" i="7" l="1"/>
  <c r="DM14" i="7"/>
  <c r="DN3" i="7"/>
  <c r="DO77" i="4"/>
  <c r="IX114" i="4"/>
  <c r="IX113" i="4" s="1"/>
  <c r="IX126" i="4"/>
  <c r="IX195" i="4"/>
  <c r="IX88" i="4"/>
  <c r="IX87" i="4" s="1"/>
  <c r="DN42" i="4"/>
  <c r="DN40" i="4"/>
  <c r="DN38" i="4"/>
  <c r="DN39" i="4"/>
  <c r="DN34" i="4"/>
  <c r="DN27" i="4"/>
  <c r="DK26" i="4"/>
  <c r="IV12" i="7"/>
  <c r="DJ32" i="7"/>
  <c r="DH19" i="7"/>
  <c r="DH18" i="7"/>
  <c r="DJ30" i="7"/>
  <c r="DJ29" i="7"/>
  <c r="DG21" i="7"/>
  <c r="IV14" i="7"/>
  <c r="IV13" i="7"/>
  <c r="IW3" i="7"/>
  <c r="IX197" i="4"/>
  <c r="DI33" i="7"/>
  <c r="DI20" i="7" s="1"/>
  <c r="DN14" i="7"/>
  <c r="DN13" i="7"/>
  <c r="DN10" i="7"/>
  <c r="DM83" i="4"/>
  <c r="DL5" i="7"/>
  <c r="IU15" i="7"/>
  <c r="DK9" i="7" s="1"/>
  <c r="IX2" i="4"/>
  <c r="DM2" i="7"/>
  <c r="DN82" i="4"/>
  <c r="DN89" i="4" s="1"/>
  <c r="IV117" i="4"/>
  <c r="IX51" i="4"/>
  <c r="IX122" i="4"/>
  <c r="IX123" i="4"/>
  <c r="IX120" i="4"/>
  <c r="IX124" i="4"/>
  <c r="IX118" i="4"/>
  <c r="IX121" i="4"/>
  <c r="IX119" i="4"/>
  <c r="IX47" i="4"/>
  <c r="IX83" i="4"/>
  <c r="IX116" i="4" s="1"/>
  <c r="IW89" i="4"/>
  <c r="IY3" i="4"/>
  <c r="DO64" i="4"/>
  <c r="DK35" i="4"/>
  <c r="DN23" i="4"/>
  <c r="IW23" i="4"/>
  <c r="IX22" i="4"/>
  <c r="IV26" i="4"/>
  <c r="IV27" i="4"/>
  <c r="IV32" i="4"/>
  <c r="DL32" i="4" s="1"/>
  <c r="IV33" i="4"/>
  <c r="DL33" i="4" s="1"/>
  <c r="IV34" i="4"/>
  <c r="IV39" i="4"/>
  <c r="IV38" i="4"/>
  <c r="DO22" i="4"/>
  <c r="DP3" i="4"/>
  <c r="DO2" i="4"/>
  <c r="DO3" i="7" l="1"/>
  <c r="DO13" i="7" s="1"/>
  <c r="DP77" i="4"/>
  <c r="IY114" i="4"/>
  <c r="IY113" i="4" s="1"/>
  <c r="IY126" i="4"/>
  <c r="IY195" i="4"/>
  <c r="IY88" i="4"/>
  <c r="IY87" i="4" s="1"/>
  <c r="DO38" i="4"/>
  <c r="DO42" i="4"/>
  <c r="DO39" i="4"/>
  <c r="DO40" i="4"/>
  <c r="DO34" i="4"/>
  <c r="DO27" i="4"/>
  <c r="DL26" i="4"/>
  <c r="DI19" i="7"/>
  <c r="IW14" i="7"/>
  <c r="DH21" i="7"/>
  <c r="DJ33" i="7"/>
  <c r="DJ20" i="7" s="1"/>
  <c r="IV15" i="7"/>
  <c r="DL9" i="7" s="1"/>
  <c r="DL32" i="7" s="1"/>
  <c r="IW13" i="7"/>
  <c r="IW12" i="7"/>
  <c r="IX3" i="7"/>
  <c r="IY197" i="4"/>
  <c r="DI18" i="7"/>
  <c r="DO14" i="7"/>
  <c r="DO10" i="7"/>
  <c r="DN83" i="4"/>
  <c r="DM5" i="7"/>
  <c r="IY2" i="4"/>
  <c r="DN2" i="7"/>
  <c r="DK32" i="7"/>
  <c r="DK30" i="7"/>
  <c r="DK29" i="7"/>
  <c r="DK31" i="7"/>
  <c r="DO82" i="4"/>
  <c r="DO89" i="4" s="1"/>
  <c r="IY83" i="4"/>
  <c r="IY116" i="4" s="1"/>
  <c r="IY124" i="4"/>
  <c r="IY123" i="4"/>
  <c r="IY122" i="4"/>
  <c r="IY121" i="4"/>
  <c r="IY118" i="4"/>
  <c r="IY119" i="4"/>
  <c r="IY120" i="4"/>
  <c r="IX89" i="4"/>
  <c r="IX117" i="4" s="1"/>
  <c r="IW117" i="4"/>
  <c r="IY51" i="4"/>
  <c r="IY47" i="4"/>
  <c r="IZ3" i="4"/>
  <c r="DP64" i="4"/>
  <c r="IY22" i="4"/>
  <c r="IW26" i="4"/>
  <c r="IW27" i="4"/>
  <c r="IW32" i="4"/>
  <c r="DM32" i="4" s="1"/>
  <c r="IW33" i="4"/>
  <c r="DM33" i="4" s="1"/>
  <c r="IW34" i="4"/>
  <c r="IW39" i="4"/>
  <c r="IW38" i="4"/>
  <c r="DL35" i="4"/>
  <c r="DO23" i="4"/>
  <c r="IX23" i="4"/>
  <c r="DP22" i="4"/>
  <c r="DQ3" i="4"/>
  <c r="DP2" i="4"/>
  <c r="DP3" i="7" l="1"/>
  <c r="DP10" i="7" s="1"/>
  <c r="DQ77" i="4"/>
  <c r="IZ114" i="4"/>
  <c r="IZ113" i="4" s="1"/>
  <c r="IZ126" i="4"/>
  <c r="DP42" i="4"/>
  <c r="DP39" i="4"/>
  <c r="DP38" i="4"/>
  <c r="DP34" i="4"/>
  <c r="DP40" i="4"/>
  <c r="DP27" i="4"/>
  <c r="IZ195" i="4"/>
  <c r="IZ88" i="4"/>
  <c r="IZ87" i="4" s="1"/>
  <c r="DM26" i="4"/>
  <c r="DJ18" i="7"/>
  <c r="DJ19" i="7"/>
  <c r="IX14" i="7"/>
  <c r="DI21" i="7"/>
  <c r="DL29" i="7"/>
  <c r="DL31" i="7"/>
  <c r="DL30" i="7"/>
  <c r="IX13" i="7"/>
  <c r="IX12" i="7"/>
  <c r="IW15" i="7"/>
  <c r="DM9" i="7" s="1"/>
  <c r="DM30" i="7" s="1"/>
  <c r="IY3" i="7"/>
  <c r="IZ197" i="4"/>
  <c r="DK33" i="7"/>
  <c r="DK20" i="7" s="1"/>
  <c r="DO83" i="4"/>
  <c r="DN5" i="7"/>
  <c r="IZ2" i="4"/>
  <c r="DO2" i="7"/>
  <c r="DP13" i="7"/>
  <c r="DP82" i="4"/>
  <c r="DP89" i="4" s="1"/>
  <c r="IY89" i="4"/>
  <c r="IY117" i="4" s="1"/>
  <c r="IZ83" i="4"/>
  <c r="IZ116" i="4" s="1"/>
  <c r="IZ123" i="4"/>
  <c r="IZ121" i="4"/>
  <c r="IZ124" i="4"/>
  <c r="IZ122" i="4"/>
  <c r="IZ118" i="4"/>
  <c r="IZ119" i="4"/>
  <c r="IZ120" i="4"/>
  <c r="IZ47" i="4"/>
  <c r="IZ51" i="4"/>
  <c r="JA3" i="4"/>
  <c r="DQ64" i="4"/>
  <c r="DM35" i="4"/>
  <c r="IZ22" i="4"/>
  <c r="IX27" i="4"/>
  <c r="IX26" i="4"/>
  <c r="IX32" i="4"/>
  <c r="DN32" i="4" s="1"/>
  <c r="IX33" i="4"/>
  <c r="DN33" i="4" s="1"/>
  <c r="IX34" i="4"/>
  <c r="IX39" i="4"/>
  <c r="IX38" i="4"/>
  <c r="DP23" i="4"/>
  <c r="IY23" i="4"/>
  <c r="DQ22" i="4"/>
  <c r="DR3" i="4"/>
  <c r="DQ2" i="4"/>
  <c r="DP14" i="7" l="1"/>
  <c r="DQ3" i="7"/>
  <c r="DR77" i="4"/>
  <c r="JA114" i="4"/>
  <c r="JA113" i="4" s="1"/>
  <c r="JA126" i="4"/>
  <c r="DJ21" i="7"/>
  <c r="DQ42" i="4"/>
  <c r="DQ39" i="4"/>
  <c r="DQ34" i="4"/>
  <c r="DQ40" i="4"/>
  <c r="DQ27" i="4"/>
  <c r="DQ38" i="4"/>
  <c r="JA195" i="4"/>
  <c r="JA88" i="4"/>
  <c r="JA87" i="4" s="1"/>
  <c r="DN26" i="4"/>
  <c r="IY12" i="7"/>
  <c r="IX15" i="7"/>
  <c r="DN9" i="7" s="1"/>
  <c r="DN32" i="7" s="1"/>
  <c r="DL33" i="7"/>
  <c r="DL20" i="7" s="1"/>
  <c r="DM32" i="7"/>
  <c r="IY14" i="7"/>
  <c r="IY13" i="7"/>
  <c r="DM31" i="7"/>
  <c r="DM29" i="7"/>
  <c r="IZ3" i="7"/>
  <c r="JA197" i="4"/>
  <c r="DK18" i="7"/>
  <c r="DK19" i="7"/>
  <c r="DP83" i="4"/>
  <c r="DO5" i="7"/>
  <c r="JA2" i="4"/>
  <c r="DP2" i="7"/>
  <c r="DQ14" i="7"/>
  <c r="DQ13" i="7"/>
  <c r="DQ10" i="7"/>
  <c r="DQ82" i="4"/>
  <c r="DQ89" i="4" s="1"/>
  <c r="JA83" i="4"/>
  <c r="JA116" i="4" s="1"/>
  <c r="JA124" i="4"/>
  <c r="JA123" i="4"/>
  <c r="JA121" i="4"/>
  <c r="JA120" i="4"/>
  <c r="JA119" i="4"/>
  <c r="JA118" i="4"/>
  <c r="JA122" i="4"/>
  <c r="IZ89" i="4"/>
  <c r="IZ117" i="4" s="1"/>
  <c r="JA47" i="4"/>
  <c r="JA51" i="4"/>
  <c r="JB3" i="4"/>
  <c r="DR64" i="4"/>
  <c r="DN35" i="4"/>
  <c r="JA22" i="4"/>
  <c r="IY26" i="4"/>
  <c r="IY27" i="4"/>
  <c r="IY32" i="4"/>
  <c r="DO32" i="4" s="1"/>
  <c r="IY33" i="4"/>
  <c r="DO33" i="4" s="1"/>
  <c r="IY34" i="4"/>
  <c r="IY39" i="4"/>
  <c r="IY38" i="4"/>
  <c r="DQ23" i="4"/>
  <c r="IZ23" i="4"/>
  <c r="DR22" i="4"/>
  <c r="DS3" i="4"/>
  <c r="DR2" i="4"/>
  <c r="DR3" i="7" l="1"/>
  <c r="DS77" i="4"/>
  <c r="JB114" i="4"/>
  <c r="JB113" i="4" s="1"/>
  <c r="JB126" i="4"/>
  <c r="JB195" i="4"/>
  <c r="JB88" i="4"/>
  <c r="JB87" i="4" s="1"/>
  <c r="DR39" i="4"/>
  <c r="DR34" i="4"/>
  <c r="DR40" i="4"/>
  <c r="DR42" i="4"/>
  <c r="DR38" i="4"/>
  <c r="DR27" i="4"/>
  <c r="DO26" i="4"/>
  <c r="DL18" i="7"/>
  <c r="IZ13" i="7"/>
  <c r="DN30" i="7"/>
  <c r="DN31" i="7"/>
  <c r="DL19" i="7"/>
  <c r="DN29" i="7"/>
  <c r="IY15" i="7"/>
  <c r="DO9" i="7" s="1"/>
  <c r="DO32" i="7" s="1"/>
  <c r="DM33" i="7"/>
  <c r="DM20" i="7" s="1"/>
  <c r="IZ14" i="7"/>
  <c r="IZ12" i="7"/>
  <c r="JA3" i="7"/>
  <c r="JB197" i="4"/>
  <c r="DK21" i="7"/>
  <c r="DQ83" i="4"/>
  <c r="DP5" i="7"/>
  <c r="JB2" i="4"/>
  <c r="DQ2" i="7"/>
  <c r="DR14" i="7"/>
  <c r="DR13" i="7"/>
  <c r="DR10" i="7"/>
  <c r="DR82" i="4"/>
  <c r="DR89" i="4" s="1"/>
  <c r="JA89" i="4"/>
  <c r="JA117" i="4" s="1"/>
  <c r="JB83" i="4"/>
  <c r="JB116" i="4" s="1"/>
  <c r="JB122" i="4"/>
  <c r="JB124" i="4"/>
  <c r="JB119" i="4"/>
  <c r="JB120" i="4"/>
  <c r="JB118" i="4"/>
  <c r="JB123" i="4"/>
  <c r="JB121" i="4"/>
  <c r="JB47" i="4"/>
  <c r="JB51" i="4"/>
  <c r="JC3" i="4"/>
  <c r="DS64" i="4"/>
  <c r="DO35" i="4"/>
  <c r="JB22" i="4"/>
  <c r="IZ26" i="4"/>
  <c r="IZ27" i="4"/>
  <c r="IZ33" i="4"/>
  <c r="DP33" i="4" s="1"/>
  <c r="IZ32" i="4"/>
  <c r="DP32" i="4" s="1"/>
  <c r="IZ34" i="4"/>
  <c r="IZ39" i="4"/>
  <c r="IZ38" i="4"/>
  <c r="DR23" i="4"/>
  <c r="JA23" i="4"/>
  <c r="DS22" i="4"/>
  <c r="DT3" i="4"/>
  <c r="DS2" i="4"/>
  <c r="DS3" i="7" l="1"/>
  <c r="DS14" i="7" s="1"/>
  <c r="DT77" i="4"/>
  <c r="JC114" i="4"/>
  <c r="JC113" i="4" s="1"/>
  <c r="JC126" i="4"/>
  <c r="JC195" i="4"/>
  <c r="JC88" i="4"/>
  <c r="JC87" i="4" s="1"/>
  <c r="DS40" i="4"/>
  <c r="DS39" i="4"/>
  <c r="DS34" i="4"/>
  <c r="DS42" i="4"/>
  <c r="DS38" i="4"/>
  <c r="DS27" i="4"/>
  <c r="DP26" i="4"/>
  <c r="DM18" i="7"/>
  <c r="JA12" i="7"/>
  <c r="DN33" i="7"/>
  <c r="DN20" i="7" s="1"/>
  <c r="DL21" i="7"/>
  <c r="DO30" i="7"/>
  <c r="DO31" i="7"/>
  <c r="DO29" i="7"/>
  <c r="DM19" i="7"/>
  <c r="IZ15" i="7"/>
  <c r="DP9" i="7" s="1"/>
  <c r="DP32" i="7" s="1"/>
  <c r="JA13" i="7"/>
  <c r="JA14" i="7"/>
  <c r="JB3" i="7"/>
  <c r="JC197" i="4"/>
  <c r="JC2" i="4"/>
  <c r="DR2" i="7"/>
  <c r="DR83" i="4"/>
  <c r="DQ5" i="7"/>
  <c r="DS82" i="4"/>
  <c r="DS89" i="4" s="1"/>
  <c r="JB89" i="4"/>
  <c r="JC47" i="4"/>
  <c r="JC124" i="4"/>
  <c r="JC123" i="4"/>
  <c r="JC122" i="4"/>
  <c r="JC121" i="4"/>
  <c r="JC120" i="4"/>
  <c r="JC118" i="4"/>
  <c r="JC119" i="4"/>
  <c r="JC51" i="4"/>
  <c r="JC83" i="4"/>
  <c r="JC116" i="4" s="1"/>
  <c r="JD3" i="4"/>
  <c r="JD126" i="4" s="1"/>
  <c r="DT64" i="4"/>
  <c r="DP35" i="4"/>
  <c r="DS23" i="4"/>
  <c r="JB23" i="4"/>
  <c r="JA26" i="4"/>
  <c r="JA27" i="4"/>
  <c r="JA33" i="4"/>
  <c r="DQ33" i="4" s="1"/>
  <c r="JA32" i="4"/>
  <c r="DQ32" i="4" s="1"/>
  <c r="JA34" i="4"/>
  <c r="JA38" i="4"/>
  <c r="JA39" i="4"/>
  <c r="JC22" i="4"/>
  <c r="DT22" i="4"/>
  <c r="DU3" i="4"/>
  <c r="DT2" i="4"/>
  <c r="DS13" i="7" l="1"/>
  <c r="DS10" i="7"/>
  <c r="DT3" i="7"/>
  <c r="DU77" i="4"/>
  <c r="JD88" i="4"/>
  <c r="JD87" i="4" s="1"/>
  <c r="JD114" i="4"/>
  <c r="JD113" i="4" s="1"/>
  <c r="DT34" i="4"/>
  <c r="DT40" i="4"/>
  <c r="DT38" i="4"/>
  <c r="DT39" i="4"/>
  <c r="DT42" i="4"/>
  <c r="DT27" i="4"/>
  <c r="DQ26" i="4"/>
  <c r="DN18" i="7"/>
  <c r="JB14" i="7"/>
  <c r="DN19" i="7"/>
  <c r="DO33" i="7"/>
  <c r="DO20" i="7" s="1"/>
  <c r="JA15" i="7"/>
  <c r="DQ9" i="7" s="1"/>
  <c r="DQ31" i="7" s="1"/>
  <c r="DP31" i="7"/>
  <c r="DM21" i="7"/>
  <c r="DP30" i="7"/>
  <c r="DP29" i="7"/>
  <c r="JB13" i="7"/>
  <c r="JD197" i="4"/>
  <c r="JD195" i="4"/>
  <c r="JB12" i="7"/>
  <c r="DS83" i="4"/>
  <c r="DR5" i="7"/>
  <c r="JD51" i="4"/>
  <c r="JC3" i="7"/>
  <c r="JD2" i="4"/>
  <c r="DS2" i="7"/>
  <c r="DT13" i="7"/>
  <c r="DT14" i="7"/>
  <c r="DT10" i="7"/>
  <c r="DT82" i="4"/>
  <c r="DT89" i="4" s="1"/>
  <c r="JB117" i="4"/>
  <c r="JD83" i="4"/>
  <c r="JD116" i="4" s="1"/>
  <c r="JD122" i="4"/>
  <c r="JD121" i="4"/>
  <c r="JD123" i="4"/>
  <c r="JD119" i="4"/>
  <c r="JD124" i="4"/>
  <c r="JD118" i="4"/>
  <c r="JD120" i="4"/>
  <c r="JC89" i="4"/>
  <c r="JD47" i="4"/>
  <c r="JE3" i="4"/>
  <c r="DU64" i="4"/>
  <c r="JD22" i="4"/>
  <c r="JB27" i="4"/>
  <c r="JB26" i="4"/>
  <c r="JB32" i="4"/>
  <c r="DR32" i="4" s="1"/>
  <c r="JB33" i="4"/>
  <c r="DR33" i="4" s="1"/>
  <c r="JB34" i="4"/>
  <c r="JB39" i="4"/>
  <c r="JB38" i="4"/>
  <c r="DQ35" i="4"/>
  <c r="DT23" i="4"/>
  <c r="JC23" i="4"/>
  <c r="DU22" i="4"/>
  <c r="DV3" i="4"/>
  <c r="DU2" i="4"/>
  <c r="DU3" i="7" l="1"/>
  <c r="DV77" i="4"/>
  <c r="JE114" i="4"/>
  <c r="JE113" i="4" s="1"/>
  <c r="JE126" i="4"/>
  <c r="DN21" i="7"/>
  <c r="JE195" i="4"/>
  <c r="JE88" i="4"/>
  <c r="JE87" i="4" s="1"/>
  <c r="DU40" i="4"/>
  <c r="DU38" i="4"/>
  <c r="DU42" i="4"/>
  <c r="DU34" i="4"/>
  <c r="DU39" i="4"/>
  <c r="DU27" i="4"/>
  <c r="DR26" i="4"/>
  <c r="DO18" i="7"/>
  <c r="DO19" i="7"/>
  <c r="DQ29" i="7"/>
  <c r="DQ30" i="7"/>
  <c r="DQ32" i="7"/>
  <c r="DP33" i="7"/>
  <c r="DP20" i="7" s="1"/>
  <c r="JB15" i="7"/>
  <c r="DR9" i="7" s="1"/>
  <c r="DR30" i="7" s="1"/>
  <c r="JD3" i="7"/>
  <c r="JE197" i="4"/>
  <c r="JC14" i="7"/>
  <c r="JC12" i="7"/>
  <c r="JC13" i="7"/>
  <c r="DT83" i="4"/>
  <c r="DS5" i="7"/>
  <c r="JE2" i="4"/>
  <c r="DT2" i="7"/>
  <c r="DU14" i="7"/>
  <c r="DU13" i="7"/>
  <c r="DU10" i="7"/>
  <c r="DU82" i="4"/>
  <c r="DU89" i="4" s="1"/>
  <c r="JD89" i="4"/>
  <c r="JE83" i="4"/>
  <c r="JE116" i="4" s="1"/>
  <c r="JE123" i="4"/>
  <c r="JE124" i="4"/>
  <c r="JE122" i="4"/>
  <c r="JE121" i="4"/>
  <c r="JE120" i="4"/>
  <c r="JE119" i="4"/>
  <c r="JE118" i="4"/>
  <c r="JC117" i="4"/>
  <c r="JE47" i="4"/>
  <c r="JE51" i="4"/>
  <c r="JF3" i="4"/>
  <c r="DV64" i="4"/>
  <c r="DR35" i="4"/>
  <c r="JC27" i="4"/>
  <c r="JC26" i="4"/>
  <c r="JC32" i="4"/>
  <c r="DS32" i="4" s="1"/>
  <c r="JC33" i="4"/>
  <c r="DS33" i="4" s="1"/>
  <c r="JC34" i="4"/>
  <c r="JC38" i="4"/>
  <c r="JC39" i="4"/>
  <c r="JE22" i="4"/>
  <c r="DU23" i="4"/>
  <c r="JD23" i="4"/>
  <c r="DV22" i="4"/>
  <c r="DW3" i="4"/>
  <c r="DV2" i="4"/>
  <c r="DV3" i="7" l="1"/>
  <c r="DW77" i="4"/>
  <c r="JF114" i="4"/>
  <c r="JF113" i="4" s="1"/>
  <c r="JF126" i="4"/>
  <c r="JF195" i="4"/>
  <c r="JF88" i="4"/>
  <c r="JF87" i="4" s="1"/>
  <c r="DV42" i="4"/>
  <c r="DV40" i="4"/>
  <c r="DV39" i="4"/>
  <c r="DV34" i="4"/>
  <c r="DV38" i="4"/>
  <c r="DV27" i="4"/>
  <c r="DS26" i="4"/>
  <c r="DP18" i="7"/>
  <c r="JD12" i="7"/>
  <c r="DO21" i="7"/>
  <c r="DP19" i="7"/>
  <c r="DQ33" i="7"/>
  <c r="DQ20" i="7" s="1"/>
  <c r="DR32" i="7"/>
  <c r="DR29" i="7"/>
  <c r="DR31" i="7"/>
  <c r="JD14" i="7"/>
  <c r="JD13" i="7"/>
  <c r="JE3" i="7"/>
  <c r="JF197" i="4"/>
  <c r="JC15" i="7"/>
  <c r="DS9" i="7" s="1"/>
  <c r="DU83" i="4"/>
  <c r="DT5" i="7"/>
  <c r="JF2" i="4"/>
  <c r="DU2" i="7"/>
  <c r="DV13" i="7"/>
  <c r="DV14" i="7"/>
  <c r="DV10" i="7"/>
  <c r="DV82" i="4"/>
  <c r="DV89" i="4" s="1"/>
  <c r="JD117" i="4"/>
  <c r="JF83" i="4"/>
  <c r="JF116" i="4" s="1"/>
  <c r="JF124" i="4"/>
  <c r="JF123" i="4"/>
  <c r="JF118" i="4"/>
  <c r="JF121" i="4"/>
  <c r="JF119" i="4"/>
  <c r="JF122" i="4"/>
  <c r="JF120" i="4"/>
  <c r="JE89" i="4"/>
  <c r="JF47" i="4"/>
  <c r="JF51" i="4"/>
  <c r="JG3" i="4"/>
  <c r="DW64" i="4"/>
  <c r="DS35" i="4"/>
  <c r="DV23" i="4"/>
  <c r="JE23" i="4"/>
  <c r="JF22" i="4"/>
  <c r="JD26" i="4"/>
  <c r="JD27" i="4"/>
  <c r="JD32" i="4"/>
  <c r="DT32" i="4" s="1"/>
  <c r="JD33" i="4"/>
  <c r="DT33" i="4" s="1"/>
  <c r="JD34" i="4"/>
  <c r="JD39" i="4"/>
  <c r="JD38" i="4"/>
  <c r="DW22" i="4"/>
  <c r="DX3" i="4"/>
  <c r="DW2" i="4"/>
  <c r="DW3" i="7" l="1"/>
  <c r="DW14" i="7" s="1"/>
  <c r="DX77" i="4"/>
  <c r="JG114" i="4"/>
  <c r="JG113" i="4" s="1"/>
  <c r="JG126" i="4"/>
  <c r="JG195" i="4"/>
  <c r="JG88" i="4"/>
  <c r="JG87" i="4" s="1"/>
  <c r="DW38" i="4"/>
  <c r="DW42" i="4"/>
  <c r="DW39" i="4"/>
  <c r="DW40" i="4"/>
  <c r="DW34" i="4"/>
  <c r="DW27" i="4"/>
  <c r="DT26" i="4"/>
  <c r="JE13" i="7"/>
  <c r="DP21" i="7"/>
  <c r="DQ19" i="7"/>
  <c r="DQ18" i="7"/>
  <c r="DR33" i="7"/>
  <c r="DR20" i="7" s="1"/>
  <c r="JD15" i="7"/>
  <c r="DT9" i="7" s="1"/>
  <c r="DT30" i="7" s="1"/>
  <c r="JE14" i="7"/>
  <c r="JE12" i="7"/>
  <c r="JF3" i="7"/>
  <c r="JG197" i="4"/>
  <c r="DV83" i="4"/>
  <c r="DU5" i="7"/>
  <c r="JG2" i="4"/>
  <c r="DV2" i="7"/>
  <c r="DS29" i="7"/>
  <c r="DS31" i="7"/>
  <c r="DS30" i="7"/>
  <c r="DS32" i="7"/>
  <c r="DW13" i="7"/>
  <c r="DW10" i="7"/>
  <c r="DW82" i="4"/>
  <c r="DW89" i="4" s="1"/>
  <c r="JF89" i="4"/>
  <c r="JE117" i="4"/>
  <c r="JG124" i="4"/>
  <c r="JG123" i="4"/>
  <c r="JG122" i="4"/>
  <c r="JG121" i="4"/>
  <c r="JG119" i="4"/>
  <c r="JG120" i="4"/>
  <c r="JG118" i="4"/>
  <c r="JG51" i="4"/>
  <c r="JG83" i="4"/>
  <c r="JG116" i="4" s="1"/>
  <c r="JG47" i="4"/>
  <c r="JH3" i="4"/>
  <c r="DX64" i="4"/>
  <c r="JE26" i="4"/>
  <c r="JE27" i="4"/>
  <c r="JE32" i="4"/>
  <c r="DU32" i="4" s="1"/>
  <c r="JE33" i="4"/>
  <c r="DU33" i="4" s="1"/>
  <c r="JE34" i="4"/>
  <c r="JE38" i="4"/>
  <c r="JE39" i="4"/>
  <c r="JG22" i="4"/>
  <c r="DT35" i="4"/>
  <c r="DW23" i="4"/>
  <c r="JF23" i="4"/>
  <c r="DX22" i="4"/>
  <c r="DY3" i="4"/>
  <c r="DX2" i="4"/>
  <c r="DX3" i="7" l="1"/>
  <c r="DY77" i="4"/>
  <c r="JH114" i="4"/>
  <c r="JH113" i="4" s="1"/>
  <c r="JH126" i="4"/>
  <c r="JH195" i="4"/>
  <c r="JH88" i="4"/>
  <c r="JH87" i="4" s="1"/>
  <c r="DX42" i="4"/>
  <c r="DX39" i="4"/>
  <c r="DX38" i="4"/>
  <c r="DX40" i="4"/>
  <c r="DX27" i="4"/>
  <c r="DX34" i="4"/>
  <c r="DU26" i="4"/>
  <c r="DR18" i="7"/>
  <c r="DR19" i="7"/>
  <c r="JF12" i="7"/>
  <c r="DQ21" i="7"/>
  <c r="DT31" i="7"/>
  <c r="JE15" i="7"/>
  <c r="DU9" i="7" s="1"/>
  <c r="DU32" i="7" s="1"/>
  <c r="DT29" i="7"/>
  <c r="DT32" i="7"/>
  <c r="JF13" i="7"/>
  <c r="JF14" i="7"/>
  <c r="JG3" i="7"/>
  <c r="JH197" i="4"/>
  <c r="JH2" i="4"/>
  <c r="DW2" i="7"/>
  <c r="DS33" i="7"/>
  <c r="DS20" i="7" s="1"/>
  <c r="DX14" i="7"/>
  <c r="DX13" i="7"/>
  <c r="DX10" i="7"/>
  <c r="DW83" i="4"/>
  <c r="DV5" i="7"/>
  <c r="DX82" i="4"/>
  <c r="DX89" i="4" s="1"/>
  <c r="JF117" i="4"/>
  <c r="JH83" i="4"/>
  <c r="JH116" i="4" s="1"/>
  <c r="JH121" i="4"/>
  <c r="JH122" i="4"/>
  <c r="JH124" i="4"/>
  <c r="JH120" i="4"/>
  <c r="JH123" i="4"/>
  <c r="JH119" i="4"/>
  <c r="JH118" i="4"/>
  <c r="JG89" i="4"/>
  <c r="JG117" i="4" s="1"/>
  <c r="JH47" i="4"/>
  <c r="JH51" i="4"/>
  <c r="JI3" i="4"/>
  <c r="DY64" i="4"/>
  <c r="DU35" i="4"/>
  <c r="DX23" i="4"/>
  <c r="JG23" i="4"/>
  <c r="JH22" i="4"/>
  <c r="JF27" i="4"/>
  <c r="JF26" i="4"/>
  <c r="JF32" i="4"/>
  <c r="DV32" i="4" s="1"/>
  <c r="JF33" i="4"/>
  <c r="DV33" i="4" s="1"/>
  <c r="JF34" i="4"/>
  <c r="JF39" i="4"/>
  <c r="JF38" i="4"/>
  <c r="DY22" i="4"/>
  <c r="DZ3" i="4"/>
  <c r="DY2" i="4"/>
  <c r="DY3" i="7" l="1"/>
  <c r="DZ77" i="4"/>
  <c r="JI114" i="4"/>
  <c r="JI113" i="4" s="1"/>
  <c r="JI126" i="4"/>
  <c r="JI195" i="4"/>
  <c r="JI88" i="4"/>
  <c r="JI87" i="4" s="1"/>
  <c r="DY42" i="4"/>
  <c r="DY38" i="4"/>
  <c r="DY40" i="4"/>
  <c r="DY34" i="4"/>
  <c r="DY39" i="4"/>
  <c r="DY27" i="4"/>
  <c r="DV26" i="4"/>
  <c r="DR21" i="7"/>
  <c r="JG14" i="7"/>
  <c r="DU29" i="7"/>
  <c r="DU31" i="7"/>
  <c r="DU30" i="7"/>
  <c r="JF15" i="7"/>
  <c r="DV9" i="7" s="1"/>
  <c r="DV29" i="7" s="1"/>
  <c r="DT33" i="7"/>
  <c r="DT20" i="7" s="1"/>
  <c r="JG12" i="7"/>
  <c r="JG13" i="7"/>
  <c r="JH3" i="7"/>
  <c r="JI197" i="4"/>
  <c r="DY14" i="7"/>
  <c r="DY13" i="7"/>
  <c r="DY10" i="7"/>
  <c r="DX83" i="4"/>
  <c r="DW5" i="7"/>
  <c r="DS19" i="7"/>
  <c r="DS18" i="7"/>
  <c r="JI2" i="4"/>
  <c r="DX2" i="7"/>
  <c r="DY82" i="4"/>
  <c r="DY89" i="4" s="1"/>
  <c r="JH89" i="4"/>
  <c r="JI122" i="4"/>
  <c r="JI123" i="4"/>
  <c r="JI121" i="4"/>
  <c r="JI120" i="4"/>
  <c r="JI119" i="4"/>
  <c r="JI118" i="4"/>
  <c r="JI124" i="4"/>
  <c r="JI51" i="4"/>
  <c r="JI83" i="4"/>
  <c r="JI116" i="4" s="1"/>
  <c r="JI47" i="4"/>
  <c r="JJ3" i="4"/>
  <c r="DZ64" i="4"/>
  <c r="JI22" i="4"/>
  <c r="DV35" i="4"/>
  <c r="JG27" i="4"/>
  <c r="JG26" i="4"/>
  <c r="JG32" i="4"/>
  <c r="DW32" i="4" s="1"/>
  <c r="JG33" i="4"/>
  <c r="DW33" i="4" s="1"/>
  <c r="JG34" i="4"/>
  <c r="JG39" i="4"/>
  <c r="JG38" i="4"/>
  <c r="DY23" i="4"/>
  <c r="JH23" i="4"/>
  <c r="DZ22" i="4"/>
  <c r="EA3" i="4"/>
  <c r="DZ2" i="4"/>
  <c r="DZ3" i="7" l="1"/>
  <c r="EA77" i="4"/>
  <c r="JJ114" i="4"/>
  <c r="JJ113" i="4" s="1"/>
  <c r="JJ126" i="4"/>
  <c r="JJ195" i="4"/>
  <c r="JJ88" i="4"/>
  <c r="JJ87" i="4" s="1"/>
  <c r="DZ39" i="4"/>
  <c r="DZ34" i="4"/>
  <c r="DZ40" i="4"/>
  <c r="DZ42" i="4"/>
  <c r="DZ38" i="4"/>
  <c r="DZ27" i="4"/>
  <c r="DW26" i="4"/>
  <c r="JH13" i="7"/>
  <c r="DV30" i="7"/>
  <c r="DU33" i="7"/>
  <c r="DU20" i="7" s="1"/>
  <c r="DV32" i="7"/>
  <c r="DV31" i="7"/>
  <c r="JG15" i="7"/>
  <c r="DW9" i="7" s="1"/>
  <c r="DW32" i="7" s="1"/>
  <c r="DT19" i="7"/>
  <c r="DT18" i="7"/>
  <c r="JH12" i="7"/>
  <c r="JH14" i="7"/>
  <c r="JI3" i="7"/>
  <c r="JJ197" i="4"/>
  <c r="DS21" i="7"/>
  <c r="DY83" i="4"/>
  <c r="DX5" i="7"/>
  <c r="DZ13" i="7"/>
  <c r="DZ14" i="7"/>
  <c r="DZ10" i="7"/>
  <c r="JJ2" i="4"/>
  <c r="DY2" i="7"/>
  <c r="DZ82" i="4"/>
  <c r="DZ89" i="4" s="1"/>
  <c r="JH117" i="4"/>
  <c r="JJ123" i="4"/>
  <c r="JJ124" i="4"/>
  <c r="JJ122" i="4"/>
  <c r="JJ121" i="4"/>
  <c r="JJ118" i="4"/>
  <c r="JJ120" i="4"/>
  <c r="JJ119" i="4"/>
  <c r="JJ47" i="4"/>
  <c r="JJ83" i="4"/>
  <c r="JJ116" i="4" s="1"/>
  <c r="JJ51" i="4"/>
  <c r="JI89" i="4"/>
  <c r="JK3" i="4"/>
  <c r="EA64" i="4"/>
  <c r="JJ22" i="4"/>
  <c r="JH27" i="4"/>
  <c r="JH26" i="4"/>
  <c r="JH33" i="4"/>
  <c r="DX33" i="4" s="1"/>
  <c r="JH32" i="4"/>
  <c r="DX32" i="4" s="1"/>
  <c r="JH34" i="4"/>
  <c r="JH39" i="4"/>
  <c r="JH38" i="4"/>
  <c r="DW35" i="4"/>
  <c r="DZ23" i="4"/>
  <c r="JI23" i="4"/>
  <c r="EA22" i="4"/>
  <c r="EB3" i="4"/>
  <c r="EA2" i="4"/>
  <c r="EA3" i="7" l="1"/>
  <c r="EB77" i="4"/>
  <c r="JK114" i="4"/>
  <c r="JK113" i="4" s="1"/>
  <c r="JK126" i="4"/>
  <c r="JK195" i="4"/>
  <c r="JK88" i="4"/>
  <c r="JK87" i="4" s="1"/>
  <c r="EA40" i="4"/>
  <c r="EA39" i="4"/>
  <c r="EA38" i="4"/>
  <c r="EA42" i="4"/>
  <c r="EA34" i="4"/>
  <c r="EA27" i="4"/>
  <c r="DX26" i="4"/>
  <c r="DU19" i="7"/>
  <c r="JI13" i="7"/>
  <c r="DU18" i="7"/>
  <c r="DW29" i="7"/>
  <c r="DW31" i="7"/>
  <c r="DW30" i="7"/>
  <c r="DV33" i="7"/>
  <c r="DV20" i="7" s="1"/>
  <c r="DT21" i="7"/>
  <c r="JH15" i="7"/>
  <c r="DX9" i="7" s="1"/>
  <c r="DX29" i="7" s="1"/>
  <c r="JI12" i="7"/>
  <c r="JI14" i="7"/>
  <c r="JJ3" i="7"/>
  <c r="JK197" i="4"/>
  <c r="DZ83" i="4"/>
  <c r="DY5" i="7"/>
  <c r="JK2" i="4"/>
  <c r="DZ2" i="7"/>
  <c r="EA13" i="7"/>
  <c r="EA14" i="7"/>
  <c r="EA10" i="7"/>
  <c r="EA82" i="4"/>
  <c r="EA89" i="4" s="1"/>
  <c r="JK83" i="4"/>
  <c r="JK116" i="4" s="1"/>
  <c r="JK124" i="4"/>
  <c r="JK123" i="4"/>
  <c r="JK122" i="4"/>
  <c r="JK121" i="4"/>
  <c r="JK118" i="4"/>
  <c r="JK120" i="4"/>
  <c r="JK119" i="4"/>
  <c r="JJ89" i="4"/>
  <c r="JJ117" i="4" s="1"/>
  <c r="JK47" i="4"/>
  <c r="JK51" i="4"/>
  <c r="JI117" i="4"/>
  <c r="JL3" i="4"/>
  <c r="EB64" i="4"/>
  <c r="JK22" i="4"/>
  <c r="DX35" i="4"/>
  <c r="EA23" i="4"/>
  <c r="JJ23" i="4"/>
  <c r="JI27" i="4"/>
  <c r="JI26" i="4"/>
  <c r="JI32" i="4"/>
  <c r="DY32" i="4" s="1"/>
  <c r="JI33" i="4"/>
  <c r="DY33" i="4" s="1"/>
  <c r="JI34" i="4"/>
  <c r="JI38" i="4"/>
  <c r="JI39" i="4"/>
  <c r="EB22" i="4"/>
  <c r="EB2" i="4"/>
  <c r="EC3" i="4"/>
  <c r="EB3" i="7" l="1"/>
  <c r="EC77" i="4"/>
  <c r="JL114" i="4"/>
  <c r="JL113" i="4" s="1"/>
  <c r="JL126" i="4"/>
  <c r="JL195" i="4"/>
  <c r="JL88" i="4"/>
  <c r="JL87" i="4" s="1"/>
  <c r="EB34" i="4"/>
  <c r="EB40" i="4"/>
  <c r="EB38" i="4"/>
  <c r="EB39" i="4"/>
  <c r="EB42" i="4"/>
  <c r="EB27" i="4"/>
  <c r="DY26" i="4"/>
  <c r="DU21" i="7"/>
  <c r="DV19" i="7"/>
  <c r="JJ13" i="7"/>
  <c r="DV18" i="7"/>
  <c r="DW33" i="7"/>
  <c r="DW20" i="7" s="1"/>
  <c r="DX32" i="7"/>
  <c r="JI15" i="7"/>
  <c r="DY9" i="7" s="1"/>
  <c r="DY31" i="7" s="1"/>
  <c r="DX30" i="7"/>
  <c r="DX31" i="7"/>
  <c r="JJ12" i="7"/>
  <c r="JJ14" i="7"/>
  <c r="JK3" i="7"/>
  <c r="JL197" i="4"/>
  <c r="EA83" i="4"/>
  <c r="DZ5" i="7"/>
  <c r="EB14" i="7"/>
  <c r="EB13" i="7"/>
  <c r="EB10" i="7"/>
  <c r="JL2" i="4"/>
  <c r="EA2" i="7"/>
  <c r="EB82" i="4"/>
  <c r="EB89" i="4" s="1"/>
  <c r="JK89" i="4"/>
  <c r="JL124" i="4"/>
  <c r="JL121" i="4"/>
  <c r="JL123" i="4"/>
  <c r="JL119" i="4"/>
  <c r="JL122" i="4"/>
  <c r="JL120" i="4"/>
  <c r="JL118" i="4"/>
  <c r="JL51" i="4"/>
  <c r="JL83" i="4"/>
  <c r="JL116" i="4" s="1"/>
  <c r="JL47" i="4"/>
  <c r="JM3" i="4"/>
  <c r="JM126" i="4" s="1"/>
  <c r="EC64" i="4"/>
  <c r="JL22" i="4"/>
  <c r="JJ27" i="4"/>
  <c r="JJ26" i="4"/>
  <c r="JJ33" i="4"/>
  <c r="DZ33" i="4" s="1"/>
  <c r="JJ32" i="4"/>
  <c r="DZ32" i="4" s="1"/>
  <c r="JJ34" i="4"/>
  <c r="JJ38" i="4"/>
  <c r="JJ39" i="4"/>
  <c r="DY35" i="4"/>
  <c r="EB23" i="4"/>
  <c r="JK23" i="4"/>
  <c r="EC22" i="4"/>
  <c r="ED3" i="4"/>
  <c r="EC2" i="4"/>
  <c r="EC3" i="7" l="1"/>
  <c r="ED77" i="4"/>
  <c r="JM88" i="4"/>
  <c r="JM87" i="4" s="1"/>
  <c r="JM114" i="4"/>
  <c r="JM113" i="4" s="1"/>
  <c r="EC40" i="4"/>
  <c r="EC38" i="4"/>
  <c r="EC42" i="4"/>
  <c r="EC34" i="4"/>
  <c r="EC39" i="4"/>
  <c r="EC27" i="4"/>
  <c r="DZ26" i="4"/>
  <c r="DW18" i="7"/>
  <c r="JK14" i="7"/>
  <c r="DV21" i="7"/>
  <c r="DW19" i="7"/>
  <c r="DY32" i="7"/>
  <c r="DY30" i="7"/>
  <c r="DY29" i="7"/>
  <c r="JJ15" i="7"/>
  <c r="DZ9" i="7" s="1"/>
  <c r="DZ32" i="7" s="1"/>
  <c r="DX33" i="7"/>
  <c r="DX20" i="7" s="1"/>
  <c r="JK13" i="7"/>
  <c r="JM197" i="4"/>
  <c r="JM195" i="4"/>
  <c r="JK12" i="7"/>
  <c r="JM47" i="4"/>
  <c r="JL3" i="7"/>
  <c r="EB83" i="4"/>
  <c r="EA5" i="7"/>
  <c r="JM2" i="4"/>
  <c r="EB2" i="7"/>
  <c r="EC13" i="7"/>
  <c r="EC14" i="7"/>
  <c r="EC10" i="7"/>
  <c r="EC82" i="4"/>
  <c r="EC89" i="4" s="1"/>
  <c r="JK117" i="4"/>
  <c r="JM122" i="4"/>
  <c r="JM124" i="4"/>
  <c r="JM121" i="4"/>
  <c r="JM120" i="4"/>
  <c r="JM119" i="4"/>
  <c r="JM118" i="4"/>
  <c r="JM123" i="4"/>
  <c r="JL89" i="4"/>
  <c r="JM51" i="4"/>
  <c r="JM83" i="4"/>
  <c r="JM116" i="4" s="1"/>
  <c r="JN3" i="4"/>
  <c r="JN126" i="4" s="1"/>
  <c r="ED64" i="4"/>
  <c r="DZ35" i="4"/>
  <c r="JM22" i="4"/>
  <c r="JK26" i="4"/>
  <c r="JK27" i="4"/>
  <c r="JK32" i="4"/>
  <c r="EA32" i="4" s="1"/>
  <c r="JK33" i="4"/>
  <c r="EA33" i="4" s="1"/>
  <c r="JK34" i="4"/>
  <c r="JK39" i="4"/>
  <c r="JK38" i="4"/>
  <c r="EC23" i="4"/>
  <c r="JL23" i="4"/>
  <c r="ED22" i="4"/>
  <c r="EE3" i="4"/>
  <c r="ED2" i="4"/>
  <c r="ED3" i="7" l="1"/>
  <c r="EE77" i="4"/>
  <c r="JN88" i="4"/>
  <c r="JN87" i="4" s="1"/>
  <c r="JN114" i="4"/>
  <c r="JN113" i="4" s="1"/>
  <c r="ED42" i="4"/>
  <c r="ED40" i="4"/>
  <c r="ED38" i="4"/>
  <c r="ED39" i="4"/>
  <c r="ED27" i="4"/>
  <c r="ED34" i="4"/>
  <c r="EA26" i="4"/>
  <c r="DX19" i="7"/>
  <c r="DW21" i="7"/>
  <c r="DZ31" i="7"/>
  <c r="DZ30" i="7"/>
  <c r="DZ29" i="7"/>
  <c r="DY33" i="7"/>
  <c r="DY20" i="7" s="1"/>
  <c r="DX18" i="7"/>
  <c r="JK15" i="7"/>
  <c r="EA9" i="7" s="1"/>
  <c r="EA30" i="7" s="1"/>
  <c r="JN197" i="4"/>
  <c r="JN195" i="4"/>
  <c r="JL13" i="7"/>
  <c r="JL12" i="7"/>
  <c r="JL14" i="7"/>
  <c r="JN51" i="4"/>
  <c r="JM3" i="7"/>
  <c r="JN2" i="4"/>
  <c r="EC2" i="7"/>
  <c r="ED14" i="7"/>
  <c r="ED13" i="7"/>
  <c r="ED10" i="7"/>
  <c r="EC83" i="4"/>
  <c r="EB5" i="7"/>
  <c r="ED82" i="4"/>
  <c r="ED89" i="4" s="1"/>
  <c r="JN47" i="4"/>
  <c r="JN83" i="4"/>
  <c r="JN116" i="4" s="1"/>
  <c r="JN122" i="4"/>
  <c r="JN123" i="4"/>
  <c r="JN120" i="4"/>
  <c r="JN118" i="4"/>
  <c r="JN124" i="4"/>
  <c r="JN121" i="4"/>
  <c r="JN119" i="4"/>
  <c r="JL117" i="4"/>
  <c r="JM89" i="4"/>
  <c r="JO3" i="4"/>
  <c r="EE64" i="4"/>
  <c r="EA35" i="4"/>
  <c r="JL26" i="4"/>
  <c r="JL27" i="4"/>
  <c r="JL32" i="4"/>
  <c r="EB32" i="4" s="1"/>
  <c r="JL33" i="4"/>
  <c r="EB33" i="4" s="1"/>
  <c r="JL34" i="4"/>
  <c r="JL38" i="4"/>
  <c r="JL39" i="4"/>
  <c r="ED23" i="4"/>
  <c r="JM23" i="4"/>
  <c r="JN22" i="4"/>
  <c r="EE22" i="4"/>
  <c r="EF3" i="4"/>
  <c r="EE2" i="4"/>
  <c r="EE3" i="7" l="1"/>
  <c r="EF77" i="4"/>
  <c r="JO114" i="4"/>
  <c r="JO113" i="4" s="1"/>
  <c r="JO126" i="4"/>
  <c r="JO195" i="4"/>
  <c r="JO88" i="4"/>
  <c r="JO87" i="4" s="1"/>
  <c r="EE38" i="4"/>
  <c r="EE42" i="4"/>
  <c r="EE39" i="4"/>
  <c r="EE40" i="4"/>
  <c r="EE34" i="4"/>
  <c r="EE27" i="4"/>
  <c r="EB26" i="4"/>
  <c r="DY19" i="7"/>
  <c r="DZ33" i="7"/>
  <c r="DZ20" i="7" s="1"/>
  <c r="DY18" i="7"/>
  <c r="EA29" i="7"/>
  <c r="DX21" i="7"/>
  <c r="EA31" i="7"/>
  <c r="EA32" i="7"/>
  <c r="JN3" i="7"/>
  <c r="JO197" i="4"/>
  <c r="JO2" i="4"/>
  <c r="ED2" i="7"/>
  <c r="EE14" i="7"/>
  <c r="EE13" i="7"/>
  <c r="EE10" i="7"/>
  <c r="JM14" i="7"/>
  <c r="JM12" i="7"/>
  <c r="JM13" i="7"/>
  <c r="JL15" i="7"/>
  <c r="EB9" i="7" s="1"/>
  <c r="ED83" i="4"/>
  <c r="EC5" i="7"/>
  <c r="EE82" i="4"/>
  <c r="EE89" i="4" s="1"/>
  <c r="JO83" i="4"/>
  <c r="JO116" i="4" s="1"/>
  <c r="JO124" i="4"/>
  <c r="JO123" i="4"/>
  <c r="JO122" i="4"/>
  <c r="JO121" i="4"/>
  <c r="JO120" i="4"/>
  <c r="JO119" i="4"/>
  <c r="JO118" i="4"/>
  <c r="JN89" i="4"/>
  <c r="JN117" i="4" s="1"/>
  <c r="JM117" i="4"/>
  <c r="JO51" i="4"/>
  <c r="JO47" i="4"/>
  <c r="JP3" i="4"/>
  <c r="EF64" i="4"/>
  <c r="JO22" i="4"/>
  <c r="EE23" i="4"/>
  <c r="JN23" i="4"/>
  <c r="EB35" i="4"/>
  <c r="JM27" i="4"/>
  <c r="JM26" i="4"/>
  <c r="JM32" i="4"/>
  <c r="EC32" i="4" s="1"/>
  <c r="JM33" i="4"/>
  <c r="EC33" i="4" s="1"/>
  <c r="JM34" i="4"/>
  <c r="JM39" i="4"/>
  <c r="JM38" i="4"/>
  <c r="EF22" i="4"/>
  <c r="EG3" i="4"/>
  <c r="EF2" i="4"/>
  <c r="EF3" i="7" l="1"/>
  <c r="EG77" i="4"/>
  <c r="JP114" i="4"/>
  <c r="JP113" i="4" s="1"/>
  <c r="JP126" i="4"/>
  <c r="JP195" i="4"/>
  <c r="JP88" i="4"/>
  <c r="JP87" i="4" s="1"/>
  <c r="EF42" i="4"/>
  <c r="EF39" i="4"/>
  <c r="EF38" i="4"/>
  <c r="EF34" i="4"/>
  <c r="EF40" i="4"/>
  <c r="EF27" i="4"/>
  <c r="EC26" i="4"/>
  <c r="DY21" i="7"/>
  <c r="DZ19" i="7"/>
  <c r="JN14" i="7"/>
  <c r="DZ18" i="7"/>
  <c r="EA33" i="7"/>
  <c r="EA20" i="7" s="1"/>
  <c r="JN13" i="7"/>
  <c r="JN12" i="7"/>
  <c r="JO3" i="7"/>
  <c r="JP197" i="4"/>
  <c r="EB29" i="7"/>
  <c r="EB31" i="7"/>
  <c r="EB30" i="7"/>
  <c r="EB32" i="7"/>
  <c r="JP2" i="4"/>
  <c r="EE2" i="7"/>
  <c r="EF13" i="7"/>
  <c r="EF14" i="7"/>
  <c r="EF10" i="7"/>
  <c r="JM15" i="7"/>
  <c r="EC9" i="7" s="1"/>
  <c r="EE83" i="4"/>
  <c r="ED5" i="7"/>
  <c r="EF82" i="4"/>
  <c r="EF89" i="4" s="1"/>
  <c r="JP123" i="4"/>
  <c r="JP121" i="4"/>
  <c r="JP120" i="4"/>
  <c r="JP124" i="4"/>
  <c r="JP122" i="4"/>
  <c r="JP118" i="4"/>
  <c r="JP119" i="4"/>
  <c r="JP47" i="4"/>
  <c r="JO89" i="4"/>
  <c r="JP51" i="4"/>
  <c r="JP83" i="4"/>
  <c r="JP116" i="4" s="1"/>
  <c r="JQ3" i="4"/>
  <c r="EG64" i="4"/>
  <c r="EC35" i="4"/>
  <c r="JN27" i="4"/>
  <c r="JN26" i="4"/>
  <c r="JN32" i="4"/>
  <c r="ED32" i="4" s="1"/>
  <c r="JN33" i="4"/>
  <c r="ED33" i="4" s="1"/>
  <c r="JN34" i="4"/>
  <c r="JN38" i="4"/>
  <c r="JN39" i="4"/>
  <c r="EF23" i="4"/>
  <c r="JO23" i="4"/>
  <c r="JP22" i="4"/>
  <c r="EG22" i="4"/>
  <c r="EH3" i="4"/>
  <c r="EG2" i="4"/>
  <c r="EG3" i="7" l="1"/>
  <c r="EG13" i="7" s="1"/>
  <c r="EH77" i="4"/>
  <c r="JQ114" i="4"/>
  <c r="JQ113" i="4" s="1"/>
  <c r="JQ126" i="4"/>
  <c r="EG42" i="4"/>
  <c r="EG34" i="4"/>
  <c r="EG40" i="4"/>
  <c r="EG39" i="4"/>
  <c r="EG27" i="4"/>
  <c r="EG38" i="4"/>
  <c r="JQ195" i="4"/>
  <c r="JQ88" i="4"/>
  <c r="JQ87" i="4" s="1"/>
  <c r="ED26" i="4"/>
  <c r="EA18" i="7"/>
  <c r="JO14" i="7"/>
  <c r="DZ21" i="7"/>
  <c r="EA19" i="7"/>
  <c r="JN15" i="7"/>
  <c r="ED9" i="7" s="1"/>
  <c r="ED32" i="7" s="1"/>
  <c r="JO13" i="7"/>
  <c r="JO12" i="7"/>
  <c r="JP3" i="7"/>
  <c r="JQ197" i="4"/>
  <c r="EF83" i="4"/>
  <c r="EE5" i="7"/>
  <c r="EC29" i="7"/>
  <c r="EC31" i="7"/>
  <c r="EC30" i="7"/>
  <c r="EC32" i="7"/>
  <c r="EB33" i="7"/>
  <c r="EB20" i="7" s="1"/>
  <c r="JQ2" i="4"/>
  <c r="EF2" i="7"/>
  <c r="EG14" i="7"/>
  <c r="EG82" i="4"/>
  <c r="EG89" i="4" s="1"/>
  <c r="JO117" i="4"/>
  <c r="JQ83" i="4"/>
  <c r="JQ116" i="4" s="1"/>
  <c r="JQ124" i="4"/>
  <c r="JQ123" i="4"/>
  <c r="JQ121" i="4"/>
  <c r="JQ120" i="4"/>
  <c r="JQ119" i="4"/>
  <c r="JQ118" i="4"/>
  <c r="JQ122" i="4"/>
  <c r="JP89" i="4"/>
  <c r="JP117" i="4" s="1"/>
  <c r="JQ47" i="4"/>
  <c r="JQ51" i="4"/>
  <c r="JR3" i="4"/>
  <c r="EH64" i="4"/>
  <c r="ED35" i="4"/>
  <c r="EG23" i="4"/>
  <c r="JP23" i="4"/>
  <c r="JQ22" i="4"/>
  <c r="JO26" i="4"/>
  <c r="JO27" i="4"/>
  <c r="JO32" i="4"/>
  <c r="EE32" i="4" s="1"/>
  <c r="JO33" i="4"/>
  <c r="EE33" i="4" s="1"/>
  <c r="JO34" i="4"/>
  <c r="JO38" i="4"/>
  <c r="JO39" i="4"/>
  <c r="EH22" i="4"/>
  <c r="EI3" i="4"/>
  <c r="EH2" i="4"/>
  <c r="EG10" i="7" l="1"/>
  <c r="EH3" i="7"/>
  <c r="EI77" i="4"/>
  <c r="JR114" i="4"/>
  <c r="JR113" i="4" s="1"/>
  <c r="JR126" i="4"/>
  <c r="EH39" i="4"/>
  <c r="EH34" i="4"/>
  <c r="EH40" i="4"/>
  <c r="EH42" i="4"/>
  <c r="EH38" i="4"/>
  <c r="EH27" i="4"/>
  <c r="JR195" i="4"/>
  <c r="JR88" i="4"/>
  <c r="JR87" i="4" s="1"/>
  <c r="EE26" i="4"/>
  <c r="JP14" i="7"/>
  <c r="EA21" i="7"/>
  <c r="JP12" i="7"/>
  <c r="JP13" i="7"/>
  <c r="ED31" i="7"/>
  <c r="ED29" i="7"/>
  <c r="ED30" i="7"/>
  <c r="JO15" i="7"/>
  <c r="EE9" i="7" s="1"/>
  <c r="EE32" i="7" s="1"/>
  <c r="JQ3" i="7"/>
  <c r="JR197" i="4"/>
  <c r="EH14" i="7"/>
  <c r="EH13" i="7"/>
  <c r="EH10" i="7"/>
  <c r="EC33" i="7"/>
  <c r="EC20" i="7" s="1"/>
  <c r="EB19" i="7"/>
  <c r="EB18" i="7"/>
  <c r="EG83" i="4"/>
  <c r="EF5" i="7"/>
  <c r="JR2" i="4"/>
  <c r="EG2" i="7"/>
  <c r="EH82" i="4"/>
  <c r="EH89" i="4" s="1"/>
  <c r="JQ89" i="4"/>
  <c r="JQ117" i="4" s="1"/>
  <c r="JR83" i="4"/>
  <c r="JR116" i="4" s="1"/>
  <c r="JR122" i="4"/>
  <c r="JR124" i="4"/>
  <c r="JR119" i="4"/>
  <c r="JR121" i="4"/>
  <c r="JR123" i="4"/>
  <c r="JR120" i="4"/>
  <c r="JR118" i="4"/>
  <c r="JR47" i="4"/>
  <c r="JR51" i="4"/>
  <c r="JS3" i="4"/>
  <c r="EI64" i="4"/>
  <c r="JR22" i="4"/>
  <c r="JP26" i="4"/>
  <c r="JP27" i="4"/>
  <c r="JP32" i="4"/>
  <c r="EF32" i="4" s="1"/>
  <c r="JP33" i="4"/>
  <c r="EF33" i="4" s="1"/>
  <c r="JP34" i="4"/>
  <c r="JP39" i="4"/>
  <c r="JP38" i="4"/>
  <c r="EE35" i="4"/>
  <c r="EH23" i="4"/>
  <c r="JQ23" i="4"/>
  <c r="EI22" i="4"/>
  <c r="EJ3" i="4"/>
  <c r="EI2" i="4"/>
  <c r="EI3" i="7" l="1"/>
  <c r="EI10" i="7" s="1"/>
  <c r="EJ77" i="4"/>
  <c r="JS114" i="4"/>
  <c r="JS113" i="4" s="1"/>
  <c r="JS126" i="4"/>
  <c r="JS195" i="4"/>
  <c r="JS88" i="4"/>
  <c r="JS87" i="4" s="1"/>
  <c r="EI40" i="4"/>
  <c r="EI39" i="4"/>
  <c r="EI34" i="4"/>
  <c r="EI42" i="4"/>
  <c r="EI38" i="4"/>
  <c r="EI27" i="4"/>
  <c r="EF26" i="4"/>
  <c r="JQ13" i="7"/>
  <c r="ED33" i="7"/>
  <c r="ED20" i="7" s="1"/>
  <c r="JP15" i="7"/>
  <c r="EF9" i="7" s="1"/>
  <c r="EF29" i="7" s="1"/>
  <c r="EE31" i="7"/>
  <c r="EE29" i="7"/>
  <c r="EE30" i="7"/>
  <c r="JQ12" i="7"/>
  <c r="JQ14" i="7"/>
  <c r="JR3" i="7"/>
  <c r="JS197" i="4"/>
  <c r="EB21" i="7"/>
  <c r="EH83" i="4"/>
  <c r="EG5" i="7"/>
  <c r="EC19" i="7"/>
  <c r="EC18" i="7"/>
  <c r="JS2" i="4"/>
  <c r="EH2" i="7"/>
  <c r="EI14" i="7"/>
  <c r="EI82" i="4"/>
  <c r="EI89" i="4" s="1"/>
  <c r="JR89" i="4"/>
  <c r="JS83" i="4"/>
  <c r="JS116" i="4" s="1"/>
  <c r="JS124" i="4"/>
  <c r="JS123" i="4"/>
  <c r="JS122" i="4"/>
  <c r="JS121" i="4"/>
  <c r="JS120" i="4"/>
  <c r="JS119" i="4"/>
  <c r="JS118" i="4"/>
  <c r="JS47" i="4"/>
  <c r="JS51" i="4"/>
  <c r="JT3" i="4"/>
  <c r="EJ64" i="4"/>
  <c r="EF35" i="4"/>
  <c r="JS22" i="4"/>
  <c r="JQ26" i="4"/>
  <c r="JQ27" i="4"/>
  <c r="JQ32" i="4"/>
  <c r="EG32" i="4" s="1"/>
  <c r="JQ33" i="4"/>
  <c r="EG33" i="4" s="1"/>
  <c r="JQ34" i="4"/>
  <c r="JQ39" i="4"/>
  <c r="JQ38" i="4"/>
  <c r="EI23" i="4"/>
  <c r="JR23" i="4"/>
  <c r="EJ22" i="4"/>
  <c r="EK3" i="4"/>
  <c r="EJ2" i="4"/>
  <c r="EI13" i="7" l="1"/>
  <c r="EJ3" i="7"/>
  <c r="EJ10" i="7" s="1"/>
  <c r="EK77" i="4"/>
  <c r="JT114" i="4"/>
  <c r="JT113" i="4" s="1"/>
  <c r="JT126" i="4"/>
  <c r="EJ34" i="4"/>
  <c r="EJ40" i="4"/>
  <c r="EJ38" i="4"/>
  <c r="EJ39" i="4"/>
  <c r="EJ42" i="4"/>
  <c r="EJ27" i="4"/>
  <c r="JT195" i="4"/>
  <c r="JT88" i="4"/>
  <c r="JT87" i="4" s="1"/>
  <c r="EG26" i="4"/>
  <c r="ED18" i="7"/>
  <c r="JR13" i="7"/>
  <c r="ED19" i="7"/>
  <c r="EF32" i="7"/>
  <c r="EF31" i="7"/>
  <c r="EF30" i="7"/>
  <c r="EE33" i="7"/>
  <c r="EE20" i="7" s="1"/>
  <c r="JQ15" i="7"/>
  <c r="EG9" i="7" s="1"/>
  <c r="EG30" i="7" s="1"/>
  <c r="JR12" i="7"/>
  <c r="JR14" i="7"/>
  <c r="JS3" i="7"/>
  <c r="JT197" i="4"/>
  <c r="EC21" i="7"/>
  <c r="EI83" i="4"/>
  <c r="EH5" i="7"/>
  <c r="JT2" i="4"/>
  <c r="EI2" i="7"/>
  <c r="EJ14" i="7"/>
  <c r="EJ13" i="7"/>
  <c r="EJ82" i="4"/>
  <c r="EJ89" i="4" s="1"/>
  <c r="JR117" i="4"/>
  <c r="JS89" i="4"/>
  <c r="JT47" i="4"/>
  <c r="JT122" i="4"/>
  <c r="JT121" i="4"/>
  <c r="JT120" i="4"/>
  <c r="JT123" i="4"/>
  <c r="JT118" i="4"/>
  <c r="JT119" i="4"/>
  <c r="JT124" i="4"/>
  <c r="JT51" i="4"/>
  <c r="JT83" i="4"/>
  <c r="JT116" i="4" s="1"/>
  <c r="JU3" i="4"/>
  <c r="EK64" i="4"/>
  <c r="JR27" i="4"/>
  <c r="JR26" i="4"/>
  <c r="JR33" i="4"/>
  <c r="EH33" i="4" s="1"/>
  <c r="JR32" i="4"/>
  <c r="EH32" i="4" s="1"/>
  <c r="JR34" i="4"/>
  <c r="JR38" i="4"/>
  <c r="JR39" i="4"/>
  <c r="EJ23" i="4"/>
  <c r="JS23" i="4"/>
  <c r="JT22" i="4"/>
  <c r="EG35" i="4"/>
  <c r="EK22" i="4"/>
  <c r="EL3" i="4"/>
  <c r="EK2" i="4"/>
  <c r="EK3" i="7" l="1"/>
  <c r="EL77" i="4"/>
  <c r="JU114" i="4"/>
  <c r="JU113" i="4" s="1"/>
  <c r="JU126" i="4"/>
  <c r="JU195" i="4"/>
  <c r="JU88" i="4"/>
  <c r="JU87" i="4" s="1"/>
  <c r="EK40" i="4"/>
  <c r="EK38" i="4"/>
  <c r="EK42" i="4"/>
  <c r="EK34" i="4"/>
  <c r="EK39" i="4"/>
  <c r="EK27" i="4"/>
  <c r="EH26" i="4"/>
  <c r="EE18" i="7"/>
  <c r="JS12" i="7"/>
  <c r="EE19" i="7"/>
  <c r="ED21" i="7"/>
  <c r="EF33" i="7"/>
  <c r="EF20" i="7" s="1"/>
  <c r="EG29" i="7"/>
  <c r="JS14" i="7"/>
  <c r="JR15" i="7"/>
  <c r="EH9" i="7" s="1"/>
  <c r="EH31" i="7" s="1"/>
  <c r="EG32" i="7"/>
  <c r="EG31" i="7"/>
  <c r="JS13" i="7"/>
  <c r="JT3" i="7"/>
  <c r="JU197" i="4"/>
  <c r="EJ83" i="4"/>
  <c r="EI5" i="7"/>
  <c r="EK14" i="7"/>
  <c r="EK13" i="7"/>
  <c r="EK10" i="7"/>
  <c r="JU2" i="4"/>
  <c r="EJ2" i="7"/>
  <c r="EK82" i="4"/>
  <c r="EK89" i="4" s="1"/>
  <c r="JS117" i="4"/>
  <c r="JU123" i="4"/>
  <c r="JU124" i="4"/>
  <c r="JU122" i="4"/>
  <c r="JU121" i="4"/>
  <c r="JU120" i="4"/>
  <c r="JU119" i="4"/>
  <c r="JU118" i="4"/>
  <c r="JT89" i="4"/>
  <c r="JT117" i="4" s="1"/>
  <c r="JU47" i="4"/>
  <c r="JU83" i="4"/>
  <c r="JU116" i="4" s="1"/>
  <c r="JU51" i="4"/>
  <c r="JV3" i="4"/>
  <c r="EL64" i="4"/>
  <c r="JU22" i="4"/>
  <c r="JS27" i="4"/>
  <c r="JS26" i="4"/>
  <c r="JS32" i="4"/>
  <c r="EI32" i="4" s="1"/>
  <c r="JS33" i="4"/>
  <c r="EI33" i="4" s="1"/>
  <c r="JS34" i="4"/>
  <c r="JS38" i="4"/>
  <c r="JS39" i="4"/>
  <c r="EK23" i="4"/>
  <c r="JT23" i="4"/>
  <c r="EH35" i="4"/>
  <c r="EL22" i="4"/>
  <c r="EM3" i="4"/>
  <c r="EL2" i="4"/>
  <c r="EL3" i="7" l="1"/>
  <c r="EL13" i="7" s="1"/>
  <c r="EM77" i="4"/>
  <c r="JV114" i="4"/>
  <c r="JV113" i="4" s="1"/>
  <c r="JV126" i="4"/>
  <c r="JV195" i="4"/>
  <c r="JV88" i="4"/>
  <c r="JV87" i="4" s="1"/>
  <c r="EL42" i="4"/>
  <c r="EL40" i="4"/>
  <c r="EL39" i="4"/>
  <c r="EL38" i="4"/>
  <c r="EL27" i="4"/>
  <c r="EL34" i="4"/>
  <c r="EI26" i="4"/>
  <c r="EF18" i="7"/>
  <c r="EE21" i="7"/>
  <c r="JT14" i="7"/>
  <c r="EF19" i="7"/>
  <c r="EH29" i="7"/>
  <c r="EH30" i="7"/>
  <c r="JS15" i="7"/>
  <c r="EI9" i="7" s="1"/>
  <c r="EI30" i="7" s="1"/>
  <c r="EH32" i="7"/>
  <c r="EG33" i="7"/>
  <c r="EG20" i="7" s="1"/>
  <c r="JT13" i="7"/>
  <c r="JT12" i="7"/>
  <c r="JU3" i="7"/>
  <c r="JV197" i="4"/>
  <c r="JV2" i="4"/>
  <c r="EK2" i="7"/>
  <c r="EK83" i="4"/>
  <c r="EJ5" i="7"/>
  <c r="EL82" i="4"/>
  <c r="EL89" i="4" s="1"/>
  <c r="JV124" i="4"/>
  <c r="JV123" i="4"/>
  <c r="JV118" i="4"/>
  <c r="JV121" i="4"/>
  <c r="JV119" i="4"/>
  <c r="JV120" i="4"/>
  <c r="JV122" i="4"/>
  <c r="JU89" i="4"/>
  <c r="JV51" i="4"/>
  <c r="JV83" i="4"/>
  <c r="JV116" i="4" s="1"/>
  <c r="JV47" i="4"/>
  <c r="JW3" i="4"/>
  <c r="EM64" i="4"/>
  <c r="EI35" i="4"/>
  <c r="EL23" i="4"/>
  <c r="JU23" i="4"/>
  <c r="JV22" i="4"/>
  <c r="JT27" i="4"/>
  <c r="JT26" i="4"/>
  <c r="JT33" i="4"/>
  <c r="EJ33" i="4" s="1"/>
  <c r="JT32" i="4"/>
  <c r="EJ32" i="4" s="1"/>
  <c r="JT34" i="4"/>
  <c r="JT39" i="4"/>
  <c r="JT38" i="4"/>
  <c r="EM22" i="4"/>
  <c r="EN3" i="4"/>
  <c r="EN77" i="4" s="1"/>
  <c r="EM2" i="4"/>
  <c r="EL10" i="7" l="1"/>
  <c r="EL14" i="7"/>
  <c r="JW114" i="4"/>
  <c r="JW113" i="4" s="1"/>
  <c r="JW126" i="4"/>
  <c r="JW195" i="4"/>
  <c r="JW88" i="4"/>
  <c r="JW87" i="4" s="1"/>
  <c r="EM38" i="4"/>
  <c r="EM42" i="4"/>
  <c r="EM39" i="4"/>
  <c r="EM40" i="4"/>
  <c r="EM34" i="4"/>
  <c r="EM27" i="4"/>
  <c r="EJ26" i="4"/>
  <c r="EG18" i="7"/>
  <c r="JU14" i="7"/>
  <c r="EF21" i="7"/>
  <c r="JT15" i="7"/>
  <c r="EJ9" i="7" s="1"/>
  <c r="EJ30" i="7" s="1"/>
  <c r="EG19" i="7"/>
  <c r="EH33" i="7"/>
  <c r="EH20" i="7" s="1"/>
  <c r="EI29" i="7"/>
  <c r="EI32" i="7"/>
  <c r="EI31" i="7"/>
  <c r="JU13" i="7"/>
  <c r="JU12" i="7"/>
  <c r="JV3" i="7"/>
  <c r="JW197" i="4"/>
  <c r="EL83" i="4"/>
  <c r="EK5" i="7"/>
  <c r="JW2" i="4"/>
  <c r="EL2" i="7"/>
  <c r="EN64" i="4"/>
  <c r="EM3" i="7"/>
  <c r="EM82" i="4"/>
  <c r="EM89" i="4" s="1"/>
  <c r="JW83" i="4"/>
  <c r="JW116" i="4" s="1"/>
  <c r="JW124" i="4"/>
  <c r="JW123" i="4"/>
  <c r="JW122" i="4"/>
  <c r="JW121" i="4"/>
  <c r="JW120" i="4"/>
  <c r="JW119" i="4"/>
  <c r="JW118" i="4"/>
  <c r="JU117" i="4"/>
  <c r="JW51" i="4"/>
  <c r="JW47" i="4"/>
  <c r="JV89" i="4"/>
  <c r="JW22" i="4"/>
  <c r="JU27" i="4"/>
  <c r="JU26" i="4"/>
  <c r="JU33" i="4"/>
  <c r="EK33" i="4" s="1"/>
  <c r="JU32" i="4"/>
  <c r="EK32" i="4" s="1"/>
  <c r="JU34" i="4"/>
  <c r="JU38" i="4"/>
  <c r="JU39" i="4"/>
  <c r="EJ35" i="4"/>
  <c r="EM23" i="4"/>
  <c r="JV23" i="4"/>
  <c r="EN22" i="4"/>
  <c r="EN2" i="4"/>
  <c r="JX3" i="4"/>
  <c r="JX114" i="4" l="1"/>
  <c r="JX113" i="4" s="1"/>
  <c r="JX126" i="4"/>
  <c r="EJ31" i="7"/>
  <c r="JX195" i="4"/>
  <c r="JX88" i="4"/>
  <c r="JX87" i="4" s="1"/>
  <c r="EN42" i="4"/>
  <c r="K42" i="4" s="1"/>
  <c r="EN39" i="4"/>
  <c r="K39" i="4" s="1"/>
  <c r="EN38" i="4"/>
  <c r="K38" i="4" s="1"/>
  <c r="EN40" i="4"/>
  <c r="K40" i="4" s="1"/>
  <c r="EN34" i="4"/>
  <c r="K34" i="4" s="1"/>
  <c r="EN27" i="4"/>
  <c r="K27" i="4" s="1"/>
  <c r="EK26" i="4"/>
  <c r="EH18" i="7"/>
  <c r="JV14" i="7"/>
  <c r="EJ32" i="7"/>
  <c r="EJ29" i="7"/>
  <c r="EH19" i="7"/>
  <c r="EG21" i="7"/>
  <c r="EI33" i="7"/>
  <c r="EI20" i="7" s="1"/>
  <c r="JU15" i="7"/>
  <c r="EK9" i="7" s="1"/>
  <c r="EK29" i="7" s="1"/>
  <c r="JV12" i="7"/>
  <c r="JV13" i="7"/>
  <c r="JW3" i="7"/>
  <c r="JX197" i="4"/>
  <c r="JX2" i="4"/>
  <c r="EM2" i="7"/>
  <c r="EM83" i="4"/>
  <c r="EL5" i="7"/>
  <c r="EM13" i="7"/>
  <c r="EM14" i="7"/>
  <c r="EM10" i="7"/>
  <c r="EN82" i="4"/>
  <c r="JW89" i="4"/>
  <c r="JW117" i="4" s="1"/>
  <c r="JX83" i="4"/>
  <c r="JX116" i="4" s="1"/>
  <c r="JX121" i="4"/>
  <c r="JX120" i="4"/>
  <c r="JX122" i="4"/>
  <c r="JX124" i="4"/>
  <c r="JX123" i="4"/>
  <c r="JX118" i="4"/>
  <c r="JX119" i="4"/>
  <c r="JV117" i="4"/>
  <c r="JX51" i="4"/>
  <c r="JX47" i="4"/>
  <c r="JX22" i="4"/>
  <c r="JV27" i="4"/>
  <c r="JV26" i="4"/>
  <c r="JV32" i="4"/>
  <c r="EL32" i="4" s="1"/>
  <c r="JV33" i="4"/>
  <c r="EL33" i="4" s="1"/>
  <c r="JV34" i="4"/>
  <c r="JV39" i="4"/>
  <c r="JV38" i="4"/>
  <c r="EK35" i="4"/>
  <c r="EN23" i="4"/>
  <c r="EM5" i="7" s="1"/>
  <c r="JW23" i="4"/>
  <c r="EH21" i="7" l="1"/>
  <c r="EJ33" i="7"/>
  <c r="EJ20" i="7" s="1"/>
  <c r="EL26" i="4"/>
  <c r="JW12" i="7"/>
  <c r="EI18" i="7"/>
  <c r="EI19" i="7"/>
  <c r="EN89" i="4"/>
  <c r="E15" i="1"/>
  <c r="E16" i="1"/>
  <c r="EK30" i="7"/>
  <c r="EK31" i="7"/>
  <c r="EK32" i="7"/>
  <c r="JV15" i="7"/>
  <c r="EL9" i="7" s="1"/>
  <c r="EL31" i="7" s="1"/>
  <c r="JW13" i="7"/>
  <c r="JW14" i="7"/>
  <c r="JX89" i="4"/>
  <c r="JX23" i="4"/>
  <c r="EN83" i="4"/>
  <c r="EL35" i="4"/>
  <c r="JW26" i="4"/>
  <c r="JW27" i="4"/>
  <c r="JW32" i="4"/>
  <c r="EM32" i="4" s="1"/>
  <c r="JW33" i="4"/>
  <c r="EM33" i="4" s="1"/>
  <c r="JW34" i="4"/>
  <c r="JW39" i="4"/>
  <c r="JW38" i="4"/>
  <c r="EJ19" i="7" l="1"/>
  <c r="EJ18" i="7"/>
  <c r="EM26" i="4"/>
  <c r="EI21" i="7"/>
  <c r="EK33" i="7"/>
  <c r="EK20" i="7" s="1"/>
  <c r="EL32" i="7"/>
  <c r="JW15" i="7"/>
  <c r="EM9" i="7" s="1"/>
  <c r="EM32" i="7" s="1"/>
  <c r="EL30" i="7"/>
  <c r="EL29" i="7"/>
  <c r="JX117" i="4"/>
  <c r="JX26" i="4"/>
  <c r="EN26" i="4" s="1"/>
  <c r="JX27" i="4"/>
  <c r="JX32" i="4"/>
  <c r="EN32" i="4" s="1"/>
  <c r="K32" i="4" s="1"/>
  <c r="JX38" i="4"/>
  <c r="JX34" i="4"/>
  <c r="JX33" i="4"/>
  <c r="EN33" i="4" s="1"/>
  <c r="K33" i="4" s="1"/>
  <c r="JX39" i="4"/>
  <c r="EM35" i="4"/>
  <c r="EJ21" i="7" l="1"/>
  <c r="EK19" i="7"/>
  <c r="EK18" i="7"/>
  <c r="EM30" i="7"/>
  <c r="EM29" i="7"/>
  <c r="EM31" i="7"/>
  <c r="EL33" i="7"/>
  <c r="EL20" i="7" s="1"/>
  <c r="EN35" i="4"/>
  <c r="K35" i="4" s="1"/>
  <c r="H56" i="4"/>
  <c r="EL19" i="7" l="1"/>
  <c r="EK21" i="7"/>
  <c r="EM33" i="7"/>
  <c r="EM20" i="7" s="1"/>
  <c r="EL18" i="7"/>
  <c r="EM18" i="7" l="1"/>
  <c r="EM19" i="7"/>
  <c r="EL21" i="7"/>
  <c r="EM21" i="7" l="1"/>
  <c r="EW84" i="4"/>
  <c r="EX85" i="4" l="1"/>
  <c r="EX84" i="4" s="1"/>
  <c r="EY85" i="4" l="1"/>
  <c r="EY84" i="4" s="1"/>
  <c r="M118" i="4"/>
  <c r="M133" i="4"/>
  <c r="M90" i="4"/>
  <c r="M93" i="4"/>
  <c r="M99" i="4"/>
  <c r="M134" i="4"/>
  <c r="M95" i="4"/>
  <c r="M102" i="4"/>
  <c r="M120" i="4"/>
  <c r="M122" i="4"/>
  <c r="M123" i="4"/>
  <c r="M94" i="4"/>
  <c r="M91" i="4"/>
  <c r="EW115" i="4"/>
  <c r="M92" i="4"/>
  <c r="EW86" i="4"/>
  <c r="M119" i="4"/>
  <c r="M121" i="4"/>
  <c r="M124" i="4"/>
  <c r="M105" i="4"/>
  <c r="M104" i="4"/>
  <c r="M126" i="4"/>
  <c r="EW97" i="4" l="1"/>
  <c r="EW98" i="4" s="1"/>
  <c r="EW91" i="4"/>
  <c r="EW93" i="4"/>
  <c r="EW94" i="4"/>
  <c r="EW95" i="4"/>
  <c r="EW92" i="4"/>
  <c r="EW90" i="4"/>
  <c r="N99" i="4"/>
  <c r="EX115" i="4"/>
  <c r="N120" i="4"/>
  <c r="N122" i="4"/>
  <c r="N124" i="4"/>
  <c r="N104" i="4"/>
  <c r="EX86" i="4"/>
  <c r="N95" i="4"/>
  <c r="N121" i="4"/>
  <c r="N118" i="4"/>
  <c r="N102" i="4"/>
  <c r="N93" i="4"/>
  <c r="N133" i="4"/>
  <c r="N134" i="4"/>
  <c r="N94" i="4"/>
  <c r="N123" i="4"/>
  <c r="N92" i="4"/>
  <c r="N91" i="4"/>
  <c r="N105" i="4"/>
  <c r="N119" i="4"/>
  <c r="N90" i="4"/>
  <c r="N126" i="4"/>
  <c r="M96" i="4"/>
  <c r="EW101" i="4" s="1"/>
  <c r="EZ85" i="4"/>
  <c r="EZ84" i="4" s="1"/>
  <c r="N96" i="4" l="1"/>
  <c r="EX101" i="4" s="1"/>
  <c r="FA85" i="4"/>
  <c r="FA84" i="4" s="1"/>
  <c r="EW96" i="4"/>
  <c r="M97" i="4" s="1"/>
  <c r="EY86" i="4"/>
  <c r="EY115" i="4"/>
  <c r="O102" i="4"/>
  <c r="O99" i="4"/>
  <c r="O91" i="4"/>
  <c r="O126" i="4"/>
  <c r="O120" i="4"/>
  <c r="O123" i="4"/>
  <c r="O105" i="4"/>
  <c r="O92" i="4"/>
  <c r="O118" i="4"/>
  <c r="O124" i="4"/>
  <c r="O93" i="4"/>
  <c r="EY93" i="4" s="1"/>
  <c r="O90" i="4"/>
  <c r="O134" i="4"/>
  <c r="O133" i="4"/>
  <c r="O94" i="4"/>
  <c r="EY94" i="4" s="1"/>
  <c r="O122" i="4"/>
  <c r="O121" i="4"/>
  <c r="O119" i="4"/>
  <c r="O95" i="4"/>
  <c r="O104" i="4"/>
  <c r="EX95" i="4"/>
  <c r="EX94" i="4"/>
  <c r="EX90" i="4"/>
  <c r="EX92" i="4"/>
  <c r="EX97" i="4"/>
  <c r="EX98" i="4" s="1"/>
  <c r="EX93" i="4"/>
  <c r="EX91" i="4"/>
  <c r="EW99" i="4"/>
  <c r="EW100" i="4" s="1"/>
  <c r="EX96" i="4" l="1"/>
  <c r="N97" i="4" s="1"/>
  <c r="EY95" i="4"/>
  <c r="EY97" i="4"/>
  <c r="EY98" i="4" s="1"/>
  <c r="EY91" i="4"/>
  <c r="EY92" i="4"/>
  <c r="P121" i="4"/>
  <c r="P126" i="4"/>
  <c r="P134" i="4"/>
  <c r="P119" i="4"/>
  <c r="P105" i="4"/>
  <c r="P90" i="4"/>
  <c r="EZ115" i="4"/>
  <c r="P99" i="4"/>
  <c r="P102" i="4"/>
  <c r="P122" i="4"/>
  <c r="P133" i="4"/>
  <c r="P124" i="4"/>
  <c r="P91" i="4"/>
  <c r="P95" i="4"/>
  <c r="P118" i="4"/>
  <c r="P120" i="4"/>
  <c r="P92" i="4"/>
  <c r="P104" i="4"/>
  <c r="EZ86" i="4"/>
  <c r="P123" i="4"/>
  <c r="P93" i="4"/>
  <c r="P94" i="4"/>
  <c r="EX99" i="4"/>
  <c r="EX100" i="4" s="1"/>
  <c r="FB85" i="4"/>
  <c r="EY90" i="4"/>
  <c r="O96" i="4"/>
  <c r="EY101" i="4" s="1"/>
  <c r="EY96" i="4" l="1"/>
  <c r="O97" i="4" s="1"/>
  <c r="EZ90" i="4"/>
  <c r="EZ97" i="4"/>
  <c r="EZ98" i="4" s="1"/>
  <c r="EZ93" i="4"/>
  <c r="EZ92" i="4"/>
  <c r="EZ95" i="4"/>
  <c r="EZ94" i="4"/>
  <c r="EZ91" i="4"/>
  <c r="Q118" i="4"/>
  <c r="Q92" i="4"/>
  <c r="Q104" i="4"/>
  <c r="FA86" i="4"/>
  <c r="Q120" i="4"/>
  <c r="Q105" i="4"/>
  <c r="Q122" i="4"/>
  <c r="Q133" i="4"/>
  <c r="Q121" i="4"/>
  <c r="Q93" i="4"/>
  <c r="Q90" i="4"/>
  <c r="Q102" i="4"/>
  <c r="Q134" i="4"/>
  <c r="Q119" i="4"/>
  <c r="Q124" i="4"/>
  <c r="Q91" i="4"/>
  <c r="Q94" i="4"/>
  <c r="FA115" i="4"/>
  <c r="Q123" i="4"/>
  <c r="Q95" i="4"/>
  <c r="Q99" i="4"/>
  <c r="Q126" i="4"/>
  <c r="P96" i="4"/>
  <c r="EZ101" i="4" s="1"/>
  <c r="FB84" i="4"/>
  <c r="EY99" i="4"/>
  <c r="EY100" i="4" s="1"/>
  <c r="FC85" i="4" l="1"/>
  <c r="FC84" i="4" s="1"/>
  <c r="FA91" i="4"/>
  <c r="FA90" i="4"/>
  <c r="FA92" i="4"/>
  <c r="FA95" i="4"/>
  <c r="FA97" i="4"/>
  <c r="FA98" i="4" s="1"/>
  <c r="FA94" i="4"/>
  <c r="FA93" i="4"/>
  <c r="Q96" i="4"/>
  <c r="FA101" i="4" s="1"/>
  <c r="EZ99" i="4"/>
  <c r="EZ100" i="4" s="1"/>
  <c r="EZ96" i="4"/>
  <c r="P97" i="4" s="1"/>
  <c r="FA96" i="4" l="1"/>
  <c r="Q97" i="4" s="1"/>
  <c r="FA99" i="4"/>
  <c r="FA100" i="4" s="1"/>
  <c r="R118" i="4"/>
  <c r="R122" i="4"/>
  <c r="R133" i="4"/>
  <c r="R123" i="4"/>
  <c r="R94" i="4"/>
  <c r="R93" i="4"/>
  <c r="FB115" i="4"/>
  <c r="R99" i="4"/>
  <c r="R102" i="4"/>
  <c r="R120" i="4"/>
  <c r="R121" i="4"/>
  <c r="R91" i="4"/>
  <c r="R92" i="4"/>
  <c r="R95" i="4"/>
  <c r="R119" i="4"/>
  <c r="R90" i="4"/>
  <c r="R104" i="4"/>
  <c r="FB86" i="4"/>
  <c r="R124" i="4"/>
  <c r="R134" i="4"/>
  <c r="R105" i="4"/>
  <c r="R126" i="4"/>
  <c r="FD85" i="4"/>
  <c r="FD84" i="4" s="1"/>
  <c r="R96" i="4" l="1"/>
  <c r="FB101" i="4" s="1"/>
  <c r="FE85" i="4"/>
  <c r="FE84" i="4" s="1"/>
  <c r="S119" i="4"/>
  <c r="S133" i="4"/>
  <c r="S124" i="4"/>
  <c r="S90" i="4"/>
  <c r="S104" i="4"/>
  <c r="FC115" i="4"/>
  <c r="S93" i="4"/>
  <c r="FC86" i="4"/>
  <c r="S121" i="4"/>
  <c r="S118" i="4"/>
  <c r="S120" i="4"/>
  <c r="S91" i="4"/>
  <c r="S105" i="4"/>
  <c r="S102" i="4"/>
  <c r="S123" i="4"/>
  <c r="S122" i="4"/>
  <c r="S126" i="4"/>
  <c r="S95" i="4"/>
  <c r="S94" i="4"/>
  <c r="S99" i="4"/>
  <c r="S134" i="4"/>
  <c r="S92" i="4"/>
  <c r="FB90" i="4"/>
  <c r="FB91" i="4"/>
  <c r="FB93" i="4"/>
  <c r="FB95" i="4"/>
  <c r="FB92" i="4"/>
  <c r="FB97" i="4"/>
  <c r="FB98" i="4" s="1"/>
  <c r="FB94" i="4"/>
  <c r="FB99" i="4" l="1"/>
  <c r="FB100" i="4" s="1"/>
  <c r="FC92" i="4"/>
  <c r="FC97" i="4"/>
  <c r="FC98" i="4" s="1"/>
  <c r="FC90" i="4"/>
  <c r="FC95" i="4"/>
  <c r="FC91" i="4"/>
  <c r="FC93" i="4"/>
  <c r="FC94" i="4"/>
  <c r="S96" i="4"/>
  <c r="FB96" i="4"/>
  <c r="R97" i="4" s="1"/>
  <c r="T122" i="4"/>
  <c r="T133" i="4"/>
  <c r="T93" i="4"/>
  <c r="T91" i="4"/>
  <c r="FD115" i="4"/>
  <c r="T134" i="4"/>
  <c r="T124" i="4"/>
  <c r="T90" i="4"/>
  <c r="T99" i="4"/>
  <c r="T119" i="4"/>
  <c r="T105" i="4"/>
  <c r="T104" i="4"/>
  <c r="FD86" i="4"/>
  <c r="T121" i="4"/>
  <c r="T95" i="4"/>
  <c r="T92" i="4"/>
  <c r="T102" i="4"/>
  <c r="T120" i="4"/>
  <c r="T118" i="4"/>
  <c r="T123" i="4"/>
  <c r="T94" i="4"/>
  <c r="T126" i="4"/>
  <c r="FF85" i="4"/>
  <c r="FF84" i="4" s="1"/>
  <c r="FC99" i="4" l="1"/>
  <c r="FC100" i="4" s="1"/>
  <c r="U126" i="4"/>
  <c r="U134" i="4"/>
  <c r="U122" i="4"/>
  <c r="U105" i="4"/>
  <c r="U93" i="4"/>
  <c r="U102" i="4"/>
  <c r="FE115" i="4"/>
  <c r="U124" i="4"/>
  <c r="U120" i="4"/>
  <c r="U99" i="4"/>
  <c r="U123" i="4"/>
  <c r="U119" i="4"/>
  <c r="U92" i="4"/>
  <c r="U91" i="4"/>
  <c r="FE86" i="4"/>
  <c r="U133" i="4"/>
  <c r="U94" i="4"/>
  <c r="U118" i="4"/>
  <c r="U121" i="4"/>
  <c r="U90" i="4"/>
  <c r="U95" i="4"/>
  <c r="U104" i="4"/>
  <c r="T96" i="4"/>
  <c r="FD101" i="4" s="1"/>
  <c r="FC101" i="4"/>
  <c r="FD95" i="4"/>
  <c r="FD97" i="4"/>
  <c r="FD98" i="4" s="1"/>
  <c r="FD90" i="4"/>
  <c r="FD91" i="4"/>
  <c r="FD92" i="4"/>
  <c r="FD94" i="4"/>
  <c r="FD93" i="4"/>
  <c r="FG85" i="4"/>
  <c r="FG84" i="4" s="1"/>
  <c r="FC96" i="4"/>
  <c r="S97" i="4" s="1"/>
  <c r="FH85" i="4" l="1"/>
  <c r="FH84" i="4" s="1"/>
  <c r="V119" i="4"/>
  <c r="V133" i="4"/>
  <c r="V118" i="4"/>
  <c r="V122" i="4"/>
  <c r="V90" i="4"/>
  <c r="V104" i="4"/>
  <c r="V99" i="4"/>
  <c r="V123" i="4"/>
  <c r="V124" i="4"/>
  <c r="V91" i="4"/>
  <c r="V121" i="4"/>
  <c r="V134" i="4"/>
  <c r="V105" i="4"/>
  <c r="V92" i="4"/>
  <c r="V102" i="4"/>
  <c r="FF86" i="4"/>
  <c r="FF115" i="4"/>
  <c r="V120" i="4"/>
  <c r="V95" i="4"/>
  <c r="V94" i="4"/>
  <c r="V93" i="4"/>
  <c r="V126" i="4"/>
  <c r="U96" i="4"/>
  <c r="FD96" i="4"/>
  <c r="T97" i="4" s="1"/>
  <c r="FD99" i="4"/>
  <c r="FD100" i="4" s="1"/>
  <c r="FE92" i="4"/>
  <c r="FE93" i="4"/>
  <c r="FE95" i="4"/>
  <c r="FE90" i="4"/>
  <c r="FE91" i="4"/>
  <c r="FE94" i="4"/>
  <c r="FE97" i="4"/>
  <c r="FE98" i="4" s="1"/>
  <c r="FE96" i="4" l="1"/>
  <c r="U97" i="4" s="1"/>
  <c r="FE99" i="4"/>
  <c r="FE100" i="4" s="1"/>
  <c r="V96" i="4"/>
  <c r="FF95" i="4"/>
  <c r="FF92" i="4"/>
  <c r="FF90" i="4"/>
  <c r="FF91" i="4"/>
  <c r="FF93" i="4"/>
  <c r="FF97" i="4"/>
  <c r="FF98" i="4" s="1"/>
  <c r="FF94" i="4"/>
  <c r="W120" i="4"/>
  <c r="W119" i="4"/>
  <c r="W105" i="4"/>
  <c r="W95" i="4"/>
  <c r="FG86" i="4"/>
  <c r="FG115" i="4"/>
  <c r="W133" i="4"/>
  <c r="W90" i="4"/>
  <c r="W121" i="4"/>
  <c r="W91" i="4"/>
  <c r="W104" i="4"/>
  <c r="W99" i="4"/>
  <c r="W93" i="4"/>
  <c r="W123" i="4"/>
  <c r="W124" i="4"/>
  <c r="W134" i="4"/>
  <c r="W94" i="4"/>
  <c r="W92" i="4"/>
  <c r="W102" i="4"/>
  <c r="W118" i="4"/>
  <c r="W122" i="4"/>
  <c r="W126" i="4"/>
  <c r="FE101" i="4"/>
  <c r="FI85" i="4"/>
  <c r="FI84" i="4" s="1"/>
  <c r="FJ85" i="4" l="1"/>
  <c r="FJ84" i="4" s="1"/>
  <c r="FG92" i="4"/>
  <c r="FG95" i="4"/>
  <c r="FG97" i="4"/>
  <c r="FG98" i="4" s="1"/>
  <c r="FG91" i="4"/>
  <c r="FG90" i="4"/>
  <c r="FG93" i="4"/>
  <c r="FG94" i="4"/>
  <c r="FF101" i="4"/>
  <c r="W96" i="4"/>
  <c r="FF96" i="4"/>
  <c r="V97" i="4" s="1"/>
  <c r="X122" i="4"/>
  <c r="X91" i="4"/>
  <c r="X104" i="4"/>
  <c r="X99" i="4"/>
  <c r="X123" i="4"/>
  <c r="X134" i="4"/>
  <c r="X105" i="4"/>
  <c r="X118" i="4"/>
  <c r="X119" i="4"/>
  <c r="X93" i="4"/>
  <c r="X94" i="4"/>
  <c r="X102" i="4"/>
  <c r="FH86" i="4"/>
  <c r="X124" i="4"/>
  <c r="X95" i="4"/>
  <c r="X133" i="4"/>
  <c r="X120" i="4"/>
  <c r="X92" i="4"/>
  <c r="X90" i="4"/>
  <c r="X121" i="4"/>
  <c r="FH115" i="4"/>
  <c r="X126" i="4"/>
  <c r="FF99" i="4"/>
  <c r="FF100" i="4" s="1"/>
  <c r="FG101" i="4" l="1"/>
  <c r="FG96" i="4"/>
  <c r="W97" i="4" s="1"/>
  <c r="FH97" i="4"/>
  <c r="FH98" i="4" s="1"/>
  <c r="FH93" i="4"/>
  <c r="FH90" i="4"/>
  <c r="FH91" i="4"/>
  <c r="FH94" i="4"/>
  <c r="FH95" i="4"/>
  <c r="FH92" i="4"/>
  <c r="Y121" i="4"/>
  <c r="Y134" i="4"/>
  <c r="Y118" i="4"/>
  <c r="Y91" i="4"/>
  <c r="Y90" i="4"/>
  <c r="Y102" i="4"/>
  <c r="Y99" i="4"/>
  <c r="FI115" i="4"/>
  <c r="Y122" i="4"/>
  <c r="Y94" i="4"/>
  <c r="Y95" i="4"/>
  <c r="Y123" i="4"/>
  <c r="Y119" i="4"/>
  <c r="Y120" i="4"/>
  <c r="Y105" i="4"/>
  <c r="Y93" i="4"/>
  <c r="FI86" i="4"/>
  <c r="Y133" i="4"/>
  <c r="Y124" i="4"/>
  <c r="Y92" i="4"/>
  <c r="Y104" i="4"/>
  <c r="Y126" i="4"/>
  <c r="X96" i="4"/>
  <c r="FH101" i="4" s="1"/>
  <c r="FG99" i="4"/>
  <c r="FG100" i="4" s="1"/>
  <c r="FK85" i="4"/>
  <c r="FK84" i="4" s="1"/>
  <c r="Y96" i="4" l="1"/>
  <c r="FI101" i="4" s="1"/>
  <c r="FI94" i="4"/>
  <c r="FI97" i="4"/>
  <c r="FI98" i="4" s="1"/>
  <c r="FI92" i="4"/>
  <c r="FI91" i="4"/>
  <c r="FI90" i="4"/>
  <c r="FI95" i="4"/>
  <c r="FI93" i="4"/>
  <c r="Z120" i="4"/>
  <c r="Z122" i="4"/>
  <c r="Z121" i="4"/>
  <c r="Z92" i="4"/>
  <c r="Z90" i="4"/>
  <c r="FJ115" i="4"/>
  <c r="Z123" i="4"/>
  <c r="Z91" i="4"/>
  <c r="Z124" i="4"/>
  <c r="Z133" i="4"/>
  <c r="Z118" i="4"/>
  <c r="Z93" i="4"/>
  <c r="Z95" i="4"/>
  <c r="FJ86" i="4"/>
  <c r="Z134" i="4"/>
  <c r="Z119" i="4"/>
  <c r="Z105" i="4"/>
  <c r="Z104" i="4"/>
  <c r="Z99" i="4"/>
  <c r="Z94" i="4"/>
  <c r="Z102" i="4"/>
  <c r="Z126" i="4"/>
  <c r="FH96" i="4"/>
  <c r="X97" i="4" s="1"/>
  <c r="FL85" i="4"/>
  <c r="FL84" i="4" s="1"/>
  <c r="FH99" i="4"/>
  <c r="FH100" i="4" s="1"/>
  <c r="FM85" i="4" l="1"/>
  <c r="FM84" i="4" s="1"/>
  <c r="FI99" i="4"/>
  <c r="FI100" i="4" s="1"/>
  <c r="FJ90" i="4"/>
  <c r="FJ91" i="4"/>
  <c r="FJ97" i="4"/>
  <c r="FJ98" i="4" s="1"/>
  <c r="FJ94" i="4"/>
  <c r="FJ92" i="4"/>
  <c r="FJ93" i="4"/>
  <c r="FJ95" i="4"/>
  <c r="FI96" i="4"/>
  <c r="Y97" i="4" s="1"/>
  <c r="AA123" i="4"/>
  <c r="AA118" i="4"/>
  <c r="AA90" i="4"/>
  <c r="AA91" i="4"/>
  <c r="FK115" i="4"/>
  <c r="AA93" i="4"/>
  <c r="AA99" i="4"/>
  <c r="AA124" i="4"/>
  <c r="AA119" i="4"/>
  <c r="AA105" i="4"/>
  <c r="AA104" i="4"/>
  <c r="FK86" i="4"/>
  <c r="AA133" i="4"/>
  <c r="AA120" i="4"/>
  <c r="AA94" i="4"/>
  <c r="AA95" i="4"/>
  <c r="AA102" i="4"/>
  <c r="AA134" i="4"/>
  <c r="AA121" i="4"/>
  <c r="AA122" i="4"/>
  <c r="AA92" i="4"/>
  <c r="AA126" i="4"/>
  <c r="Z96" i="4"/>
  <c r="FJ101" i="4" l="1"/>
  <c r="AA96" i="4"/>
  <c r="FK101" i="4" s="1"/>
  <c r="FJ99" i="4"/>
  <c r="FJ100" i="4" s="1"/>
  <c r="FK95" i="4"/>
  <c r="FK90" i="4"/>
  <c r="FK94" i="4"/>
  <c r="FK93" i="4"/>
  <c r="FK97" i="4"/>
  <c r="FK98" i="4" s="1"/>
  <c r="FK92" i="4"/>
  <c r="FK91" i="4"/>
  <c r="AB120" i="4"/>
  <c r="AB121" i="4"/>
  <c r="AB122" i="4"/>
  <c r="AB105" i="4"/>
  <c r="AB92" i="4"/>
  <c r="FL86" i="4"/>
  <c r="AB124" i="4"/>
  <c r="AB93" i="4"/>
  <c r="AB102" i="4"/>
  <c r="AB99" i="4"/>
  <c r="AB119" i="4"/>
  <c r="AB123" i="4"/>
  <c r="AB94" i="4"/>
  <c r="AB95" i="4"/>
  <c r="AB133" i="4"/>
  <c r="AB134" i="4"/>
  <c r="AB91" i="4"/>
  <c r="AB104" i="4"/>
  <c r="AB118" i="4"/>
  <c r="AB90" i="4"/>
  <c r="FL115" i="4"/>
  <c r="AB126" i="4"/>
  <c r="FJ96" i="4"/>
  <c r="Z97" i="4" s="1"/>
  <c r="FN85" i="4"/>
  <c r="FN84" i="4" s="1"/>
  <c r="FK96" i="4" l="1"/>
  <c r="AA97" i="4" s="1"/>
  <c r="FL92" i="4"/>
  <c r="FL94" i="4"/>
  <c r="FL91" i="4"/>
  <c r="FL95" i="4"/>
  <c r="FL93" i="4"/>
  <c r="FL90" i="4"/>
  <c r="FL97" i="4"/>
  <c r="FL98" i="4" s="1"/>
  <c r="FK99" i="4"/>
  <c r="FK100" i="4" s="1"/>
  <c r="AC123" i="4"/>
  <c r="AC124" i="4"/>
  <c r="AC133" i="4"/>
  <c r="AC90" i="4"/>
  <c r="AC91" i="4"/>
  <c r="AC99" i="4"/>
  <c r="FM115" i="4"/>
  <c r="AC92" i="4"/>
  <c r="AC118" i="4"/>
  <c r="AC119" i="4"/>
  <c r="AC134" i="4"/>
  <c r="AC105" i="4"/>
  <c r="AC104" i="4"/>
  <c r="AC120" i="4"/>
  <c r="AC122" i="4"/>
  <c r="AC94" i="4"/>
  <c r="AC95" i="4"/>
  <c r="AC102" i="4"/>
  <c r="FM86" i="4"/>
  <c r="AC121" i="4"/>
  <c r="AC93" i="4"/>
  <c r="AC126" i="4"/>
  <c r="FO85" i="4"/>
  <c r="FO84" i="4" s="1"/>
  <c r="AE84" i="4" s="1"/>
  <c r="AB96" i="4"/>
  <c r="FL96" i="4" l="1"/>
  <c r="AB97" i="4" s="1"/>
  <c r="FL101" i="4"/>
  <c r="AD120" i="4"/>
  <c r="AD119" i="4"/>
  <c r="AD122" i="4"/>
  <c r="AD124" i="4"/>
  <c r="AD95" i="4"/>
  <c r="AD105" i="4"/>
  <c r="AD102" i="4"/>
  <c r="AD99" i="4"/>
  <c r="FN115" i="4"/>
  <c r="AD118" i="4"/>
  <c r="AD93" i="4"/>
  <c r="AD92" i="4"/>
  <c r="AD121" i="4"/>
  <c r="AD133" i="4"/>
  <c r="AD91" i="4"/>
  <c r="AD94" i="4"/>
  <c r="AD123" i="4"/>
  <c r="AD134" i="4"/>
  <c r="AD90" i="4"/>
  <c r="AD104" i="4"/>
  <c r="FN86" i="4"/>
  <c r="AD126" i="4"/>
  <c r="AC96" i="4"/>
  <c r="FM101" i="4" s="1"/>
  <c r="FP85" i="4"/>
  <c r="FP84" i="4" s="1"/>
  <c r="AF84" i="4" s="1"/>
  <c r="FM91" i="4"/>
  <c r="FM92" i="4"/>
  <c r="FM93" i="4"/>
  <c r="FM90" i="4"/>
  <c r="FM95" i="4"/>
  <c r="FM97" i="4"/>
  <c r="FM98" i="4" s="1"/>
  <c r="FM94" i="4"/>
  <c r="FL99" i="4"/>
  <c r="FL100" i="4" s="1"/>
  <c r="FM96" i="4" l="1"/>
  <c r="AC97" i="4" s="1"/>
  <c r="AE119" i="4"/>
  <c r="AE123" i="4"/>
  <c r="AE91" i="4"/>
  <c r="AE95" i="4"/>
  <c r="AE102" i="4"/>
  <c r="AE124" i="4"/>
  <c r="AE92" i="4"/>
  <c r="FO115" i="4"/>
  <c r="AE121" i="4"/>
  <c r="AE104" i="4"/>
  <c r="AE122" i="4"/>
  <c r="AE105" i="4"/>
  <c r="AE133" i="4"/>
  <c r="AE126" i="4"/>
  <c r="AE90" i="4"/>
  <c r="AE134" i="4"/>
  <c r="AE120" i="4"/>
  <c r="AE118" i="4"/>
  <c r="AE94" i="4"/>
  <c r="AE93" i="4"/>
  <c r="FO86" i="4"/>
  <c r="FN97" i="4"/>
  <c r="FN98" i="4" s="1"/>
  <c r="FN92" i="4"/>
  <c r="FN90" i="4"/>
  <c r="FN93" i="4"/>
  <c r="FN94" i="4"/>
  <c r="FN95" i="4"/>
  <c r="FN91" i="4"/>
  <c r="FQ85" i="4"/>
  <c r="FQ84" i="4" s="1"/>
  <c r="AG84" i="4" s="1"/>
  <c r="FM99" i="4"/>
  <c r="FM100" i="4" s="1"/>
  <c r="AD96" i="4"/>
  <c r="FN101" i="4" s="1"/>
  <c r="FR85" i="4" l="1"/>
  <c r="FR84" i="4" s="1"/>
  <c r="AH84" i="4" s="1"/>
  <c r="FN99" i="4"/>
  <c r="FN100" i="4" s="1"/>
  <c r="AE96" i="4"/>
  <c r="FO101" i="4" s="1"/>
  <c r="AF119" i="4"/>
  <c r="AF121" i="4"/>
  <c r="AF92" i="4"/>
  <c r="AF94" i="4"/>
  <c r="AF122" i="4"/>
  <c r="AF95" i="4"/>
  <c r="AF118" i="4"/>
  <c r="AF93" i="4"/>
  <c r="AF102" i="4"/>
  <c r="AF133" i="4"/>
  <c r="AF123" i="4"/>
  <c r="AF91" i="4"/>
  <c r="AF134" i="4"/>
  <c r="AF120" i="4"/>
  <c r="AF126" i="4"/>
  <c r="AF105" i="4"/>
  <c r="AF104" i="4"/>
  <c r="FP115" i="4"/>
  <c r="AF124" i="4"/>
  <c r="AF90" i="4"/>
  <c r="FP86" i="4"/>
  <c r="FO95" i="4"/>
  <c r="FO94" i="4"/>
  <c r="FO97" i="4"/>
  <c r="FO98" i="4" s="1"/>
  <c r="FO90" i="4"/>
  <c r="FO92" i="4"/>
  <c r="FO91" i="4"/>
  <c r="FO93" i="4"/>
  <c r="FN96" i="4"/>
  <c r="AD97" i="4" s="1"/>
  <c r="FO96" i="4" l="1"/>
  <c r="AE97" i="4" s="1"/>
  <c r="FP97" i="4"/>
  <c r="FP98" i="4" s="1"/>
  <c r="FP93" i="4"/>
  <c r="FP91" i="4"/>
  <c r="FP94" i="4"/>
  <c r="FP95" i="4"/>
  <c r="FP92" i="4"/>
  <c r="FP90" i="4"/>
  <c r="AG133" i="4"/>
  <c r="AG120" i="4"/>
  <c r="AG124" i="4"/>
  <c r="AG91" i="4"/>
  <c r="AG92" i="4"/>
  <c r="FQ86" i="4"/>
  <c r="AG134" i="4"/>
  <c r="AG121" i="4"/>
  <c r="AG126" i="4"/>
  <c r="AG95" i="4"/>
  <c r="AG90" i="4"/>
  <c r="AG105" i="4"/>
  <c r="AG122" i="4"/>
  <c r="FQ115" i="4"/>
  <c r="AG119" i="4"/>
  <c r="AG123" i="4"/>
  <c r="AG94" i="4"/>
  <c r="AG104" i="4"/>
  <c r="AG118" i="4"/>
  <c r="AG93" i="4"/>
  <c r="AG102" i="4"/>
  <c r="FO99" i="4"/>
  <c r="FO100" i="4" s="1"/>
  <c r="AF96" i="4"/>
  <c r="FP101" i="4" s="1"/>
  <c r="FS85" i="4"/>
  <c r="FS84" i="4" s="1"/>
  <c r="AI84" i="4" s="1"/>
  <c r="FP96" i="4" l="1"/>
  <c r="AF97" i="4" s="1"/>
  <c r="AG96" i="4"/>
  <c r="FQ101" i="4" s="1"/>
  <c r="AH134" i="4"/>
  <c r="AH121" i="4"/>
  <c r="AH119" i="4"/>
  <c r="AH93" i="4"/>
  <c r="AH94" i="4"/>
  <c r="FR115" i="4"/>
  <c r="AH122" i="4"/>
  <c r="AH126" i="4"/>
  <c r="AH92" i="4"/>
  <c r="FR86" i="4"/>
  <c r="AH123" i="4"/>
  <c r="AH133" i="4"/>
  <c r="AH104" i="4"/>
  <c r="AH118" i="4"/>
  <c r="AH120" i="4"/>
  <c r="AH124" i="4"/>
  <c r="AH105" i="4"/>
  <c r="AH95" i="4"/>
  <c r="AH102" i="4"/>
  <c r="AH90" i="4"/>
  <c r="AH91" i="4"/>
  <c r="FQ97" i="4"/>
  <c r="FQ98" i="4" s="1"/>
  <c r="FQ93" i="4"/>
  <c r="FQ91" i="4"/>
  <c r="FQ95" i="4"/>
  <c r="FQ94" i="4"/>
  <c r="FQ90" i="4"/>
  <c r="FQ92" i="4"/>
  <c r="FP99" i="4"/>
  <c r="FP100" i="4" s="1"/>
  <c r="FT85" i="4"/>
  <c r="FT84" i="4" s="1"/>
  <c r="AJ84" i="4" s="1"/>
  <c r="FQ96" i="4" l="1"/>
  <c r="AG97" i="4" s="1"/>
  <c r="FQ99" i="4"/>
  <c r="FQ100" i="4" s="1"/>
  <c r="FR90" i="4"/>
  <c r="FR95" i="4"/>
  <c r="FR94" i="4"/>
  <c r="FR93" i="4"/>
  <c r="FR97" i="4"/>
  <c r="FR98" i="4" s="1"/>
  <c r="FR91" i="4"/>
  <c r="FR92" i="4"/>
  <c r="FU85" i="4"/>
  <c r="FU84" i="4" s="1"/>
  <c r="AK84" i="4" s="1"/>
  <c r="AI134" i="4"/>
  <c r="AI122" i="4"/>
  <c r="AI126" i="4"/>
  <c r="AI92" i="4"/>
  <c r="AI91" i="4"/>
  <c r="AI90" i="4"/>
  <c r="FS115" i="4"/>
  <c r="AI133" i="4"/>
  <c r="AI124" i="4"/>
  <c r="AI119" i="4"/>
  <c r="AI118" i="4"/>
  <c r="AI104" i="4"/>
  <c r="AI95" i="4"/>
  <c r="AI120" i="4"/>
  <c r="AI123" i="4"/>
  <c r="AI94" i="4"/>
  <c r="AI105" i="4"/>
  <c r="AI102" i="4"/>
  <c r="FS86" i="4"/>
  <c r="AI121" i="4"/>
  <c r="AI93" i="4"/>
  <c r="AH96" i="4"/>
  <c r="FR101" i="4" s="1"/>
  <c r="AJ123" i="4" l="1"/>
  <c r="AJ118" i="4"/>
  <c r="AJ93" i="4"/>
  <c r="AJ95" i="4"/>
  <c r="AJ102" i="4"/>
  <c r="FT115" i="4"/>
  <c r="AJ133" i="4"/>
  <c r="AJ122" i="4"/>
  <c r="AJ105" i="4"/>
  <c r="AJ119" i="4"/>
  <c r="AJ104" i="4"/>
  <c r="AJ120" i="4"/>
  <c r="AJ90" i="4"/>
  <c r="AJ134" i="4"/>
  <c r="AJ121" i="4"/>
  <c r="AJ126" i="4"/>
  <c r="AJ92" i="4"/>
  <c r="AJ94" i="4"/>
  <c r="AJ124" i="4"/>
  <c r="AJ91" i="4"/>
  <c r="FT86" i="4"/>
  <c r="FR99" i="4"/>
  <c r="FR100" i="4" s="1"/>
  <c r="FR96" i="4"/>
  <c r="AH97" i="4" s="1"/>
  <c r="FV85" i="4"/>
  <c r="FV84" i="4" s="1"/>
  <c r="AL84" i="4" s="1"/>
  <c r="FS93" i="4"/>
  <c r="FS97" i="4"/>
  <c r="FS98" i="4" s="1"/>
  <c r="FS95" i="4"/>
  <c r="FS91" i="4"/>
  <c r="FS90" i="4"/>
  <c r="FS94" i="4"/>
  <c r="FS92" i="4"/>
  <c r="AI96" i="4"/>
  <c r="FS101" i="4" s="1"/>
  <c r="FS96" i="4" l="1"/>
  <c r="AI97" i="4" s="1"/>
  <c r="AK134" i="4"/>
  <c r="AK118" i="4"/>
  <c r="AK126" i="4"/>
  <c r="AK95" i="4"/>
  <c r="AK91" i="4"/>
  <c r="FU115" i="4"/>
  <c r="AK119" i="4"/>
  <c r="AK94" i="4"/>
  <c r="AK90" i="4"/>
  <c r="AK123" i="4"/>
  <c r="AK104" i="4"/>
  <c r="FU86" i="4"/>
  <c r="AK122" i="4"/>
  <c r="AK120" i="4"/>
  <c r="AK92" i="4"/>
  <c r="AK93" i="4"/>
  <c r="AK102" i="4"/>
  <c r="AK133" i="4"/>
  <c r="AK124" i="4"/>
  <c r="AK121" i="4"/>
  <c r="AK105" i="4"/>
  <c r="FS99" i="4"/>
  <c r="FS100" i="4" s="1"/>
  <c r="FW85" i="4"/>
  <c r="FW84" i="4" s="1"/>
  <c r="AM84" i="4" s="1"/>
  <c r="FT90" i="4"/>
  <c r="FT93" i="4"/>
  <c r="FT95" i="4"/>
  <c r="FT91" i="4"/>
  <c r="FT97" i="4"/>
  <c r="FT98" i="4" s="1"/>
  <c r="FT94" i="4"/>
  <c r="FT92" i="4"/>
  <c r="AJ96" i="4"/>
  <c r="FT101" i="4" s="1"/>
  <c r="FT99" i="4" l="1"/>
  <c r="FT100" i="4" s="1"/>
  <c r="FT96" i="4"/>
  <c r="AJ97" i="4" s="1"/>
  <c r="AL133" i="4"/>
  <c r="AL123" i="4"/>
  <c r="AL121" i="4"/>
  <c r="AL93" i="4"/>
  <c r="AL105" i="4"/>
  <c r="AL134" i="4"/>
  <c r="AL122" i="4"/>
  <c r="AL92" i="4"/>
  <c r="AL94" i="4"/>
  <c r="AL95" i="4"/>
  <c r="FV115" i="4"/>
  <c r="AL126" i="4"/>
  <c r="AL120" i="4"/>
  <c r="AL124" i="4"/>
  <c r="AL119" i="4"/>
  <c r="AL91" i="4"/>
  <c r="AL104" i="4"/>
  <c r="FV86" i="4"/>
  <c r="AL118" i="4"/>
  <c r="AL90" i="4"/>
  <c r="AL102" i="4"/>
  <c r="AK96" i="4"/>
  <c r="FU101" i="4" s="1"/>
  <c r="FX85" i="4"/>
  <c r="FX84" i="4" s="1"/>
  <c r="AN84" i="4" s="1"/>
  <c r="FU97" i="4"/>
  <c r="FU98" i="4" s="1"/>
  <c r="FU94" i="4"/>
  <c r="FU93" i="4"/>
  <c r="FU91" i="4"/>
  <c r="FU90" i="4"/>
  <c r="FU95" i="4"/>
  <c r="FU92" i="4"/>
  <c r="FU96" i="4" l="1"/>
  <c r="AK97" i="4" s="1"/>
  <c r="FU99" i="4"/>
  <c r="FU100" i="4" s="1"/>
  <c r="FY85" i="4"/>
  <c r="FY84" i="4" s="1"/>
  <c r="AO84" i="4" s="1"/>
  <c r="AL96" i="4"/>
  <c r="FV101" i="4" s="1"/>
  <c r="AM120" i="4"/>
  <c r="AM123" i="4"/>
  <c r="AM93" i="4"/>
  <c r="AM95" i="4"/>
  <c r="FW115" i="4"/>
  <c r="AM124" i="4"/>
  <c r="AM91" i="4"/>
  <c r="FW86" i="4"/>
  <c r="AM118" i="4"/>
  <c r="AM92" i="4"/>
  <c r="AM134" i="4"/>
  <c r="AM121" i="4"/>
  <c r="AM90" i="4"/>
  <c r="AM122" i="4"/>
  <c r="AM133" i="4"/>
  <c r="AM119" i="4"/>
  <c r="AM126" i="4"/>
  <c r="AM105" i="4"/>
  <c r="AM104" i="4"/>
  <c r="AM94" i="4"/>
  <c r="AM102" i="4"/>
  <c r="FV95" i="4"/>
  <c r="FV94" i="4"/>
  <c r="FV97" i="4"/>
  <c r="FV98" i="4" s="1"/>
  <c r="FV90" i="4"/>
  <c r="FV91" i="4"/>
  <c r="FV93" i="4"/>
  <c r="FV92" i="4"/>
  <c r="FZ85" i="4" l="1"/>
  <c r="FZ84" i="4" s="1"/>
  <c r="AP84" i="4" s="1"/>
  <c r="AN134" i="4"/>
  <c r="AN120" i="4"/>
  <c r="AN126" i="4"/>
  <c r="AN92" i="4"/>
  <c r="AN104" i="4"/>
  <c r="AN119" i="4"/>
  <c r="AN124" i="4"/>
  <c r="AN91" i="4"/>
  <c r="AN94" i="4"/>
  <c r="AN102" i="4"/>
  <c r="AN133" i="4"/>
  <c r="AN122" i="4"/>
  <c r="AN105" i="4"/>
  <c r="FX115" i="4"/>
  <c r="AN93" i="4"/>
  <c r="AN118" i="4"/>
  <c r="AN121" i="4"/>
  <c r="AN90" i="4"/>
  <c r="AN95" i="4"/>
  <c r="FX86" i="4"/>
  <c r="AN123" i="4"/>
  <c r="FV96" i="4"/>
  <c r="AL97" i="4" s="1"/>
  <c r="AM96" i="4"/>
  <c r="FW101" i="4" s="1"/>
  <c r="FV99" i="4"/>
  <c r="FV100" i="4" s="1"/>
  <c r="FW94" i="4"/>
  <c r="FW90" i="4"/>
  <c r="FW93" i="4"/>
  <c r="FW95" i="4"/>
  <c r="FW91" i="4"/>
  <c r="FW97" i="4"/>
  <c r="FW98" i="4" s="1"/>
  <c r="FW99" i="4" s="1"/>
  <c r="FW100" i="4" s="1"/>
  <c r="FW92" i="4"/>
  <c r="AN96" i="4" l="1"/>
  <c r="FX101" i="4" s="1"/>
  <c r="FX97" i="4"/>
  <c r="FX98" i="4" s="1"/>
  <c r="FX99" i="4" s="1"/>
  <c r="FX100" i="4" s="1"/>
  <c r="FX92" i="4"/>
  <c r="FX94" i="4"/>
  <c r="FX95" i="4"/>
  <c r="FX91" i="4"/>
  <c r="FX93" i="4"/>
  <c r="FX90" i="4"/>
  <c r="AO134" i="4"/>
  <c r="AO121" i="4"/>
  <c r="AO122" i="4"/>
  <c r="AO92" i="4"/>
  <c r="AO93" i="4"/>
  <c r="AO133" i="4"/>
  <c r="AO123" i="4"/>
  <c r="AO90" i="4"/>
  <c r="AO104" i="4"/>
  <c r="AO94" i="4"/>
  <c r="FY86" i="4"/>
  <c r="AO126" i="4"/>
  <c r="AO120" i="4"/>
  <c r="AO118" i="4"/>
  <c r="AO95" i="4"/>
  <c r="AO119" i="4"/>
  <c r="AO124" i="4"/>
  <c r="AO91" i="4"/>
  <c r="AO105" i="4"/>
  <c r="AO102" i="4"/>
  <c r="FY115" i="4"/>
  <c r="FW96" i="4"/>
  <c r="AM97" i="4" s="1"/>
  <c r="GA85" i="4"/>
  <c r="GA84" i="4" s="1"/>
  <c r="AQ84" i="4" s="1"/>
  <c r="AP133" i="4" l="1"/>
  <c r="AP123" i="4"/>
  <c r="AP126" i="4"/>
  <c r="AP92" i="4"/>
  <c r="AP94" i="4"/>
  <c r="AP119" i="4"/>
  <c r="AP104" i="4"/>
  <c r="AP122" i="4"/>
  <c r="AP118" i="4"/>
  <c r="AP105" i="4"/>
  <c r="FZ115" i="4"/>
  <c r="AP120" i="4"/>
  <c r="AP121" i="4"/>
  <c r="AP124" i="4"/>
  <c r="AP91" i="4"/>
  <c r="AP93" i="4"/>
  <c r="AP102" i="4"/>
  <c r="FZ86" i="4"/>
  <c r="AP134" i="4"/>
  <c r="AP90" i="4"/>
  <c r="AP95" i="4"/>
  <c r="AO96" i="4"/>
  <c r="FY101" i="4" s="1"/>
  <c r="FX96" i="4"/>
  <c r="AN97" i="4" s="1"/>
  <c r="GB85" i="4"/>
  <c r="GB84" i="4" s="1"/>
  <c r="AR84" i="4" s="1"/>
  <c r="FY93" i="4"/>
  <c r="FY91" i="4"/>
  <c r="FY95" i="4"/>
  <c r="FY97" i="4"/>
  <c r="FY98" i="4" s="1"/>
  <c r="FY99" i="4" s="1"/>
  <c r="FY100" i="4" s="1"/>
  <c r="FY94" i="4"/>
  <c r="FY90" i="4"/>
  <c r="FY92" i="4"/>
  <c r="AP96" i="4" l="1"/>
  <c r="FZ101" i="4" s="1"/>
  <c r="FY96" i="4"/>
  <c r="AO97" i="4" s="1"/>
  <c r="FZ95" i="4"/>
  <c r="FZ91" i="4"/>
  <c r="FZ93" i="4"/>
  <c r="FZ97" i="4"/>
  <c r="FZ98" i="4" s="1"/>
  <c r="FZ99" i="4" s="1"/>
  <c r="FZ100" i="4" s="1"/>
  <c r="FZ90" i="4"/>
  <c r="FZ92" i="4"/>
  <c r="FZ94" i="4"/>
  <c r="GC85" i="4"/>
  <c r="GC84" i="4" s="1"/>
  <c r="AS84" i="4" s="1"/>
  <c r="AQ121" i="4"/>
  <c r="AQ118" i="4"/>
  <c r="AQ105" i="4"/>
  <c r="AQ104" i="4"/>
  <c r="AQ122" i="4"/>
  <c r="AQ119" i="4"/>
  <c r="AQ91" i="4"/>
  <c r="AQ102" i="4"/>
  <c r="GA115" i="4"/>
  <c r="AQ134" i="4"/>
  <c r="AQ93" i="4"/>
  <c r="AQ94" i="4"/>
  <c r="AQ126" i="4"/>
  <c r="AQ133" i="4"/>
  <c r="AQ123" i="4"/>
  <c r="AQ120" i="4"/>
  <c r="AQ92" i="4"/>
  <c r="AQ95" i="4"/>
  <c r="GA86" i="4"/>
  <c r="AQ124" i="4"/>
  <c r="AQ90" i="4"/>
  <c r="AQ96" i="4" l="1"/>
  <c r="GA101" i="4" s="1"/>
  <c r="AR123" i="4"/>
  <c r="AR118" i="4"/>
  <c r="AR93" i="4"/>
  <c r="AR92" i="4"/>
  <c r="GB86" i="4"/>
  <c r="AR133" i="4"/>
  <c r="AR121" i="4"/>
  <c r="AR120" i="4"/>
  <c r="AR90" i="4"/>
  <c r="AR94" i="4"/>
  <c r="AR124" i="4"/>
  <c r="AR95" i="4"/>
  <c r="GB115" i="4"/>
  <c r="AR105" i="4"/>
  <c r="AR134" i="4"/>
  <c r="AR122" i="4"/>
  <c r="AR126" i="4"/>
  <c r="AR91" i="4"/>
  <c r="AR104" i="4"/>
  <c r="AR119" i="4"/>
  <c r="AR102" i="4"/>
  <c r="FZ96" i="4"/>
  <c r="AP97" i="4" s="1"/>
  <c r="GA95" i="4"/>
  <c r="GA90" i="4"/>
  <c r="GA97" i="4"/>
  <c r="GA98" i="4" s="1"/>
  <c r="GA99" i="4" s="1"/>
  <c r="GA100" i="4" s="1"/>
  <c r="GA92" i="4"/>
  <c r="GA94" i="4"/>
  <c r="GA91" i="4"/>
  <c r="GA93" i="4"/>
  <c r="GD85" i="4"/>
  <c r="GD84" i="4" s="1"/>
  <c r="AT84" i="4" s="1"/>
  <c r="AS133" i="4" l="1"/>
  <c r="AS124" i="4"/>
  <c r="AS119" i="4"/>
  <c r="AS94" i="4"/>
  <c r="AS105" i="4"/>
  <c r="GC86" i="4"/>
  <c r="AS134" i="4"/>
  <c r="AS123" i="4"/>
  <c r="AS126" i="4"/>
  <c r="AS92" i="4"/>
  <c r="AS91" i="4"/>
  <c r="GC115" i="4"/>
  <c r="AS118" i="4"/>
  <c r="AS93" i="4"/>
  <c r="AS120" i="4"/>
  <c r="AS121" i="4"/>
  <c r="AS90" i="4"/>
  <c r="AS104" i="4"/>
  <c r="AS122" i="4"/>
  <c r="AS95" i="4"/>
  <c r="AS102" i="4"/>
  <c r="GE85" i="4"/>
  <c r="GE84" i="4" s="1"/>
  <c r="AU84" i="4" s="1"/>
  <c r="AR96" i="4"/>
  <c r="GB101" i="4" s="1"/>
  <c r="GB97" i="4"/>
  <c r="GB98" i="4" s="1"/>
  <c r="GB99" i="4" s="1"/>
  <c r="GB100" i="4" s="1"/>
  <c r="GB90" i="4"/>
  <c r="GB93" i="4"/>
  <c r="GB91" i="4"/>
  <c r="GB94" i="4"/>
  <c r="GB95" i="4"/>
  <c r="GB92" i="4"/>
  <c r="GA96" i="4"/>
  <c r="AQ97" i="4" s="1"/>
  <c r="GF85" i="4" l="1"/>
  <c r="GF84" i="4" s="1"/>
  <c r="AV84" i="4" s="1"/>
  <c r="GB96" i="4"/>
  <c r="AR97" i="4" s="1"/>
  <c r="AT119" i="4"/>
  <c r="AT124" i="4"/>
  <c r="AT105" i="4"/>
  <c r="AT104" i="4"/>
  <c r="GD115" i="4"/>
  <c r="GD86" i="4"/>
  <c r="AT133" i="4"/>
  <c r="AT121" i="4"/>
  <c r="AT118" i="4"/>
  <c r="AT95" i="4"/>
  <c r="AT123" i="4"/>
  <c r="AT92" i="4"/>
  <c r="AT122" i="4"/>
  <c r="AT120" i="4"/>
  <c r="AT90" i="4"/>
  <c r="AT91" i="4"/>
  <c r="AT102" i="4"/>
  <c r="AT94" i="4"/>
  <c r="AT134" i="4"/>
  <c r="AT126" i="4"/>
  <c r="AT93" i="4"/>
  <c r="GC95" i="4"/>
  <c r="GC93" i="4"/>
  <c r="GC94" i="4"/>
  <c r="GC97" i="4"/>
  <c r="GC98" i="4" s="1"/>
  <c r="GC99" i="4" s="1"/>
  <c r="GC100" i="4" s="1"/>
  <c r="GC90" i="4"/>
  <c r="GC91" i="4"/>
  <c r="GC92" i="4"/>
  <c r="AS96" i="4"/>
  <c r="GC101" i="4" s="1"/>
  <c r="GG85" i="4" l="1"/>
  <c r="GG84" i="4" s="1"/>
  <c r="AW84" i="4" s="1"/>
  <c r="AT96" i="4"/>
  <c r="GD101" i="4" s="1"/>
  <c r="GC96" i="4"/>
  <c r="AS97" i="4" s="1"/>
  <c r="GD90" i="4"/>
  <c r="GD95" i="4"/>
  <c r="GD93" i="4"/>
  <c r="GD94" i="4"/>
  <c r="GD97" i="4"/>
  <c r="GD98" i="4" s="1"/>
  <c r="GD99" i="4" s="1"/>
  <c r="GD100" i="4" s="1"/>
  <c r="GD92" i="4"/>
  <c r="GD91" i="4"/>
  <c r="AU118" i="4"/>
  <c r="AU122" i="4"/>
  <c r="AU93" i="4"/>
  <c r="AU92" i="4"/>
  <c r="AU102" i="4"/>
  <c r="GE86" i="4"/>
  <c r="AU123" i="4"/>
  <c r="AU105" i="4"/>
  <c r="AU121" i="4"/>
  <c r="AU90" i="4"/>
  <c r="GE115" i="4"/>
  <c r="AU120" i="4"/>
  <c r="AU94" i="4"/>
  <c r="AU104" i="4"/>
  <c r="AU134" i="4"/>
  <c r="AU119" i="4"/>
  <c r="AU124" i="4"/>
  <c r="AU91" i="4"/>
  <c r="AU95" i="4"/>
  <c r="AU133" i="4"/>
  <c r="AU126" i="4"/>
  <c r="AV119" i="4" l="1"/>
  <c r="AV124" i="4"/>
  <c r="AV95" i="4"/>
  <c r="AV104" i="4"/>
  <c r="AV118" i="4"/>
  <c r="AV122" i="4"/>
  <c r="AV91" i="4"/>
  <c r="AV105" i="4"/>
  <c r="GF86" i="4"/>
  <c r="AV126" i="4"/>
  <c r="AV102" i="4"/>
  <c r="AV133" i="4"/>
  <c r="AV92" i="4"/>
  <c r="AV134" i="4"/>
  <c r="AV120" i="4"/>
  <c r="AV121" i="4"/>
  <c r="AV94" i="4"/>
  <c r="AV93" i="4"/>
  <c r="GF115" i="4"/>
  <c r="AV123" i="4"/>
  <c r="AV90" i="4"/>
  <c r="AU96" i="4"/>
  <c r="GE101" i="4" s="1"/>
  <c r="GE95" i="4"/>
  <c r="GE94" i="4"/>
  <c r="GE90" i="4"/>
  <c r="GE93" i="4"/>
  <c r="GE91" i="4"/>
  <c r="GE97" i="4"/>
  <c r="GE98" i="4" s="1"/>
  <c r="GE99" i="4" s="1"/>
  <c r="GE100" i="4" s="1"/>
  <c r="GE92" i="4"/>
  <c r="GD96" i="4"/>
  <c r="AT97" i="4" s="1"/>
  <c r="GH85" i="4"/>
  <c r="GH84" i="4" s="1"/>
  <c r="AX84" i="4" s="1"/>
  <c r="AW123" i="4" l="1"/>
  <c r="AW120" i="4"/>
  <c r="AW91" i="4"/>
  <c r="AW94" i="4"/>
  <c r="AW134" i="4"/>
  <c r="AW122" i="4"/>
  <c r="AW119" i="4"/>
  <c r="AW93" i="4"/>
  <c r="AW121" i="4"/>
  <c r="AW124" i="4"/>
  <c r="AW95" i="4"/>
  <c r="AW102" i="4"/>
  <c r="AW92" i="4"/>
  <c r="AW133" i="4"/>
  <c r="AW118" i="4"/>
  <c r="AW126" i="4"/>
  <c r="AW90" i="4"/>
  <c r="AW104" i="4"/>
  <c r="GG86" i="4"/>
  <c r="AW105" i="4"/>
  <c r="GG115" i="4"/>
  <c r="GI85" i="4"/>
  <c r="GI84" i="4" s="1"/>
  <c r="AY84" i="4" s="1"/>
  <c r="GE96" i="4"/>
  <c r="AU97" i="4" s="1"/>
  <c r="AV96" i="4"/>
  <c r="GF101" i="4" s="1"/>
  <c r="GF95" i="4"/>
  <c r="GF92" i="4"/>
  <c r="GF94" i="4"/>
  <c r="GF97" i="4"/>
  <c r="GF98" i="4" s="1"/>
  <c r="GF99" i="4" s="1"/>
  <c r="GF100" i="4" s="1"/>
  <c r="GF93" i="4"/>
  <c r="GF91" i="4"/>
  <c r="GF90" i="4"/>
  <c r="GF96" i="4" l="1"/>
  <c r="AV97" i="4" s="1"/>
  <c r="AX118" i="4"/>
  <c r="AX123" i="4"/>
  <c r="AX91" i="4"/>
  <c r="AX105" i="4"/>
  <c r="GH86" i="4"/>
  <c r="AX134" i="4"/>
  <c r="AX121" i="4"/>
  <c r="AX120" i="4"/>
  <c r="AX94" i="4"/>
  <c r="AX124" i="4"/>
  <c r="AX92" i="4"/>
  <c r="AX93" i="4"/>
  <c r="AX119" i="4"/>
  <c r="AX102" i="4"/>
  <c r="AX133" i="4"/>
  <c r="AX122" i="4"/>
  <c r="AX126" i="4"/>
  <c r="AX95" i="4"/>
  <c r="AX104" i="4"/>
  <c r="AX90" i="4"/>
  <c r="GH115" i="4"/>
  <c r="GG95" i="4"/>
  <c r="GG93" i="4"/>
  <c r="GG97" i="4"/>
  <c r="GG98" i="4" s="1"/>
  <c r="GG99" i="4" s="1"/>
  <c r="GG100" i="4" s="1"/>
  <c r="GG91" i="4"/>
  <c r="GG94" i="4"/>
  <c r="GG92" i="4"/>
  <c r="GG90" i="4"/>
  <c r="GJ85" i="4"/>
  <c r="GJ84" i="4" s="1"/>
  <c r="AZ84" i="4" s="1"/>
  <c r="AW96" i="4"/>
  <c r="GG101" i="4" s="1"/>
  <c r="AX96" i="4" l="1"/>
  <c r="GH101" i="4" s="1"/>
  <c r="GG96" i="4"/>
  <c r="AW97" i="4" s="1"/>
  <c r="AY119" i="4"/>
  <c r="AY120" i="4"/>
  <c r="AY92" i="4"/>
  <c r="AY91" i="4"/>
  <c r="AY102" i="4"/>
  <c r="GI115" i="4"/>
  <c r="AY123" i="4"/>
  <c r="AY90" i="4"/>
  <c r="AY93" i="4"/>
  <c r="AY121" i="4"/>
  <c r="GI86" i="4"/>
  <c r="AY134" i="4"/>
  <c r="AY126" i="4"/>
  <c r="AY133" i="4"/>
  <c r="AY118" i="4"/>
  <c r="AY122" i="4"/>
  <c r="AY105" i="4"/>
  <c r="AY94" i="4"/>
  <c r="AY124" i="4"/>
  <c r="AY95" i="4"/>
  <c r="AY104" i="4"/>
  <c r="GK85" i="4"/>
  <c r="GK84" i="4" s="1"/>
  <c r="BA84" i="4" s="1"/>
  <c r="GH90" i="4"/>
  <c r="GH93" i="4"/>
  <c r="GH95" i="4"/>
  <c r="GH94" i="4"/>
  <c r="GH97" i="4"/>
  <c r="GH98" i="4" s="1"/>
  <c r="GH99" i="4" s="1"/>
  <c r="GH100" i="4" s="1"/>
  <c r="GH92" i="4"/>
  <c r="GH91" i="4"/>
  <c r="GH96" i="4" l="1"/>
  <c r="AX97" i="4" s="1"/>
  <c r="AY96" i="4"/>
  <c r="GI101" i="4" s="1"/>
  <c r="AZ123" i="4"/>
  <c r="AZ120" i="4"/>
  <c r="AZ93" i="4"/>
  <c r="AZ90" i="4"/>
  <c r="AZ102" i="4"/>
  <c r="GJ115" i="4"/>
  <c r="AZ121" i="4"/>
  <c r="AZ105" i="4"/>
  <c r="AZ95" i="4"/>
  <c r="GJ86" i="4"/>
  <c r="AZ118" i="4"/>
  <c r="AZ104" i="4"/>
  <c r="AZ119" i="4"/>
  <c r="AZ91" i="4"/>
  <c r="AZ134" i="4"/>
  <c r="AZ124" i="4"/>
  <c r="AZ122" i="4"/>
  <c r="AZ92" i="4"/>
  <c r="AZ94" i="4"/>
  <c r="AZ133" i="4"/>
  <c r="AZ126" i="4"/>
  <c r="GI95" i="4"/>
  <c r="GI92" i="4"/>
  <c r="GI90" i="4"/>
  <c r="GI97" i="4"/>
  <c r="GI98" i="4" s="1"/>
  <c r="GI99" i="4" s="1"/>
  <c r="GI100" i="4" s="1"/>
  <c r="GI91" i="4"/>
  <c r="GI94" i="4"/>
  <c r="GI93" i="4"/>
  <c r="GL85" i="4"/>
  <c r="GL84" i="4" s="1"/>
  <c r="BB84" i="4" s="1"/>
  <c r="GM85" i="4" l="1"/>
  <c r="GM84" i="4" s="1"/>
  <c r="BC84" i="4" s="1"/>
  <c r="GJ93" i="4"/>
  <c r="GJ92" i="4"/>
  <c r="GJ90" i="4"/>
  <c r="GJ94" i="4"/>
  <c r="GJ95" i="4"/>
  <c r="GJ97" i="4"/>
  <c r="GJ98" i="4" s="1"/>
  <c r="GJ99" i="4" s="1"/>
  <c r="GJ100" i="4" s="1"/>
  <c r="GJ91" i="4"/>
  <c r="BA123" i="4"/>
  <c r="BA121" i="4"/>
  <c r="BA92" i="4"/>
  <c r="BA91" i="4"/>
  <c r="BA102" i="4"/>
  <c r="GK86" i="4"/>
  <c r="BA124" i="4"/>
  <c r="BA90" i="4"/>
  <c r="BA105" i="4"/>
  <c r="GK115" i="4"/>
  <c r="BA120" i="4"/>
  <c r="BA126" i="4"/>
  <c r="BA118" i="4"/>
  <c r="BA134" i="4"/>
  <c r="BA93" i="4"/>
  <c r="BA133" i="4"/>
  <c r="BA119" i="4"/>
  <c r="BA122" i="4"/>
  <c r="BA95" i="4"/>
  <c r="BA94" i="4"/>
  <c r="BA104" i="4"/>
  <c r="GI96" i="4"/>
  <c r="AY97" i="4" s="1"/>
  <c r="AZ96" i="4"/>
  <c r="GJ101" i="4" s="1"/>
  <c r="GK95" i="4" l="1"/>
  <c r="GK91" i="4"/>
  <c r="GK97" i="4"/>
  <c r="GK98" i="4" s="1"/>
  <c r="GK99" i="4" s="1"/>
  <c r="GK100" i="4" s="1"/>
  <c r="GK92" i="4"/>
  <c r="GK90" i="4"/>
  <c r="GK93" i="4"/>
  <c r="GK94" i="4"/>
  <c r="GN85" i="4"/>
  <c r="GN84" i="4" s="1"/>
  <c r="BD84" i="4" s="1"/>
  <c r="BA96" i="4"/>
  <c r="GK101" i="4" s="1"/>
  <c r="GJ96" i="4"/>
  <c r="AZ97" i="4" s="1"/>
  <c r="BB121" i="4"/>
  <c r="BB122" i="4"/>
  <c r="BB91" i="4"/>
  <c r="BB95" i="4"/>
  <c r="GL115" i="4"/>
  <c r="BB134" i="4"/>
  <c r="BB118" i="4"/>
  <c r="BB124" i="4"/>
  <c r="BB90" i="4"/>
  <c r="BB119" i="4"/>
  <c r="BB102" i="4"/>
  <c r="BB105" i="4"/>
  <c r="BB93" i="4"/>
  <c r="BB133" i="4"/>
  <c r="BB120" i="4"/>
  <c r="BB126" i="4"/>
  <c r="BB92" i="4"/>
  <c r="BB104" i="4"/>
  <c r="BB123" i="4"/>
  <c r="BB94" i="4"/>
  <c r="GL86" i="4"/>
  <c r="GL95" i="4" l="1"/>
  <c r="GL93" i="4"/>
  <c r="GL91" i="4"/>
  <c r="GL92" i="4"/>
  <c r="GL90" i="4"/>
  <c r="GL97" i="4"/>
  <c r="GL98" i="4" s="1"/>
  <c r="GL99" i="4" s="1"/>
  <c r="GL100" i="4" s="1"/>
  <c r="GL94" i="4"/>
  <c r="BB96" i="4"/>
  <c r="GL101" i="4" s="1"/>
  <c r="BC120" i="4"/>
  <c r="BC123" i="4"/>
  <c r="BC90" i="4"/>
  <c r="BC104" i="4"/>
  <c r="GM86" i="4"/>
  <c r="BC91" i="4"/>
  <c r="BC102" i="4"/>
  <c r="GM115" i="4"/>
  <c r="BC133" i="4"/>
  <c r="BC94" i="4"/>
  <c r="BC119" i="4"/>
  <c r="BC124" i="4"/>
  <c r="BC92" i="4"/>
  <c r="BC126" i="4"/>
  <c r="BC134" i="4"/>
  <c r="BC121" i="4"/>
  <c r="BC118" i="4"/>
  <c r="BC105" i="4"/>
  <c r="BC95" i="4"/>
  <c r="BC122" i="4"/>
  <c r="BC93" i="4"/>
  <c r="GO85" i="4"/>
  <c r="GO84" i="4" s="1"/>
  <c r="BE84" i="4" s="1"/>
  <c r="GK96" i="4"/>
  <c r="BA97" i="4" s="1"/>
  <c r="BD133" i="4" l="1"/>
  <c r="BD118" i="4"/>
  <c r="BD126" i="4"/>
  <c r="BD95" i="4"/>
  <c r="BD104" i="4"/>
  <c r="BD121" i="4"/>
  <c r="BD119" i="4"/>
  <c r="BD105" i="4"/>
  <c r="BD93" i="4"/>
  <c r="BD102" i="4"/>
  <c r="BD123" i="4"/>
  <c r="BD90" i="4"/>
  <c r="BD120" i="4"/>
  <c r="BD122" i="4"/>
  <c r="BD92" i="4"/>
  <c r="BD91" i="4"/>
  <c r="GN115" i="4"/>
  <c r="BD134" i="4"/>
  <c r="BD124" i="4"/>
  <c r="BD94" i="4"/>
  <c r="GN86" i="4"/>
  <c r="BC96" i="4"/>
  <c r="GM101" i="4" s="1"/>
  <c r="GP85" i="4"/>
  <c r="GP84" i="4" s="1"/>
  <c r="BF84" i="4" s="1"/>
  <c r="GM93" i="4"/>
  <c r="GM94" i="4"/>
  <c r="GM92" i="4"/>
  <c r="GM90" i="4"/>
  <c r="GM95" i="4"/>
  <c r="GM91" i="4"/>
  <c r="GM97" i="4"/>
  <c r="GM98" i="4" s="1"/>
  <c r="GM99" i="4" s="1"/>
  <c r="GM100" i="4" s="1"/>
  <c r="GL96" i="4"/>
  <c r="BB97" i="4" s="1"/>
  <c r="GM96" i="4" l="1"/>
  <c r="BC97" i="4" s="1"/>
  <c r="BD96" i="4"/>
  <c r="GN101" i="4" s="1"/>
  <c r="BE134" i="4"/>
  <c r="BE120" i="4"/>
  <c r="BE122" i="4"/>
  <c r="BE94" i="4"/>
  <c r="BE93" i="4"/>
  <c r="BE105" i="4"/>
  <c r="BE133" i="4"/>
  <c r="BE121" i="4"/>
  <c r="BE126" i="4"/>
  <c r="BE91" i="4"/>
  <c r="BE119" i="4"/>
  <c r="BE90" i="4"/>
  <c r="GO86" i="4"/>
  <c r="BE118" i="4"/>
  <c r="BE123" i="4"/>
  <c r="BE92" i="4"/>
  <c r="BE104" i="4"/>
  <c r="GO115" i="4"/>
  <c r="BE124" i="4"/>
  <c r="BE95" i="4"/>
  <c r="BE102" i="4"/>
  <c r="GQ85" i="4"/>
  <c r="GQ84" i="4" s="1"/>
  <c r="BG84" i="4" s="1"/>
  <c r="GN97" i="4"/>
  <c r="GN98" i="4" s="1"/>
  <c r="GN99" i="4" s="1"/>
  <c r="GN100" i="4" s="1"/>
  <c r="GN91" i="4"/>
  <c r="GN93" i="4"/>
  <c r="GN94" i="4"/>
  <c r="GN95" i="4"/>
  <c r="GN90" i="4"/>
  <c r="GN92" i="4"/>
  <c r="BF133" i="4" l="1"/>
  <c r="BF120" i="4"/>
  <c r="BF126" i="4"/>
  <c r="BF105" i="4"/>
  <c r="BF90" i="4"/>
  <c r="GP86" i="4"/>
  <c r="BF104" i="4"/>
  <c r="GP115" i="4"/>
  <c r="BF118" i="4"/>
  <c r="BF92" i="4"/>
  <c r="BF121" i="4"/>
  <c r="BF119" i="4"/>
  <c r="BF91" i="4"/>
  <c r="BF94" i="4"/>
  <c r="BF123" i="4"/>
  <c r="BF124" i="4"/>
  <c r="BF93" i="4"/>
  <c r="BF95" i="4"/>
  <c r="BF102" i="4"/>
  <c r="BF134" i="4"/>
  <c r="BF122" i="4"/>
  <c r="GN96" i="4"/>
  <c r="BD97" i="4" s="1"/>
  <c r="GO92" i="4"/>
  <c r="GO95" i="4"/>
  <c r="GO91" i="4"/>
  <c r="GO97" i="4"/>
  <c r="GO98" i="4" s="1"/>
  <c r="GO99" i="4" s="1"/>
  <c r="GO100" i="4" s="1"/>
  <c r="GO90" i="4"/>
  <c r="GO94" i="4"/>
  <c r="GO93" i="4"/>
  <c r="GR85" i="4"/>
  <c r="GR84" i="4" s="1"/>
  <c r="BH84" i="4" s="1"/>
  <c r="BE96" i="4"/>
  <c r="GO101" i="4" s="1"/>
  <c r="BG134" i="4" l="1"/>
  <c r="BG118" i="4"/>
  <c r="BG123" i="4"/>
  <c r="BG105" i="4"/>
  <c r="BG95" i="4"/>
  <c r="GQ86" i="4"/>
  <c r="BG93" i="4"/>
  <c r="BG119" i="4"/>
  <c r="BG122" i="4"/>
  <c r="GQ115" i="4"/>
  <c r="BG133" i="4"/>
  <c r="BG120" i="4"/>
  <c r="BG126" i="4"/>
  <c r="BG104" i="4"/>
  <c r="BG94" i="4"/>
  <c r="BG124" i="4"/>
  <c r="BG121" i="4"/>
  <c r="BG92" i="4"/>
  <c r="BG91" i="4"/>
  <c r="BG102" i="4"/>
  <c r="BG90" i="4"/>
  <c r="GO96" i="4"/>
  <c r="BE97" i="4" s="1"/>
  <c r="GP97" i="4"/>
  <c r="GP98" i="4" s="1"/>
  <c r="GP99" i="4" s="1"/>
  <c r="GP100" i="4" s="1"/>
  <c r="GP92" i="4"/>
  <c r="GP93" i="4"/>
  <c r="GP90" i="4"/>
  <c r="GP94" i="4"/>
  <c r="GP91" i="4"/>
  <c r="GP95" i="4"/>
  <c r="GS85" i="4"/>
  <c r="GS84" i="4" s="1"/>
  <c r="BI84" i="4" s="1"/>
  <c r="BF96" i="4"/>
  <c r="GP101" i="4" s="1"/>
  <c r="BH133" i="4" l="1"/>
  <c r="BH124" i="4"/>
  <c r="BH119" i="4"/>
  <c r="BH95" i="4"/>
  <c r="BH93" i="4"/>
  <c r="GR86" i="4"/>
  <c r="BH126" i="4"/>
  <c r="BH91" i="4"/>
  <c r="BH105" i="4"/>
  <c r="BH134" i="4"/>
  <c r="BH123" i="4"/>
  <c r="BH104" i="4"/>
  <c r="BH122" i="4"/>
  <c r="BH118" i="4"/>
  <c r="BH121" i="4"/>
  <c r="BH90" i="4"/>
  <c r="BH94" i="4"/>
  <c r="BH102" i="4"/>
  <c r="BH120" i="4"/>
  <c r="BH92" i="4"/>
  <c r="GR115" i="4"/>
  <c r="GT85" i="4"/>
  <c r="GT84" i="4" s="1"/>
  <c r="BJ84" i="4" s="1"/>
  <c r="GP96" i="4"/>
  <c r="BF97" i="4" s="1"/>
  <c r="GQ97" i="4"/>
  <c r="GQ98" i="4" s="1"/>
  <c r="GQ99" i="4" s="1"/>
  <c r="GQ100" i="4" s="1"/>
  <c r="GQ92" i="4"/>
  <c r="GQ91" i="4"/>
  <c r="GQ93" i="4"/>
  <c r="GQ94" i="4"/>
  <c r="GQ90" i="4"/>
  <c r="GQ95" i="4"/>
  <c r="BG96" i="4"/>
  <c r="GQ101" i="4" s="1"/>
  <c r="BH96" i="4" l="1"/>
  <c r="GR101" i="4" s="1"/>
  <c r="GU85" i="4"/>
  <c r="GU84" i="4" s="1"/>
  <c r="BK84" i="4" s="1"/>
  <c r="GQ96" i="4"/>
  <c r="BG97" i="4" s="1"/>
  <c r="BI134" i="4"/>
  <c r="BI119" i="4"/>
  <c r="BI124" i="4"/>
  <c r="BI94" i="4"/>
  <c r="BI95" i="4"/>
  <c r="GS115" i="4"/>
  <c r="BI133" i="4"/>
  <c r="BI126" i="4"/>
  <c r="BI93" i="4"/>
  <c r="BI104" i="4"/>
  <c r="BI118" i="4"/>
  <c r="BI122" i="4"/>
  <c r="BI105" i="4"/>
  <c r="BI120" i="4"/>
  <c r="GS86" i="4"/>
  <c r="BI90" i="4"/>
  <c r="BI123" i="4"/>
  <c r="BI121" i="4"/>
  <c r="BI92" i="4"/>
  <c r="BI91" i="4"/>
  <c r="BI102" i="4"/>
  <c r="GR97" i="4"/>
  <c r="GR98" i="4" s="1"/>
  <c r="GR99" i="4" s="1"/>
  <c r="GR100" i="4" s="1"/>
  <c r="GR91" i="4"/>
  <c r="GR92" i="4"/>
  <c r="GR95" i="4"/>
  <c r="GR93" i="4"/>
  <c r="GR90" i="4"/>
  <c r="GR94" i="4"/>
  <c r="BI96" i="4" l="1"/>
  <c r="GS101" i="4" s="1"/>
  <c r="GR96" i="4"/>
  <c r="BH97" i="4" s="1"/>
  <c r="GS97" i="4"/>
  <c r="GS98" i="4" s="1"/>
  <c r="GS99" i="4" s="1"/>
  <c r="GS100" i="4" s="1"/>
  <c r="GS92" i="4"/>
  <c r="GS93" i="4"/>
  <c r="GS94" i="4"/>
  <c r="GS91" i="4"/>
  <c r="GS95" i="4"/>
  <c r="GS90" i="4"/>
  <c r="GV85" i="4"/>
  <c r="GV84" i="4" s="1"/>
  <c r="BL84" i="4" s="1"/>
  <c r="BJ134" i="4"/>
  <c r="BJ118" i="4"/>
  <c r="BJ123" i="4"/>
  <c r="BJ94" i="4"/>
  <c r="BJ91" i="4"/>
  <c r="GT115" i="4"/>
  <c r="BJ124" i="4"/>
  <c r="BJ122" i="4"/>
  <c r="BJ92" i="4"/>
  <c r="BJ102" i="4"/>
  <c r="BJ133" i="4"/>
  <c r="BJ119" i="4"/>
  <c r="BJ126" i="4"/>
  <c r="BJ95" i="4"/>
  <c r="BJ90" i="4"/>
  <c r="BJ121" i="4"/>
  <c r="BJ93" i="4"/>
  <c r="BJ104" i="4"/>
  <c r="BJ105" i="4"/>
  <c r="GT86" i="4"/>
  <c r="BJ120" i="4"/>
  <c r="GS96" i="4" l="1"/>
  <c r="BI97" i="4" s="1"/>
  <c r="GW85" i="4"/>
  <c r="GW84" i="4" s="1"/>
  <c r="BM84" i="4" s="1"/>
  <c r="GT97" i="4"/>
  <c r="GT98" i="4" s="1"/>
  <c r="GT99" i="4" s="1"/>
  <c r="GT100" i="4" s="1"/>
  <c r="GT91" i="4"/>
  <c r="GT94" i="4"/>
  <c r="GT95" i="4"/>
  <c r="GT92" i="4"/>
  <c r="GT90" i="4"/>
  <c r="GT93" i="4"/>
  <c r="BJ96" i="4"/>
  <c r="GT101" i="4" s="1"/>
  <c r="BK134" i="4"/>
  <c r="BK121" i="4"/>
  <c r="BK120" i="4"/>
  <c r="BK92" i="4"/>
  <c r="BK105" i="4"/>
  <c r="GU115" i="4"/>
  <c r="BK122" i="4"/>
  <c r="BK126" i="4"/>
  <c r="BK90" i="4"/>
  <c r="BK93" i="4"/>
  <c r="GU86" i="4"/>
  <c r="BK133" i="4"/>
  <c r="BK119" i="4"/>
  <c r="BK124" i="4"/>
  <c r="BK91" i="4"/>
  <c r="BK94" i="4"/>
  <c r="BK102" i="4"/>
  <c r="BK118" i="4"/>
  <c r="BK123" i="4"/>
  <c r="BK95" i="4"/>
  <c r="BK104" i="4"/>
  <c r="GT96" i="4" l="1"/>
  <c r="BJ97" i="4" s="1"/>
  <c r="BK96" i="4"/>
  <c r="GU101" i="4" s="1"/>
  <c r="BL134" i="4"/>
  <c r="BL123" i="4"/>
  <c r="BL121" i="4"/>
  <c r="BL95" i="4"/>
  <c r="BL105" i="4"/>
  <c r="BL133" i="4"/>
  <c r="BL120" i="4"/>
  <c r="BL126" i="4"/>
  <c r="BL90" i="4"/>
  <c r="BL122" i="4"/>
  <c r="BL91" i="4"/>
  <c r="BL93" i="4"/>
  <c r="GV86" i="4"/>
  <c r="BL119" i="4"/>
  <c r="BL102" i="4"/>
  <c r="BL118" i="4"/>
  <c r="BL124" i="4"/>
  <c r="BL92" i="4"/>
  <c r="BL104" i="4"/>
  <c r="GV115" i="4"/>
  <c r="BL94" i="4"/>
  <c r="GU97" i="4"/>
  <c r="GU98" i="4" s="1"/>
  <c r="GU99" i="4" s="1"/>
  <c r="GU100" i="4" s="1"/>
  <c r="GU90" i="4"/>
  <c r="GU92" i="4"/>
  <c r="GU94" i="4"/>
  <c r="GU93" i="4"/>
  <c r="GU95" i="4"/>
  <c r="GU91" i="4"/>
  <c r="GX85" i="4"/>
  <c r="GX84" i="4" s="1"/>
  <c r="BN84" i="4" s="1"/>
  <c r="BM133" i="4" l="1"/>
  <c r="BM120" i="4"/>
  <c r="BM126" i="4"/>
  <c r="BM90" i="4"/>
  <c r="BM91" i="4"/>
  <c r="BM121" i="4"/>
  <c r="BM95" i="4"/>
  <c r="BM104" i="4"/>
  <c r="BM134" i="4"/>
  <c r="BM119" i="4"/>
  <c r="BM105" i="4"/>
  <c r="GW86" i="4"/>
  <c r="BM118" i="4"/>
  <c r="BM124" i="4"/>
  <c r="BM123" i="4"/>
  <c r="BM92" i="4"/>
  <c r="BM94" i="4"/>
  <c r="BM102" i="4"/>
  <c r="GW115" i="4"/>
  <c r="BM122" i="4"/>
  <c r="BM93" i="4"/>
  <c r="GU96" i="4"/>
  <c r="BK97" i="4" s="1"/>
  <c r="GY85" i="4"/>
  <c r="GY84" i="4" s="1"/>
  <c r="BO84" i="4" s="1"/>
  <c r="GV94" i="4"/>
  <c r="GV95" i="4"/>
  <c r="GV90" i="4"/>
  <c r="GV91" i="4"/>
  <c r="GV92" i="4"/>
  <c r="GV97" i="4"/>
  <c r="GV98" i="4" s="1"/>
  <c r="GV99" i="4" s="1"/>
  <c r="GV100" i="4" s="1"/>
  <c r="GV93" i="4"/>
  <c r="BL96" i="4"/>
  <c r="GV101" i="4" s="1"/>
  <c r="GZ85" i="4" l="1"/>
  <c r="GZ84" i="4" s="1"/>
  <c r="BP84" i="4" s="1"/>
  <c r="GW95" i="4"/>
  <c r="GW90" i="4"/>
  <c r="GW92" i="4"/>
  <c r="GW97" i="4"/>
  <c r="GW98" i="4" s="1"/>
  <c r="GW99" i="4" s="1"/>
  <c r="GW100" i="4" s="1"/>
  <c r="GW91" i="4"/>
  <c r="GW93" i="4"/>
  <c r="GW94" i="4"/>
  <c r="BM96" i="4"/>
  <c r="GW101" i="4" s="1"/>
  <c r="GV96" i="4"/>
  <c r="BL97" i="4" s="1"/>
  <c r="BN121" i="4"/>
  <c r="BN120" i="4"/>
  <c r="BN94" i="4"/>
  <c r="BN104" i="4"/>
  <c r="BN122" i="4"/>
  <c r="BN119" i="4"/>
  <c r="BN90" i="4"/>
  <c r="BN105" i="4"/>
  <c r="GX86" i="4"/>
  <c r="BN102" i="4"/>
  <c r="BN123" i="4"/>
  <c r="BN134" i="4"/>
  <c r="BN124" i="4"/>
  <c r="BN118" i="4"/>
  <c r="BN95" i="4"/>
  <c r="BN93" i="4"/>
  <c r="GX115" i="4"/>
  <c r="BN133" i="4"/>
  <c r="BN126" i="4"/>
  <c r="BN92" i="4"/>
  <c r="BN91" i="4"/>
  <c r="GX91" i="4" l="1"/>
  <c r="GX90" i="4"/>
  <c r="GX92" i="4"/>
  <c r="GX97" i="4"/>
  <c r="GX98" i="4" s="1"/>
  <c r="GX99" i="4" s="1"/>
  <c r="GX100" i="4" s="1"/>
  <c r="GX95" i="4"/>
  <c r="GX93" i="4"/>
  <c r="GX94" i="4"/>
  <c r="GW96" i="4"/>
  <c r="BM97" i="4" s="1"/>
  <c r="BN96" i="4"/>
  <c r="GX101" i="4" s="1"/>
  <c r="BO133" i="4"/>
  <c r="BO118" i="4"/>
  <c r="BO126" i="4"/>
  <c r="BO91" i="4"/>
  <c r="BO104" i="4"/>
  <c r="BO124" i="4"/>
  <c r="BO90" i="4"/>
  <c r="BO94" i="4"/>
  <c r="BO102" i="4"/>
  <c r="BO134" i="4"/>
  <c r="BO119" i="4"/>
  <c r="BO92" i="4"/>
  <c r="BO121" i="4"/>
  <c r="BO123" i="4"/>
  <c r="GY115" i="4"/>
  <c r="BO120" i="4"/>
  <c r="BO122" i="4"/>
  <c r="BO105" i="4"/>
  <c r="BO95" i="4"/>
  <c r="GY86" i="4"/>
  <c r="BO93" i="4"/>
  <c r="HA85" i="4"/>
  <c r="HA84" i="4" s="1"/>
  <c r="BQ84" i="4" s="1"/>
  <c r="BO96" i="4" l="1"/>
  <c r="GY101" i="4"/>
  <c r="HB85" i="4"/>
  <c r="HB84" i="4" s="1"/>
  <c r="BR84" i="4" s="1"/>
  <c r="BP134" i="4"/>
  <c r="BP119" i="4"/>
  <c r="BP118" i="4"/>
  <c r="BP92" i="4"/>
  <c r="BP93" i="4"/>
  <c r="BP123" i="4"/>
  <c r="BP126" i="4"/>
  <c r="BP91" i="4"/>
  <c r="GZ115" i="4"/>
  <c r="BP122" i="4"/>
  <c r="BP105" i="4"/>
  <c r="BP133" i="4"/>
  <c r="BP95" i="4"/>
  <c r="BP124" i="4"/>
  <c r="BP120" i="4"/>
  <c r="BP121" i="4"/>
  <c r="BP94" i="4"/>
  <c r="BP104" i="4"/>
  <c r="GZ86" i="4"/>
  <c r="BP90" i="4"/>
  <c r="BP102" i="4"/>
  <c r="GX96" i="4"/>
  <c r="BN97" i="4" s="1"/>
  <c r="GY97" i="4"/>
  <c r="GY98" i="4" s="1"/>
  <c r="GY99" i="4" s="1"/>
  <c r="GY100" i="4" s="1"/>
  <c r="GY92" i="4"/>
  <c r="GY93" i="4"/>
  <c r="GY90" i="4"/>
  <c r="GY95" i="4"/>
  <c r="GY91" i="4"/>
  <c r="GY94" i="4"/>
  <c r="BP96" i="4" l="1"/>
  <c r="GZ101" i="4" s="1"/>
  <c r="GY96" i="4"/>
  <c r="BO97" i="4" s="1"/>
  <c r="BQ123" i="4"/>
  <c r="BQ124" i="4"/>
  <c r="BQ90" i="4"/>
  <c r="BQ105" i="4"/>
  <c r="BQ119" i="4"/>
  <c r="BQ122" i="4"/>
  <c r="BQ94" i="4"/>
  <c r="HA86" i="4"/>
  <c r="BQ118" i="4"/>
  <c r="BQ121" i="4"/>
  <c r="BQ102" i="4"/>
  <c r="BQ134" i="4"/>
  <c r="BQ93" i="4"/>
  <c r="BQ95" i="4"/>
  <c r="BQ133" i="4"/>
  <c r="BQ120" i="4"/>
  <c r="BQ126" i="4"/>
  <c r="BQ91" i="4"/>
  <c r="BQ104" i="4"/>
  <c r="HA115" i="4"/>
  <c r="BQ92" i="4"/>
  <c r="GZ95" i="4"/>
  <c r="GZ97" i="4"/>
  <c r="GZ98" i="4" s="1"/>
  <c r="GZ99" i="4" s="1"/>
  <c r="GZ100" i="4" s="1"/>
  <c r="GZ90" i="4"/>
  <c r="GZ92" i="4"/>
  <c r="GZ94" i="4"/>
  <c r="GZ91" i="4"/>
  <c r="GZ93" i="4"/>
  <c r="HC85" i="4"/>
  <c r="HC84" i="4" s="1"/>
  <c r="BS84" i="4" s="1"/>
  <c r="GZ96" i="4" l="1"/>
  <c r="BP97" i="4" s="1"/>
  <c r="HA97" i="4"/>
  <c r="HA98" i="4" s="1"/>
  <c r="HA99" i="4" s="1"/>
  <c r="HA100" i="4" s="1"/>
  <c r="HA90" i="4"/>
  <c r="HA93" i="4"/>
  <c r="HA91" i="4"/>
  <c r="HA94" i="4"/>
  <c r="HA95" i="4"/>
  <c r="HA92" i="4"/>
  <c r="BQ96" i="4"/>
  <c r="HA101" i="4" s="1"/>
  <c r="BR134" i="4"/>
  <c r="BR121" i="4"/>
  <c r="BR123" i="4"/>
  <c r="BR105" i="4"/>
  <c r="BR94" i="4"/>
  <c r="HB86" i="4"/>
  <c r="BR133" i="4"/>
  <c r="BR124" i="4"/>
  <c r="BR126" i="4"/>
  <c r="BR90" i="4"/>
  <c r="BR104" i="4"/>
  <c r="BR93" i="4"/>
  <c r="BR91" i="4"/>
  <c r="HB115" i="4"/>
  <c r="BR119" i="4"/>
  <c r="BR118" i="4"/>
  <c r="BR95" i="4"/>
  <c r="BR92" i="4"/>
  <c r="BR102" i="4"/>
  <c r="BR122" i="4"/>
  <c r="BR120" i="4"/>
  <c r="HD85" i="4"/>
  <c r="HD84" i="4" s="1"/>
  <c r="BT84" i="4" s="1"/>
  <c r="BR96" i="4" l="1"/>
  <c r="HE85" i="4"/>
  <c r="HE84" i="4" s="1"/>
  <c r="BU84" i="4" s="1"/>
  <c r="HB101" i="4"/>
  <c r="HB97" i="4"/>
  <c r="HB98" i="4" s="1"/>
  <c r="HB99" i="4" s="1"/>
  <c r="HB100" i="4" s="1"/>
  <c r="HB92" i="4"/>
  <c r="HB91" i="4"/>
  <c r="HB93" i="4"/>
  <c r="HB94" i="4"/>
  <c r="HB95" i="4"/>
  <c r="HB90" i="4"/>
  <c r="HA96" i="4"/>
  <c r="BQ97" i="4" s="1"/>
  <c r="BS133" i="4"/>
  <c r="BS122" i="4"/>
  <c r="BS120" i="4"/>
  <c r="BS95" i="4"/>
  <c r="BS91" i="4"/>
  <c r="BS134" i="4"/>
  <c r="BS126" i="4"/>
  <c r="BS92" i="4"/>
  <c r="BS104" i="4"/>
  <c r="HC115" i="4"/>
  <c r="BS123" i="4"/>
  <c r="BS119" i="4"/>
  <c r="BS118" i="4"/>
  <c r="BS124" i="4"/>
  <c r="BS105" i="4"/>
  <c r="BS94" i="4"/>
  <c r="BS102" i="4"/>
  <c r="BS121" i="4"/>
  <c r="BS90" i="4"/>
  <c r="BS93" i="4"/>
  <c r="HC86" i="4"/>
  <c r="HC93" i="4" l="1"/>
  <c r="HC95" i="4"/>
  <c r="HC94" i="4"/>
  <c r="HC90" i="4"/>
  <c r="HC97" i="4"/>
  <c r="HC98" i="4" s="1"/>
  <c r="HC99" i="4" s="1"/>
  <c r="HC100" i="4" s="1"/>
  <c r="HC91" i="4"/>
  <c r="HC92" i="4"/>
  <c r="HB96" i="4"/>
  <c r="BR97" i="4" s="1"/>
  <c r="HF85" i="4"/>
  <c r="HF84" i="4" s="1"/>
  <c r="BV84" i="4" s="1"/>
  <c r="BS96" i="4"/>
  <c r="HC101" i="4" s="1"/>
  <c r="BT134" i="4"/>
  <c r="BT122" i="4"/>
  <c r="BT126" i="4"/>
  <c r="BT90" i="4"/>
  <c r="BT95" i="4"/>
  <c r="BT94" i="4"/>
  <c r="HD115" i="4"/>
  <c r="BT118" i="4"/>
  <c r="BT124" i="4"/>
  <c r="BT104" i="4"/>
  <c r="BT123" i="4"/>
  <c r="BT119" i="4"/>
  <c r="BT121" i="4"/>
  <c r="BT105" i="4"/>
  <c r="BT92" i="4"/>
  <c r="BT102" i="4"/>
  <c r="HD86" i="4"/>
  <c r="BT133" i="4"/>
  <c r="BT120" i="4"/>
  <c r="BT93" i="4"/>
  <c r="BT91" i="4"/>
  <c r="HC96" i="4" l="1"/>
  <c r="BS97" i="4" s="1"/>
  <c r="BT96" i="4"/>
  <c r="HD101" i="4" s="1"/>
  <c r="BU133" i="4"/>
  <c r="BU119" i="4"/>
  <c r="BU124" i="4"/>
  <c r="BU94" i="4"/>
  <c r="BU95" i="4"/>
  <c r="BU120" i="4"/>
  <c r="BU126" i="4"/>
  <c r="BU104" i="4"/>
  <c r="BU123" i="4"/>
  <c r="BU134" i="4"/>
  <c r="BU105" i="4"/>
  <c r="BU118" i="4"/>
  <c r="BU121" i="4"/>
  <c r="BU92" i="4"/>
  <c r="BU93" i="4"/>
  <c r="BU102" i="4"/>
  <c r="HE115" i="4"/>
  <c r="BU122" i="4"/>
  <c r="BU90" i="4"/>
  <c r="BU91" i="4"/>
  <c r="HE86" i="4"/>
  <c r="HD97" i="4"/>
  <c r="HD98" i="4" s="1"/>
  <c r="HD99" i="4" s="1"/>
  <c r="HD100" i="4" s="1"/>
  <c r="HD92" i="4"/>
  <c r="HD95" i="4"/>
  <c r="HD94" i="4"/>
  <c r="HD90" i="4"/>
  <c r="HD93" i="4"/>
  <c r="HD91" i="4"/>
  <c r="HG85" i="4"/>
  <c r="HG84" i="4" s="1"/>
  <c r="BW84" i="4" s="1"/>
  <c r="BU96" i="4" l="1"/>
  <c r="HE101" i="4" s="1"/>
  <c r="BV134" i="4"/>
  <c r="BV120" i="4"/>
  <c r="BV122" i="4"/>
  <c r="BV95" i="4"/>
  <c r="BV105" i="4"/>
  <c r="HF115" i="4"/>
  <c r="BV133" i="4"/>
  <c r="BV121" i="4"/>
  <c r="BV126" i="4"/>
  <c r="BV94" i="4"/>
  <c r="BV91" i="4"/>
  <c r="HF86" i="4"/>
  <c r="BV118" i="4"/>
  <c r="BV124" i="4"/>
  <c r="BV102" i="4"/>
  <c r="BV90" i="4"/>
  <c r="BV123" i="4"/>
  <c r="BV119" i="4"/>
  <c r="BV92" i="4"/>
  <c r="BV104" i="4"/>
  <c r="BV93" i="4"/>
  <c r="HD96" i="4"/>
  <c r="BT97" i="4" s="1"/>
  <c r="HH85" i="4"/>
  <c r="HH84" i="4" s="1"/>
  <c r="BX84" i="4" s="1"/>
  <c r="HE97" i="4"/>
  <c r="HE98" i="4" s="1"/>
  <c r="HE99" i="4" s="1"/>
  <c r="HE100" i="4" s="1"/>
  <c r="HE90" i="4"/>
  <c r="HE93" i="4"/>
  <c r="HE91" i="4"/>
  <c r="HE95" i="4"/>
  <c r="HE92" i="4"/>
  <c r="HE94" i="4"/>
  <c r="BV96" i="4" l="1"/>
  <c r="HF101" i="4" s="1"/>
  <c r="BW134" i="4"/>
  <c r="BW118" i="4"/>
  <c r="BW122" i="4"/>
  <c r="BW94" i="4"/>
  <c r="BW95" i="4"/>
  <c r="HG86" i="4"/>
  <c r="BW126" i="4"/>
  <c r="BW92" i="4"/>
  <c r="BW123" i="4"/>
  <c r="BW105" i="4"/>
  <c r="BW133" i="4"/>
  <c r="BW124" i="4"/>
  <c r="BW104" i="4"/>
  <c r="BW121" i="4"/>
  <c r="HG115" i="4"/>
  <c r="BW119" i="4"/>
  <c r="BW120" i="4"/>
  <c r="BW91" i="4"/>
  <c r="BW90" i="4"/>
  <c r="BW102" i="4"/>
  <c r="BW93" i="4"/>
  <c r="HI85" i="4"/>
  <c r="HI84" i="4" s="1"/>
  <c r="BY84" i="4" s="1"/>
  <c r="HE96" i="4"/>
  <c r="BU97" i="4" s="1"/>
  <c r="HF97" i="4"/>
  <c r="HF98" i="4" s="1"/>
  <c r="HF99" i="4" s="1"/>
  <c r="HF100" i="4" s="1"/>
  <c r="HF94" i="4"/>
  <c r="HF90" i="4"/>
  <c r="HF93" i="4"/>
  <c r="HF92" i="4"/>
  <c r="HF91" i="4"/>
  <c r="HF95" i="4"/>
  <c r="HF96" i="4" l="1"/>
  <c r="BV97" i="4" s="1"/>
  <c r="BX134" i="4"/>
  <c r="BX119" i="4"/>
  <c r="BX118" i="4"/>
  <c r="BX94" i="4"/>
  <c r="BX91" i="4"/>
  <c r="HH86" i="4"/>
  <c r="BX133" i="4"/>
  <c r="BX123" i="4"/>
  <c r="BX126" i="4"/>
  <c r="BX105" i="4"/>
  <c r="BX104" i="4"/>
  <c r="BX120" i="4"/>
  <c r="BX95" i="4"/>
  <c r="BX122" i="4"/>
  <c r="BX124" i="4"/>
  <c r="BX121" i="4"/>
  <c r="BX93" i="4"/>
  <c r="BX92" i="4"/>
  <c r="BX102" i="4"/>
  <c r="BX90" i="4"/>
  <c r="HH115" i="4"/>
  <c r="BW96" i="4"/>
  <c r="HG101" i="4" s="1"/>
  <c r="HJ85" i="4"/>
  <c r="HJ84" i="4" s="1"/>
  <c r="BZ84" i="4" s="1"/>
  <c r="HG97" i="4"/>
  <c r="HG98" i="4" s="1"/>
  <c r="HG99" i="4" s="1"/>
  <c r="HG100" i="4" s="1"/>
  <c r="HG91" i="4"/>
  <c r="HG93" i="4"/>
  <c r="HG94" i="4"/>
  <c r="HG92" i="4"/>
  <c r="HG90" i="4"/>
  <c r="HG95" i="4"/>
  <c r="BY134" i="4" l="1"/>
  <c r="BY122" i="4"/>
  <c r="BY126" i="4"/>
  <c r="BY94" i="4"/>
  <c r="BY92" i="4"/>
  <c r="HI86" i="4"/>
  <c r="BY119" i="4"/>
  <c r="BY124" i="4"/>
  <c r="BY91" i="4"/>
  <c r="BY104" i="4"/>
  <c r="BY118" i="4"/>
  <c r="BY105" i="4"/>
  <c r="HI115" i="4"/>
  <c r="BY120" i="4"/>
  <c r="BY123" i="4"/>
  <c r="BY90" i="4"/>
  <c r="BY93" i="4"/>
  <c r="BY102" i="4"/>
  <c r="BY133" i="4"/>
  <c r="BY121" i="4"/>
  <c r="BY95" i="4"/>
  <c r="HG96" i="4"/>
  <c r="BW97" i="4" s="1"/>
  <c r="HH90" i="4"/>
  <c r="HH91" i="4"/>
  <c r="HH95" i="4"/>
  <c r="HH93" i="4"/>
  <c r="HH94" i="4"/>
  <c r="HH97" i="4"/>
  <c r="HH98" i="4" s="1"/>
  <c r="HH99" i="4" s="1"/>
  <c r="HH100" i="4" s="1"/>
  <c r="HH92" i="4"/>
  <c r="HK85" i="4"/>
  <c r="HK84" i="4" s="1"/>
  <c r="CA84" i="4" s="1"/>
  <c r="BX96" i="4"/>
  <c r="HH101" i="4" s="1"/>
  <c r="BY96" i="4" l="1"/>
  <c r="HI101" i="4" s="1"/>
  <c r="HL85" i="4"/>
  <c r="HL84" i="4" s="1"/>
  <c r="CB84" i="4" s="1"/>
  <c r="HH96" i="4"/>
  <c r="BX97" i="4" s="1"/>
  <c r="HI93" i="4"/>
  <c r="HI94" i="4"/>
  <c r="HI95" i="4"/>
  <c r="HI90" i="4"/>
  <c r="HI91" i="4"/>
  <c r="HI92" i="4"/>
  <c r="HI97" i="4"/>
  <c r="HI98" i="4" s="1"/>
  <c r="HI99" i="4" s="1"/>
  <c r="HI100" i="4" s="1"/>
  <c r="BZ133" i="4"/>
  <c r="BZ119" i="4"/>
  <c r="BZ126" i="4"/>
  <c r="BZ105" i="4"/>
  <c r="BZ95" i="4"/>
  <c r="BZ120" i="4"/>
  <c r="BZ121" i="4"/>
  <c r="BZ104" i="4"/>
  <c r="HJ86" i="4"/>
  <c r="BZ92" i="4"/>
  <c r="BZ91" i="4"/>
  <c r="BZ124" i="4"/>
  <c r="BZ122" i="4"/>
  <c r="BZ123" i="4"/>
  <c r="BZ93" i="4"/>
  <c r="BZ94" i="4"/>
  <c r="BZ102" i="4"/>
  <c r="HJ115" i="4"/>
  <c r="BZ134" i="4"/>
  <c r="BZ118" i="4"/>
  <c r="BZ90" i="4"/>
  <c r="BZ96" i="4" l="1"/>
  <c r="HJ101" i="4" s="1"/>
  <c r="HJ97" i="4"/>
  <c r="HJ98" i="4" s="1"/>
  <c r="HJ99" i="4" s="1"/>
  <c r="HJ100" i="4" s="1"/>
  <c r="HJ93" i="4"/>
  <c r="HJ90" i="4"/>
  <c r="HJ91" i="4"/>
  <c r="HJ95" i="4"/>
  <c r="D86" i="4"/>
  <c r="D147" i="4" s="1"/>
  <c r="HJ92" i="4"/>
  <c r="HJ94" i="4"/>
  <c r="HI96" i="4"/>
  <c r="BY97" i="4" s="1"/>
  <c r="CA133" i="4"/>
  <c r="CA121" i="4"/>
  <c r="CA126" i="4"/>
  <c r="CA95" i="4"/>
  <c r="CA93" i="4"/>
  <c r="CA134" i="4"/>
  <c r="CA120" i="4"/>
  <c r="CA122" i="4"/>
  <c r="CA91" i="4"/>
  <c r="CA104" i="4"/>
  <c r="CA119" i="4"/>
  <c r="CA92" i="4"/>
  <c r="CA118" i="4"/>
  <c r="CA123" i="4"/>
  <c r="CA90" i="4"/>
  <c r="CA105" i="4"/>
  <c r="CA102" i="4"/>
  <c r="HK115" i="4"/>
  <c r="CA124" i="4"/>
  <c r="CA94" i="4"/>
  <c r="HK86" i="4"/>
  <c r="HM85" i="4"/>
  <c r="HM84" i="4" s="1"/>
  <c r="CC84" i="4" s="1"/>
  <c r="C78" i="4" l="1"/>
  <c r="HJ96" i="4"/>
  <c r="BZ97" i="4" s="1"/>
  <c r="HK94" i="4"/>
  <c r="HK92" i="4"/>
  <c r="HK93" i="4"/>
  <c r="HK90" i="4"/>
  <c r="HK95" i="4"/>
  <c r="HK91" i="4"/>
  <c r="HK97" i="4"/>
  <c r="HK98" i="4" s="1"/>
  <c r="HK99" i="4" s="1"/>
  <c r="HK100" i="4" s="1"/>
  <c r="H158" i="4"/>
  <c r="D17" i="1"/>
  <c r="H168" i="4"/>
  <c r="H155" i="4"/>
  <c r="H169" i="4"/>
  <c r="H150" i="4"/>
  <c r="E17" i="1"/>
  <c r="H174" i="4"/>
  <c r="H166" i="4"/>
  <c r="H170" i="4"/>
  <c r="H147" i="4"/>
  <c r="H181" i="4"/>
  <c r="H171" i="4"/>
  <c r="H182" i="4"/>
  <c r="H149" i="4"/>
  <c r="H172" i="4"/>
  <c r="H157" i="4"/>
  <c r="H167" i="4"/>
  <c r="D146" i="4"/>
  <c r="HN85" i="4"/>
  <c r="HN84" i="4" s="1"/>
  <c r="CD84" i="4" s="1"/>
  <c r="CB133" i="4"/>
  <c r="CB123" i="4"/>
  <c r="CB121" i="4"/>
  <c r="CB105" i="4"/>
  <c r="CB92" i="4"/>
  <c r="HL115" i="4"/>
  <c r="CB134" i="4"/>
  <c r="CB120" i="4"/>
  <c r="CB91" i="4"/>
  <c r="CB95" i="4"/>
  <c r="CB93" i="4"/>
  <c r="CB102" i="4"/>
  <c r="CB126" i="4"/>
  <c r="HL86" i="4"/>
  <c r="CB119" i="4"/>
  <c r="CB122" i="4"/>
  <c r="CB94" i="4"/>
  <c r="CB118" i="4"/>
  <c r="CB124" i="4"/>
  <c r="CB90" i="4"/>
  <c r="CB104" i="4"/>
  <c r="CA96" i="4"/>
  <c r="HK101" i="4" s="1"/>
  <c r="G79" i="4" l="1"/>
  <c r="B29" i="1" s="1"/>
  <c r="EV205" i="4"/>
  <c r="EV206" i="4" s="1"/>
  <c r="E140" i="4"/>
  <c r="B28" i="1" s="1"/>
  <c r="E71" i="4"/>
  <c r="C79" i="4"/>
  <c r="H189" i="4"/>
  <c r="H217" i="4" s="1"/>
  <c r="D18" i="1"/>
  <c r="EV247" i="4"/>
  <c r="EV248" i="4" s="1"/>
  <c r="EV199" i="4"/>
  <c r="EV200" i="4" s="1"/>
  <c r="I147" i="4"/>
  <c r="E18" i="1"/>
  <c r="H13" i="4"/>
  <c r="EV238" i="4"/>
  <c r="EV239" i="4" s="1"/>
  <c r="EV224" i="4"/>
  <c r="EV225" i="4" s="1"/>
  <c r="EV256" i="4"/>
  <c r="EV257" i="4" s="1"/>
  <c r="EV215" i="4"/>
  <c r="EV216" i="4" s="1"/>
  <c r="HL97" i="4"/>
  <c r="HL98" i="4" s="1"/>
  <c r="HL99" i="4" s="1"/>
  <c r="HL100" i="4" s="1"/>
  <c r="HL91" i="4"/>
  <c r="HL94" i="4"/>
  <c r="HL92" i="4"/>
  <c r="HL90" i="4"/>
  <c r="HL95" i="4"/>
  <c r="HL93" i="4"/>
  <c r="CC133" i="4"/>
  <c r="CC119" i="4"/>
  <c r="CC123" i="4"/>
  <c r="CC92" i="4"/>
  <c r="CC95" i="4"/>
  <c r="CC126" i="4"/>
  <c r="CC93" i="4"/>
  <c r="CC120" i="4"/>
  <c r="CC134" i="4"/>
  <c r="CC121" i="4"/>
  <c r="CC105" i="4"/>
  <c r="CC91" i="4"/>
  <c r="CC122" i="4"/>
  <c r="CC124" i="4"/>
  <c r="CC90" i="4"/>
  <c r="CC104" i="4"/>
  <c r="HM86" i="4"/>
  <c r="CC118" i="4"/>
  <c r="CC94" i="4"/>
  <c r="CC102" i="4"/>
  <c r="HM115" i="4"/>
  <c r="CB96" i="4"/>
  <c r="HL101" i="4" s="1"/>
  <c r="HO85" i="4"/>
  <c r="HO84" i="4" s="1"/>
  <c r="CE84" i="4" s="1"/>
  <c r="HK96" i="4"/>
  <c r="CA97" i="4" s="1"/>
  <c r="EV55" i="4" l="1"/>
  <c r="J26" i="1"/>
  <c r="O30" i="1"/>
  <c r="HL96" i="4"/>
  <c r="CB97" i="4" s="1"/>
  <c r="HM95" i="4"/>
  <c r="HM94" i="4"/>
  <c r="HM92" i="4"/>
  <c r="HM93" i="4"/>
  <c r="HM90" i="4"/>
  <c r="HM97" i="4"/>
  <c r="HM98" i="4" s="1"/>
  <c r="HM99" i="4" s="1"/>
  <c r="HM100" i="4" s="1"/>
  <c r="HM91" i="4"/>
  <c r="CD124" i="4"/>
  <c r="CD122" i="4"/>
  <c r="CD93" i="4"/>
  <c r="CD105" i="4"/>
  <c r="HN115" i="4"/>
  <c r="CD121" i="4"/>
  <c r="CD119" i="4"/>
  <c r="CD90" i="4"/>
  <c r="CD102" i="4"/>
  <c r="CD134" i="4"/>
  <c r="CD120" i="4"/>
  <c r="CD123" i="4"/>
  <c r="CD94" i="4"/>
  <c r="CD92" i="4"/>
  <c r="CD95" i="4"/>
  <c r="CD133" i="4"/>
  <c r="CD118" i="4"/>
  <c r="CD126" i="4"/>
  <c r="CD91" i="4"/>
  <c r="CD104" i="4"/>
  <c r="HN86" i="4"/>
  <c r="EN195" i="4"/>
  <c r="EN207" i="4" s="1"/>
  <c r="EE195" i="4"/>
  <c r="EE207" i="4" s="1"/>
  <c r="DO195" i="4"/>
  <c r="CY195" i="4"/>
  <c r="CI195" i="4"/>
  <c r="EL195" i="4"/>
  <c r="EL207" i="4" s="1"/>
  <c r="DV195" i="4"/>
  <c r="DF195" i="4"/>
  <c r="CP195" i="4"/>
  <c r="BZ195" i="4"/>
  <c r="BF195" i="4"/>
  <c r="L195" i="4"/>
  <c r="CW195" i="4"/>
  <c r="AB195" i="4"/>
  <c r="DH195" i="4"/>
  <c r="CB195" i="4"/>
  <c r="AW195" i="4"/>
  <c r="DE195" i="4"/>
  <c r="AJ195" i="4"/>
  <c r="DT195" i="4"/>
  <c r="CN195" i="4"/>
  <c r="BO195" i="4"/>
  <c r="AY195" i="4"/>
  <c r="AI195" i="4"/>
  <c r="S195" i="4"/>
  <c r="DQ195" i="4"/>
  <c r="BV195" i="4"/>
  <c r="AX195" i="4"/>
  <c r="Z195" i="4"/>
  <c r="BE195" i="4"/>
  <c r="AC195" i="4"/>
  <c r="DM195" i="4"/>
  <c r="BH195" i="4"/>
  <c r="X195" i="4"/>
  <c r="EF195" i="4"/>
  <c r="EF207" i="4" s="1"/>
  <c r="AG195" i="4"/>
  <c r="T195" i="4"/>
  <c r="CF195" i="4"/>
  <c r="BK195" i="4"/>
  <c r="AE195" i="4"/>
  <c r="O195" i="4"/>
  <c r="BN195" i="4"/>
  <c r="AP195" i="4"/>
  <c r="BA195" i="4"/>
  <c r="Y195" i="4"/>
  <c r="AZ195" i="4"/>
  <c r="EI195" i="4"/>
  <c r="EI207" i="4" s="1"/>
  <c r="DC195" i="4"/>
  <c r="BW195" i="4"/>
  <c r="DJ195" i="4"/>
  <c r="BR195" i="4"/>
  <c r="EK195" i="4"/>
  <c r="EK207" i="4" s="1"/>
  <c r="CJ195" i="4"/>
  <c r="DU195" i="4"/>
  <c r="CV195" i="4"/>
  <c r="BC195" i="4"/>
  <c r="DY195" i="4"/>
  <c r="BB195" i="4"/>
  <c r="AO195" i="4"/>
  <c r="BP195" i="4"/>
  <c r="EA195" i="4"/>
  <c r="DK195" i="4"/>
  <c r="CU195" i="4"/>
  <c r="CE195" i="4"/>
  <c r="EH195" i="4"/>
  <c r="EH207" i="4" s="1"/>
  <c r="DR195" i="4"/>
  <c r="DB195" i="4"/>
  <c r="CL195" i="4"/>
  <c r="DI195" i="4"/>
  <c r="AT195" i="4"/>
  <c r="AK195" i="4"/>
  <c r="BT195" i="4"/>
  <c r="CZ195" i="4"/>
  <c r="BU195" i="4"/>
  <c r="BY195" i="4"/>
  <c r="DL195" i="4"/>
  <c r="AU195" i="4"/>
  <c r="DA195" i="4"/>
  <c r="R195" i="4"/>
  <c r="CO195" i="4"/>
  <c r="P195" i="4"/>
  <c r="CM195" i="4"/>
  <c r="CD195" i="4"/>
  <c r="DP195" i="4"/>
  <c r="EB195" i="4"/>
  <c r="W195" i="4"/>
  <c r="BM195" i="4"/>
  <c r="EM195" i="4"/>
  <c r="EM207" i="4" s="1"/>
  <c r="DW195" i="4"/>
  <c r="DG195" i="4"/>
  <c r="CQ195" i="4"/>
  <c r="CA195" i="4"/>
  <c r="ED195" i="4"/>
  <c r="ED207" i="4" s="1"/>
  <c r="DN195" i="4"/>
  <c r="CX195" i="4"/>
  <c r="CH195" i="4"/>
  <c r="CK195" i="4"/>
  <c r="AL195" i="4"/>
  <c r="Q195" i="4"/>
  <c r="BD195" i="4"/>
  <c r="DX195" i="4"/>
  <c r="CR195" i="4"/>
  <c r="BQ195" i="4"/>
  <c r="U195" i="4"/>
  <c r="BL195" i="4"/>
  <c r="EJ195" i="4"/>
  <c r="EJ207" i="4" s="1"/>
  <c r="DD195" i="4"/>
  <c r="BX195" i="4"/>
  <c r="BG195" i="4"/>
  <c r="AQ195" i="4"/>
  <c r="AA195" i="4"/>
  <c r="EG195" i="4"/>
  <c r="EG207" i="4" s="1"/>
  <c r="CS195" i="4"/>
  <c r="BJ195" i="4"/>
  <c r="AH195" i="4"/>
  <c r="N195" i="4"/>
  <c r="AS195" i="4"/>
  <c r="M195" i="4"/>
  <c r="CG195" i="4"/>
  <c r="AR195" i="4"/>
  <c r="I13" i="4"/>
  <c r="DS195" i="4"/>
  <c r="DZ195" i="4"/>
  <c r="CT195" i="4"/>
  <c r="V195" i="4"/>
  <c r="AN195" i="4"/>
  <c r="BI195" i="4"/>
  <c r="AV195" i="4"/>
  <c r="BS195" i="4"/>
  <c r="AM195" i="4"/>
  <c r="CC195" i="4"/>
  <c r="AD195" i="4"/>
  <c r="EC195" i="4"/>
  <c r="EC207" i="4" s="1"/>
  <c r="AF195" i="4"/>
  <c r="HP85" i="4"/>
  <c r="HP84" i="4" s="1"/>
  <c r="CF84" i="4" s="1"/>
  <c r="CC96" i="4"/>
  <c r="HM101" i="4" s="1"/>
  <c r="L70" i="4" l="1"/>
  <c r="L50" i="4"/>
  <c r="EV71" i="4"/>
  <c r="L204" i="4"/>
  <c r="EG204" i="4"/>
  <c r="EG213" i="4"/>
  <c r="JQ196" i="4" s="1"/>
  <c r="EM204" i="4"/>
  <c r="EM213" i="4"/>
  <c r="JW196" i="4" s="1"/>
  <c r="EI213" i="4"/>
  <c r="JS196" i="4" s="1"/>
  <c r="EI204" i="4"/>
  <c r="EL213" i="4"/>
  <c r="JV196" i="4" s="1"/>
  <c r="EL204" i="4"/>
  <c r="EC213" i="4"/>
  <c r="JM196" i="4" s="1"/>
  <c r="EC204" i="4"/>
  <c r="ED213" i="4"/>
  <c r="JN196" i="4" s="1"/>
  <c r="ED204" i="4"/>
  <c r="EH204" i="4"/>
  <c r="EH213" i="4"/>
  <c r="JR196" i="4" s="1"/>
  <c r="EK213" i="4"/>
  <c r="JU196" i="4" s="1"/>
  <c r="EK204" i="4"/>
  <c r="EN204" i="4"/>
  <c r="EN213" i="4"/>
  <c r="JX196" i="4" s="1"/>
  <c r="EF204" i="4"/>
  <c r="EF213" i="4"/>
  <c r="JP196" i="4" s="1"/>
  <c r="EJ213" i="4"/>
  <c r="JT196" i="4" s="1"/>
  <c r="EJ204" i="4"/>
  <c r="EE204" i="4"/>
  <c r="EE213" i="4"/>
  <c r="JO196" i="4" s="1"/>
  <c r="EH198" i="4"/>
  <c r="EN198" i="4"/>
  <c r="EG198" i="4"/>
  <c r="EM198" i="4"/>
  <c r="EI198" i="4"/>
  <c r="EL198" i="4"/>
  <c r="EC198" i="4"/>
  <c r="ED198" i="4"/>
  <c r="EK198" i="4"/>
  <c r="EF198" i="4"/>
  <c r="EJ198" i="4"/>
  <c r="EE198" i="4"/>
  <c r="EF208" i="4"/>
  <c r="EJ208" i="4"/>
  <c r="EE208" i="4"/>
  <c r="EH208" i="4"/>
  <c r="EN208" i="4"/>
  <c r="EG208" i="4"/>
  <c r="EM208" i="4"/>
  <c r="EI208" i="4"/>
  <c r="EL208" i="4"/>
  <c r="ED208" i="4"/>
  <c r="EC208" i="4"/>
  <c r="EK208" i="4"/>
  <c r="CN54" i="9"/>
  <c r="CN53" i="9" s="1"/>
  <c r="BG54" i="9"/>
  <c r="BG56" i="9" s="1"/>
  <c r="CF54" i="9"/>
  <c r="CF67" i="9" s="1"/>
  <c r="DR54" i="9"/>
  <c r="DR55" i="9" s="1"/>
  <c r="K54" i="9"/>
  <c r="K67" i="9" s="1"/>
  <c r="CU54" i="9"/>
  <c r="CU53" i="9" s="1"/>
  <c r="EC54" i="9"/>
  <c r="EC64" i="9" s="1"/>
  <c r="EH201" i="4"/>
  <c r="DT54" i="9"/>
  <c r="DT53" i="9" s="1"/>
  <c r="BR54" i="9"/>
  <c r="BR67" i="9" s="1"/>
  <c r="J54" i="9"/>
  <c r="BC54" i="9"/>
  <c r="BC53" i="9" s="1"/>
  <c r="N54" i="9"/>
  <c r="N67" i="9" s="1"/>
  <c r="AR54" i="9"/>
  <c r="CK54" i="9"/>
  <c r="CK55" i="9" s="1"/>
  <c r="EI54" i="9"/>
  <c r="EI62" i="9" s="1"/>
  <c r="EN201" i="4"/>
  <c r="AQ54" i="9"/>
  <c r="AQ67" i="9" s="1"/>
  <c r="P54" i="9"/>
  <c r="P67" i="9" s="1"/>
  <c r="CC54" i="9"/>
  <c r="CC56" i="9" s="1"/>
  <c r="EH54" i="9"/>
  <c r="EH57" i="9" s="1"/>
  <c r="EM201" i="4"/>
  <c r="CJ54" i="9"/>
  <c r="CJ67" i="9" s="1"/>
  <c r="BO54" i="9"/>
  <c r="BO53" i="9" s="1"/>
  <c r="BZ54" i="9"/>
  <c r="BZ53" i="9" s="1"/>
  <c r="AX54" i="9"/>
  <c r="AX53" i="9" s="1"/>
  <c r="CX54" i="9"/>
  <c r="CX67" i="9" s="1"/>
  <c r="Z54" i="9"/>
  <c r="Z56" i="9" s="1"/>
  <c r="DH54" i="9"/>
  <c r="DH67" i="9" s="1"/>
  <c r="AD54" i="9"/>
  <c r="AD53" i="9" s="1"/>
  <c r="BW54" i="9"/>
  <c r="BW53" i="9" s="1"/>
  <c r="DA54" i="9"/>
  <c r="DA67" i="9" s="1"/>
  <c r="EB54" i="9"/>
  <c r="EB62" i="9" s="1"/>
  <c r="EG201" i="4"/>
  <c r="BD54" i="9"/>
  <c r="BD53" i="9" s="1"/>
  <c r="CB54" i="9"/>
  <c r="CB55" i="9" s="1"/>
  <c r="V54" i="9"/>
  <c r="V56" i="9" s="1"/>
  <c r="BL54" i="9"/>
  <c r="BL56" i="9" s="1"/>
  <c r="CS54" i="9"/>
  <c r="CS55" i="9" s="1"/>
  <c r="BH54" i="9"/>
  <c r="BH53" i="9" s="1"/>
  <c r="M54" i="9"/>
  <c r="M67" i="9" s="1"/>
  <c r="AF54" i="9"/>
  <c r="AF53" i="9" s="1"/>
  <c r="CP54" i="9"/>
  <c r="CP55" i="9" s="1"/>
  <c r="CQ54" i="9"/>
  <c r="CQ67" i="9" s="1"/>
  <c r="ED54" i="9"/>
  <c r="ED55" i="9" s="1"/>
  <c r="EI201" i="4"/>
  <c r="BF54" i="9"/>
  <c r="BF53" i="9" s="1"/>
  <c r="X54" i="9"/>
  <c r="X53" i="9" s="1"/>
  <c r="AT54" i="9"/>
  <c r="AT53" i="9" s="1"/>
  <c r="DC54" i="9"/>
  <c r="DC67" i="9" s="1"/>
  <c r="DQ54" i="9"/>
  <c r="DQ53" i="9" s="1"/>
  <c r="BN54" i="9"/>
  <c r="BN53" i="9" s="1"/>
  <c r="AM54" i="9"/>
  <c r="AM53" i="9" s="1"/>
  <c r="AA54" i="9"/>
  <c r="AA53" i="9" s="1"/>
  <c r="AI54" i="9"/>
  <c r="AI53" i="9" s="1"/>
  <c r="H54" i="9"/>
  <c r="H53" i="9" s="1"/>
  <c r="AL54" i="9"/>
  <c r="CM54" i="9"/>
  <c r="CM53" i="9" s="1"/>
  <c r="DI54" i="9"/>
  <c r="DI55" i="9" s="1"/>
  <c r="R54" i="9"/>
  <c r="R53" i="9" s="1"/>
  <c r="CV54" i="9"/>
  <c r="CV55" i="9" s="1"/>
  <c r="AO54" i="9"/>
  <c r="AO53" i="9" s="1"/>
  <c r="DF54" i="9"/>
  <c r="DF53" i="9" s="1"/>
  <c r="DP54" i="9"/>
  <c r="DP67" i="9" s="1"/>
  <c r="AU54" i="9"/>
  <c r="AU53" i="9" s="1"/>
  <c r="CA54" i="9"/>
  <c r="CA55" i="9" s="1"/>
  <c r="AZ54" i="9"/>
  <c r="AZ67" i="9" s="1"/>
  <c r="BJ54" i="9"/>
  <c r="BJ53" i="9" s="1"/>
  <c r="W54" i="9"/>
  <c r="EG54" i="9"/>
  <c r="EG62" i="9" s="1"/>
  <c r="EL201" i="4"/>
  <c r="Q54" i="9"/>
  <c r="AN54" i="9"/>
  <c r="AN53" i="9" s="1"/>
  <c r="BB54" i="9"/>
  <c r="BB53" i="9" s="1"/>
  <c r="DS54" i="9"/>
  <c r="DS55" i="9" s="1"/>
  <c r="DY54" i="9"/>
  <c r="DY53" i="9" s="1"/>
  <c r="ED201" i="4"/>
  <c r="DW54" i="9"/>
  <c r="DW53" i="9" s="1"/>
  <c r="AP54" i="9"/>
  <c r="DD54" i="9"/>
  <c r="DD67" i="9" s="1"/>
  <c r="DV54" i="9"/>
  <c r="DV67" i="9" s="1"/>
  <c r="CE54" i="9"/>
  <c r="CE53" i="9" s="1"/>
  <c r="T54" i="9"/>
  <c r="T56" i="9" s="1"/>
  <c r="O54" i="9"/>
  <c r="U54" i="9"/>
  <c r="U67" i="9" s="1"/>
  <c r="CI54" i="9"/>
  <c r="CI53" i="9" s="1"/>
  <c r="CR54" i="9"/>
  <c r="CR56" i="9" s="1"/>
  <c r="CD54" i="9"/>
  <c r="CD55" i="9" s="1"/>
  <c r="Y54" i="9"/>
  <c r="Y53" i="9" s="1"/>
  <c r="I54" i="9"/>
  <c r="I53" i="9" s="1"/>
  <c r="BS54" i="9"/>
  <c r="BS67" i="9" s="1"/>
  <c r="AY54" i="9"/>
  <c r="AY53" i="9" s="1"/>
  <c r="BV54" i="9"/>
  <c r="BV56" i="9" s="1"/>
  <c r="DK54" i="9"/>
  <c r="DK67" i="9" s="1"/>
  <c r="DG54" i="9"/>
  <c r="DG67" i="9" s="1"/>
  <c r="CG54" i="9"/>
  <c r="CG67" i="9" s="1"/>
  <c r="BK54" i="9"/>
  <c r="BK67" i="9" s="1"/>
  <c r="EF54" i="9"/>
  <c r="EF62" i="9" s="1"/>
  <c r="EK201" i="4"/>
  <c r="AV54" i="9"/>
  <c r="AV53" i="9" s="1"/>
  <c r="AB54" i="9"/>
  <c r="AB67" i="9" s="1"/>
  <c r="AS54" i="9"/>
  <c r="AS67" i="9" s="1"/>
  <c r="DO54" i="9"/>
  <c r="DO53" i="9" s="1"/>
  <c r="CT54" i="9"/>
  <c r="CT53" i="9" s="1"/>
  <c r="DX54" i="9"/>
  <c r="DX57" i="9" s="1"/>
  <c r="EC201" i="4"/>
  <c r="BX54" i="9"/>
  <c r="BX53" i="9" s="1"/>
  <c r="DU54" i="9"/>
  <c r="DU53" i="9" s="1"/>
  <c r="AC54" i="9"/>
  <c r="AC53" i="9" s="1"/>
  <c r="CY54" i="9"/>
  <c r="CY53" i="9" s="1"/>
  <c r="L54" i="9"/>
  <c r="L56" i="9" s="1"/>
  <c r="CL54" i="9"/>
  <c r="CL53" i="9" s="1"/>
  <c r="BY54" i="9"/>
  <c r="BY67" i="9" s="1"/>
  <c r="BT54" i="9"/>
  <c r="BT56" i="9" s="1"/>
  <c r="CW54" i="9"/>
  <c r="CW67" i="9" s="1"/>
  <c r="AJ54" i="9"/>
  <c r="AJ53" i="9" s="1"/>
  <c r="BM54" i="9"/>
  <c r="BM67" i="9" s="1"/>
  <c r="AK54" i="9"/>
  <c r="EA54" i="9"/>
  <c r="EA55" i="9" s="1"/>
  <c r="EF201" i="4"/>
  <c r="BQ54" i="9"/>
  <c r="BQ56" i="9" s="1"/>
  <c r="AE54" i="9"/>
  <c r="AE56" i="9" s="1"/>
  <c r="BA54" i="9"/>
  <c r="BA67" i="9" s="1"/>
  <c r="DJ54" i="9"/>
  <c r="DJ53" i="9" s="1"/>
  <c r="CO54" i="9"/>
  <c r="CO67" i="9" s="1"/>
  <c r="AH54" i="9"/>
  <c r="DN54" i="9"/>
  <c r="DN55" i="9" s="1"/>
  <c r="BE54" i="9"/>
  <c r="BE67" i="9" s="1"/>
  <c r="EE54" i="9"/>
  <c r="EE60" i="9" s="1"/>
  <c r="EJ201" i="4"/>
  <c r="AG54" i="9"/>
  <c r="AG53" i="9" s="1"/>
  <c r="DB54" i="9"/>
  <c r="DB55" i="9" s="1"/>
  <c r="CH54" i="9"/>
  <c r="CH53" i="9" s="1"/>
  <c r="BP54" i="9"/>
  <c r="BP53" i="9" s="1"/>
  <c r="DM54" i="9"/>
  <c r="DM53" i="9" s="1"/>
  <c r="AW54" i="9"/>
  <c r="AW53" i="9" s="1"/>
  <c r="DE54" i="9"/>
  <c r="DE67" i="9" s="1"/>
  <c r="BI54" i="9"/>
  <c r="BI67" i="9" s="1"/>
  <c r="S54" i="9"/>
  <c r="S53" i="9" s="1"/>
  <c r="DL54" i="9"/>
  <c r="DL53" i="9" s="1"/>
  <c r="CZ54" i="9"/>
  <c r="CZ67" i="9" s="1"/>
  <c r="BU54" i="9"/>
  <c r="BU67" i="9" s="1"/>
  <c r="DZ54" i="9"/>
  <c r="DZ65" i="9" s="1"/>
  <c r="EE201" i="4"/>
  <c r="G54" i="9"/>
  <c r="G67" i="9" s="1"/>
  <c r="EH55" i="9"/>
  <c r="DH53" i="9"/>
  <c r="BG67" i="9"/>
  <c r="V53" i="9"/>
  <c r="BL67" i="9"/>
  <c r="BL55" i="9"/>
  <c r="ED53" i="9"/>
  <c r="ED62" i="9"/>
  <c r="ED64" i="9"/>
  <c r="ED65" i="9"/>
  <c r="AO56" i="9"/>
  <c r="EG67" i="9"/>
  <c r="EG60" i="9"/>
  <c r="CU67" i="9"/>
  <c r="AR56" i="9"/>
  <c r="BV55" i="9"/>
  <c r="AS53" i="9"/>
  <c r="CY67" i="9"/>
  <c r="CY56" i="9"/>
  <c r="HQ85" i="4"/>
  <c r="HQ84" i="4" s="1"/>
  <c r="CG84" i="4" s="1"/>
  <c r="AV227" i="4"/>
  <c r="AV248" i="4" s="1"/>
  <c r="AV196" i="4"/>
  <c r="N227" i="4"/>
  <c r="N248" i="4" s="1"/>
  <c r="N196" i="4"/>
  <c r="BX227" i="4"/>
  <c r="BX196" i="4"/>
  <c r="CH227" i="4"/>
  <c r="CH196" i="4"/>
  <c r="EM227" i="4"/>
  <c r="EM206" i="4"/>
  <c r="EM212" i="4"/>
  <c r="EM200" i="4"/>
  <c r="EM197" i="4"/>
  <c r="EM203" i="4"/>
  <c r="EM196" i="4"/>
  <c r="EM209" i="4"/>
  <c r="DL227" i="4"/>
  <c r="DL196" i="4"/>
  <c r="CL227" i="4"/>
  <c r="CL196" i="4"/>
  <c r="BP227" i="4"/>
  <c r="BP196" i="4"/>
  <c r="DC227" i="4"/>
  <c r="DC196" i="4"/>
  <c r="BA227" i="4"/>
  <c r="BA196" i="4"/>
  <c r="AG227" i="4"/>
  <c r="AG248" i="4" s="1"/>
  <c r="AG196" i="4"/>
  <c r="DM227" i="4"/>
  <c r="DM196" i="4"/>
  <c r="AX227" i="4"/>
  <c r="AX248" i="4" s="1"/>
  <c r="AX196" i="4"/>
  <c r="AI227" i="4"/>
  <c r="AI248" i="4" s="1"/>
  <c r="AI196" i="4"/>
  <c r="DT227" i="4"/>
  <c r="DT196" i="4"/>
  <c r="CB227" i="4"/>
  <c r="CB196" i="4"/>
  <c r="L227" i="4"/>
  <c r="L248" i="4" s="1"/>
  <c r="L203" i="4"/>
  <c r="L196" i="4"/>
  <c r="DF227" i="4"/>
  <c r="DF196" i="4"/>
  <c r="CY227" i="4"/>
  <c r="CY196" i="4"/>
  <c r="HN95" i="4"/>
  <c r="HN97" i="4"/>
  <c r="HN98" i="4" s="1"/>
  <c r="HN99" i="4" s="1"/>
  <c r="HN100" i="4" s="1"/>
  <c r="HN92" i="4"/>
  <c r="HN93" i="4"/>
  <c r="HN91" i="4"/>
  <c r="HN94" i="4"/>
  <c r="HN90" i="4"/>
  <c r="CE133" i="4"/>
  <c r="CE118" i="4"/>
  <c r="CE126" i="4"/>
  <c r="CE95" i="4"/>
  <c r="CE90" i="4"/>
  <c r="CE119" i="4"/>
  <c r="CE121" i="4"/>
  <c r="CE93" i="4"/>
  <c r="CE104" i="4"/>
  <c r="CE124" i="4"/>
  <c r="CE122" i="4"/>
  <c r="CE91" i="4"/>
  <c r="CE105" i="4"/>
  <c r="CE102" i="4"/>
  <c r="CE120" i="4"/>
  <c r="CE123" i="4"/>
  <c r="CE94" i="4"/>
  <c r="CE92" i="4"/>
  <c r="HO115" i="4"/>
  <c r="HO86" i="4"/>
  <c r="CE134" i="4"/>
  <c r="CC227" i="4"/>
  <c r="CC196" i="4"/>
  <c r="BI227" i="4"/>
  <c r="BI196" i="4"/>
  <c r="DZ227" i="4"/>
  <c r="DZ196" i="4"/>
  <c r="CG227" i="4"/>
  <c r="CG196" i="4"/>
  <c r="AH227" i="4"/>
  <c r="AH248" i="4" s="1"/>
  <c r="AH196" i="4"/>
  <c r="AA227" i="4"/>
  <c r="AA248" i="4" s="1"/>
  <c r="AA196" i="4"/>
  <c r="DD227" i="4"/>
  <c r="DD196" i="4"/>
  <c r="BQ227" i="4"/>
  <c r="BQ196" i="4"/>
  <c r="Q227" i="4"/>
  <c r="Q248" i="4" s="1"/>
  <c r="Q196" i="4"/>
  <c r="CX227" i="4"/>
  <c r="CX196" i="4"/>
  <c r="CQ227" i="4"/>
  <c r="CQ196" i="4"/>
  <c r="BM227" i="4"/>
  <c r="BM196" i="4"/>
  <c r="CD227" i="4"/>
  <c r="CD196" i="4"/>
  <c r="R227" i="4"/>
  <c r="R248" i="4" s="1"/>
  <c r="R196" i="4"/>
  <c r="BY227" i="4"/>
  <c r="BY196" i="4"/>
  <c r="AK227" i="4"/>
  <c r="AK248" i="4" s="1"/>
  <c r="AK196" i="4"/>
  <c r="DB227" i="4"/>
  <c r="DB196" i="4"/>
  <c r="CU227" i="4"/>
  <c r="CU196" i="4"/>
  <c r="AO227" i="4"/>
  <c r="AO248" i="4" s="1"/>
  <c r="AO196" i="4"/>
  <c r="CV227" i="4"/>
  <c r="CV196" i="4"/>
  <c r="BR227" i="4"/>
  <c r="BR196" i="4"/>
  <c r="EI209" i="4"/>
  <c r="EI203" i="4"/>
  <c r="EI227" i="4"/>
  <c r="EI212" i="4"/>
  <c r="EI196" i="4"/>
  <c r="EI200" i="4"/>
  <c r="EI197" i="4"/>
  <c r="EI206" i="4"/>
  <c r="AP227" i="4"/>
  <c r="AP248" i="4" s="1"/>
  <c r="AP196" i="4"/>
  <c r="BK227" i="4"/>
  <c r="BK196" i="4"/>
  <c r="EF227" i="4"/>
  <c r="EF212" i="4"/>
  <c r="EF209" i="4"/>
  <c r="EF206" i="4"/>
  <c r="EF196" i="4"/>
  <c r="EF203" i="4"/>
  <c r="EF200" i="4"/>
  <c r="EF197" i="4"/>
  <c r="AC227" i="4"/>
  <c r="AC248" i="4" s="1"/>
  <c r="AC196" i="4"/>
  <c r="BV227" i="4"/>
  <c r="BV196" i="4"/>
  <c r="AY227" i="4"/>
  <c r="AY248" i="4" s="1"/>
  <c r="AY196" i="4"/>
  <c r="AJ227" i="4"/>
  <c r="AJ248" i="4" s="1"/>
  <c r="AJ196" i="4"/>
  <c r="DH227" i="4"/>
  <c r="DH196" i="4"/>
  <c r="BF227" i="4"/>
  <c r="BF196" i="4"/>
  <c r="DV227" i="4"/>
  <c r="DV196" i="4"/>
  <c r="DO196" i="4"/>
  <c r="DO227" i="4"/>
  <c r="CD96" i="4"/>
  <c r="HN101" i="4" s="1"/>
  <c r="CT227" i="4"/>
  <c r="CT196" i="4"/>
  <c r="U227" i="4"/>
  <c r="U248" i="4" s="1"/>
  <c r="U196" i="4"/>
  <c r="DP227" i="4"/>
  <c r="DP196" i="4"/>
  <c r="EK227" i="4"/>
  <c r="EK212" i="4"/>
  <c r="EK206" i="4"/>
  <c r="EK203" i="4"/>
  <c r="EK209" i="4"/>
  <c r="EK197" i="4"/>
  <c r="EK200" i="4"/>
  <c r="EK196" i="4"/>
  <c r="AF227" i="4"/>
  <c r="AF248" i="4" s="1"/>
  <c r="AF196" i="4"/>
  <c r="AN227" i="4"/>
  <c r="AN248" i="4" s="1"/>
  <c r="AN196" i="4"/>
  <c r="BJ227" i="4"/>
  <c r="BJ196" i="4"/>
  <c r="EJ227" i="4"/>
  <c r="EJ212" i="4"/>
  <c r="EJ209" i="4"/>
  <c r="EJ206" i="4"/>
  <c r="EJ197" i="4"/>
  <c r="EJ200" i="4"/>
  <c r="EJ196" i="4"/>
  <c r="EJ203" i="4"/>
  <c r="CR227" i="4"/>
  <c r="CR196" i="4"/>
  <c r="AL227" i="4"/>
  <c r="AL248" i="4" s="1"/>
  <c r="AL196" i="4"/>
  <c r="DN227" i="4"/>
  <c r="DN196" i="4"/>
  <c r="DG227" i="4"/>
  <c r="DG196" i="4"/>
  <c r="W227" i="4"/>
  <c r="W248" i="4" s="1"/>
  <c r="W196" i="4"/>
  <c r="CM227" i="4"/>
  <c r="CM196" i="4"/>
  <c r="DA227" i="4"/>
  <c r="DA196" i="4"/>
  <c r="BU227" i="4"/>
  <c r="BU196" i="4"/>
  <c r="AT227" i="4"/>
  <c r="AT248" i="4" s="1"/>
  <c r="AT196" i="4"/>
  <c r="DR227" i="4"/>
  <c r="DR196" i="4"/>
  <c r="DK227" i="4"/>
  <c r="DK196" i="4"/>
  <c r="BB227" i="4"/>
  <c r="BB196" i="4"/>
  <c r="DU227" i="4"/>
  <c r="DU196" i="4"/>
  <c r="DJ227" i="4"/>
  <c r="DJ196" i="4"/>
  <c r="AZ227" i="4"/>
  <c r="AZ248" i="4" s="1"/>
  <c r="AZ196" i="4"/>
  <c r="BN227" i="4"/>
  <c r="BN196" i="4"/>
  <c r="CF227" i="4"/>
  <c r="CF196" i="4"/>
  <c r="X227" i="4"/>
  <c r="X248" i="4" s="1"/>
  <c r="X196" i="4"/>
  <c r="BE227" i="4"/>
  <c r="BE196" i="4"/>
  <c r="DQ227" i="4"/>
  <c r="DQ196" i="4"/>
  <c r="BO227" i="4"/>
  <c r="BO196" i="4"/>
  <c r="DE227" i="4"/>
  <c r="DE196" i="4"/>
  <c r="AB227" i="4"/>
  <c r="AB248" i="4" s="1"/>
  <c r="AB196" i="4"/>
  <c r="BZ227" i="4"/>
  <c r="BZ196" i="4"/>
  <c r="EL209" i="4"/>
  <c r="EL227" i="4"/>
  <c r="EL206" i="4"/>
  <c r="EL197" i="4"/>
  <c r="EL203" i="4"/>
  <c r="EL200" i="4"/>
  <c r="EL212" i="4"/>
  <c r="EL196" i="4"/>
  <c r="EE209" i="4"/>
  <c r="EE206" i="4"/>
  <c r="EE227" i="4"/>
  <c r="EE212" i="4"/>
  <c r="EE197" i="4"/>
  <c r="EE196" i="4"/>
  <c r="EE203" i="4"/>
  <c r="EE200" i="4"/>
  <c r="AD227" i="4"/>
  <c r="AD248" i="4" s="1"/>
  <c r="AD196" i="4"/>
  <c r="AR227" i="4"/>
  <c r="AR248" i="4" s="1"/>
  <c r="AR196" i="4"/>
  <c r="EG227" i="4"/>
  <c r="EG206" i="4"/>
  <c r="EG209" i="4"/>
  <c r="EG212" i="4"/>
  <c r="EG197" i="4"/>
  <c r="EG196" i="4"/>
  <c r="EG200" i="4"/>
  <c r="EG203" i="4"/>
  <c r="BD227" i="4"/>
  <c r="BD196" i="4"/>
  <c r="CA227" i="4"/>
  <c r="CA196" i="4"/>
  <c r="CO227" i="4"/>
  <c r="CO196" i="4"/>
  <c r="BT227" i="4"/>
  <c r="BT196" i="4"/>
  <c r="CE227" i="4"/>
  <c r="CE196" i="4"/>
  <c r="BC227" i="4"/>
  <c r="BC196" i="4"/>
  <c r="AE227" i="4"/>
  <c r="AE248" i="4" s="1"/>
  <c r="AE196" i="4"/>
  <c r="AM227" i="4"/>
  <c r="AM248" i="4" s="1"/>
  <c r="AM196" i="4"/>
  <c r="DS227" i="4"/>
  <c r="DS196" i="4"/>
  <c r="M227" i="4"/>
  <c r="M248" i="4" s="1"/>
  <c r="M196" i="4"/>
  <c r="AQ227" i="4"/>
  <c r="AQ248" i="4" s="1"/>
  <c r="AQ196" i="4"/>
  <c r="EC212" i="4"/>
  <c r="EC227" i="4"/>
  <c r="EC206" i="4"/>
  <c r="EC196" i="4"/>
  <c r="EC209" i="4"/>
  <c r="EC200" i="4"/>
  <c r="EC203" i="4"/>
  <c r="EC197" i="4"/>
  <c r="BS227" i="4"/>
  <c r="BS196" i="4"/>
  <c r="V227" i="4"/>
  <c r="V248" i="4" s="1"/>
  <c r="V196" i="4"/>
  <c r="AS227" i="4"/>
  <c r="AS248" i="4" s="1"/>
  <c r="AS196" i="4"/>
  <c r="CS227" i="4"/>
  <c r="CS196" i="4"/>
  <c r="BG227" i="4"/>
  <c r="BG196" i="4"/>
  <c r="BL227" i="4"/>
  <c r="BL196" i="4"/>
  <c r="DX227" i="4"/>
  <c r="DX196" i="4"/>
  <c r="CK227" i="4"/>
  <c r="CK196" i="4"/>
  <c r="ED227" i="4"/>
  <c r="ED206" i="4"/>
  <c r="ED212" i="4"/>
  <c r="ED209" i="4"/>
  <c r="ED196" i="4"/>
  <c r="ED197" i="4"/>
  <c r="ED200" i="4"/>
  <c r="ED203" i="4"/>
  <c r="DW227" i="4"/>
  <c r="DW196" i="4"/>
  <c r="EB227" i="4"/>
  <c r="EB196" i="4"/>
  <c r="P227" i="4"/>
  <c r="P248" i="4" s="1"/>
  <c r="P196" i="4"/>
  <c r="AU227" i="4"/>
  <c r="AU248" i="4" s="1"/>
  <c r="AU196" i="4"/>
  <c r="CZ227" i="4"/>
  <c r="CZ196" i="4"/>
  <c r="DI227" i="4"/>
  <c r="DI196" i="4"/>
  <c r="EH227" i="4"/>
  <c r="EH209" i="4"/>
  <c r="EH212" i="4"/>
  <c r="EH197" i="4"/>
  <c r="EH206" i="4"/>
  <c r="EH200" i="4"/>
  <c r="EH203" i="4"/>
  <c r="EH196" i="4"/>
  <c r="EA227" i="4"/>
  <c r="EA196" i="4"/>
  <c r="DY227" i="4"/>
  <c r="DY196" i="4"/>
  <c r="CJ227" i="4"/>
  <c r="CJ196" i="4"/>
  <c r="BW227" i="4"/>
  <c r="BW196" i="4"/>
  <c r="Y227" i="4"/>
  <c r="Y248" i="4" s="1"/>
  <c r="Y196" i="4"/>
  <c r="O227" i="4"/>
  <c r="O248" i="4" s="1"/>
  <c r="O196" i="4"/>
  <c r="T227" i="4"/>
  <c r="T248" i="4" s="1"/>
  <c r="T196" i="4"/>
  <c r="BH227" i="4"/>
  <c r="BH196" i="4"/>
  <c r="Z227" i="4"/>
  <c r="Z248" i="4" s="1"/>
  <c r="Z196" i="4"/>
  <c r="S227" i="4"/>
  <c r="S248" i="4" s="1"/>
  <c r="S196" i="4"/>
  <c r="CN227" i="4"/>
  <c r="CN196" i="4"/>
  <c r="AW227" i="4"/>
  <c r="AW248" i="4" s="1"/>
  <c r="AW196" i="4"/>
  <c r="CW227" i="4"/>
  <c r="CW196" i="4"/>
  <c r="CP227" i="4"/>
  <c r="CP196" i="4"/>
  <c r="CI227" i="4"/>
  <c r="CI196" i="4"/>
  <c r="EN227" i="4"/>
  <c r="EN206" i="4"/>
  <c r="EN196" i="4"/>
  <c r="EN203" i="4"/>
  <c r="EN209" i="4"/>
  <c r="EN212" i="4"/>
  <c r="EN197" i="4"/>
  <c r="EN200" i="4"/>
  <c r="HM96" i="4"/>
  <c r="CC97" i="4" s="1"/>
  <c r="BV67" i="9" l="1"/>
  <c r="AA56" i="9"/>
  <c r="AR67" i="9"/>
  <c r="EG57" i="9"/>
  <c r="AO67" i="9"/>
  <c r="AR53" i="9"/>
  <c r="EG55" i="9"/>
  <c r="AK56" i="9"/>
  <c r="AA67" i="9"/>
  <c r="AA77" i="9" s="1"/>
  <c r="CI55" i="9"/>
  <c r="CU55" i="9"/>
  <c r="EG64" i="9"/>
  <c r="AK53" i="9"/>
  <c r="DW56" i="9"/>
  <c r="CU56" i="9"/>
  <c r="EG58" i="9"/>
  <c r="CY55" i="9"/>
  <c r="AS56" i="9"/>
  <c r="DW55" i="9"/>
  <c r="EG53" i="9"/>
  <c r="DK55" i="9"/>
  <c r="EG56" i="9"/>
  <c r="U56" i="9"/>
  <c r="CZ55" i="9"/>
  <c r="CH56" i="9"/>
  <c r="CN56" i="9"/>
  <c r="BK53" i="9"/>
  <c r="M53" i="9"/>
  <c r="EB56" i="9"/>
  <c r="CN55" i="9"/>
  <c r="EB57" i="9"/>
  <c r="AN56" i="9"/>
  <c r="EB53" i="9"/>
  <c r="EE57" i="9"/>
  <c r="AN67" i="9"/>
  <c r="EE64" i="9"/>
  <c r="DX65" i="9"/>
  <c r="Y67" i="9"/>
  <c r="DV56" i="9"/>
  <c r="DX55" i="9"/>
  <c r="DV55" i="9"/>
  <c r="DX64" i="9"/>
  <c r="M56" i="9"/>
  <c r="EB64" i="9"/>
  <c r="AK67" i="9"/>
  <c r="AK77" i="9" s="1"/>
  <c r="DK56" i="9"/>
  <c r="EG65" i="9"/>
  <c r="BL53" i="9"/>
  <c r="CI67" i="9"/>
  <c r="CI94" i="9" s="1"/>
  <c r="CD67" i="9"/>
  <c r="EE62" i="9"/>
  <c r="DX62" i="9"/>
  <c r="EB65" i="9"/>
  <c r="EB67" i="9"/>
  <c r="EB92" i="9" s="1"/>
  <c r="DE55" i="9"/>
  <c r="EE67" i="9"/>
  <c r="EE84" i="9" s="1"/>
  <c r="CN67" i="9"/>
  <c r="CN94" i="9" s="1"/>
  <c r="DV53" i="9"/>
  <c r="DX60" i="9"/>
  <c r="DX67" i="9"/>
  <c r="DX83" i="9" s="1"/>
  <c r="BR56" i="9"/>
  <c r="BZ56" i="9"/>
  <c r="EB60" i="9"/>
  <c r="DE56" i="9"/>
  <c r="Y56" i="9"/>
  <c r="G56" i="9"/>
  <c r="BK56" i="9"/>
  <c r="CM55" i="9"/>
  <c r="DX58" i="9"/>
  <c r="DX53" i="9"/>
  <c r="BZ55" i="9"/>
  <c r="EB58" i="9"/>
  <c r="DE53" i="9"/>
  <c r="BQ53" i="9"/>
  <c r="BK55" i="9"/>
  <c r="DX56" i="9"/>
  <c r="BZ67" i="9"/>
  <c r="BZ82" i="9" s="1"/>
  <c r="EB55" i="9"/>
  <c r="BQ67" i="9"/>
  <c r="BQ79" i="9" s="1"/>
  <c r="G53" i="9"/>
  <c r="BG55" i="9"/>
  <c r="I56" i="9"/>
  <c r="DC55" i="9"/>
  <c r="BT55" i="9"/>
  <c r="BT53" i="9"/>
  <c r="CA56" i="9"/>
  <c r="EF55" i="9"/>
  <c r="Q67" i="9"/>
  <c r="Q82" i="9" s="1"/>
  <c r="AF56" i="9"/>
  <c r="BT67" i="9"/>
  <c r="BT78" i="9" s="1"/>
  <c r="I67" i="9"/>
  <c r="I77" i="9" s="1"/>
  <c r="EF56" i="9"/>
  <c r="CA53" i="9"/>
  <c r="BR53" i="9"/>
  <c r="BG53" i="9"/>
  <c r="EF58" i="9"/>
  <c r="DC56" i="9"/>
  <c r="EF64" i="9"/>
  <c r="DC53" i="9"/>
  <c r="AF67" i="9"/>
  <c r="AF77" i="9" s="1"/>
  <c r="CM56" i="9"/>
  <c r="CE55" i="9"/>
  <c r="CM67" i="9"/>
  <c r="CM94" i="9" s="1"/>
  <c r="CE56" i="9"/>
  <c r="CA67" i="9"/>
  <c r="CA94" i="9" s="1"/>
  <c r="BR55" i="9"/>
  <c r="K56" i="9"/>
  <c r="AB56" i="9"/>
  <c r="BV53" i="9"/>
  <c r="W67" i="9"/>
  <c r="W77" i="9" s="1"/>
  <c r="ED56" i="9"/>
  <c r="DA56" i="9"/>
  <c r="K53" i="9"/>
  <c r="AB53" i="9"/>
  <c r="CO55" i="9"/>
  <c r="W56" i="9"/>
  <c r="ED67" i="9"/>
  <c r="ED80" i="9" s="1"/>
  <c r="V67" i="9"/>
  <c r="V76" i="9" s="1"/>
  <c r="DH55" i="9"/>
  <c r="BO67" i="9"/>
  <c r="BO81" i="9" s="1"/>
  <c r="N56" i="9"/>
  <c r="CZ56" i="9"/>
  <c r="CH55" i="9"/>
  <c r="BE55" i="9"/>
  <c r="CO56" i="9"/>
  <c r="ED58" i="9"/>
  <c r="ED57" i="9"/>
  <c r="DH56" i="9"/>
  <c r="EH60" i="9"/>
  <c r="CZ53" i="9"/>
  <c r="CH67" i="9"/>
  <c r="CH94" i="9" s="1"/>
  <c r="U53" i="9"/>
  <c r="DD56" i="9"/>
  <c r="ED60" i="9"/>
  <c r="EH58" i="9"/>
  <c r="AC56" i="9"/>
  <c r="EH65" i="9"/>
  <c r="J53" i="9"/>
  <c r="T67" i="9"/>
  <c r="T76" i="9" s="1"/>
  <c r="DS56" i="9"/>
  <c r="DI53" i="9"/>
  <c r="DQ55" i="9"/>
  <c r="CW55" i="9"/>
  <c r="P56" i="9"/>
  <c r="DY67" i="9"/>
  <c r="DY83" i="9" s="1"/>
  <c r="BN56" i="9"/>
  <c r="Z53" i="9"/>
  <c r="O53" i="9"/>
  <c r="CC53" i="9"/>
  <c r="DY65" i="9"/>
  <c r="DG53" i="9"/>
  <c r="DN56" i="9"/>
  <c r="EA56" i="9"/>
  <c r="L67" i="9"/>
  <c r="L85" i="9" s="1"/>
  <c r="DF55" i="9"/>
  <c r="CS67" i="9"/>
  <c r="CS94" i="9" s="1"/>
  <c r="CK67" i="9"/>
  <c r="CK94" i="9" s="1"/>
  <c r="DN53" i="9"/>
  <c r="CK53" i="9"/>
  <c r="EA60" i="9"/>
  <c r="DF56" i="9"/>
  <c r="BF56" i="9"/>
  <c r="EA64" i="9"/>
  <c r="L53" i="9"/>
  <c r="DF67" i="9"/>
  <c r="DF94" i="9" s="1"/>
  <c r="BF55" i="9"/>
  <c r="EC55" i="9"/>
  <c r="EA58" i="9"/>
  <c r="AI56" i="9"/>
  <c r="BF67" i="9"/>
  <c r="BF84" i="9" s="1"/>
  <c r="EC65" i="9"/>
  <c r="EA57" i="9"/>
  <c r="EA53" i="9"/>
  <c r="AI67" i="9"/>
  <c r="AI79" i="9" s="1"/>
  <c r="EC60" i="9"/>
  <c r="EA62" i="9"/>
  <c r="EA67" i="9"/>
  <c r="EA77" i="9" s="1"/>
  <c r="EC67" i="9"/>
  <c r="EC69" i="9" s="1"/>
  <c r="DN67" i="9"/>
  <c r="DN94" i="9" s="1"/>
  <c r="CK56" i="9"/>
  <c r="EA65" i="9"/>
  <c r="DG55" i="9"/>
  <c r="CS53" i="9"/>
  <c r="BE53" i="9"/>
  <c r="CD53" i="9"/>
  <c r="DD55" i="9"/>
  <c r="EI67" i="9"/>
  <c r="EI69" i="9" s="1"/>
  <c r="DA55" i="9"/>
  <c r="AW56" i="9"/>
  <c r="DD53" i="9"/>
  <c r="X67" i="9"/>
  <c r="X84" i="9" s="1"/>
  <c r="EI53" i="9"/>
  <c r="DA53" i="9"/>
  <c r="AW67" i="9"/>
  <c r="AW81" i="9" s="1"/>
  <c r="CG56" i="9"/>
  <c r="EI55" i="9"/>
  <c r="CG55" i="9"/>
  <c r="X56" i="9"/>
  <c r="CG53" i="9"/>
  <c r="Q56" i="9"/>
  <c r="BO56" i="9"/>
  <c r="BE56" i="9"/>
  <c r="CD56" i="9"/>
  <c r="Q53" i="9"/>
  <c r="EI56" i="9"/>
  <c r="BO55" i="9"/>
  <c r="EI65" i="9"/>
  <c r="EI64" i="9"/>
  <c r="AY56" i="9"/>
  <c r="O56" i="9"/>
  <c r="DY60" i="9"/>
  <c r="BN55" i="9"/>
  <c r="Z67" i="9"/>
  <c r="Z94" i="9" s="1"/>
  <c r="CC67" i="9"/>
  <c r="CC94" i="9" s="1"/>
  <c r="AY67" i="9"/>
  <c r="AY77" i="9" s="1"/>
  <c r="BC56" i="9"/>
  <c r="DY58" i="9"/>
  <c r="DL55" i="9"/>
  <c r="DB56" i="9"/>
  <c r="DJ55" i="9"/>
  <c r="BC67" i="9"/>
  <c r="BC81" i="9" s="1"/>
  <c r="DY64" i="9"/>
  <c r="R56" i="9"/>
  <c r="DL56" i="9"/>
  <c r="DB67" i="9"/>
  <c r="DB94" i="9" s="1"/>
  <c r="DJ56" i="9"/>
  <c r="DY56" i="9"/>
  <c r="R67" i="9"/>
  <c r="R78" i="9" s="1"/>
  <c r="DL67" i="9"/>
  <c r="DL94" i="9" s="1"/>
  <c r="DB53" i="9"/>
  <c r="DJ67" i="9"/>
  <c r="DJ94" i="9" s="1"/>
  <c r="DY55" i="9"/>
  <c r="O67" i="9"/>
  <c r="O85" i="9" s="1"/>
  <c r="DY62" i="9"/>
  <c r="CC55" i="9"/>
  <c r="DY57" i="9"/>
  <c r="CW56" i="9"/>
  <c r="DI67" i="9"/>
  <c r="DI94" i="9" s="1"/>
  <c r="J67" i="9"/>
  <c r="J79" i="9" s="1"/>
  <c r="T53" i="9"/>
  <c r="DS67" i="9"/>
  <c r="DS94" i="9" s="1"/>
  <c r="AZ56" i="9"/>
  <c r="DQ56" i="9"/>
  <c r="P53" i="9"/>
  <c r="CW53" i="9"/>
  <c r="CF56" i="9"/>
  <c r="DS53" i="9"/>
  <c r="AZ53" i="9"/>
  <c r="DQ67" i="9"/>
  <c r="DQ94" i="9" s="1"/>
  <c r="CP53" i="9"/>
  <c r="CF55" i="9"/>
  <c r="CP67" i="9"/>
  <c r="CP94" i="9" s="1"/>
  <c r="BX67" i="9"/>
  <c r="BX81" i="9" s="1"/>
  <c r="BA55" i="9"/>
  <c r="CF53" i="9"/>
  <c r="BX56" i="9"/>
  <c r="BA56" i="9"/>
  <c r="AG56" i="9"/>
  <c r="BX55" i="9"/>
  <c r="BA53" i="9"/>
  <c r="DI56" i="9"/>
  <c r="J56" i="9"/>
  <c r="BD55" i="9"/>
  <c r="BD56" i="9"/>
  <c r="DZ55" i="9"/>
  <c r="BW55" i="9"/>
  <c r="DZ62" i="9"/>
  <c r="AV56" i="9"/>
  <c r="AU56" i="9"/>
  <c r="BW56" i="9"/>
  <c r="BM56" i="9"/>
  <c r="BS56" i="9"/>
  <c r="CR67" i="9"/>
  <c r="CR94" i="9" s="1"/>
  <c r="AP67" i="9"/>
  <c r="AP78" i="9" s="1"/>
  <c r="CX55" i="9"/>
  <c r="S56" i="9"/>
  <c r="BM55" i="9"/>
  <c r="BS53" i="9"/>
  <c r="CR53" i="9"/>
  <c r="AP53" i="9"/>
  <c r="CX56" i="9"/>
  <c r="DM55" i="9"/>
  <c r="AH67" i="9"/>
  <c r="AH94" i="9" s="1"/>
  <c r="BY55" i="9"/>
  <c r="DR67" i="9"/>
  <c r="DR94" i="9" s="1"/>
  <c r="CJ55" i="9"/>
  <c r="AM67" i="9"/>
  <c r="AM76" i="9" s="1"/>
  <c r="DM56" i="9"/>
  <c r="AH53" i="9"/>
  <c r="BY56" i="9"/>
  <c r="DR53" i="9"/>
  <c r="CJ56" i="9"/>
  <c r="BH55" i="9"/>
  <c r="DZ53" i="9"/>
  <c r="AC67" i="9"/>
  <c r="AC81" i="9" s="1"/>
  <c r="BH56" i="9"/>
  <c r="CB56" i="9"/>
  <c r="CX53" i="9"/>
  <c r="CJ53" i="9"/>
  <c r="N53" i="9"/>
  <c r="DZ56" i="9"/>
  <c r="BU55" i="9"/>
  <c r="BI55" i="9"/>
  <c r="BP55" i="9"/>
  <c r="EE55" i="9"/>
  <c r="EE56" i="9"/>
  <c r="AL56" i="9"/>
  <c r="AE53" i="9"/>
  <c r="CL56" i="9"/>
  <c r="DU55" i="9"/>
  <c r="CT56" i="9"/>
  <c r="DO55" i="9"/>
  <c r="EF65" i="9"/>
  <c r="EF67" i="9"/>
  <c r="EF81" i="9" s="1"/>
  <c r="DK53" i="9"/>
  <c r="CO53" i="9"/>
  <c r="BC55" i="9"/>
  <c r="CI56" i="9"/>
  <c r="CE67" i="9"/>
  <c r="CE94" i="9" s="1"/>
  <c r="DW67" i="9"/>
  <c r="DW94" i="9" s="1"/>
  <c r="BB55" i="9"/>
  <c r="CV67" i="9"/>
  <c r="CV94" i="9" s="1"/>
  <c r="BN67" i="9"/>
  <c r="BN81" i="9" s="1"/>
  <c r="BJ55" i="9"/>
  <c r="DP55" i="9"/>
  <c r="CQ56" i="9"/>
  <c r="BH67" i="9"/>
  <c r="BH82" i="9" s="1"/>
  <c r="CB67" i="9"/>
  <c r="CB94" i="9" s="1"/>
  <c r="EI57" i="9"/>
  <c r="DT56" i="9"/>
  <c r="AX56" i="9"/>
  <c r="EH62" i="9"/>
  <c r="EH67" i="9"/>
  <c r="EH83" i="9" s="1"/>
  <c r="AQ56" i="9"/>
  <c r="EC58" i="9"/>
  <c r="EC53" i="9"/>
  <c r="S67" i="9"/>
  <c r="S78" i="9" s="1"/>
  <c r="BY53" i="9"/>
  <c r="AV67" i="9"/>
  <c r="AV80" i="9" s="1"/>
  <c r="CQ55" i="9"/>
  <c r="DM67" i="9"/>
  <c r="DM94" i="9" s="1"/>
  <c r="AL67" i="9"/>
  <c r="AL76" i="9" s="1"/>
  <c r="CV56" i="9"/>
  <c r="W53" i="9"/>
  <c r="BW67" i="9"/>
  <c r="BW77" i="9" s="1"/>
  <c r="AM56" i="9"/>
  <c r="DZ58" i="9"/>
  <c r="BU56" i="9"/>
  <c r="BI56" i="9"/>
  <c r="BP56" i="9"/>
  <c r="EE65" i="9"/>
  <c r="EE53" i="9"/>
  <c r="AL53" i="9"/>
  <c r="AE67" i="9"/>
  <c r="AE79" i="9" s="1"/>
  <c r="AJ56" i="9"/>
  <c r="CL55" i="9"/>
  <c r="DU56" i="9"/>
  <c r="CT55" i="9"/>
  <c r="DO67" i="9"/>
  <c r="DO94" i="9" s="1"/>
  <c r="EF60" i="9"/>
  <c r="EF53" i="9"/>
  <c r="BB67" i="9"/>
  <c r="BB78" i="9" s="1"/>
  <c r="CV53" i="9"/>
  <c r="BJ56" i="9"/>
  <c r="DP56" i="9"/>
  <c r="H56" i="9"/>
  <c r="AT56" i="9"/>
  <c r="CQ53" i="9"/>
  <c r="CB53" i="9"/>
  <c r="EI60" i="9"/>
  <c r="DT55" i="9"/>
  <c r="AD56" i="9"/>
  <c r="AX67" i="9"/>
  <c r="AX80" i="9" s="1"/>
  <c r="EH56" i="9"/>
  <c r="EH53" i="9"/>
  <c r="EC56" i="9"/>
  <c r="EC57" i="9"/>
  <c r="DZ67" i="9"/>
  <c r="DZ82" i="9" s="1"/>
  <c r="BM53" i="9"/>
  <c r="AG67" i="9"/>
  <c r="AG77" i="9" s="1"/>
  <c r="AU67" i="9"/>
  <c r="AU80" i="9" s="1"/>
  <c r="DZ57" i="9"/>
  <c r="BU53" i="9"/>
  <c r="BI53" i="9"/>
  <c r="BP67" i="9"/>
  <c r="BP94" i="9" s="1"/>
  <c r="EE58" i="9"/>
  <c r="AH56" i="9"/>
  <c r="BQ55" i="9"/>
  <c r="AJ67" i="9"/>
  <c r="AJ81" i="9" s="1"/>
  <c r="CL67" i="9"/>
  <c r="CL94" i="9" s="1"/>
  <c r="DU67" i="9"/>
  <c r="DU94" i="9" s="1"/>
  <c r="CT67" i="9"/>
  <c r="CT94" i="9" s="1"/>
  <c r="DO56" i="9"/>
  <c r="EF57" i="9"/>
  <c r="DG56" i="9"/>
  <c r="BS55" i="9"/>
  <c r="DR56" i="9"/>
  <c r="CR55" i="9"/>
  <c r="AP56" i="9"/>
  <c r="BB56" i="9"/>
  <c r="BJ67" i="9"/>
  <c r="BJ84" i="9" s="1"/>
  <c r="DP53" i="9"/>
  <c r="H67" i="9"/>
  <c r="H82" i="9" s="1"/>
  <c r="AT67" i="9"/>
  <c r="AT81" i="9" s="1"/>
  <c r="CP56" i="9"/>
  <c r="CS56" i="9"/>
  <c r="BD67" i="9"/>
  <c r="BD94" i="9" s="1"/>
  <c r="EI58" i="9"/>
  <c r="DT67" i="9"/>
  <c r="DT94" i="9" s="1"/>
  <c r="AD67" i="9"/>
  <c r="AD81" i="9" s="1"/>
  <c r="EH64" i="9"/>
  <c r="AQ53" i="9"/>
  <c r="EC62" i="9"/>
  <c r="DZ60" i="9"/>
  <c r="DZ64" i="9"/>
  <c r="AB94" i="9"/>
  <c r="AB81" i="9"/>
  <c r="AB80" i="9"/>
  <c r="AB76" i="9"/>
  <c r="AB79" i="9"/>
  <c r="AB77" i="9"/>
  <c r="AB82" i="9"/>
  <c r="AB78" i="9"/>
  <c r="AB84" i="9"/>
  <c r="CG94" i="9"/>
  <c r="BI84" i="9"/>
  <c r="BI77" i="9"/>
  <c r="BI78" i="9"/>
  <c r="BI76" i="9"/>
  <c r="BI81" i="9"/>
  <c r="BI79" i="9"/>
  <c r="BI94" i="9"/>
  <c r="BI82" i="9"/>
  <c r="BI80" i="9"/>
  <c r="BY94" i="9"/>
  <c r="BY82" i="9"/>
  <c r="BY80" i="9"/>
  <c r="BY81" i="9"/>
  <c r="BY77" i="9"/>
  <c r="BY76" i="9"/>
  <c r="BY79" i="9"/>
  <c r="BY78" i="9"/>
  <c r="BY84" i="9"/>
  <c r="CY94" i="9"/>
  <c r="G84" i="9"/>
  <c r="G82" i="9"/>
  <c r="G83" i="9"/>
  <c r="G69" i="9"/>
  <c r="G79" i="9"/>
  <c r="G72" i="9"/>
  <c r="G78" i="9"/>
  <c r="G94" i="9"/>
  <c r="G80" i="9"/>
  <c r="G90" i="9"/>
  <c r="G68" i="9"/>
  <c r="G76" i="9"/>
  <c r="G81" i="9"/>
  <c r="G70" i="9"/>
  <c r="G77" i="9"/>
  <c r="G85" i="9"/>
  <c r="BS78" i="9"/>
  <c r="BS77" i="9"/>
  <c r="BS84" i="9"/>
  <c r="BS76" i="9"/>
  <c r="BS80" i="9"/>
  <c r="BS81" i="9"/>
  <c r="BS82" i="9"/>
  <c r="BS79" i="9"/>
  <c r="BS94" i="9"/>
  <c r="DD94" i="9"/>
  <c r="EG94" i="9"/>
  <c r="EG68" i="9"/>
  <c r="EG86" i="9"/>
  <c r="EG82" i="9"/>
  <c r="EG70" i="9"/>
  <c r="EG78" i="9"/>
  <c r="EG80" i="9"/>
  <c r="EG84" i="9"/>
  <c r="EG77" i="9"/>
  <c r="EG90" i="9"/>
  <c r="EG72" i="9"/>
  <c r="EG88" i="9"/>
  <c r="EG83" i="9"/>
  <c r="EG92" i="9"/>
  <c r="EG69" i="9"/>
  <c r="EG79" i="9"/>
  <c r="EG81" i="9"/>
  <c r="EG85" i="9"/>
  <c r="EG76" i="9"/>
  <c r="DP94" i="9"/>
  <c r="AO94" i="9"/>
  <c r="AO81" i="9"/>
  <c r="AO80" i="9"/>
  <c r="AO84" i="9"/>
  <c r="AO76" i="9"/>
  <c r="AO79" i="9"/>
  <c r="AO78" i="9"/>
  <c r="AO82" i="9"/>
  <c r="AO77" i="9"/>
  <c r="BL81" i="9"/>
  <c r="BL78" i="9"/>
  <c r="BL80" i="9"/>
  <c r="BL94" i="9"/>
  <c r="BL76" i="9"/>
  <c r="BL82" i="9"/>
  <c r="BL77" i="9"/>
  <c r="BL79" i="9"/>
  <c r="BL84" i="9"/>
  <c r="DE94" i="9"/>
  <c r="BA76" i="9"/>
  <c r="BA94" i="9"/>
  <c r="BA84" i="9"/>
  <c r="BA77" i="9"/>
  <c r="BA79" i="9"/>
  <c r="BA80" i="9"/>
  <c r="BA82" i="9"/>
  <c r="BA78" i="9"/>
  <c r="BA81" i="9"/>
  <c r="AZ77" i="9"/>
  <c r="AZ94" i="9"/>
  <c r="AZ81" i="9"/>
  <c r="AZ84" i="9"/>
  <c r="AZ78" i="9"/>
  <c r="AZ82" i="9"/>
  <c r="AZ80" i="9"/>
  <c r="AZ76" i="9"/>
  <c r="AZ79" i="9"/>
  <c r="EB80" i="9"/>
  <c r="EB83" i="9"/>
  <c r="EB82" i="9"/>
  <c r="EB90" i="9"/>
  <c r="EB81" i="9"/>
  <c r="EB85" i="9"/>
  <c r="EB68" i="9"/>
  <c r="EB94" i="9"/>
  <c r="BE77" i="9"/>
  <c r="BE81" i="9"/>
  <c r="BE80" i="9"/>
  <c r="BE79" i="9"/>
  <c r="BE78" i="9"/>
  <c r="BE84" i="9"/>
  <c r="BE94" i="9"/>
  <c r="BE76" i="9"/>
  <c r="BE82" i="9"/>
  <c r="CD94" i="9"/>
  <c r="BR76" i="9"/>
  <c r="BR79" i="9"/>
  <c r="BR84" i="9"/>
  <c r="BR82" i="9"/>
  <c r="BR80" i="9"/>
  <c r="BR81" i="9"/>
  <c r="BR77" i="9"/>
  <c r="BR78" i="9"/>
  <c r="BR94" i="9"/>
  <c r="BG94" i="9"/>
  <c r="BG84" i="9"/>
  <c r="BG82" i="9"/>
  <c r="BG78" i="9"/>
  <c r="BG79" i="9"/>
  <c r="BG77" i="9"/>
  <c r="BG81" i="9"/>
  <c r="BG76" i="9"/>
  <c r="BG80" i="9"/>
  <c r="AR94" i="9"/>
  <c r="AR79" i="9"/>
  <c r="AR76" i="9"/>
  <c r="AR80" i="9"/>
  <c r="AR82" i="9"/>
  <c r="AR78" i="9"/>
  <c r="AR84" i="9"/>
  <c r="AR77" i="9"/>
  <c r="AR81" i="9"/>
  <c r="BZ79" i="9"/>
  <c r="BU79" i="9"/>
  <c r="BU94" i="9"/>
  <c r="BU80" i="9"/>
  <c r="BU77" i="9"/>
  <c r="BU76" i="9"/>
  <c r="BU81" i="9"/>
  <c r="BU84" i="9"/>
  <c r="BU82" i="9"/>
  <c r="BU78" i="9"/>
  <c r="K94" i="9"/>
  <c r="K85" i="9"/>
  <c r="K79" i="9"/>
  <c r="K84" i="9"/>
  <c r="K78" i="9"/>
  <c r="K76" i="9"/>
  <c r="K80" i="9"/>
  <c r="K81" i="9"/>
  <c r="K82" i="9"/>
  <c r="K77" i="9"/>
  <c r="BM76" i="9"/>
  <c r="BM80" i="9"/>
  <c r="BM82" i="9"/>
  <c r="BM78" i="9"/>
  <c r="BM79" i="9"/>
  <c r="BM94" i="9"/>
  <c r="BM84" i="9"/>
  <c r="BM81" i="9"/>
  <c r="BM77" i="9"/>
  <c r="CW94" i="9"/>
  <c r="AS94" i="9"/>
  <c r="AS79" i="9"/>
  <c r="AS82" i="9"/>
  <c r="AS77" i="9"/>
  <c r="AS84" i="9"/>
  <c r="AS81" i="9"/>
  <c r="AS76" i="9"/>
  <c r="AS80" i="9"/>
  <c r="AS78" i="9"/>
  <c r="AN94" i="9"/>
  <c r="AN78" i="9"/>
  <c r="AN84" i="9"/>
  <c r="AN79" i="9"/>
  <c r="AN81" i="9"/>
  <c r="AN76" i="9"/>
  <c r="AN80" i="9"/>
  <c r="AN77" i="9"/>
  <c r="AN82" i="9"/>
  <c r="CU94" i="9"/>
  <c r="N94" i="9"/>
  <c r="N85" i="9"/>
  <c r="N78" i="9"/>
  <c r="N76" i="9"/>
  <c r="N84" i="9"/>
  <c r="N77" i="9"/>
  <c r="N82" i="9"/>
  <c r="N79" i="9"/>
  <c r="N80" i="9"/>
  <c r="N81" i="9"/>
  <c r="DG94" i="9"/>
  <c r="DC94" i="9"/>
  <c r="BT77" i="9"/>
  <c r="BT76" i="9"/>
  <c r="DK94" i="9"/>
  <c r="BV94" i="9"/>
  <c r="BV78" i="9"/>
  <c r="BV82" i="9"/>
  <c r="BV79" i="9"/>
  <c r="BV77" i="9"/>
  <c r="BV81" i="9"/>
  <c r="BV84" i="9"/>
  <c r="BV80" i="9"/>
  <c r="BV76" i="9"/>
  <c r="CO94" i="9"/>
  <c r="CQ94" i="9"/>
  <c r="M94" i="9"/>
  <c r="M85" i="9"/>
  <c r="M81" i="9"/>
  <c r="M84" i="9"/>
  <c r="M77" i="9"/>
  <c r="M78" i="9"/>
  <c r="M82" i="9"/>
  <c r="M76" i="9"/>
  <c r="M79" i="9"/>
  <c r="M80" i="9"/>
  <c r="DA94" i="9"/>
  <c r="EC76" i="9"/>
  <c r="CZ94" i="9"/>
  <c r="Y94" i="9"/>
  <c r="Y85" i="9"/>
  <c r="Y78" i="9"/>
  <c r="Y79" i="9"/>
  <c r="Y81" i="9"/>
  <c r="Y84" i="9"/>
  <c r="Y76" i="9"/>
  <c r="Y80" i="9"/>
  <c r="Y77" i="9"/>
  <c r="Y82" i="9"/>
  <c r="I94" i="9"/>
  <c r="I85" i="9"/>
  <c r="I79" i="9"/>
  <c r="I82" i="9"/>
  <c r="I76" i="9"/>
  <c r="CF94" i="9"/>
  <c r="BK84" i="9"/>
  <c r="BK82" i="9"/>
  <c r="BK80" i="9"/>
  <c r="BK81" i="9"/>
  <c r="BK79" i="9"/>
  <c r="BK77" i="9"/>
  <c r="BK78" i="9"/>
  <c r="BK94" i="9"/>
  <c r="BK76" i="9"/>
  <c r="U94" i="9"/>
  <c r="U85" i="9"/>
  <c r="U81" i="9"/>
  <c r="U84" i="9"/>
  <c r="U76" i="9"/>
  <c r="U80" i="9"/>
  <c r="U77" i="9"/>
  <c r="U82" i="9"/>
  <c r="U79" i="9"/>
  <c r="U78" i="9"/>
  <c r="DV94" i="9"/>
  <c r="CX94" i="9"/>
  <c r="CJ94" i="9"/>
  <c r="DH94" i="9"/>
  <c r="P94" i="9"/>
  <c r="P85" i="9"/>
  <c r="P79" i="9"/>
  <c r="P84" i="9"/>
  <c r="P81" i="9"/>
  <c r="P76" i="9"/>
  <c r="P77" i="9"/>
  <c r="P80" i="9"/>
  <c r="P78" i="9"/>
  <c r="P82" i="9"/>
  <c r="AQ94" i="9"/>
  <c r="AQ80" i="9"/>
  <c r="AQ76" i="9"/>
  <c r="AQ81" i="9"/>
  <c r="AQ84" i="9"/>
  <c r="AQ77" i="9"/>
  <c r="AQ79" i="9"/>
  <c r="AQ78" i="9"/>
  <c r="AQ82" i="9"/>
  <c r="CP248" i="4"/>
  <c r="ED248" i="4"/>
  <c r="ED262" i="4"/>
  <c r="ED260" i="4"/>
  <c r="ED250" i="4"/>
  <c r="JN240" i="4" s="1"/>
  <c r="ED249" i="4"/>
  <c r="ED251" i="4"/>
  <c r="ED266" i="4"/>
  <c r="ED255" i="4"/>
  <c r="ED267" i="4"/>
  <c r="ED254" i="4"/>
  <c r="ED261" i="4"/>
  <c r="ED256" i="4"/>
  <c r="ED265" i="4"/>
  <c r="ED257" i="4"/>
  <c r="ED246" i="4"/>
  <c r="ED239" i="4"/>
  <c r="ED235" i="4"/>
  <c r="ED245" i="4"/>
  <c r="ED244" i="4"/>
  <c r="ED234" i="4"/>
  <c r="ED228" i="4"/>
  <c r="JN207" i="4" s="1"/>
  <c r="ED229" i="4"/>
  <c r="JN201" i="4" s="1"/>
  <c r="ED230" i="4"/>
  <c r="ED240" i="4"/>
  <c r="ED233" i="4"/>
  <c r="ED236" i="4"/>
  <c r="ED241" i="4"/>
  <c r="CK248" i="4"/>
  <c r="DS248" i="4"/>
  <c r="CE248" i="4"/>
  <c r="BT248" i="4"/>
  <c r="DQ248" i="4"/>
  <c r="BN248" i="4"/>
  <c r="DR248" i="4"/>
  <c r="CC248" i="4"/>
  <c r="CB248" i="4"/>
  <c r="DL248" i="4"/>
  <c r="CI248" i="4"/>
  <c r="CW248" i="4"/>
  <c r="CN248" i="4"/>
  <c r="BH248" i="4"/>
  <c r="DI248" i="4"/>
  <c r="BL248" i="4"/>
  <c r="BG248" i="4"/>
  <c r="EG248" i="4"/>
  <c r="EG251" i="4"/>
  <c r="EG249" i="4"/>
  <c r="EG260" i="4"/>
  <c r="EG250" i="4"/>
  <c r="JQ240" i="4" s="1"/>
  <c r="EG261" i="4"/>
  <c r="EG267" i="4"/>
  <c r="EG255" i="4"/>
  <c r="EG266" i="4"/>
  <c r="EG262" i="4"/>
  <c r="EG257" i="4"/>
  <c r="EG265" i="4"/>
  <c r="EG256" i="4"/>
  <c r="EG239" i="4"/>
  <c r="EG244" i="4"/>
  <c r="EG233" i="4"/>
  <c r="EG254" i="4"/>
  <c r="EG240" i="4"/>
  <c r="EG241" i="4"/>
  <c r="EG235" i="4"/>
  <c r="EG245" i="4"/>
  <c r="EG246" i="4"/>
  <c r="EG236" i="4"/>
  <c r="EG229" i="4"/>
  <c r="JQ201" i="4" s="1"/>
  <c r="EG228" i="4"/>
  <c r="JQ207" i="4" s="1"/>
  <c r="EG234" i="4"/>
  <c r="EG230" i="4"/>
  <c r="EE248" i="4"/>
  <c r="EE249" i="4"/>
  <c r="EE261" i="4"/>
  <c r="EE250" i="4"/>
  <c r="JO240" i="4" s="1"/>
  <c r="EE262" i="4"/>
  <c r="EE251" i="4"/>
  <c r="EE266" i="4"/>
  <c r="EE260" i="4"/>
  <c r="EE267" i="4"/>
  <c r="EE265" i="4"/>
  <c r="EE255" i="4"/>
  <c r="EE241" i="4"/>
  <c r="EE233" i="4"/>
  <c r="EE254" i="4"/>
  <c r="EE257" i="4"/>
  <c r="EE235" i="4"/>
  <c r="EE246" i="4"/>
  <c r="EE234" i="4"/>
  <c r="EE256" i="4"/>
  <c r="EE236" i="4"/>
  <c r="EE245" i="4"/>
  <c r="EE230" i="4"/>
  <c r="EE244" i="4"/>
  <c r="EE240" i="4"/>
  <c r="EE239" i="4"/>
  <c r="EE228" i="4"/>
  <c r="JO207" i="4" s="1"/>
  <c r="EE229" i="4"/>
  <c r="JO201" i="4" s="1"/>
  <c r="EL248" i="4"/>
  <c r="EL251" i="4"/>
  <c r="EL266" i="4"/>
  <c r="EL260" i="4"/>
  <c r="EL262" i="4"/>
  <c r="EL261" i="4"/>
  <c r="EL249" i="4"/>
  <c r="EL255" i="4"/>
  <c r="EL265" i="4"/>
  <c r="EL256" i="4"/>
  <c r="EL250" i="4"/>
  <c r="JV240" i="4" s="1"/>
  <c r="EL257" i="4"/>
  <c r="EL241" i="4"/>
  <c r="EL236" i="4"/>
  <c r="EL229" i="4"/>
  <c r="JV201" i="4" s="1"/>
  <c r="EL244" i="4"/>
  <c r="EL239" i="4"/>
  <c r="EL228" i="4"/>
  <c r="JV207" i="4" s="1"/>
  <c r="EL246" i="4"/>
  <c r="EL233" i="4"/>
  <c r="EL254" i="4"/>
  <c r="EL240" i="4"/>
  <c r="EL235" i="4"/>
  <c r="EL234" i="4"/>
  <c r="EL230" i="4"/>
  <c r="EL267" i="4"/>
  <c r="EL245" i="4"/>
  <c r="DJ248" i="4"/>
  <c r="CM248" i="4"/>
  <c r="DG248" i="4"/>
  <c r="DN248" i="4"/>
  <c r="CR248" i="4"/>
  <c r="DP248" i="4"/>
  <c r="CV248" i="4"/>
  <c r="DB248" i="4"/>
  <c r="BY248" i="4"/>
  <c r="CQ248" i="4"/>
  <c r="CX248" i="4"/>
  <c r="BQ248" i="4"/>
  <c r="DD248" i="4"/>
  <c r="DF248" i="4"/>
  <c r="CL248" i="4"/>
  <c r="BX248" i="4"/>
  <c r="BC248" i="4"/>
  <c r="BJ248" i="4"/>
  <c r="EH248" i="4"/>
  <c r="EH262" i="4"/>
  <c r="EH265" i="4"/>
  <c r="EH251" i="4"/>
  <c r="EH260" i="4"/>
  <c r="EH249" i="4"/>
  <c r="EH267" i="4"/>
  <c r="EH250" i="4"/>
  <c r="JR240" i="4" s="1"/>
  <c r="EH256" i="4"/>
  <c r="EH266" i="4"/>
  <c r="EH254" i="4"/>
  <c r="EH261" i="4"/>
  <c r="EH246" i="4"/>
  <c r="EH239" i="4"/>
  <c r="EH257" i="4"/>
  <c r="EH240" i="4"/>
  <c r="EH233" i="4"/>
  <c r="EH245" i="4"/>
  <c r="EH234" i="4"/>
  <c r="EH228" i="4"/>
  <c r="JR207" i="4" s="1"/>
  <c r="EH255" i="4"/>
  <c r="EH235" i="4"/>
  <c r="EH241" i="4"/>
  <c r="EH236" i="4"/>
  <c r="EH229" i="4"/>
  <c r="JR201" i="4" s="1"/>
  <c r="EH244" i="4"/>
  <c r="EH230" i="4"/>
  <c r="CZ248" i="4"/>
  <c r="CO248" i="4"/>
  <c r="BD248" i="4"/>
  <c r="BZ248" i="4"/>
  <c r="DE248" i="4"/>
  <c r="DA248" i="4"/>
  <c r="DO248" i="4"/>
  <c r="DV248" i="4"/>
  <c r="DH248" i="4"/>
  <c r="BV248" i="4"/>
  <c r="EF248" i="4"/>
  <c r="EF250" i="4"/>
  <c r="JP240" i="4" s="1"/>
  <c r="EF262" i="4"/>
  <c r="EF251" i="4"/>
  <c r="EF249" i="4"/>
  <c r="EF260" i="4"/>
  <c r="EF256" i="4"/>
  <c r="EF267" i="4"/>
  <c r="EF255" i="4"/>
  <c r="EF266" i="4"/>
  <c r="EF254" i="4"/>
  <c r="EF236" i="4"/>
  <c r="EF233" i="4"/>
  <c r="EF246" i="4"/>
  <c r="EF261" i="4"/>
  <c r="EF257" i="4"/>
  <c r="EF244" i="4"/>
  <c r="EF241" i="4"/>
  <c r="EF265" i="4"/>
  <c r="EF240" i="4"/>
  <c r="EF239" i="4"/>
  <c r="EF235" i="4"/>
  <c r="EF229" i="4"/>
  <c r="JP201" i="4" s="1"/>
  <c r="EF234" i="4"/>
  <c r="EF228" i="4"/>
  <c r="JP207" i="4" s="1"/>
  <c r="EF245" i="4"/>
  <c r="EF230" i="4"/>
  <c r="BK248" i="4"/>
  <c r="BR248" i="4"/>
  <c r="CU248" i="4"/>
  <c r="CD248" i="4"/>
  <c r="BM248" i="4"/>
  <c r="DZ248" i="4"/>
  <c r="BI248" i="4"/>
  <c r="CE96" i="4"/>
  <c r="HO101" i="4" s="1"/>
  <c r="CY248" i="4"/>
  <c r="DC248" i="4"/>
  <c r="BP248" i="4"/>
  <c r="EM248" i="4"/>
  <c r="EM249" i="4"/>
  <c r="EM261" i="4"/>
  <c r="EM250" i="4"/>
  <c r="JW240" i="4" s="1"/>
  <c r="EM262" i="4"/>
  <c r="EM251" i="4"/>
  <c r="EM256" i="4"/>
  <c r="EM260" i="4"/>
  <c r="EM266" i="4"/>
  <c r="EM255" i="4"/>
  <c r="EM267" i="4"/>
  <c r="EM254" i="4"/>
  <c r="EM265" i="4"/>
  <c r="EM235" i="4"/>
  <c r="EM244" i="4"/>
  <c r="EM234" i="4"/>
  <c r="EM257" i="4"/>
  <c r="EM241" i="4"/>
  <c r="EM245" i="4"/>
  <c r="EM240" i="4"/>
  <c r="EM230" i="4"/>
  <c r="EM246" i="4"/>
  <c r="EM229" i="4"/>
  <c r="JW201" i="4" s="1"/>
  <c r="EM239" i="4"/>
  <c r="EM233" i="4"/>
  <c r="EM228" i="4"/>
  <c r="JW207" i="4" s="1"/>
  <c r="EM236" i="4"/>
  <c r="CF121" i="4"/>
  <c r="CF123" i="4"/>
  <c r="CF92" i="4"/>
  <c r="CF104" i="4"/>
  <c r="CF120" i="4"/>
  <c r="CF122" i="4"/>
  <c r="CF95" i="4"/>
  <c r="CF105" i="4"/>
  <c r="CF102" i="4"/>
  <c r="CF134" i="4"/>
  <c r="CF119" i="4"/>
  <c r="CF118" i="4"/>
  <c r="CF93" i="4"/>
  <c r="CF90" i="4"/>
  <c r="CF126" i="4"/>
  <c r="CF94" i="4"/>
  <c r="CF133" i="4"/>
  <c r="CF91" i="4"/>
  <c r="CF124" i="4"/>
  <c r="HP115" i="4"/>
  <c r="HP86" i="4"/>
  <c r="EN248" i="4"/>
  <c r="EN251" i="4"/>
  <c r="EN249" i="4"/>
  <c r="EN257" i="4"/>
  <c r="EN236" i="4"/>
  <c r="EN233" i="4"/>
  <c r="EN234" i="4"/>
  <c r="EN229" i="4"/>
  <c r="JX201" i="4" s="1"/>
  <c r="EN260" i="4"/>
  <c r="EN267" i="4"/>
  <c r="EN256" i="4"/>
  <c r="EN239" i="4"/>
  <c r="EN245" i="4"/>
  <c r="EN246" i="4"/>
  <c r="EN228" i="4"/>
  <c r="JX207" i="4" s="1"/>
  <c r="EN261" i="4"/>
  <c r="EN266" i="4"/>
  <c r="EN255" i="4"/>
  <c r="EN244" i="4"/>
  <c r="EN240" i="4"/>
  <c r="EN230" i="4"/>
  <c r="EN250" i="4"/>
  <c r="JX240" i="4" s="1"/>
  <c r="EN241" i="4"/>
  <c r="EN262" i="4"/>
  <c r="EN235" i="4"/>
  <c r="EN265" i="4"/>
  <c r="EN254" i="4"/>
  <c r="BW248" i="4"/>
  <c r="CJ248" i="4"/>
  <c r="EC248" i="4"/>
  <c r="EC249" i="4"/>
  <c r="EC262" i="4"/>
  <c r="EC250" i="4"/>
  <c r="JM240" i="4" s="1"/>
  <c r="EC261" i="4"/>
  <c r="EC260" i="4"/>
  <c r="EC265" i="4"/>
  <c r="EC266" i="4"/>
  <c r="EC267" i="4"/>
  <c r="EC255" i="4"/>
  <c r="EC239" i="4"/>
  <c r="EC241" i="4"/>
  <c r="EC254" i="4"/>
  <c r="EC257" i="4"/>
  <c r="EC245" i="4"/>
  <c r="EC244" i="4"/>
  <c r="EC240" i="4"/>
  <c r="EC256" i="4"/>
  <c r="EC246" i="4"/>
  <c r="EC235" i="4"/>
  <c r="EC230" i="4"/>
  <c r="EC236" i="4"/>
  <c r="EC228" i="4"/>
  <c r="JM207" i="4" s="1"/>
  <c r="EC234" i="4"/>
  <c r="EC229" i="4"/>
  <c r="JM201" i="4" s="1"/>
  <c r="EC251" i="4"/>
  <c r="EC233" i="4"/>
  <c r="BO248" i="4"/>
  <c r="DU248" i="4"/>
  <c r="EI248" i="4"/>
  <c r="EI249" i="4"/>
  <c r="EI251" i="4"/>
  <c r="EI261" i="4"/>
  <c r="EI260" i="4"/>
  <c r="EI266" i="4"/>
  <c r="EI267" i="4"/>
  <c r="EI262" i="4"/>
  <c r="EI265" i="4"/>
  <c r="EI255" i="4"/>
  <c r="EI241" i="4"/>
  <c r="EI245" i="4"/>
  <c r="EI236" i="4"/>
  <c r="EI254" i="4"/>
  <c r="EI244" i="4"/>
  <c r="EI234" i="4"/>
  <c r="EI233" i="4"/>
  <c r="EI250" i="4"/>
  <c r="JS240" i="4" s="1"/>
  <c r="EI257" i="4"/>
  <c r="EI235" i="4"/>
  <c r="EI239" i="4"/>
  <c r="EI240" i="4"/>
  <c r="EI229" i="4"/>
  <c r="JS201" i="4" s="1"/>
  <c r="EI246" i="4"/>
  <c r="EI230" i="4"/>
  <c r="EI256" i="4"/>
  <c r="EI228" i="4"/>
  <c r="JS207" i="4" s="1"/>
  <c r="EB248" i="4"/>
  <c r="DW248" i="4"/>
  <c r="DX248" i="4"/>
  <c r="DY248" i="4"/>
  <c r="EA248" i="4"/>
  <c r="CS248" i="4"/>
  <c r="BS248" i="4"/>
  <c r="CA248" i="4"/>
  <c r="BE248" i="4"/>
  <c r="CF248" i="4"/>
  <c r="BB248" i="4"/>
  <c r="DK248" i="4"/>
  <c r="BU248" i="4"/>
  <c r="EJ248" i="4"/>
  <c r="EJ262" i="4"/>
  <c r="EJ260" i="4"/>
  <c r="EJ265" i="4"/>
  <c r="EJ249" i="4"/>
  <c r="EJ261" i="4"/>
  <c r="EJ251" i="4"/>
  <c r="EJ267" i="4"/>
  <c r="EJ256" i="4"/>
  <c r="EJ266" i="4"/>
  <c r="EJ250" i="4"/>
  <c r="JT240" i="4" s="1"/>
  <c r="EJ254" i="4"/>
  <c r="EJ257" i="4"/>
  <c r="EJ255" i="4"/>
  <c r="EJ245" i="4"/>
  <c r="EJ235" i="4"/>
  <c r="EJ234" i="4"/>
  <c r="EJ228" i="4"/>
  <c r="JT207" i="4" s="1"/>
  <c r="EJ233" i="4"/>
  <c r="EJ244" i="4"/>
  <c r="EJ236" i="4"/>
  <c r="EJ229" i="4"/>
  <c r="JT201" i="4" s="1"/>
  <c r="EJ239" i="4"/>
  <c r="EJ246" i="4"/>
  <c r="EJ240" i="4"/>
  <c r="EJ241" i="4"/>
  <c r="EJ230" i="4"/>
  <c r="EK248" i="4"/>
  <c r="EK249" i="4"/>
  <c r="EK261" i="4"/>
  <c r="EK251" i="4"/>
  <c r="EK266" i="4"/>
  <c r="EK256" i="4"/>
  <c r="EK250" i="4"/>
  <c r="JU240" i="4" s="1"/>
  <c r="EK267" i="4"/>
  <c r="EK260" i="4"/>
  <c r="EK254" i="4"/>
  <c r="EK262" i="4"/>
  <c r="EK245" i="4"/>
  <c r="EK236" i="4"/>
  <c r="EK241" i="4"/>
  <c r="EK257" i="4"/>
  <c r="EK239" i="4"/>
  <c r="EK244" i="4"/>
  <c r="EK240" i="4"/>
  <c r="EK228" i="4"/>
  <c r="JU207" i="4" s="1"/>
  <c r="EK229" i="4"/>
  <c r="JU201" i="4" s="1"/>
  <c r="EK234" i="4"/>
  <c r="EK265" i="4"/>
  <c r="EK255" i="4"/>
  <c r="EK246" i="4"/>
  <c r="EK233" i="4"/>
  <c r="EK230" i="4"/>
  <c r="EK235" i="4"/>
  <c r="CT248" i="4"/>
  <c r="BF248" i="4"/>
  <c r="CG248" i="4"/>
  <c r="HO95" i="4"/>
  <c r="HO94" i="4"/>
  <c r="HO91" i="4"/>
  <c r="HO97" i="4"/>
  <c r="HO98" i="4" s="1"/>
  <c r="HO99" i="4" s="1"/>
  <c r="HO100" i="4" s="1"/>
  <c r="HO92" i="4"/>
  <c r="HO93" i="4"/>
  <c r="HO90" i="4"/>
  <c r="HN96" i="4"/>
  <c r="CD97" i="4" s="1"/>
  <c r="DT248" i="4"/>
  <c r="DM248" i="4"/>
  <c r="BA248" i="4"/>
  <c r="CH248" i="4"/>
  <c r="HR85" i="4"/>
  <c r="HR84" i="4" s="1"/>
  <c r="CH84" i="4" s="1"/>
  <c r="AF81" i="9" l="1"/>
  <c r="BZ94" i="9"/>
  <c r="EE92" i="9"/>
  <c r="EE90" i="9"/>
  <c r="CA78" i="9"/>
  <c r="CA76" i="9"/>
  <c r="AA79" i="9"/>
  <c r="CA80" i="9"/>
  <c r="AA81" i="9"/>
  <c r="AA78" i="9"/>
  <c r="AA80" i="9"/>
  <c r="AA76" i="9"/>
  <c r="AA94" i="9"/>
  <c r="AA84" i="9"/>
  <c r="AA82" i="9"/>
  <c r="DX78" i="9"/>
  <c r="Q76" i="9"/>
  <c r="ED82" i="9"/>
  <c r="AK81" i="9"/>
  <c r="DX72" i="9"/>
  <c r="DX81" i="9"/>
  <c r="DX92" i="9"/>
  <c r="DX88" i="9"/>
  <c r="AK79" i="9"/>
  <c r="DX80" i="9"/>
  <c r="DX68" i="9"/>
  <c r="AK82" i="9"/>
  <c r="DX77" i="9"/>
  <c r="DX82" i="9"/>
  <c r="AK84" i="9"/>
  <c r="DX76" i="9"/>
  <c r="DX85" i="9"/>
  <c r="AK80" i="9"/>
  <c r="DX69" i="9"/>
  <c r="DX94" i="9"/>
  <c r="AK76" i="9"/>
  <c r="AK94" i="9"/>
  <c r="DX86" i="9"/>
  <c r="DX90" i="9"/>
  <c r="DX84" i="9"/>
  <c r="AK78" i="9"/>
  <c r="DX70" i="9"/>
  <c r="DX79" i="9"/>
  <c r="ED76" i="9"/>
  <c r="Q84" i="9"/>
  <c r="ED68" i="9"/>
  <c r="Q81" i="9"/>
  <c r="Q85" i="9"/>
  <c r="Q78" i="9"/>
  <c r="Q94" i="9"/>
  <c r="L79" i="9"/>
  <c r="Q77" i="9"/>
  <c r="BW84" i="9"/>
  <c r="L81" i="9"/>
  <c r="ED94" i="9"/>
  <c r="ED106" i="9" s="1"/>
  <c r="Q79" i="9"/>
  <c r="L94" i="9"/>
  <c r="ED84" i="9"/>
  <c r="Q80" i="9"/>
  <c r="ED90" i="9"/>
  <c r="BQ84" i="9"/>
  <c r="AW80" i="9"/>
  <c r="AF80" i="9"/>
  <c r="EE70" i="9"/>
  <c r="EE86" i="9"/>
  <c r="EE80" i="9"/>
  <c r="AF76" i="9"/>
  <c r="EE68" i="9"/>
  <c r="EE88" i="9"/>
  <c r="EE78" i="9"/>
  <c r="AF94" i="9"/>
  <c r="EE77" i="9"/>
  <c r="EE79" i="9"/>
  <c r="EE85" i="9"/>
  <c r="EE94" i="9"/>
  <c r="EE95" i="9" s="1"/>
  <c r="EE83" i="9"/>
  <c r="EE72" i="9"/>
  <c r="EE81" i="9"/>
  <c r="EE76" i="9"/>
  <c r="EE69" i="9"/>
  <c r="EE82" i="9"/>
  <c r="BQ82" i="9"/>
  <c r="BQ76" i="9"/>
  <c r="BQ77" i="9"/>
  <c r="BZ78" i="9"/>
  <c r="I81" i="9"/>
  <c r="BZ84" i="9"/>
  <c r="EB76" i="9"/>
  <c r="EB84" i="9"/>
  <c r="EB79" i="9"/>
  <c r="BQ80" i="9"/>
  <c r="I84" i="9"/>
  <c r="BZ76" i="9"/>
  <c r="EB72" i="9"/>
  <c r="EB69" i="9"/>
  <c r="BQ78" i="9"/>
  <c r="I78" i="9"/>
  <c r="BZ81" i="9"/>
  <c r="EB70" i="9"/>
  <c r="EB86" i="9"/>
  <c r="BQ94" i="9"/>
  <c r="BZ77" i="9"/>
  <c r="I80" i="9"/>
  <c r="BZ80" i="9"/>
  <c r="EB77" i="9"/>
  <c r="EB88" i="9"/>
  <c r="BQ81" i="9"/>
  <c r="EB78" i="9"/>
  <c r="X80" i="9"/>
  <c r="T84" i="9"/>
  <c r="X94" i="9"/>
  <c r="Z76" i="9"/>
  <c r="S84" i="9"/>
  <c r="W82" i="9"/>
  <c r="Z80" i="9"/>
  <c r="S81" i="9"/>
  <c r="W84" i="9"/>
  <c r="BC80" i="9"/>
  <c r="S85" i="9"/>
  <c r="W94" i="9"/>
  <c r="BC79" i="9"/>
  <c r="T81" i="9"/>
  <c r="X76" i="9"/>
  <c r="DY82" i="9"/>
  <c r="DY88" i="9"/>
  <c r="AI84" i="9"/>
  <c r="DY84" i="9"/>
  <c r="DY77" i="9"/>
  <c r="DY79" i="9"/>
  <c r="DY92" i="9"/>
  <c r="DY85" i="9"/>
  <c r="DY81" i="9"/>
  <c r="DY76" i="9"/>
  <c r="DY86" i="9"/>
  <c r="DY90" i="9"/>
  <c r="DY72" i="9"/>
  <c r="DY94" i="9"/>
  <c r="DY98" i="9" s="1"/>
  <c r="DY70" i="9"/>
  <c r="DY78" i="9"/>
  <c r="DY80" i="9"/>
  <c r="DY68" i="9"/>
  <c r="DY69" i="9"/>
  <c r="AF78" i="9"/>
  <c r="AF84" i="9"/>
  <c r="R84" i="9"/>
  <c r="AF82" i="9"/>
  <c r="AF79" i="9"/>
  <c r="BF82" i="9"/>
  <c r="BT81" i="9"/>
  <c r="AW79" i="9"/>
  <c r="CA82" i="9"/>
  <c r="CA77" i="9"/>
  <c r="BF79" i="9"/>
  <c r="BT82" i="9"/>
  <c r="BT80" i="9"/>
  <c r="CA81" i="9"/>
  <c r="BT84" i="9"/>
  <c r="CA79" i="9"/>
  <c r="EC77" i="9"/>
  <c r="BT79" i="9"/>
  <c r="EC83" i="9"/>
  <c r="BT94" i="9"/>
  <c r="CA84" i="9"/>
  <c r="EC68" i="9"/>
  <c r="L78" i="9"/>
  <c r="ED69" i="9"/>
  <c r="ED78" i="9"/>
  <c r="ED83" i="9"/>
  <c r="L84" i="9"/>
  <c r="ED72" i="9"/>
  <c r="ED85" i="9"/>
  <c r="L80" i="9"/>
  <c r="ED81" i="9"/>
  <c r="ED77" i="9"/>
  <c r="L82" i="9"/>
  <c r="ED70" i="9"/>
  <c r="ED79" i="9"/>
  <c r="BD79" i="9"/>
  <c r="L77" i="9"/>
  <c r="ED92" i="9"/>
  <c r="ED88" i="9"/>
  <c r="AM78" i="9"/>
  <c r="L76" i="9"/>
  <c r="ED86" i="9"/>
  <c r="BP80" i="9"/>
  <c r="EA81" i="9"/>
  <c r="AC78" i="9"/>
  <c r="V80" i="9"/>
  <c r="V79" i="9"/>
  <c r="BX94" i="9"/>
  <c r="BB80" i="9"/>
  <c r="BX77" i="9"/>
  <c r="AE80" i="9"/>
  <c r="AY84" i="9"/>
  <c r="EA88" i="9"/>
  <c r="AY94" i="9"/>
  <c r="EA78" i="9"/>
  <c r="AV77" i="9"/>
  <c r="AY82" i="9"/>
  <c r="EA84" i="9"/>
  <c r="V77" i="9"/>
  <c r="AY76" i="9"/>
  <c r="T77" i="9"/>
  <c r="X81" i="9"/>
  <c r="X85" i="9"/>
  <c r="BC84" i="9"/>
  <c r="BP76" i="9"/>
  <c r="Z77" i="9"/>
  <c r="EA86" i="9"/>
  <c r="EA79" i="9"/>
  <c r="BX82" i="9"/>
  <c r="BX79" i="9"/>
  <c r="S79" i="9"/>
  <c r="BB82" i="9"/>
  <c r="W78" i="9"/>
  <c r="W85" i="9"/>
  <c r="AV94" i="9"/>
  <c r="AV78" i="9"/>
  <c r="AC84" i="9"/>
  <c r="AE77" i="9"/>
  <c r="BP79" i="9"/>
  <c r="V78" i="9"/>
  <c r="AY80" i="9"/>
  <c r="T79" i="9"/>
  <c r="T85" i="9"/>
  <c r="X82" i="9"/>
  <c r="BC78" i="9"/>
  <c r="BP84" i="9"/>
  <c r="Z84" i="9"/>
  <c r="EA70" i="9"/>
  <c r="EA94" i="9"/>
  <c r="EA95" i="9" s="1"/>
  <c r="BX84" i="9"/>
  <c r="S76" i="9"/>
  <c r="S94" i="9"/>
  <c r="BB84" i="9"/>
  <c r="W79" i="9"/>
  <c r="AV84" i="9"/>
  <c r="AC77" i="9"/>
  <c r="AE76" i="9"/>
  <c r="AV76" i="9"/>
  <c r="AC76" i="9"/>
  <c r="V84" i="9"/>
  <c r="AY81" i="9"/>
  <c r="T82" i="9"/>
  <c r="T94" i="9"/>
  <c r="X77" i="9"/>
  <c r="BC76" i="9"/>
  <c r="BP77" i="9"/>
  <c r="Z79" i="9"/>
  <c r="EA76" i="9"/>
  <c r="EA72" i="9"/>
  <c r="EA68" i="9"/>
  <c r="BX78" i="9"/>
  <c r="S82" i="9"/>
  <c r="BB77" i="9"/>
  <c r="W76" i="9"/>
  <c r="AV79" i="9"/>
  <c r="AC80" i="9"/>
  <c r="AC94" i="9"/>
  <c r="AE94" i="9"/>
  <c r="BB81" i="9"/>
  <c r="V82" i="9"/>
  <c r="V85" i="9"/>
  <c r="AY78" i="9"/>
  <c r="T78" i="9"/>
  <c r="X79" i="9"/>
  <c r="BC82" i="9"/>
  <c r="BP81" i="9"/>
  <c r="Z81" i="9"/>
  <c r="EA92" i="9"/>
  <c r="EA90" i="9"/>
  <c r="EA83" i="9"/>
  <c r="BX76" i="9"/>
  <c r="S77" i="9"/>
  <c r="BB76" i="9"/>
  <c r="W80" i="9"/>
  <c r="AV81" i="9"/>
  <c r="AC82" i="9"/>
  <c r="AE82" i="9"/>
  <c r="V81" i="9"/>
  <c r="V94" i="9"/>
  <c r="AY79" i="9"/>
  <c r="T80" i="9"/>
  <c r="X78" i="9"/>
  <c r="BC94" i="9"/>
  <c r="BC77" i="9"/>
  <c r="BP82" i="9"/>
  <c r="Z82" i="9"/>
  <c r="EA82" i="9"/>
  <c r="EA85" i="9"/>
  <c r="EA69" i="9"/>
  <c r="BX80" i="9"/>
  <c r="S80" i="9"/>
  <c r="BB94" i="9"/>
  <c r="W81" i="9"/>
  <c r="AV82" i="9"/>
  <c r="AC79" i="9"/>
  <c r="BP78" i="9"/>
  <c r="Z78" i="9"/>
  <c r="EA80" i="9"/>
  <c r="BB79" i="9"/>
  <c r="AE78" i="9"/>
  <c r="BF78" i="9"/>
  <c r="BF94" i="9"/>
  <c r="EC72" i="9"/>
  <c r="EC80" i="9"/>
  <c r="AW84" i="9"/>
  <c r="BF81" i="9"/>
  <c r="EC78" i="9"/>
  <c r="EC70" i="9"/>
  <c r="EC82" i="9"/>
  <c r="AW76" i="9"/>
  <c r="BF77" i="9"/>
  <c r="EC90" i="9"/>
  <c r="EC84" i="9"/>
  <c r="EC94" i="9"/>
  <c r="EC95" i="9" s="1"/>
  <c r="AW94" i="9"/>
  <c r="AW78" i="9"/>
  <c r="BF80" i="9"/>
  <c r="EC86" i="9"/>
  <c r="EC85" i="9"/>
  <c r="EC92" i="9"/>
  <c r="DZ85" i="9"/>
  <c r="AW77" i="9"/>
  <c r="BF76" i="9"/>
  <c r="EC81" i="9"/>
  <c r="EC79" i="9"/>
  <c r="DZ80" i="9"/>
  <c r="AW82" i="9"/>
  <c r="BJ80" i="9"/>
  <c r="EC88" i="9"/>
  <c r="DZ83" i="9"/>
  <c r="BO84" i="9"/>
  <c r="BO94" i="9"/>
  <c r="BO78" i="9"/>
  <c r="AE81" i="9"/>
  <c r="BO80" i="9"/>
  <c r="BO76" i="9"/>
  <c r="EI77" i="9"/>
  <c r="BO77" i="9"/>
  <c r="EI82" i="9"/>
  <c r="BO79" i="9"/>
  <c r="AE84" i="9"/>
  <c r="BO82" i="9"/>
  <c r="R79" i="9"/>
  <c r="R85" i="9"/>
  <c r="AI81" i="9"/>
  <c r="R76" i="9"/>
  <c r="R94" i="9"/>
  <c r="AI76" i="9"/>
  <c r="R81" i="9"/>
  <c r="AI78" i="9"/>
  <c r="R80" i="9"/>
  <c r="AI80" i="9"/>
  <c r="R82" i="9"/>
  <c r="AI82" i="9"/>
  <c r="R77" i="9"/>
  <c r="AI77" i="9"/>
  <c r="AI94" i="9"/>
  <c r="EH69" i="9"/>
  <c r="AP84" i="9"/>
  <c r="J77" i="9"/>
  <c r="O79" i="9"/>
  <c r="AH82" i="9"/>
  <c r="H81" i="9"/>
  <c r="O77" i="9"/>
  <c r="O94" i="9"/>
  <c r="AH76" i="9"/>
  <c r="O80" i="9"/>
  <c r="AX77" i="9"/>
  <c r="AH80" i="9"/>
  <c r="O76" i="9"/>
  <c r="AX76" i="9"/>
  <c r="O81" i="9"/>
  <c r="O84" i="9"/>
  <c r="O78" i="9"/>
  <c r="O82" i="9"/>
  <c r="AJ84" i="9"/>
  <c r="EF86" i="9"/>
  <c r="J76" i="9"/>
  <c r="EI86" i="9"/>
  <c r="EI84" i="9"/>
  <c r="AP76" i="9"/>
  <c r="AP94" i="9"/>
  <c r="EH90" i="9"/>
  <c r="J84" i="9"/>
  <c r="J85" i="9"/>
  <c r="EI92" i="9"/>
  <c r="EI72" i="9"/>
  <c r="AP81" i="9"/>
  <c r="EH88" i="9"/>
  <c r="J81" i="9"/>
  <c r="J94" i="9"/>
  <c r="EI94" i="9"/>
  <c r="EI95" i="9" s="1"/>
  <c r="EI70" i="9"/>
  <c r="AD77" i="9"/>
  <c r="AP77" i="9"/>
  <c r="EH80" i="9"/>
  <c r="EH77" i="9"/>
  <c r="J78" i="9"/>
  <c r="EI83" i="9"/>
  <c r="EI80" i="9"/>
  <c r="AD78" i="9"/>
  <c r="AP79" i="9"/>
  <c r="EH79" i="9"/>
  <c r="EH81" i="9"/>
  <c r="J80" i="9"/>
  <c r="EI90" i="9"/>
  <c r="EI76" i="9"/>
  <c r="EI85" i="9"/>
  <c r="AD80" i="9"/>
  <c r="AP82" i="9"/>
  <c r="EH82" i="9"/>
  <c r="EH94" i="9"/>
  <c r="EH106" i="9" s="1"/>
  <c r="J82" i="9"/>
  <c r="EI88" i="9"/>
  <c r="EI78" i="9"/>
  <c r="EI68" i="9"/>
  <c r="AD76" i="9"/>
  <c r="AP80" i="9"/>
  <c r="EH78" i="9"/>
  <c r="EI81" i="9"/>
  <c r="EI79" i="9"/>
  <c r="EH70" i="9"/>
  <c r="BW82" i="9"/>
  <c r="AM84" i="9"/>
  <c r="BD76" i="9"/>
  <c r="BW81" i="9"/>
  <c r="BW94" i="9"/>
  <c r="AM82" i="9"/>
  <c r="BD78" i="9"/>
  <c r="BW76" i="9"/>
  <c r="AM79" i="9"/>
  <c r="BD82" i="9"/>
  <c r="BW79" i="9"/>
  <c r="AM77" i="9"/>
  <c r="BD77" i="9"/>
  <c r="BW78" i="9"/>
  <c r="AM80" i="9"/>
  <c r="AM94" i="9"/>
  <c r="BD81" i="9"/>
  <c r="BW80" i="9"/>
  <c r="AM81" i="9"/>
  <c r="BD84" i="9"/>
  <c r="BD80" i="9"/>
  <c r="BJ76" i="9"/>
  <c r="DZ77" i="9"/>
  <c r="DZ84" i="9"/>
  <c r="DZ94" i="9"/>
  <c r="DZ102" i="9" s="1"/>
  <c r="BJ79" i="9"/>
  <c r="DZ68" i="9"/>
  <c r="DZ78" i="9"/>
  <c r="BJ77" i="9"/>
  <c r="BJ94" i="9"/>
  <c r="DZ90" i="9"/>
  <c r="DZ86" i="9"/>
  <c r="BJ81" i="9"/>
  <c r="DZ76" i="9"/>
  <c r="DZ88" i="9"/>
  <c r="BJ82" i="9"/>
  <c r="DZ72" i="9"/>
  <c r="DZ70" i="9"/>
  <c r="BJ78" i="9"/>
  <c r="DZ69" i="9"/>
  <c r="DZ92" i="9"/>
  <c r="DZ81" i="9"/>
  <c r="DZ79" i="9"/>
  <c r="AJ82" i="9"/>
  <c r="AX79" i="9"/>
  <c r="AJ94" i="9"/>
  <c r="EF79" i="9"/>
  <c r="AH81" i="9"/>
  <c r="AG81" i="9"/>
  <c r="EF92" i="9"/>
  <c r="AU79" i="9"/>
  <c r="BN84" i="9"/>
  <c r="EF82" i="9"/>
  <c r="AH78" i="9"/>
  <c r="AL81" i="9"/>
  <c r="AG82" i="9"/>
  <c r="BH84" i="9"/>
  <c r="AU81" i="9"/>
  <c r="AH84" i="9"/>
  <c r="AL77" i="9"/>
  <c r="AG84" i="9"/>
  <c r="BH77" i="9"/>
  <c r="AH79" i="9"/>
  <c r="H76" i="9"/>
  <c r="AL84" i="9"/>
  <c r="AT77" i="9"/>
  <c r="H5" i="9"/>
  <c r="BH76" i="9"/>
  <c r="AH77" i="9"/>
  <c r="H77" i="9"/>
  <c r="AL94" i="9"/>
  <c r="G34" i="9"/>
  <c r="G32" i="9"/>
  <c r="AT76" i="9"/>
  <c r="AU82" i="9"/>
  <c r="EF68" i="9"/>
  <c r="EF84" i="9"/>
  <c r="AX84" i="9"/>
  <c r="AX94" i="9"/>
  <c r="BH94" i="9"/>
  <c r="AU77" i="9"/>
  <c r="AJ79" i="9"/>
  <c r="AD79" i="9"/>
  <c r="BN82" i="9"/>
  <c r="EF76" i="9"/>
  <c r="EF77" i="9"/>
  <c r="EF83" i="9"/>
  <c r="G9" i="9"/>
  <c r="H78" i="9"/>
  <c r="H85" i="9"/>
  <c r="AL82" i="9"/>
  <c r="AG78" i="9"/>
  <c r="EH68" i="9"/>
  <c r="EH85" i="9"/>
  <c r="G33" i="9"/>
  <c r="G37" i="9"/>
  <c r="AT78" i="9"/>
  <c r="G22" i="9"/>
  <c r="AJ80" i="9"/>
  <c r="AX81" i="9"/>
  <c r="AU84" i="9"/>
  <c r="AJ76" i="9"/>
  <c r="EF94" i="9"/>
  <c r="EF99" i="9" s="1"/>
  <c r="EF85" i="9"/>
  <c r="AT82" i="9"/>
  <c r="AX82" i="9"/>
  <c r="BH81" i="9"/>
  <c r="AU78" i="9"/>
  <c r="AJ78" i="9"/>
  <c r="AD82" i="9"/>
  <c r="AD94" i="9"/>
  <c r="BN78" i="9"/>
  <c r="EF80" i="9"/>
  <c r="EF78" i="9"/>
  <c r="EF69" i="9"/>
  <c r="H80" i="9"/>
  <c r="H94" i="9"/>
  <c r="AL80" i="9"/>
  <c r="AG80" i="9"/>
  <c r="AG94" i="9"/>
  <c r="EH92" i="9"/>
  <c r="EH86" i="9"/>
  <c r="G38" i="9"/>
  <c r="AT79" i="9"/>
  <c r="BN77" i="9"/>
  <c r="G29" i="9"/>
  <c r="EF72" i="9"/>
  <c r="AT84" i="9"/>
  <c r="BN80" i="9"/>
  <c r="H84" i="9"/>
  <c r="G43" i="9"/>
  <c r="AX78" i="9"/>
  <c r="BH78" i="9"/>
  <c r="BH80" i="9"/>
  <c r="AU76" i="9"/>
  <c r="AJ77" i="9"/>
  <c r="AD84" i="9"/>
  <c r="BN76" i="9"/>
  <c r="BN94" i="9"/>
  <c r="EF88" i="9"/>
  <c r="EF90" i="9"/>
  <c r="H79" i="9"/>
  <c r="AL79" i="9"/>
  <c r="AG79" i="9"/>
  <c r="EH76" i="9"/>
  <c r="EH84" i="9"/>
  <c r="G30" i="9"/>
  <c r="G31" i="9"/>
  <c r="AT80" i="9"/>
  <c r="BN79" i="9"/>
  <c r="G36" i="9"/>
  <c r="BH79" i="9"/>
  <c r="AU94" i="9"/>
  <c r="AL78" i="9"/>
  <c r="AG76" i="9"/>
  <c r="G35" i="9"/>
  <c r="EF70" i="9"/>
  <c r="EH72" i="9"/>
  <c r="G23" i="9"/>
  <c r="G25" i="9"/>
  <c r="AT94" i="9"/>
  <c r="DX95" i="9"/>
  <c r="DX102" i="9"/>
  <c r="DX98" i="9"/>
  <c r="DX99" i="9"/>
  <c r="DX107" i="9"/>
  <c r="DX103" i="9"/>
  <c r="DX100" i="9"/>
  <c r="DX106" i="9"/>
  <c r="DX96" i="9"/>
  <c r="EG71" i="9"/>
  <c r="EG73" i="9" s="1"/>
  <c r="G21" i="9"/>
  <c r="G71" i="9"/>
  <c r="EB96" i="9"/>
  <c r="EB100" i="9"/>
  <c r="EB95" i="9"/>
  <c r="EB103" i="9"/>
  <c r="EB102" i="9"/>
  <c r="EB106" i="9"/>
  <c r="EB98" i="9"/>
  <c r="EB99" i="9"/>
  <c r="EB107" i="9"/>
  <c r="EG99" i="9"/>
  <c r="EG95" i="9"/>
  <c r="EG96" i="9"/>
  <c r="EG98" i="9"/>
  <c r="EG103" i="9"/>
  <c r="EG102" i="9"/>
  <c r="EG107" i="9"/>
  <c r="EG106" i="9"/>
  <c r="EG100" i="9"/>
  <c r="EE102" i="9"/>
  <c r="EE99" i="9"/>
  <c r="EE98" i="9"/>
  <c r="EE103" i="9"/>
  <c r="G86" i="9"/>
  <c r="G39" i="9" s="1"/>
  <c r="CG134" i="4"/>
  <c r="CG120" i="4"/>
  <c r="CB78" i="9" s="1"/>
  <c r="CG123" i="4"/>
  <c r="CB81" i="9" s="1"/>
  <c r="CG93" i="4"/>
  <c r="CG133" i="4"/>
  <c r="CG121" i="4"/>
  <c r="CB79" i="9" s="1"/>
  <c r="CG126" i="4"/>
  <c r="CB84" i="9" s="1"/>
  <c r="CG105" i="4"/>
  <c r="CG104" i="4"/>
  <c r="CG91" i="4"/>
  <c r="HQ115" i="4"/>
  <c r="CG118" i="4"/>
  <c r="CB76" i="9" s="1"/>
  <c r="CG124" i="4"/>
  <c r="CB82" i="9" s="1"/>
  <c r="CG94" i="4"/>
  <c r="CG95" i="4"/>
  <c r="CG102" i="4"/>
  <c r="CG119" i="4"/>
  <c r="CB77" i="9" s="1"/>
  <c r="CG122" i="4"/>
  <c r="CB80" i="9" s="1"/>
  <c r="CG92" i="4"/>
  <c r="CG90" i="4"/>
  <c r="HQ86" i="4"/>
  <c r="JQ236" i="4"/>
  <c r="JQ246" i="4"/>
  <c r="HS85" i="4"/>
  <c r="HS84" i="4" s="1"/>
  <c r="CI84" i="4" s="1"/>
  <c r="JU236" i="4"/>
  <c r="JU246" i="4"/>
  <c r="JT236" i="4"/>
  <c r="JT246" i="4"/>
  <c r="HP95" i="4"/>
  <c r="HP92" i="4"/>
  <c r="HP90" i="4"/>
  <c r="HP93" i="4"/>
  <c r="HP97" i="4"/>
  <c r="HP98" i="4" s="1"/>
  <c r="HP99" i="4" s="1"/>
  <c r="HP100" i="4" s="1"/>
  <c r="HP94" i="4"/>
  <c r="HP91" i="4"/>
  <c r="JV236" i="4"/>
  <c r="JV246" i="4"/>
  <c r="JO236" i="4"/>
  <c r="JO246" i="4"/>
  <c r="JS236" i="4"/>
  <c r="JS246" i="4"/>
  <c r="JM236" i="4"/>
  <c r="JM246" i="4"/>
  <c r="JX236" i="4"/>
  <c r="JX246" i="4"/>
  <c r="JW236" i="4"/>
  <c r="JW246" i="4"/>
  <c r="JP236" i="4"/>
  <c r="JP246" i="4"/>
  <c r="JR236" i="4"/>
  <c r="JR246" i="4"/>
  <c r="JN236" i="4"/>
  <c r="JN246" i="4"/>
  <c r="CF96" i="4"/>
  <c r="HP101" i="4" s="1"/>
  <c r="HO96" i="4"/>
  <c r="CE97" i="4" s="1"/>
  <c r="ED96" i="9" l="1"/>
  <c r="EE71" i="9"/>
  <c r="EE73" i="9" s="1"/>
  <c r="EB71" i="9"/>
  <c r="ED102" i="9"/>
  <c r="EB73" i="9"/>
  <c r="ED103" i="9"/>
  <c r="ED107" i="9"/>
  <c r="EA98" i="9"/>
  <c r="ED100" i="9"/>
  <c r="ED95" i="9"/>
  <c r="ED99" i="9"/>
  <c r="EA106" i="9"/>
  <c r="EA99" i="9"/>
  <c r="ED98" i="9"/>
  <c r="EA102" i="9"/>
  <c r="EA100" i="9"/>
  <c r="DX71" i="9"/>
  <c r="DX73" i="9" s="1"/>
  <c r="EA107" i="9"/>
  <c r="EA96" i="9"/>
  <c r="EA103" i="9"/>
  <c r="EE96" i="9"/>
  <c r="EE100" i="9"/>
  <c r="EE106" i="9"/>
  <c r="EE107" i="9"/>
  <c r="DY99" i="9"/>
  <c r="DY96" i="9"/>
  <c r="DY102" i="9"/>
  <c r="DY103" i="9"/>
  <c r="DY71" i="9"/>
  <c r="DY73" i="9" s="1"/>
  <c r="DY100" i="9"/>
  <c r="DY95" i="9"/>
  <c r="DY106" i="9"/>
  <c r="DY107" i="9"/>
  <c r="EC71" i="9"/>
  <c r="EC73" i="9" s="1"/>
  <c r="ED71" i="9"/>
  <c r="ED73" i="9" s="1"/>
  <c r="EC102" i="9"/>
  <c r="EC107" i="9"/>
  <c r="EC99" i="9"/>
  <c r="EC96" i="9"/>
  <c r="EC106" i="9"/>
  <c r="EC100" i="9"/>
  <c r="EC103" i="9"/>
  <c r="EC98" i="9"/>
  <c r="EA71" i="9"/>
  <c r="EA73" i="9" s="1"/>
  <c r="EH100" i="9"/>
  <c r="EH96" i="9"/>
  <c r="EH107" i="9"/>
  <c r="EH98" i="9"/>
  <c r="EH102" i="9"/>
  <c r="EH99" i="9"/>
  <c r="EH95" i="9"/>
  <c r="EH103" i="9"/>
  <c r="DZ71" i="9"/>
  <c r="DZ73" i="9" s="1"/>
  <c r="EH71" i="9"/>
  <c r="EH73" i="9" s="1"/>
  <c r="EF71" i="9"/>
  <c r="EF73" i="9" s="1"/>
  <c r="EF102" i="9"/>
  <c r="EF103" i="9"/>
  <c r="EI103" i="9"/>
  <c r="H29" i="9"/>
  <c r="DZ100" i="9"/>
  <c r="DZ107" i="9"/>
  <c r="DZ98" i="9"/>
  <c r="DZ106" i="9"/>
  <c r="DZ96" i="9"/>
  <c r="DZ99" i="9"/>
  <c r="DZ103" i="9"/>
  <c r="DZ104" i="9" s="1"/>
  <c r="DZ95" i="9"/>
  <c r="EI102" i="9"/>
  <c r="EI100" i="9"/>
  <c r="EI107" i="9"/>
  <c r="EI96" i="9"/>
  <c r="EI106" i="9"/>
  <c r="EI99" i="9"/>
  <c r="EI98" i="9"/>
  <c r="EI71" i="9"/>
  <c r="EI73" i="9" s="1"/>
  <c r="EF100" i="9"/>
  <c r="H33" i="9"/>
  <c r="H30" i="9"/>
  <c r="H31" i="9"/>
  <c r="I5" i="9"/>
  <c r="I33" i="9" s="1"/>
  <c r="H34" i="9"/>
  <c r="H37" i="9"/>
  <c r="H9" i="9"/>
  <c r="H32" i="9"/>
  <c r="H35" i="9"/>
  <c r="EF98" i="9"/>
  <c r="EF95" i="9"/>
  <c r="EF96" i="9"/>
  <c r="EF106" i="9"/>
  <c r="EF107" i="9"/>
  <c r="DX104" i="9"/>
  <c r="EB104" i="9"/>
  <c r="G73" i="9"/>
  <c r="G24" i="9"/>
  <c r="EE104" i="9"/>
  <c r="EG104" i="9"/>
  <c r="CG96" i="4"/>
  <c r="HQ101" i="4" s="1"/>
  <c r="HP96" i="4"/>
  <c r="CF97" i="4" s="1"/>
  <c r="CH121" i="4"/>
  <c r="CC79" i="9" s="1"/>
  <c r="CH123" i="4"/>
  <c r="CC81" i="9" s="1"/>
  <c r="CH92" i="4"/>
  <c r="CH105" i="4"/>
  <c r="CH133" i="4"/>
  <c r="CH122" i="4"/>
  <c r="CC80" i="9" s="1"/>
  <c r="CH94" i="4"/>
  <c r="CH90" i="4"/>
  <c r="HR115" i="4"/>
  <c r="CH124" i="4"/>
  <c r="CC82" i="9" s="1"/>
  <c r="CH102" i="4"/>
  <c r="CH118" i="4"/>
  <c r="CC76" i="9" s="1"/>
  <c r="CH93" i="4"/>
  <c r="CH134" i="4"/>
  <c r="CH120" i="4"/>
  <c r="CC78" i="9" s="1"/>
  <c r="CH126" i="4"/>
  <c r="CC84" i="9" s="1"/>
  <c r="CH91" i="4"/>
  <c r="CH104" i="4"/>
  <c r="HR86" i="4"/>
  <c r="CH119" i="4"/>
  <c r="CC77" i="9" s="1"/>
  <c r="CH95" i="4"/>
  <c r="HT85" i="4"/>
  <c r="HT84" i="4" s="1"/>
  <c r="CJ84" i="4" s="1"/>
  <c r="HQ95" i="4"/>
  <c r="HQ97" i="4"/>
  <c r="HQ98" i="4" s="1"/>
  <c r="HQ99" i="4" s="1"/>
  <c r="HQ100" i="4" s="1"/>
  <c r="HQ93" i="4"/>
  <c r="HQ92" i="4"/>
  <c r="HQ90" i="4"/>
  <c r="HQ94" i="4"/>
  <c r="HQ91" i="4"/>
  <c r="ED104" i="9" l="1"/>
  <c r="EA104" i="9"/>
  <c r="DY104" i="9"/>
  <c r="EC104" i="9"/>
  <c r="EH104" i="9"/>
  <c r="EF104" i="9"/>
  <c r="I29" i="9"/>
  <c r="I31" i="9"/>
  <c r="I32" i="9"/>
  <c r="I30" i="9"/>
  <c r="J5" i="9"/>
  <c r="J34" i="9" s="1"/>
  <c r="I34" i="9"/>
  <c r="I35" i="9"/>
  <c r="I9" i="9"/>
  <c r="I37" i="9"/>
  <c r="EI104" i="9"/>
  <c r="H6" i="9"/>
  <c r="H4" i="9" s="1"/>
  <c r="G88" i="9"/>
  <c r="G26" i="9"/>
  <c r="HR97" i="4"/>
  <c r="HR98" i="4" s="1"/>
  <c r="HR99" i="4" s="1"/>
  <c r="HR100" i="4" s="1"/>
  <c r="HR91" i="4"/>
  <c r="HR93" i="4"/>
  <c r="HR94" i="4"/>
  <c r="HR95" i="4"/>
  <c r="HR92" i="4"/>
  <c r="HR90" i="4"/>
  <c r="HU85" i="4"/>
  <c r="HU84" i="4" s="1"/>
  <c r="CK84" i="4" s="1"/>
  <c r="CI134" i="4"/>
  <c r="CI118" i="4"/>
  <c r="CD76" i="9" s="1"/>
  <c r="CI124" i="4"/>
  <c r="CD82" i="9" s="1"/>
  <c r="CI90" i="4"/>
  <c r="CI105" i="4"/>
  <c r="CI93" i="4"/>
  <c r="HS115" i="4"/>
  <c r="CI120" i="4"/>
  <c r="CD78" i="9" s="1"/>
  <c r="CI123" i="4"/>
  <c r="CD81" i="9" s="1"/>
  <c r="CI102" i="4"/>
  <c r="CI133" i="4"/>
  <c r="CI121" i="4"/>
  <c r="CD79" i="9" s="1"/>
  <c r="CI126" i="4"/>
  <c r="CD84" i="9" s="1"/>
  <c r="CI95" i="4"/>
  <c r="CI119" i="4"/>
  <c r="CD77" i="9" s="1"/>
  <c r="CI122" i="4"/>
  <c r="CD80" i="9" s="1"/>
  <c r="CI94" i="4"/>
  <c r="CI104" i="4"/>
  <c r="HS86" i="4"/>
  <c r="CI92" i="4"/>
  <c r="CI91" i="4"/>
  <c r="HQ96" i="4"/>
  <c r="CG97" i="4" s="1"/>
  <c r="CH96" i="4"/>
  <c r="HR101" i="4" s="1"/>
  <c r="J9" i="9" l="1"/>
  <c r="K5" i="9"/>
  <c r="K29" i="9" s="1"/>
  <c r="J32" i="9"/>
  <c r="J33" i="9"/>
  <c r="J37" i="9"/>
  <c r="J35" i="9"/>
  <c r="J29" i="9"/>
  <c r="J30" i="9"/>
  <c r="J31" i="9"/>
  <c r="I6" i="9"/>
  <c r="I4" i="9" s="1"/>
  <c r="G92" i="9"/>
  <c r="G41" i="9"/>
  <c r="HV85" i="4"/>
  <c r="HV84" i="4" s="1"/>
  <c r="CL84" i="4" s="1"/>
  <c r="HR96" i="4"/>
  <c r="CH97" i="4" s="1"/>
  <c r="HS92" i="4"/>
  <c r="HS94" i="4"/>
  <c r="HS97" i="4"/>
  <c r="HS98" i="4" s="1"/>
  <c r="HS99" i="4" s="1"/>
  <c r="HS100" i="4" s="1"/>
  <c r="HS90" i="4"/>
  <c r="HS95" i="4"/>
  <c r="HS91" i="4"/>
  <c r="HS93" i="4"/>
  <c r="CI96" i="4"/>
  <c r="HS101" i="4" s="1"/>
  <c r="CJ134" i="4"/>
  <c r="CJ119" i="4"/>
  <c r="CE77" i="9" s="1"/>
  <c r="CJ126" i="4"/>
  <c r="CE84" i="9" s="1"/>
  <c r="CJ105" i="4"/>
  <c r="CJ104" i="4"/>
  <c r="CJ121" i="4"/>
  <c r="CE79" i="9" s="1"/>
  <c r="CJ118" i="4"/>
  <c r="CE76" i="9" s="1"/>
  <c r="CJ93" i="4"/>
  <c r="CJ90" i="4"/>
  <c r="CJ102" i="4"/>
  <c r="HT86" i="4"/>
  <c r="CJ133" i="4"/>
  <c r="CJ124" i="4"/>
  <c r="CE82" i="9" s="1"/>
  <c r="CJ95" i="4"/>
  <c r="CJ120" i="4"/>
  <c r="CE78" i="9" s="1"/>
  <c r="CJ123" i="4"/>
  <c r="CE81" i="9" s="1"/>
  <c r="CJ122" i="4"/>
  <c r="CE80" i="9" s="1"/>
  <c r="CJ92" i="4"/>
  <c r="CJ94" i="4"/>
  <c r="HT115" i="4"/>
  <c r="CJ91" i="4"/>
  <c r="K30" i="9" l="1"/>
  <c r="K37" i="9"/>
  <c r="K35" i="9"/>
  <c r="K9" i="9"/>
  <c r="K34" i="9"/>
  <c r="K32" i="9"/>
  <c r="K33" i="9"/>
  <c r="L5" i="9"/>
  <c r="L33" i="9" s="1"/>
  <c r="K31" i="9"/>
  <c r="J6" i="9"/>
  <c r="J4" i="9" s="1"/>
  <c r="G45" i="9"/>
  <c r="G100" i="9"/>
  <c r="HS96" i="4"/>
  <c r="CI97" i="4" s="1"/>
  <c r="CK134" i="4"/>
  <c r="CK120" i="4"/>
  <c r="CF78" i="9" s="1"/>
  <c r="CK126" i="4"/>
  <c r="CF84" i="9" s="1"/>
  <c r="CK90" i="4"/>
  <c r="CK104" i="4"/>
  <c r="CK121" i="4"/>
  <c r="CF79" i="9" s="1"/>
  <c r="CK93" i="4"/>
  <c r="CK94" i="4"/>
  <c r="CK133" i="4"/>
  <c r="CK124" i="4"/>
  <c r="CF82" i="9" s="1"/>
  <c r="CK91" i="4"/>
  <c r="CK122" i="4"/>
  <c r="CF80" i="9" s="1"/>
  <c r="CK102" i="4"/>
  <c r="CK118" i="4"/>
  <c r="CF76" i="9" s="1"/>
  <c r="CK123" i="4"/>
  <c r="CF81" i="9" s="1"/>
  <c r="CK92" i="4"/>
  <c r="CK95" i="4"/>
  <c r="HU115" i="4"/>
  <c r="CK119" i="4"/>
  <c r="CF77" i="9" s="1"/>
  <c r="CK105" i="4"/>
  <c r="HU86" i="4"/>
  <c r="CJ96" i="4"/>
  <c r="HT101" i="4" s="1"/>
  <c r="HT91" i="4"/>
  <c r="HT94" i="4"/>
  <c r="HT92" i="4"/>
  <c r="HT95" i="4"/>
  <c r="HT90" i="4"/>
  <c r="HT97" i="4"/>
  <c r="HT98" i="4" s="1"/>
  <c r="HT99" i="4" s="1"/>
  <c r="HT100" i="4" s="1"/>
  <c r="HT93" i="4"/>
  <c r="HW85" i="4"/>
  <c r="HW84" i="4" s="1"/>
  <c r="CM84" i="4" s="1"/>
  <c r="L31" i="9" l="1"/>
  <c r="L32" i="9"/>
  <c r="L9" i="9"/>
  <c r="L29" i="9"/>
  <c r="L37" i="9"/>
  <c r="L8" i="9"/>
  <c r="L30" i="9"/>
  <c r="L34" i="9"/>
  <c r="L35" i="9"/>
  <c r="M5" i="9"/>
  <c r="M32" i="9" s="1"/>
  <c r="K6" i="9"/>
  <c r="K4" i="9" s="1"/>
  <c r="HT96" i="4"/>
  <c r="CJ97" i="4" s="1"/>
  <c r="HX85" i="4"/>
  <c r="HX84" i="4" s="1"/>
  <c r="CN84" i="4" s="1"/>
  <c r="CL134" i="4"/>
  <c r="CL120" i="4"/>
  <c r="CG78" i="9" s="1"/>
  <c r="CL126" i="4"/>
  <c r="CG84" i="9" s="1"/>
  <c r="CL91" i="4"/>
  <c r="CL104" i="4"/>
  <c r="CL121" i="4"/>
  <c r="CG79" i="9" s="1"/>
  <c r="CL119" i="4"/>
  <c r="CG77" i="9" s="1"/>
  <c r="CL93" i="4"/>
  <c r="CL102" i="4"/>
  <c r="CL124" i="4"/>
  <c r="CG82" i="9" s="1"/>
  <c r="CL105" i="4"/>
  <c r="CL92" i="4"/>
  <c r="HV115" i="4"/>
  <c r="CL122" i="4"/>
  <c r="CG80" i="9" s="1"/>
  <c r="CL123" i="4"/>
  <c r="CG81" i="9" s="1"/>
  <c r="CL94" i="4"/>
  <c r="CL90" i="4"/>
  <c r="HV86" i="4"/>
  <c r="CL133" i="4"/>
  <c r="CL118" i="4"/>
  <c r="CG76" i="9" s="1"/>
  <c r="CL95" i="4"/>
  <c r="HU93" i="4"/>
  <c r="HU94" i="4"/>
  <c r="HU92" i="4"/>
  <c r="HU97" i="4"/>
  <c r="HU98" i="4" s="1"/>
  <c r="HU99" i="4" s="1"/>
  <c r="HU100" i="4" s="1"/>
  <c r="HU95" i="4"/>
  <c r="HU90" i="4"/>
  <c r="HU91" i="4"/>
  <c r="CK96" i="4"/>
  <c r="HU101" i="4" s="1"/>
  <c r="M37" i="9" l="1"/>
  <c r="M29" i="9"/>
  <c r="M31" i="9"/>
  <c r="M9" i="9"/>
  <c r="M35" i="9"/>
  <c r="M33" i="9"/>
  <c r="N5" i="9"/>
  <c r="N9" i="9" s="1"/>
  <c r="M34" i="9"/>
  <c r="M8" i="9"/>
  <c r="M30" i="9"/>
  <c r="L6" i="9"/>
  <c r="L4" i="9" s="1"/>
  <c r="CL96" i="4"/>
  <c r="HV101" i="4" s="1"/>
  <c r="CM133" i="4"/>
  <c r="CM121" i="4"/>
  <c r="CH79" i="9" s="1"/>
  <c r="CM118" i="4"/>
  <c r="CH76" i="9" s="1"/>
  <c r="CM92" i="4"/>
  <c r="CM91" i="4"/>
  <c r="HW86" i="4"/>
  <c r="CM122" i="4"/>
  <c r="CH80" i="9" s="1"/>
  <c r="CM126" i="4"/>
  <c r="CH84" i="9" s="1"/>
  <c r="CM105" i="4"/>
  <c r="CM95" i="4"/>
  <c r="CM134" i="4"/>
  <c r="CM104" i="4"/>
  <c r="CM93" i="4"/>
  <c r="HW115" i="4"/>
  <c r="CM119" i="4"/>
  <c r="CH77" i="9" s="1"/>
  <c r="CM123" i="4"/>
  <c r="CH81" i="9" s="1"/>
  <c r="CM94" i="4"/>
  <c r="CM90" i="4"/>
  <c r="CM102" i="4"/>
  <c r="CM120" i="4"/>
  <c r="CH78" i="9" s="1"/>
  <c r="CM124" i="4"/>
  <c r="CH82" i="9" s="1"/>
  <c r="HV97" i="4"/>
  <c r="HV98" i="4" s="1"/>
  <c r="HV99" i="4" s="1"/>
  <c r="HV100" i="4" s="1"/>
  <c r="HV94" i="4"/>
  <c r="HV93" i="4"/>
  <c r="HV90" i="4"/>
  <c r="HV91" i="4"/>
  <c r="HV92" i="4"/>
  <c r="HV95" i="4"/>
  <c r="HU96" i="4"/>
  <c r="CK97" i="4" s="1"/>
  <c r="HY85" i="4"/>
  <c r="HY84" i="4" s="1"/>
  <c r="CO84" i="4" s="1"/>
  <c r="O5" i="9" l="1"/>
  <c r="O8" i="9" s="1"/>
  <c r="N8" i="9"/>
  <c r="M6" i="9"/>
  <c r="M4" i="9" s="1"/>
  <c r="HZ85" i="4"/>
  <c r="HZ84" i="4" s="1"/>
  <c r="CP84" i="4" s="1"/>
  <c r="CM96" i="4"/>
  <c r="HW101" i="4" s="1"/>
  <c r="HW97" i="4"/>
  <c r="HW98" i="4" s="1"/>
  <c r="HW99" i="4" s="1"/>
  <c r="HW100" i="4" s="1"/>
  <c r="HW93" i="4"/>
  <c r="HW92" i="4"/>
  <c r="HW95" i="4"/>
  <c r="HW91" i="4"/>
  <c r="HW94" i="4"/>
  <c r="HW90" i="4"/>
  <c r="CN134" i="4"/>
  <c r="CN118" i="4"/>
  <c r="CI76" i="9" s="1"/>
  <c r="CN119" i="4"/>
  <c r="CI77" i="9" s="1"/>
  <c r="CN105" i="4"/>
  <c r="CN93" i="4"/>
  <c r="HX86" i="4"/>
  <c r="CN123" i="4"/>
  <c r="CI81" i="9" s="1"/>
  <c r="CN91" i="4"/>
  <c r="CN104" i="4"/>
  <c r="HX115" i="4"/>
  <c r="CN133" i="4"/>
  <c r="CN126" i="4"/>
  <c r="CI84" i="9" s="1"/>
  <c r="CN122" i="4"/>
  <c r="CI80" i="9" s="1"/>
  <c r="CN120" i="4"/>
  <c r="CI78" i="9" s="1"/>
  <c r="CN121" i="4"/>
  <c r="CI79" i="9" s="1"/>
  <c r="CN94" i="4"/>
  <c r="CN95" i="4"/>
  <c r="CN102" i="4"/>
  <c r="CN124" i="4"/>
  <c r="CI82" i="9" s="1"/>
  <c r="CN92" i="4"/>
  <c r="CN90" i="4"/>
  <c r="HV96" i="4"/>
  <c r="CL97" i="4" s="1"/>
  <c r="O9" i="9" l="1"/>
  <c r="P5" i="9"/>
  <c r="P9" i="9" s="1"/>
  <c r="N6" i="9"/>
  <c r="N4" i="9" s="1"/>
  <c r="HX92" i="4"/>
  <c r="HX94" i="4"/>
  <c r="HX91" i="4"/>
  <c r="HX97" i="4"/>
  <c r="HX98" i="4" s="1"/>
  <c r="HX99" i="4" s="1"/>
  <c r="HX100" i="4" s="1"/>
  <c r="HX95" i="4"/>
  <c r="HX93" i="4"/>
  <c r="HX90" i="4"/>
  <c r="CN96" i="4"/>
  <c r="HX101" i="4" s="1"/>
  <c r="HW96" i="4"/>
  <c r="CM97" i="4" s="1"/>
  <c r="IA85" i="4"/>
  <c r="IA84" i="4" s="1"/>
  <c r="CQ84" i="4" s="1"/>
  <c r="CO134" i="4"/>
  <c r="CO120" i="4"/>
  <c r="CJ78" i="9" s="1"/>
  <c r="CO126" i="4"/>
  <c r="CJ84" i="9" s="1"/>
  <c r="CO91" i="4"/>
  <c r="CO104" i="4"/>
  <c r="HY115" i="4"/>
  <c r="CO118" i="4"/>
  <c r="CJ76" i="9" s="1"/>
  <c r="CO121" i="4"/>
  <c r="CJ79" i="9" s="1"/>
  <c r="CO105" i="4"/>
  <c r="CO102" i="4"/>
  <c r="CO119" i="4"/>
  <c r="CJ77" i="9" s="1"/>
  <c r="CO95" i="4"/>
  <c r="CO94" i="4"/>
  <c r="HY86" i="4"/>
  <c r="CO123" i="4"/>
  <c r="CJ81" i="9" s="1"/>
  <c r="CO122" i="4"/>
  <c r="CJ80" i="9" s="1"/>
  <c r="CO93" i="4"/>
  <c r="CO92" i="4"/>
  <c r="CO133" i="4"/>
  <c r="CO124" i="4"/>
  <c r="CJ82" i="9" s="1"/>
  <c r="CO90" i="4"/>
  <c r="Q5" i="9" l="1"/>
  <c r="Q9" i="9" s="1"/>
  <c r="P8" i="9"/>
  <c r="O6" i="9"/>
  <c r="O4" i="9" s="1"/>
  <c r="CO96" i="4"/>
  <c r="HY101" i="4" s="1"/>
  <c r="CP120" i="4"/>
  <c r="CK78" i="9" s="1"/>
  <c r="CP124" i="4"/>
  <c r="CK82" i="9" s="1"/>
  <c r="CP92" i="4"/>
  <c r="CP94" i="4"/>
  <c r="CP102" i="4"/>
  <c r="CP133" i="4"/>
  <c r="CP119" i="4"/>
  <c r="CK77" i="9" s="1"/>
  <c r="CP91" i="4"/>
  <c r="CP95" i="4"/>
  <c r="HZ115" i="4"/>
  <c r="CP118" i="4"/>
  <c r="CK76" i="9" s="1"/>
  <c r="CP104" i="4"/>
  <c r="CP134" i="4"/>
  <c r="CP122" i="4"/>
  <c r="CK80" i="9" s="1"/>
  <c r="CP126" i="4"/>
  <c r="CK84" i="9" s="1"/>
  <c r="CP105" i="4"/>
  <c r="CP93" i="4"/>
  <c r="HZ86" i="4"/>
  <c r="CP121" i="4"/>
  <c r="CK79" i="9" s="1"/>
  <c r="CP123" i="4"/>
  <c r="CK81" i="9" s="1"/>
  <c r="CP90" i="4"/>
  <c r="HX96" i="4"/>
  <c r="CN97" i="4" s="1"/>
  <c r="IB85" i="4"/>
  <c r="IB84" i="4" s="1"/>
  <c r="CR84" i="4" s="1"/>
  <c r="HY92" i="4"/>
  <c r="HY93" i="4"/>
  <c r="HY97" i="4"/>
  <c r="HY98" i="4" s="1"/>
  <c r="HY99" i="4" s="1"/>
  <c r="HY100" i="4" s="1"/>
  <c r="HY91" i="4"/>
  <c r="HY95" i="4"/>
  <c r="HY94" i="4"/>
  <c r="HY90" i="4"/>
  <c r="Q8" i="9" l="1"/>
  <c r="R5" i="9"/>
  <c r="R6" i="9" s="1"/>
  <c r="P6" i="9"/>
  <c r="P4" i="9" s="1"/>
  <c r="Q6" i="9"/>
  <c r="HY96" i="4"/>
  <c r="CO97" i="4" s="1"/>
  <c r="IC85" i="4"/>
  <c r="IC84" i="4" s="1"/>
  <c r="CS84" i="4" s="1"/>
  <c r="HZ97" i="4"/>
  <c r="HZ98" i="4" s="1"/>
  <c r="HZ99" i="4" s="1"/>
  <c r="HZ100" i="4" s="1"/>
  <c r="HZ91" i="4"/>
  <c r="HZ93" i="4"/>
  <c r="HZ92" i="4"/>
  <c r="HZ94" i="4"/>
  <c r="HZ90" i="4"/>
  <c r="HZ95" i="4"/>
  <c r="CQ133" i="4"/>
  <c r="CQ124" i="4"/>
  <c r="CL82" i="9" s="1"/>
  <c r="CQ122" i="4"/>
  <c r="CL80" i="9" s="1"/>
  <c r="CQ91" i="4"/>
  <c r="CQ93" i="4"/>
  <c r="CQ120" i="4"/>
  <c r="CL78" i="9" s="1"/>
  <c r="CQ126" i="4"/>
  <c r="CL84" i="9" s="1"/>
  <c r="CQ104" i="4"/>
  <c r="CQ90" i="4"/>
  <c r="CQ121" i="4"/>
  <c r="CL79" i="9" s="1"/>
  <c r="CQ105" i="4"/>
  <c r="IA86" i="4"/>
  <c r="CQ134" i="4"/>
  <c r="CQ94" i="4"/>
  <c r="CQ123" i="4"/>
  <c r="CL81" i="9" s="1"/>
  <c r="CQ119" i="4"/>
  <c r="CL77" i="9" s="1"/>
  <c r="CQ92" i="4"/>
  <c r="CQ102" i="4"/>
  <c r="IA115" i="4"/>
  <c r="CQ118" i="4"/>
  <c r="CL76" i="9" s="1"/>
  <c r="CQ95" i="4"/>
  <c r="CP96" i="4"/>
  <c r="HZ101" i="4" s="1"/>
  <c r="R21" i="9" l="1"/>
  <c r="R23" i="9"/>
  <c r="R43" i="9"/>
  <c r="R37" i="9"/>
  <c r="R4" i="9"/>
  <c r="R10" i="9"/>
  <c r="R41" i="9"/>
  <c r="R50" i="9"/>
  <c r="R25" i="9"/>
  <c r="R22" i="9"/>
  <c r="R18" i="9"/>
  <c r="R33" i="9"/>
  <c r="R36" i="9"/>
  <c r="R30" i="9"/>
  <c r="R11" i="9"/>
  <c r="R32" i="9"/>
  <c r="R45" i="9"/>
  <c r="R9" i="9"/>
  <c r="R31" i="9"/>
  <c r="R35" i="9"/>
  <c r="R24" i="9"/>
  <c r="R15" i="9"/>
  <c r="R34" i="9"/>
  <c r="R38" i="9"/>
  <c r="R26" i="9"/>
  <c r="R49" i="9"/>
  <c r="R13" i="9"/>
  <c r="R39" i="9"/>
  <c r="R17" i="9"/>
  <c r="R8" i="9"/>
  <c r="R29" i="9"/>
  <c r="CQ96" i="4"/>
  <c r="IA101" i="4" s="1"/>
  <c r="CR134" i="4"/>
  <c r="CR123" i="4"/>
  <c r="CM81" i="9" s="1"/>
  <c r="CR119" i="4"/>
  <c r="CM77" i="9" s="1"/>
  <c r="CR92" i="4"/>
  <c r="CR95" i="4"/>
  <c r="CR133" i="4"/>
  <c r="CR124" i="4"/>
  <c r="CM82" i="9" s="1"/>
  <c r="CR105" i="4"/>
  <c r="CR104" i="4"/>
  <c r="CR93" i="4"/>
  <c r="CR126" i="4"/>
  <c r="CM84" i="9" s="1"/>
  <c r="IB115" i="4"/>
  <c r="CR121" i="4"/>
  <c r="CM79" i="9" s="1"/>
  <c r="CR118" i="4"/>
  <c r="CM76" i="9" s="1"/>
  <c r="CR122" i="4"/>
  <c r="CM80" i="9" s="1"/>
  <c r="CR90" i="4"/>
  <c r="CR91" i="4"/>
  <c r="CR102" i="4"/>
  <c r="IB86" i="4"/>
  <c r="CR120" i="4"/>
  <c r="CM78" i="9" s="1"/>
  <c r="CR94" i="4"/>
  <c r="IA94" i="4"/>
  <c r="IA93" i="4"/>
  <c r="IA90" i="4"/>
  <c r="IA95" i="4"/>
  <c r="IA97" i="4"/>
  <c r="IA98" i="4" s="1"/>
  <c r="IA99" i="4" s="1"/>
  <c r="IA100" i="4" s="1"/>
  <c r="IA91" i="4"/>
  <c r="IA92" i="4"/>
  <c r="ID85" i="4"/>
  <c r="ID84" i="4" s="1"/>
  <c r="CT84" i="4" s="1"/>
  <c r="HZ96" i="4"/>
  <c r="CP97" i="4" s="1"/>
  <c r="IB94" i="4" l="1"/>
  <c r="IB97" i="4"/>
  <c r="IB98" i="4" s="1"/>
  <c r="IB99" i="4" s="1"/>
  <c r="IB100" i="4" s="1"/>
  <c r="IB92" i="4"/>
  <c r="IB95" i="4"/>
  <c r="IB91" i="4"/>
  <c r="IB90" i="4"/>
  <c r="IB93" i="4"/>
  <c r="IE85" i="4"/>
  <c r="IE84" i="4" s="1"/>
  <c r="CU84" i="4" s="1"/>
  <c r="CS122" i="4"/>
  <c r="CN80" i="9" s="1"/>
  <c r="CS121" i="4"/>
  <c r="CN79" i="9" s="1"/>
  <c r="CS90" i="4"/>
  <c r="CS95" i="4"/>
  <c r="CS102" i="4"/>
  <c r="IC86" i="4"/>
  <c r="CS133" i="4"/>
  <c r="CS119" i="4"/>
  <c r="CN77" i="9" s="1"/>
  <c r="CS105" i="4"/>
  <c r="CS94" i="4"/>
  <c r="CS118" i="4"/>
  <c r="CN76" i="9" s="1"/>
  <c r="CS104" i="4"/>
  <c r="IC115" i="4"/>
  <c r="CS123" i="4"/>
  <c r="CN81" i="9" s="1"/>
  <c r="CS120" i="4"/>
  <c r="CN78" i="9" s="1"/>
  <c r="CS91" i="4"/>
  <c r="CS134" i="4"/>
  <c r="CS124" i="4"/>
  <c r="CN82" i="9" s="1"/>
  <c r="CS126" i="4"/>
  <c r="CN84" i="9" s="1"/>
  <c r="CS93" i="4"/>
  <c r="CS92" i="4"/>
  <c r="IA96" i="4"/>
  <c r="CQ97" i="4" s="1"/>
  <c r="CR96" i="4"/>
  <c r="IB101" i="4" s="1"/>
  <c r="CS96" i="4" l="1"/>
  <c r="IC101" i="4" s="1"/>
  <c r="CT134" i="4"/>
  <c r="CT119" i="4"/>
  <c r="CO77" i="9" s="1"/>
  <c r="CT126" i="4"/>
  <c r="CO84" i="9" s="1"/>
  <c r="CT90" i="4"/>
  <c r="CT93" i="4"/>
  <c r="CT121" i="4"/>
  <c r="CO79" i="9" s="1"/>
  <c r="CT92" i="4"/>
  <c r="CT104" i="4"/>
  <c r="CT122" i="4"/>
  <c r="CO80" i="9" s="1"/>
  <c r="CT94" i="4"/>
  <c r="CT118" i="4"/>
  <c r="CO76" i="9" s="1"/>
  <c r="CT133" i="4"/>
  <c r="CT95" i="4"/>
  <c r="CT120" i="4"/>
  <c r="CO78" i="9" s="1"/>
  <c r="CT124" i="4"/>
  <c r="CO82" i="9" s="1"/>
  <c r="CT105" i="4"/>
  <c r="CT91" i="4"/>
  <c r="CT102" i="4"/>
  <c r="ID115" i="4"/>
  <c r="CT123" i="4"/>
  <c r="CO81" i="9" s="1"/>
  <c r="ID86" i="4"/>
  <c r="IC93" i="4"/>
  <c r="IC95" i="4"/>
  <c r="IC90" i="4"/>
  <c r="IC91" i="4"/>
  <c r="IC94" i="4"/>
  <c r="IC92" i="4"/>
  <c r="IC97" i="4"/>
  <c r="IC98" i="4" s="1"/>
  <c r="IC99" i="4" s="1"/>
  <c r="IC100" i="4" s="1"/>
  <c r="IB96" i="4"/>
  <c r="CR97" i="4" s="1"/>
  <c r="IF85" i="4"/>
  <c r="IF84" i="4" s="1"/>
  <c r="CV84" i="4" s="1"/>
  <c r="IC96" i="4" l="1"/>
  <c r="CS97" i="4" s="1"/>
  <c r="CT96" i="4"/>
  <c r="ID101" i="4" s="1"/>
  <c r="CU133" i="4"/>
  <c r="CU123" i="4"/>
  <c r="CP81" i="9" s="1"/>
  <c r="CU118" i="4"/>
  <c r="CP76" i="9" s="1"/>
  <c r="CU92" i="4"/>
  <c r="CU91" i="4"/>
  <c r="IE115" i="4"/>
  <c r="CU119" i="4"/>
  <c r="CP77" i="9" s="1"/>
  <c r="CU93" i="4"/>
  <c r="CU134" i="4"/>
  <c r="CU124" i="4"/>
  <c r="CP82" i="9" s="1"/>
  <c r="CU126" i="4"/>
  <c r="CP84" i="9" s="1"/>
  <c r="CU90" i="4"/>
  <c r="CU104" i="4"/>
  <c r="IE86" i="4"/>
  <c r="CU122" i="4"/>
  <c r="CP80" i="9" s="1"/>
  <c r="CU121" i="4"/>
  <c r="CP79" i="9" s="1"/>
  <c r="CU120" i="4"/>
  <c r="CP78" i="9" s="1"/>
  <c r="CU94" i="4"/>
  <c r="CU105" i="4"/>
  <c r="CU102" i="4"/>
  <c r="CU95" i="4"/>
  <c r="IG85" i="4"/>
  <c r="IG84" i="4" s="1"/>
  <c r="CW84" i="4" s="1"/>
  <c r="ID97" i="4"/>
  <c r="ID98" i="4" s="1"/>
  <c r="ID99" i="4" s="1"/>
  <c r="ID100" i="4" s="1"/>
  <c r="ID93" i="4"/>
  <c r="ID91" i="4"/>
  <c r="ID90" i="4"/>
  <c r="ID94" i="4"/>
  <c r="ID95" i="4"/>
  <c r="ID92" i="4"/>
  <c r="CU96" i="4" l="1"/>
  <c r="IE101" i="4" s="1"/>
  <c r="ID96" i="4"/>
  <c r="CT97" i="4" s="1"/>
  <c r="CV118" i="4"/>
  <c r="CQ76" i="9" s="1"/>
  <c r="CV119" i="4"/>
  <c r="CQ77" i="9" s="1"/>
  <c r="CV105" i="4"/>
  <c r="CV95" i="4"/>
  <c r="CV134" i="4"/>
  <c r="CV123" i="4"/>
  <c r="CQ81" i="9" s="1"/>
  <c r="CV92" i="4"/>
  <c r="CV93" i="4"/>
  <c r="CV121" i="4"/>
  <c r="CQ79" i="9" s="1"/>
  <c r="CV94" i="4"/>
  <c r="CV102" i="4"/>
  <c r="CV124" i="4"/>
  <c r="CQ82" i="9" s="1"/>
  <c r="CV90" i="4"/>
  <c r="CV133" i="4"/>
  <c r="CV122" i="4"/>
  <c r="CQ80" i="9" s="1"/>
  <c r="CV126" i="4"/>
  <c r="CQ84" i="9" s="1"/>
  <c r="CV91" i="4"/>
  <c r="CV104" i="4"/>
  <c r="IF115" i="4"/>
  <c r="CV120" i="4"/>
  <c r="CQ78" i="9" s="1"/>
  <c r="IF86" i="4"/>
  <c r="IH85" i="4"/>
  <c r="IH84" i="4" s="1"/>
  <c r="CX84" i="4" s="1"/>
  <c r="IE95" i="4"/>
  <c r="IE97" i="4"/>
  <c r="IE98" i="4" s="1"/>
  <c r="IE99" i="4" s="1"/>
  <c r="IE100" i="4" s="1"/>
  <c r="IE93" i="4"/>
  <c r="IE90" i="4"/>
  <c r="IE92" i="4"/>
  <c r="IE91" i="4"/>
  <c r="IE94" i="4"/>
  <c r="IE96" i="4" l="1"/>
  <c r="CU97" i="4" s="1"/>
  <c r="II85" i="4"/>
  <c r="II84" i="4" s="1"/>
  <c r="CY84" i="4" s="1"/>
  <c r="CW134" i="4"/>
  <c r="CW122" i="4"/>
  <c r="CR80" i="9" s="1"/>
  <c r="CW126" i="4"/>
  <c r="CR84" i="9" s="1"/>
  <c r="CW105" i="4"/>
  <c r="CW95" i="4"/>
  <c r="CW120" i="4"/>
  <c r="CR78" i="9" s="1"/>
  <c r="CW123" i="4"/>
  <c r="CR81" i="9" s="1"/>
  <c r="CW91" i="4"/>
  <c r="CW104" i="4"/>
  <c r="CW124" i="4"/>
  <c r="CR82" i="9" s="1"/>
  <c r="CW93" i="4"/>
  <c r="CW90" i="4"/>
  <c r="IG115" i="4"/>
  <c r="CW121" i="4"/>
  <c r="CR79" i="9" s="1"/>
  <c r="CW118" i="4"/>
  <c r="CR76" i="9" s="1"/>
  <c r="CW94" i="4"/>
  <c r="CW92" i="4"/>
  <c r="CW102" i="4"/>
  <c r="IG86" i="4"/>
  <c r="CW133" i="4"/>
  <c r="CW119" i="4"/>
  <c r="CR77" i="9" s="1"/>
  <c r="IF91" i="4"/>
  <c r="IF93" i="4"/>
  <c r="IF95" i="4"/>
  <c r="IF92" i="4"/>
  <c r="IF90" i="4"/>
  <c r="IF94" i="4"/>
  <c r="IF97" i="4"/>
  <c r="IF98" i="4" s="1"/>
  <c r="IF99" i="4" s="1"/>
  <c r="IF100" i="4" s="1"/>
  <c r="CV96" i="4"/>
  <c r="IF101" i="4" s="1"/>
  <c r="IF96" i="4" l="1"/>
  <c r="CV97" i="4" s="1"/>
  <c r="CW96" i="4"/>
  <c r="IG101" i="4" s="1"/>
  <c r="CX133" i="4"/>
  <c r="CX121" i="4"/>
  <c r="CS79" i="9" s="1"/>
  <c r="CX122" i="4"/>
  <c r="CS80" i="9" s="1"/>
  <c r="CX90" i="4"/>
  <c r="CX93" i="4"/>
  <c r="IH86" i="4"/>
  <c r="CX124" i="4"/>
  <c r="CS82" i="9" s="1"/>
  <c r="CX94" i="4"/>
  <c r="CX92" i="4"/>
  <c r="CX95" i="4"/>
  <c r="CX134" i="4"/>
  <c r="CX126" i="4"/>
  <c r="CS84" i="9" s="1"/>
  <c r="CX91" i="4"/>
  <c r="CX119" i="4"/>
  <c r="CS77" i="9" s="1"/>
  <c r="CX102" i="4"/>
  <c r="CX118" i="4"/>
  <c r="CS76" i="9" s="1"/>
  <c r="CX120" i="4"/>
  <c r="CS78" i="9" s="1"/>
  <c r="CX105" i="4"/>
  <c r="CX104" i="4"/>
  <c r="CX123" i="4"/>
  <c r="CS81" i="9" s="1"/>
  <c r="IH115" i="4"/>
  <c r="IG97" i="4"/>
  <c r="IG98" i="4" s="1"/>
  <c r="IG99" i="4" s="1"/>
  <c r="IG100" i="4" s="1"/>
  <c r="IG91" i="4"/>
  <c r="IG92" i="4"/>
  <c r="IG93" i="4"/>
  <c r="IG95" i="4"/>
  <c r="IG94" i="4"/>
  <c r="IG90" i="4"/>
  <c r="IJ85" i="4"/>
  <c r="IJ84" i="4" s="1"/>
  <c r="CZ84" i="4" s="1"/>
  <c r="IK85" i="4" l="1"/>
  <c r="IK84" i="4" s="1"/>
  <c r="DA84" i="4" s="1"/>
  <c r="IH97" i="4"/>
  <c r="IH98" i="4" s="1"/>
  <c r="IH99" i="4" s="1"/>
  <c r="IH100" i="4" s="1"/>
  <c r="IH92" i="4"/>
  <c r="IH90" i="4"/>
  <c r="IH91" i="4"/>
  <c r="IH93" i="4"/>
  <c r="IH95" i="4"/>
  <c r="IH94" i="4"/>
  <c r="CY133" i="4"/>
  <c r="CY119" i="4"/>
  <c r="CT77" i="9" s="1"/>
  <c r="CY124" i="4"/>
  <c r="CT82" i="9" s="1"/>
  <c r="CY95" i="4"/>
  <c r="CY91" i="4"/>
  <c r="II86" i="4"/>
  <c r="CY134" i="4"/>
  <c r="CY126" i="4"/>
  <c r="CT84" i="9" s="1"/>
  <c r="CY93" i="4"/>
  <c r="CY92" i="4"/>
  <c r="CY90" i="4"/>
  <c r="CY102" i="4"/>
  <c r="II115" i="4"/>
  <c r="CY121" i="4"/>
  <c r="CT79" i="9" s="1"/>
  <c r="CY118" i="4"/>
  <c r="CT76" i="9" s="1"/>
  <c r="CY105" i="4"/>
  <c r="CY120" i="4"/>
  <c r="CT78" i="9" s="1"/>
  <c r="CY122" i="4"/>
  <c r="CT80" i="9" s="1"/>
  <c r="CY94" i="4"/>
  <c r="CY104" i="4"/>
  <c r="CY123" i="4"/>
  <c r="CT81" i="9" s="1"/>
  <c r="IG96" i="4"/>
  <c r="CW97" i="4" s="1"/>
  <c r="CX96" i="4"/>
  <c r="IH101" i="4" s="1"/>
  <c r="CY96" i="4" l="1"/>
  <c r="II101" i="4" s="1"/>
  <c r="II97" i="4"/>
  <c r="II98" i="4" s="1"/>
  <c r="II99" i="4" s="1"/>
  <c r="II100" i="4" s="1"/>
  <c r="II92" i="4"/>
  <c r="II94" i="4"/>
  <c r="II93" i="4"/>
  <c r="II91" i="4"/>
  <c r="II95" i="4"/>
  <c r="II90" i="4"/>
  <c r="CZ133" i="4"/>
  <c r="CZ124" i="4"/>
  <c r="CU82" i="9" s="1"/>
  <c r="CZ119" i="4"/>
  <c r="CU77" i="9" s="1"/>
  <c r="CZ105" i="4"/>
  <c r="CZ95" i="4"/>
  <c r="CZ126" i="4"/>
  <c r="CU84" i="9" s="1"/>
  <c r="CZ93" i="4"/>
  <c r="IJ86" i="4"/>
  <c r="CZ120" i="4"/>
  <c r="CU78" i="9" s="1"/>
  <c r="CZ94" i="4"/>
  <c r="CZ134" i="4"/>
  <c r="CZ121" i="4"/>
  <c r="CU79" i="9" s="1"/>
  <c r="CZ91" i="4"/>
  <c r="CZ122" i="4"/>
  <c r="CU80" i="9" s="1"/>
  <c r="CZ92" i="4"/>
  <c r="CZ102" i="4"/>
  <c r="CZ118" i="4"/>
  <c r="CU76" i="9" s="1"/>
  <c r="CZ123" i="4"/>
  <c r="CU81" i="9" s="1"/>
  <c r="CZ90" i="4"/>
  <c r="CZ104" i="4"/>
  <c r="IJ115" i="4"/>
  <c r="IH96" i="4"/>
  <c r="CX97" i="4" s="1"/>
  <c r="IL85" i="4"/>
  <c r="IL84" i="4" s="1"/>
  <c r="DB84" i="4" s="1"/>
  <c r="II96" i="4" l="1"/>
  <c r="CY97" i="4" s="1"/>
  <c r="IJ93" i="4"/>
  <c r="IJ95" i="4"/>
  <c r="IJ91" i="4"/>
  <c r="IJ90" i="4"/>
  <c r="IJ92" i="4"/>
  <c r="IJ97" i="4"/>
  <c r="IJ98" i="4" s="1"/>
  <c r="IJ99" i="4" s="1"/>
  <c r="IJ100" i="4" s="1"/>
  <c r="IJ94" i="4"/>
  <c r="DA134" i="4"/>
  <c r="DA123" i="4"/>
  <c r="CV81" i="9" s="1"/>
  <c r="DA126" i="4"/>
  <c r="CV84" i="9" s="1"/>
  <c r="DA105" i="4"/>
  <c r="DA92" i="4"/>
  <c r="DA124" i="4"/>
  <c r="CV82" i="9" s="1"/>
  <c r="DA104" i="4"/>
  <c r="IK86" i="4"/>
  <c r="DA121" i="4"/>
  <c r="CV79" i="9" s="1"/>
  <c r="DA93" i="4"/>
  <c r="DA119" i="4"/>
  <c r="CV77" i="9" s="1"/>
  <c r="DA95" i="4"/>
  <c r="DA133" i="4"/>
  <c r="DA94" i="4"/>
  <c r="DA120" i="4"/>
  <c r="CV78" i="9" s="1"/>
  <c r="DA122" i="4"/>
  <c r="CV80" i="9" s="1"/>
  <c r="DA90" i="4"/>
  <c r="DA91" i="4"/>
  <c r="DA102" i="4"/>
  <c r="IK115" i="4"/>
  <c r="DA118" i="4"/>
  <c r="CV76" i="9" s="1"/>
  <c r="CZ96" i="4"/>
  <c r="IJ101" i="4" s="1"/>
  <c r="IM85" i="4"/>
  <c r="IM84" i="4" s="1"/>
  <c r="DC84" i="4" s="1"/>
  <c r="DA96" i="4" l="1"/>
  <c r="IK101" i="4" s="1"/>
  <c r="IJ96" i="4"/>
  <c r="CZ97" i="4" s="1"/>
  <c r="DB133" i="4"/>
  <c r="DB120" i="4"/>
  <c r="CW78" i="9" s="1"/>
  <c r="DB122" i="4"/>
  <c r="CW80" i="9" s="1"/>
  <c r="DB92" i="4"/>
  <c r="DB95" i="4"/>
  <c r="IL115" i="4"/>
  <c r="DB123" i="4"/>
  <c r="CW81" i="9" s="1"/>
  <c r="DB126" i="4"/>
  <c r="CW84" i="9" s="1"/>
  <c r="DB91" i="4"/>
  <c r="DB93" i="4"/>
  <c r="DB118" i="4"/>
  <c r="CW76" i="9" s="1"/>
  <c r="DB119" i="4"/>
  <c r="CW77" i="9" s="1"/>
  <c r="DB90" i="4"/>
  <c r="DB121" i="4"/>
  <c r="CW79" i="9" s="1"/>
  <c r="DB94" i="4"/>
  <c r="DB105" i="4"/>
  <c r="IL86" i="4"/>
  <c r="DB134" i="4"/>
  <c r="DB104" i="4"/>
  <c r="DB124" i="4"/>
  <c r="CW82" i="9" s="1"/>
  <c r="DB102" i="4"/>
  <c r="IK97" i="4"/>
  <c r="IK98" i="4" s="1"/>
  <c r="IK99" i="4" s="1"/>
  <c r="IK100" i="4" s="1"/>
  <c r="IK91" i="4"/>
  <c r="IK94" i="4"/>
  <c r="IK90" i="4"/>
  <c r="IK95" i="4"/>
  <c r="IK92" i="4"/>
  <c r="IK93" i="4"/>
  <c r="IN85" i="4"/>
  <c r="IN84" i="4" s="1"/>
  <c r="DD84" i="4" s="1"/>
  <c r="IO85" i="4" l="1"/>
  <c r="IO84" i="4" s="1"/>
  <c r="DE84" i="4" s="1"/>
  <c r="DC134" i="4"/>
  <c r="DC122" i="4"/>
  <c r="CX80" i="9" s="1"/>
  <c r="DC118" i="4"/>
  <c r="CX76" i="9" s="1"/>
  <c r="DC90" i="4"/>
  <c r="DC95" i="4"/>
  <c r="IM115" i="4"/>
  <c r="DC133" i="4"/>
  <c r="DC123" i="4"/>
  <c r="CX81" i="9" s="1"/>
  <c r="DC105" i="4"/>
  <c r="DC94" i="4"/>
  <c r="IM86" i="4"/>
  <c r="DC119" i="4"/>
  <c r="CX77" i="9" s="1"/>
  <c r="DC126" i="4"/>
  <c r="CX84" i="9" s="1"/>
  <c r="DC92" i="4"/>
  <c r="DC102" i="4"/>
  <c r="DC120" i="4"/>
  <c r="CX78" i="9" s="1"/>
  <c r="DC124" i="4"/>
  <c r="CX82" i="9" s="1"/>
  <c r="DC93" i="4"/>
  <c r="DC104" i="4"/>
  <c r="DC121" i="4"/>
  <c r="CX79" i="9" s="1"/>
  <c r="DC91" i="4"/>
  <c r="IK96" i="4"/>
  <c r="DA97" i="4" s="1"/>
  <c r="IL97" i="4"/>
  <c r="IL98" i="4" s="1"/>
  <c r="IL99" i="4" s="1"/>
  <c r="IL100" i="4" s="1"/>
  <c r="IL94" i="4"/>
  <c r="IL90" i="4"/>
  <c r="IL93" i="4"/>
  <c r="IL91" i="4"/>
  <c r="IL95" i="4"/>
  <c r="IL92" i="4"/>
  <c r="DB96" i="4"/>
  <c r="IL101" i="4" s="1"/>
  <c r="IL96" i="4" l="1"/>
  <c r="DB97" i="4" s="1"/>
  <c r="DC96" i="4"/>
  <c r="IM101" i="4" s="1"/>
  <c r="IP85" i="4"/>
  <c r="IP84" i="4" s="1"/>
  <c r="DF84" i="4" s="1"/>
  <c r="IM97" i="4"/>
  <c r="IM98" i="4" s="1"/>
  <c r="IM99" i="4" s="1"/>
  <c r="IM100" i="4" s="1"/>
  <c r="IM92" i="4"/>
  <c r="IM90" i="4"/>
  <c r="IM93" i="4"/>
  <c r="IM94" i="4"/>
  <c r="IM95" i="4"/>
  <c r="IM91" i="4"/>
  <c r="DD134" i="4"/>
  <c r="DD118" i="4"/>
  <c r="CY76" i="9" s="1"/>
  <c r="DD122" i="4"/>
  <c r="CY80" i="9" s="1"/>
  <c r="DD105" i="4"/>
  <c r="DD95" i="4"/>
  <c r="DD124" i="4"/>
  <c r="CY82" i="9" s="1"/>
  <c r="DD126" i="4"/>
  <c r="CY84" i="9" s="1"/>
  <c r="DD92" i="4"/>
  <c r="DD93" i="4"/>
  <c r="DD120" i="4"/>
  <c r="CY78" i="9" s="1"/>
  <c r="DD121" i="4"/>
  <c r="CY79" i="9" s="1"/>
  <c r="DD91" i="4"/>
  <c r="DD133" i="4"/>
  <c r="DD94" i="4"/>
  <c r="IN86" i="4"/>
  <c r="DD119" i="4"/>
  <c r="CY77" i="9" s="1"/>
  <c r="DD123" i="4"/>
  <c r="CY81" i="9" s="1"/>
  <c r="DD90" i="4"/>
  <c r="DD104" i="4"/>
  <c r="IN115" i="4"/>
  <c r="DD102" i="4"/>
  <c r="DE133" i="4" l="1"/>
  <c r="DE124" i="4"/>
  <c r="CZ82" i="9" s="1"/>
  <c r="DE126" i="4"/>
  <c r="CZ84" i="9" s="1"/>
  <c r="DE93" i="4"/>
  <c r="DE90" i="4"/>
  <c r="DE122" i="4"/>
  <c r="CZ80" i="9" s="1"/>
  <c r="DE105" i="4"/>
  <c r="DE120" i="4"/>
  <c r="CZ78" i="9" s="1"/>
  <c r="DE123" i="4"/>
  <c r="CZ81" i="9" s="1"/>
  <c r="DE95" i="4"/>
  <c r="DE104" i="4"/>
  <c r="IO115" i="4"/>
  <c r="DE92" i="4"/>
  <c r="DE121" i="4"/>
  <c r="CZ79" i="9" s="1"/>
  <c r="DE118" i="4"/>
  <c r="CZ76" i="9" s="1"/>
  <c r="DE91" i="4"/>
  <c r="DE94" i="4"/>
  <c r="DE102" i="4"/>
  <c r="DE134" i="4"/>
  <c r="DE119" i="4"/>
  <c r="CZ77" i="9" s="1"/>
  <c r="IO86" i="4"/>
  <c r="IM96" i="4"/>
  <c r="DC97" i="4" s="1"/>
  <c r="IQ85" i="4"/>
  <c r="IQ84" i="4" s="1"/>
  <c r="DG84" i="4" s="1"/>
  <c r="IN92" i="4"/>
  <c r="IN97" i="4"/>
  <c r="IN98" i="4" s="1"/>
  <c r="IN99" i="4" s="1"/>
  <c r="IN100" i="4" s="1"/>
  <c r="IN90" i="4"/>
  <c r="IN95" i="4"/>
  <c r="IN93" i="4"/>
  <c r="IN94" i="4"/>
  <c r="IN91" i="4"/>
  <c r="DD96" i="4"/>
  <c r="IN101" i="4" s="1"/>
  <c r="DF133" i="4" l="1"/>
  <c r="DF119" i="4"/>
  <c r="DA77" i="9" s="1"/>
  <c r="DF118" i="4"/>
  <c r="DA76" i="9" s="1"/>
  <c r="DF91" i="4"/>
  <c r="DF92" i="4"/>
  <c r="DF134" i="4"/>
  <c r="DF124" i="4"/>
  <c r="DA82" i="9" s="1"/>
  <c r="DF126" i="4"/>
  <c r="DA84" i="9" s="1"/>
  <c r="DF90" i="4"/>
  <c r="DF123" i="4"/>
  <c r="DA81" i="9" s="1"/>
  <c r="DF105" i="4"/>
  <c r="DF94" i="4"/>
  <c r="DF93" i="4"/>
  <c r="IP86" i="4"/>
  <c r="DF120" i="4"/>
  <c r="DA78" i="9" s="1"/>
  <c r="DF121" i="4"/>
  <c r="DA79" i="9" s="1"/>
  <c r="DF95" i="4"/>
  <c r="DF104" i="4"/>
  <c r="IP115" i="4"/>
  <c r="DF122" i="4"/>
  <c r="DA80" i="9" s="1"/>
  <c r="DF102" i="4"/>
  <c r="IN96" i="4"/>
  <c r="DD97" i="4" s="1"/>
  <c r="IR85" i="4"/>
  <c r="IR84" i="4" s="1"/>
  <c r="DH84" i="4" s="1"/>
  <c r="IO97" i="4"/>
  <c r="IO98" i="4" s="1"/>
  <c r="IO99" i="4" s="1"/>
  <c r="IO100" i="4" s="1"/>
  <c r="IO92" i="4"/>
  <c r="IO90" i="4"/>
  <c r="IO91" i="4"/>
  <c r="IO94" i="4"/>
  <c r="IO95" i="4"/>
  <c r="IO93" i="4"/>
  <c r="DE96" i="4"/>
  <c r="IO101" i="4" s="1"/>
  <c r="IS85" i="4" l="1"/>
  <c r="IS84" i="4" s="1"/>
  <c r="DI84" i="4" s="1"/>
  <c r="IP97" i="4"/>
  <c r="IP98" i="4" s="1"/>
  <c r="IP99" i="4" s="1"/>
  <c r="IP100" i="4" s="1"/>
  <c r="IP90" i="4"/>
  <c r="IP93" i="4"/>
  <c r="IP92" i="4"/>
  <c r="IP94" i="4"/>
  <c r="IP91" i="4"/>
  <c r="IP95" i="4"/>
  <c r="DG133" i="4"/>
  <c r="DG118" i="4"/>
  <c r="DB76" i="9" s="1"/>
  <c r="DG122" i="4"/>
  <c r="DB80" i="9" s="1"/>
  <c r="DG105" i="4"/>
  <c r="DG94" i="4"/>
  <c r="IQ115" i="4"/>
  <c r="DG134" i="4"/>
  <c r="DG120" i="4"/>
  <c r="DB78" i="9" s="1"/>
  <c r="DG126" i="4"/>
  <c r="DB84" i="9" s="1"/>
  <c r="DG93" i="4"/>
  <c r="DG104" i="4"/>
  <c r="DG119" i="4"/>
  <c r="DB77" i="9" s="1"/>
  <c r="DG95" i="4"/>
  <c r="DG102" i="4"/>
  <c r="DG91" i="4"/>
  <c r="IQ86" i="4"/>
  <c r="DG121" i="4"/>
  <c r="DB79" i="9" s="1"/>
  <c r="DG123" i="4"/>
  <c r="DB81" i="9" s="1"/>
  <c r="DG92" i="4"/>
  <c r="DG124" i="4"/>
  <c r="DB82" i="9" s="1"/>
  <c r="DG90" i="4"/>
  <c r="IO96" i="4"/>
  <c r="DE97" i="4" s="1"/>
  <c r="DF96" i="4"/>
  <c r="IP101" i="4" s="1"/>
  <c r="IP96" i="4" l="1"/>
  <c r="DF97" i="4" s="1"/>
  <c r="DG96" i="4"/>
  <c r="IQ101" i="4" s="1"/>
  <c r="IT85" i="4"/>
  <c r="IT84" i="4" s="1"/>
  <c r="DJ84" i="4" s="1"/>
  <c r="IQ97" i="4"/>
  <c r="IQ98" i="4" s="1"/>
  <c r="IQ99" i="4" s="1"/>
  <c r="IQ100" i="4" s="1"/>
  <c r="IQ90" i="4"/>
  <c r="IQ93" i="4"/>
  <c r="IQ94" i="4"/>
  <c r="IQ95" i="4"/>
  <c r="IQ92" i="4"/>
  <c r="IQ91" i="4"/>
  <c r="DH134" i="4"/>
  <c r="DH123" i="4"/>
  <c r="DC81" i="9" s="1"/>
  <c r="DH118" i="4"/>
  <c r="DC76" i="9" s="1"/>
  <c r="DH94" i="4"/>
  <c r="DH92" i="4"/>
  <c r="IR115" i="4"/>
  <c r="DH133" i="4"/>
  <c r="DH124" i="4"/>
  <c r="DC82" i="9" s="1"/>
  <c r="DH126" i="4"/>
  <c r="DC84" i="9" s="1"/>
  <c r="DH104" i="4"/>
  <c r="DH121" i="4"/>
  <c r="DC79" i="9" s="1"/>
  <c r="DH95" i="4"/>
  <c r="IR86" i="4"/>
  <c r="DH119" i="4"/>
  <c r="DC77" i="9" s="1"/>
  <c r="DH122" i="4"/>
  <c r="DC80" i="9" s="1"/>
  <c r="DH90" i="4"/>
  <c r="DH93" i="4"/>
  <c r="DH102" i="4"/>
  <c r="DH120" i="4"/>
  <c r="DC78" i="9" s="1"/>
  <c r="DH91" i="4"/>
  <c r="DH105" i="4"/>
  <c r="DH96" i="4" l="1"/>
  <c r="IR101" i="4" s="1"/>
  <c r="DI133" i="4"/>
  <c r="DI124" i="4"/>
  <c r="DD82" i="9" s="1"/>
  <c r="DI126" i="4"/>
  <c r="DD84" i="9" s="1"/>
  <c r="DI95" i="4"/>
  <c r="DI104" i="4"/>
  <c r="IS115" i="4"/>
  <c r="DI102" i="4"/>
  <c r="IS86" i="4"/>
  <c r="DI134" i="4"/>
  <c r="DI119" i="4"/>
  <c r="DD77" i="9" s="1"/>
  <c r="DI90" i="4"/>
  <c r="DI118" i="4"/>
  <c r="DD76" i="9" s="1"/>
  <c r="DI120" i="4"/>
  <c r="DD78" i="9" s="1"/>
  <c r="DI92" i="4"/>
  <c r="DI94" i="4"/>
  <c r="DI122" i="4"/>
  <c r="DD80" i="9" s="1"/>
  <c r="DI121" i="4"/>
  <c r="DD79" i="9" s="1"/>
  <c r="DI105" i="4"/>
  <c r="DI91" i="4"/>
  <c r="DI123" i="4"/>
  <c r="DD81" i="9" s="1"/>
  <c r="DI93" i="4"/>
  <c r="IR95" i="4"/>
  <c r="IR90" i="4"/>
  <c r="IR94" i="4"/>
  <c r="IR92" i="4"/>
  <c r="IR97" i="4"/>
  <c r="IR98" i="4" s="1"/>
  <c r="IR99" i="4" s="1"/>
  <c r="IR100" i="4" s="1"/>
  <c r="IR93" i="4"/>
  <c r="IR91" i="4"/>
  <c r="IU85" i="4"/>
  <c r="IU84" i="4" s="1"/>
  <c r="DK84" i="4" s="1"/>
  <c r="IQ96" i="4"/>
  <c r="DG97" i="4" s="1"/>
  <c r="DI96" i="4" l="1"/>
  <c r="IS101" i="4" s="1"/>
  <c r="DJ124" i="4"/>
  <c r="DE82" i="9" s="1"/>
  <c r="DJ118" i="4"/>
  <c r="DE76" i="9" s="1"/>
  <c r="DJ94" i="4"/>
  <c r="DJ105" i="4"/>
  <c r="DJ102" i="4"/>
  <c r="IT115" i="4"/>
  <c r="DJ123" i="4"/>
  <c r="DE81" i="9" s="1"/>
  <c r="DJ121" i="4"/>
  <c r="DE79" i="9" s="1"/>
  <c r="DJ92" i="4"/>
  <c r="DJ95" i="4"/>
  <c r="DJ120" i="4"/>
  <c r="DE78" i="9" s="1"/>
  <c r="DJ90" i="4"/>
  <c r="IT86" i="4"/>
  <c r="DJ133" i="4"/>
  <c r="DJ119" i="4"/>
  <c r="DE77" i="9" s="1"/>
  <c r="DJ122" i="4"/>
  <c r="DE80" i="9" s="1"/>
  <c r="DJ91" i="4"/>
  <c r="DJ93" i="4"/>
  <c r="DJ134" i="4"/>
  <c r="DJ126" i="4"/>
  <c r="DE84" i="9" s="1"/>
  <c r="DJ104" i="4"/>
  <c r="IV85" i="4"/>
  <c r="IV84" i="4" s="1"/>
  <c r="DL84" i="4" s="1"/>
  <c r="IR96" i="4"/>
  <c r="DH97" i="4" s="1"/>
  <c r="IS90" i="4"/>
  <c r="IS92" i="4"/>
  <c r="IS95" i="4"/>
  <c r="IS91" i="4"/>
  <c r="IS97" i="4"/>
  <c r="IS98" i="4" s="1"/>
  <c r="IS99" i="4" s="1"/>
  <c r="IS100" i="4" s="1"/>
  <c r="IS93" i="4"/>
  <c r="IS94" i="4"/>
  <c r="DK134" i="4" l="1"/>
  <c r="DK121" i="4"/>
  <c r="DF79" i="9" s="1"/>
  <c r="DK126" i="4"/>
  <c r="DF84" i="9" s="1"/>
  <c r="DK95" i="4"/>
  <c r="DK92" i="4"/>
  <c r="DK120" i="4"/>
  <c r="DF78" i="9" s="1"/>
  <c r="DK122" i="4"/>
  <c r="DF80" i="9" s="1"/>
  <c r="DK94" i="4"/>
  <c r="DK104" i="4"/>
  <c r="DK133" i="4"/>
  <c r="DK124" i="4"/>
  <c r="DF82" i="9" s="1"/>
  <c r="DK93" i="4"/>
  <c r="IU115" i="4"/>
  <c r="DK118" i="4"/>
  <c r="DF76" i="9" s="1"/>
  <c r="DK105" i="4"/>
  <c r="DK119" i="4"/>
  <c r="DF77" i="9" s="1"/>
  <c r="DK123" i="4"/>
  <c r="DF81" i="9" s="1"/>
  <c r="DK90" i="4"/>
  <c r="DK91" i="4"/>
  <c r="DK102" i="4"/>
  <c r="IU86" i="4"/>
  <c r="IW85" i="4"/>
  <c r="IW84" i="4" s="1"/>
  <c r="DM84" i="4" s="1"/>
  <c r="IS96" i="4"/>
  <c r="DI97" i="4" s="1"/>
  <c r="IT94" i="4"/>
  <c r="IT95" i="4"/>
  <c r="IT90" i="4"/>
  <c r="IT97" i="4"/>
  <c r="IT98" i="4" s="1"/>
  <c r="IT99" i="4" s="1"/>
  <c r="IT100" i="4" s="1"/>
  <c r="IT93" i="4"/>
  <c r="IT92" i="4"/>
  <c r="IT91" i="4"/>
  <c r="DJ96" i="4"/>
  <c r="IT101" i="4" s="1"/>
  <c r="DK96" i="4" l="1"/>
  <c r="IU101" i="4" s="1"/>
  <c r="DL134" i="4"/>
  <c r="DL124" i="4"/>
  <c r="DG82" i="9" s="1"/>
  <c r="DL126" i="4"/>
  <c r="DG84" i="9" s="1"/>
  <c r="DL91" i="4"/>
  <c r="DL94" i="4"/>
  <c r="IV86" i="4"/>
  <c r="DL122" i="4"/>
  <c r="DG80" i="9" s="1"/>
  <c r="DL118" i="4"/>
  <c r="DG76" i="9" s="1"/>
  <c r="DL90" i="4"/>
  <c r="DL104" i="4"/>
  <c r="DL133" i="4"/>
  <c r="DL121" i="4"/>
  <c r="DG79" i="9" s="1"/>
  <c r="DL92" i="4"/>
  <c r="IV115" i="4"/>
  <c r="DL93" i="4"/>
  <c r="DL123" i="4"/>
  <c r="DG81" i="9" s="1"/>
  <c r="DL120" i="4"/>
  <c r="DG78" i="9" s="1"/>
  <c r="DL105" i="4"/>
  <c r="DL95" i="4"/>
  <c r="DL102" i="4"/>
  <c r="DL119" i="4"/>
  <c r="DG77" i="9" s="1"/>
  <c r="IU93" i="4"/>
  <c r="IU90" i="4"/>
  <c r="IU95" i="4"/>
  <c r="IU94" i="4"/>
  <c r="IU97" i="4"/>
  <c r="IU98" i="4" s="1"/>
  <c r="IU99" i="4" s="1"/>
  <c r="IU100" i="4" s="1"/>
  <c r="IU91" i="4"/>
  <c r="IU92" i="4"/>
  <c r="IT96" i="4"/>
  <c r="DJ97" i="4" s="1"/>
  <c r="IX85" i="4"/>
  <c r="IX84" i="4" s="1"/>
  <c r="DN84" i="4" s="1"/>
  <c r="DM134" i="4" l="1"/>
  <c r="DM120" i="4"/>
  <c r="DH78" i="9" s="1"/>
  <c r="DM126" i="4"/>
  <c r="DH84" i="9" s="1"/>
  <c r="DM93" i="4"/>
  <c r="DM104" i="4"/>
  <c r="DM123" i="4"/>
  <c r="DH81" i="9" s="1"/>
  <c r="DM121" i="4"/>
  <c r="DH79" i="9" s="1"/>
  <c r="DM91" i="4"/>
  <c r="DM102" i="4"/>
  <c r="DM118" i="4"/>
  <c r="DH76" i="9" s="1"/>
  <c r="DM124" i="4"/>
  <c r="DH82" i="9" s="1"/>
  <c r="DM90" i="4"/>
  <c r="DM119" i="4"/>
  <c r="DH77" i="9" s="1"/>
  <c r="DM95" i="4"/>
  <c r="DM92" i="4"/>
  <c r="DM122" i="4"/>
  <c r="DH80" i="9" s="1"/>
  <c r="IW86" i="4"/>
  <c r="DM94" i="4"/>
  <c r="IW115" i="4"/>
  <c r="DM133" i="4"/>
  <c r="DM105" i="4"/>
  <c r="IY85" i="4"/>
  <c r="IY84" i="4" s="1"/>
  <c r="DO84" i="4" s="1"/>
  <c r="IV93" i="4"/>
  <c r="IV91" i="4"/>
  <c r="IV92" i="4"/>
  <c r="IV94" i="4"/>
  <c r="IV95" i="4"/>
  <c r="IV97" i="4"/>
  <c r="IV98" i="4" s="1"/>
  <c r="IV99" i="4" s="1"/>
  <c r="IV100" i="4" s="1"/>
  <c r="IV90" i="4"/>
  <c r="IU96" i="4"/>
  <c r="DK97" i="4" s="1"/>
  <c r="DL96" i="4"/>
  <c r="IV101" i="4" s="1"/>
  <c r="DM96" i="4" l="1"/>
  <c r="IW101" i="4" s="1"/>
  <c r="DN133" i="4"/>
  <c r="DN124" i="4"/>
  <c r="DI82" i="9" s="1"/>
  <c r="DN126" i="4"/>
  <c r="DI84" i="9" s="1"/>
  <c r="DN90" i="4"/>
  <c r="DN104" i="4"/>
  <c r="DN105" i="4"/>
  <c r="IX115" i="4"/>
  <c r="DN118" i="4"/>
  <c r="DI76" i="9" s="1"/>
  <c r="DN91" i="4"/>
  <c r="DN119" i="4"/>
  <c r="DI77" i="9" s="1"/>
  <c r="DN120" i="4"/>
  <c r="DI78" i="9" s="1"/>
  <c r="DN95" i="4"/>
  <c r="DN93" i="4"/>
  <c r="DN102" i="4"/>
  <c r="IX86" i="4"/>
  <c r="DN121" i="4"/>
  <c r="DI79" i="9" s="1"/>
  <c r="DN123" i="4"/>
  <c r="DI81" i="9" s="1"/>
  <c r="DN94" i="4"/>
  <c r="DN134" i="4"/>
  <c r="DN122" i="4"/>
  <c r="DI80" i="9" s="1"/>
  <c r="DN92" i="4"/>
  <c r="IZ85" i="4"/>
  <c r="IZ84" i="4" s="1"/>
  <c r="DP84" i="4" s="1"/>
  <c r="IV96" i="4"/>
  <c r="DL97" i="4" s="1"/>
  <c r="IW93" i="4"/>
  <c r="IW95" i="4"/>
  <c r="IW91" i="4"/>
  <c r="IW94" i="4"/>
  <c r="IW92" i="4"/>
  <c r="IW90" i="4"/>
  <c r="IW97" i="4"/>
  <c r="IW98" i="4" s="1"/>
  <c r="IW99" i="4" s="1"/>
  <c r="IW100" i="4" s="1"/>
  <c r="DO134" i="4" l="1"/>
  <c r="DO121" i="4"/>
  <c r="DJ79" i="9" s="1"/>
  <c r="DO120" i="4"/>
  <c r="DJ78" i="9" s="1"/>
  <c r="DO94" i="4"/>
  <c r="DO92" i="4"/>
  <c r="DO122" i="4"/>
  <c r="DJ80" i="9" s="1"/>
  <c r="DO126" i="4"/>
  <c r="DJ84" i="9" s="1"/>
  <c r="DO105" i="4"/>
  <c r="IY86" i="4"/>
  <c r="DO133" i="4"/>
  <c r="DO104" i="4"/>
  <c r="DO124" i="4"/>
  <c r="DJ82" i="9" s="1"/>
  <c r="DO119" i="4"/>
  <c r="DJ77" i="9" s="1"/>
  <c r="DO123" i="4"/>
  <c r="DJ81" i="9" s="1"/>
  <c r="DO95" i="4"/>
  <c r="DO93" i="4"/>
  <c r="DO102" i="4"/>
  <c r="IY115" i="4"/>
  <c r="DO118" i="4"/>
  <c r="DJ76" i="9" s="1"/>
  <c r="DO91" i="4"/>
  <c r="DO90" i="4"/>
  <c r="IX97" i="4"/>
  <c r="IX98" i="4" s="1"/>
  <c r="IX99" i="4" s="1"/>
  <c r="IX100" i="4" s="1"/>
  <c r="IX94" i="4"/>
  <c r="IX93" i="4"/>
  <c r="IX90" i="4"/>
  <c r="IX95" i="4"/>
  <c r="IX92" i="4"/>
  <c r="IX91" i="4"/>
  <c r="JA85" i="4"/>
  <c r="JA84" i="4" s="1"/>
  <c r="DQ84" i="4" s="1"/>
  <c r="DN96" i="4"/>
  <c r="IX101" i="4" s="1"/>
  <c r="IW96" i="4"/>
  <c r="DM97" i="4" s="1"/>
  <c r="DP134" i="4" l="1"/>
  <c r="DP122" i="4"/>
  <c r="DK80" i="9" s="1"/>
  <c r="DP126" i="4"/>
  <c r="DK84" i="9" s="1"/>
  <c r="DP95" i="4"/>
  <c r="DP104" i="4"/>
  <c r="IZ115" i="4"/>
  <c r="DP120" i="4"/>
  <c r="DK78" i="9" s="1"/>
  <c r="DP124" i="4"/>
  <c r="DK82" i="9" s="1"/>
  <c r="DP92" i="4"/>
  <c r="DP93" i="4"/>
  <c r="DP102" i="4"/>
  <c r="IZ86" i="4"/>
  <c r="DP123" i="4"/>
  <c r="DK81" i="9" s="1"/>
  <c r="DP119" i="4"/>
  <c r="DK77" i="9" s="1"/>
  <c r="DP121" i="4"/>
  <c r="DK79" i="9" s="1"/>
  <c r="DP105" i="4"/>
  <c r="DP91" i="4"/>
  <c r="DP133" i="4"/>
  <c r="DP118" i="4"/>
  <c r="DK76" i="9" s="1"/>
  <c r="DP94" i="4"/>
  <c r="DP90" i="4"/>
  <c r="JB85" i="4"/>
  <c r="JB84" i="4" s="1"/>
  <c r="DR84" i="4" s="1"/>
  <c r="IX96" i="4"/>
  <c r="DN97" i="4" s="1"/>
  <c r="DO96" i="4"/>
  <c r="IY101" i="4" s="1"/>
  <c r="IY94" i="4"/>
  <c r="IY91" i="4"/>
  <c r="IY97" i="4"/>
  <c r="IY98" i="4" s="1"/>
  <c r="IY99" i="4" s="1"/>
  <c r="IY100" i="4" s="1"/>
  <c r="IY95" i="4"/>
  <c r="IY93" i="4"/>
  <c r="IY92" i="4"/>
  <c r="IY90" i="4"/>
  <c r="IY96" i="4" l="1"/>
  <c r="DO97" i="4" s="1"/>
  <c r="JC85" i="4"/>
  <c r="JC84" i="4" s="1"/>
  <c r="DS84" i="4" s="1"/>
  <c r="DQ122" i="4"/>
  <c r="DL80" i="9" s="1"/>
  <c r="DQ121" i="4"/>
  <c r="DL79" i="9" s="1"/>
  <c r="DQ93" i="4"/>
  <c r="DQ104" i="4"/>
  <c r="DQ92" i="4"/>
  <c r="JA115" i="4"/>
  <c r="DQ126" i="4"/>
  <c r="DL84" i="9" s="1"/>
  <c r="DQ118" i="4"/>
  <c r="DL76" i="9" s="1"/>
  <c r="DQ123" i="4"/>
  <c r="DL81" i="9" s="1"/>
  <c r="DQ91" i="4"/>
  <c r="DQ102" i="4"/>
  <c r="DQ133" i="4"/>
  <c r="DQ119" i="4"/>
  <c r="DL77" i="9" s="1"/>
  <c r="DQ124" i="4"/>
  <c r="DL82" i="9" s="1"/>
  <c r="DQ95" i="4"/>
  <c r="DQ105" i="4"/>
  <c r="JA86" i="4"/>
  <c r="DQ134" i="4"/>
  <c r="DQ120" i="4"/>
  <c r="DL78" i="9" s="1"/>
  <c r="DQ94" i="4"/>
  <c r="DQ90" i="4"/>
  <c r="IZ95" i="4"/>
  <c r="IZ90" i="4"/>
  <c r="IZ91" i="4"/>
  <c r="IZ93" i="4"/>
  <c r="IZ94" i="4"/>
  <c r="IZ97" i="4"/>
  <c r="IZ98" i="4" s="1"/>
  <c r="IZ99" i="4" s="1"/>
  <c r="IZ100" i="4" s="1"/>
  <c r="IZ92" i="4"/>
  <c r="DP96" i="4"/>
  <c r="IZ101" i="4" s="1"/>
  <c r="DQ96" i="4" l="1"/>
  <c r="JA101" i="4" s="1"/>
  <c r="JA97" i="4"/>
  <c r="JA98" i="4" s="1"/>
  <c r="JA99" i="4" s="1"/>
  <c r="JA100" i="4" s="1"/>
  <c r="JA92" i="4"/>
  <c r="JA91" i="4"/>
  <c r="JA93" i="4"/>
  <c r="JA95" i="4"/>
  <c r="JA90" i="4"/>
  <c r="JA94" i="4"/>
  <c r="JD85" i="4"/>
  <c r="JD84" i="4" s="1"/>
  <c r="DT84" i="4" s="1"/>
  <c r="IZ96" i="4"/>
  <c r="DP97" i="4" s="1"/>
  <c r="DR134" i="4"/>
  <c r="DR118" i="4"/>
  <c r="DM76" i="9" s="1"/>
  <c r="DR122" i="4"/>
  <c r="DM80" i="9" s="1"/>
  <c r="DR90" i="4"/>
  <c r="DR105" i="4"/>
  <c r="JB86" i="4"/>
  <c r="DR120" i="4"/>
  <c r="DM78" i="9" s="1"/>
  <c r="DR126" i="4"/>
  <c r="DM84" i="9" s="1"/>
  <c r="DR94" i="4"/>
  <c r="DR92" i="4"/>
  <c r="DR133" i="4"/>
  <c r="DR91" i="4"/>
  <c r="DR123" i="4"/>
  <c r="DM81" i="9" s="1"/>
  <c r="DR102" i="4"/>
  <c r="DR121" i="4"/>
  <c r="DM79" i="9" s="1"/>
  <c r="DR119" i="4"/>
  <c r="DM77" i="9" s="1"/>
  <c r="DR95" i="4"/>
  <c r="DR104" i="4"/>
  <c r="DR124" i="4"/>
  <c r="DM82" i="9" s="1"/>
  <c r="DR93" i="4"/>
  <c r="JB115" i="4"/>
  <c r="DR96" i="4" l="1"/>
  <c r="JB101" i="4" s="1"/>
  <c r="JA96" i="4"/>
  <c r="DQ97" i="4" s="1"/>
  <c r="JE85" i="4"/>
  <c r="JE84" i="4" s="1"/>
  <c r="DU84" i="4" s="1"/>
  <c r="JB97" i="4"/>
  <c r="JB98" i="4" s="1"/>
  <c r="JB99" i="4" s="1"/>
  <c r="JB100" i="4" s="1"/>
  <c r="JB91" i="4"/>
  <c r="JB90" i="4"/>
  <c r="JB92" i="4"/>
  <c r="JB95" i="4"/>
  <c r="JB93" i="4"/>
  <c r="JB94" i="4"/>
  <c r="DS133" i="4"/>
  <c r="DS120" i="4"/>
  <c r="DN78" i="9" s="1"/>
  <c r="DS122" i="4"/>
  <c r="DN80" i="9" s="1"/>
  <c r="DS92" i="4"/>
  <c r="DS94" i="4"/>
  <c r="JC115" i="4"/>
  <c r="DS95" i="4"/>
  <c r="DS93" i="4"/>
  <c r="DS102" i="4"/>
  <c r="DS134" i="4"/>
  <c r="DS123" i="4"/>
  <c r="DN81" i="9" s="1"/>
  <c r="DS126" i="4"/>
  <c r="DN84" i="9" s="1"/>
  <c r="DS105" i="4"/>
  <c r="DS121" i="4"/>
  <c r="DN79" i="9" s="1"/>
  <c r="JC86" i="4"/>
  <c r="DS118" i="4"/>
  <c r="DN76" i="9" s="1"/>
  <c r="DS119" i="4"/>
  <c r="DN77" i="9" s="1"/>
  <c r="DS90" i="4"/>
  <c r="DS104" i="4"/>
  <c r="DS124" i="4"/>
  <c r="DN82" i="9" s="1"/>
  <c r="DS91" i="4"/>
  <c r="JB96" i="4" l="1"/>
  <c r="DR97" i="4" s="1"/>
  <c r="DT133" i="4"/>
  <c r="DT121" i="4"/>
  <c r="DO79" i="9" s="1"/>
  <c r="DT118" i="4"/>
  <c r="DO76" i="9" s="1"/>
  <c r="DT95" i="4"/>
  <c r="DT92" i="4"/>
  <c r="DT134" i="4"/>
  <c r="DT124" i="4"/>
  <c r="DO82" i="9" s="1"/>
  <c r="DT126" i="4"/>
  <c r="DO84" i="9" s="1"/>
  <c r="DT93" i="4"/>
  <c r="DT104" i="4"/>
  <c r="DT120" i="4"/>
  <c r="DO78" i="9" s="1"/>
  <c r="DT105" i="4"/>
  <c r="JD86" i="4"/>
  <c r="DT119" i="4"/>
  <c r="DO77" i="9" s="1"/>
  <c r="DT122" i="4"/>
  <c r="DO80" i="9" s="1"/>
  <c r="DT90" i="4"/>
  <c r="DT94" i="4"/>
  <c r="DT102" i="4"/>
  <c r="JD115" i="4"/>
  <c r="DT123" i="4"/>
  <c r="DO81" i="9" s="1"/>
  <c r="DT91" i="4"/>
  <c r="JC97" i="4"/>
  <c r="JC98" i="4" s="1"/>
  <c r="JC99" i="4" s="1"/>
  <c r="JC100" i="4" s="1"/>
  <c r="JC94" i="4"/>
  <c r="JC90" i="4"/>
  <c r="JC95" i="4"/>
  <c r="JC92" i="4"/>
  <c r="JC91" i="4"/>
  <c r="JC93" i="4"/>
  <c r="JF85" i="4"/>
  <c r="JF84" i="4" s="1"/>
  <c r="DV84" i="4" s="1"/>
  <c r="DS96" i="4"/>
  <c r="JC101" i="4" s="1"/>
  <c r="JD95" i="4" l="1"/>
  <c r="JD93" i="4"/>
  <c r="JD94" i="4"/>
  <c r="JD92" i="4"/>
  <c r="JD90" i="4"/>
  <c r="JD91" i="4"/>
  <c r="JD97" i="4"/>
  <c r="JD98" i="4" s="1"/>
  <c r="JD99" i="4" s="1"/>
  <c r="JD100" i="4" s="1"/>
  <c r="JG85" i="4"/>
  <c r="JG84" i="4" s="1"/>
  <c r="DW84" i="4" s="1"/>
  <c r="DU134" i="4"/>
  <c r="DU119" i="4"/>
  <c r="DP77" i="9" s="1"/>
  <c r="DU124" i="4"/>
  <c r="DP82" i="9" s="1"/>
  <c r="DU91" i="4"/>
  <c r="DU93" i="4"/>
  <c r="DU95" i="4"/>
  <c r="DU118" i="4"/>
  <c r="DP76" i="9" s="1"/>
  <c r="DU121" i="4"/>
  <c r="DP79" i="9" s="1"/>
  <c r="DU94" i="4"/>
  <c r="DU92" i="4"/>
  <c r="DU102" i="4"/>
  <c r="JE115" i="4"/>
  <c r="DU123" i="4"/>
  <c r="DP81" i="9" s="1"/>
  <c r="DU105" i="4"/>
  <c r="DU90" i="4"/>
  <c r="DU133" i="4"/>
  <c r="DU120" i="4"/>
  <c r="DP78" i="9" s="1"/>
  <c r="DU126" i="4"/>
  <c r="DP84" i="9" s="1"/>
  <c r="DU104" i="4"/>
  <c r="JE86" i="4"/>
  <c r="DU122" i="4"/>
  <c r="DP80" i="9" s="1"/>
  <c r="JC96" i="4"/>
  <c r="DS97" i="4" s="1"/>
  <c r="DT96" i="4"/>
  <c r="JD101" i="4" s="1"/>
  <c r="DU96" i="4" l="1"/>
  <c r="JE101" i="4" s="1"/>
  <c r="JH85" i="4"/>
  <c r="JH84" i="4" s="1"/>
  <c r="DX84" i="4" s="1"/>
  <c r="JE97" i="4"/>
  <c r="JE98" i="4" s="1"/>
  <c r="JE99" i="4" s="1"/>
  <c r="JE100" i="4" s="1"/>
  <c r="JE94" i="4"/>
  <c r="JE92" i="4"/>
  <c r="JE91" i="4"/>
  <c r="JE93" i="4"/>
  <c r="JE90" i="4"/>
  <c r="JE95" i="4"/>
  <c r="DV134" i="4"/>
  <c r="DV119" i="4"/>
  <c r="DQ77" i="9" s="1"/>
  <c r="DV123" i="4"/>
  <c r="DQ81" i="9" s="1"/>
  <c r="DV93" i="4"/>
  <c r="DV90" i="4"/>
  <c r="JF115" i="4"/>
  <c r="DV133" i="4"/>
  <c r="DV121" i="4"/>
  <c r="DQ79" i="9" s="1"/>
  <c r="DV92" i="4"/>
  <c r="DV104" i="4"/>
  <c r="JF86" i="4"/>
  <c r="DV120" i="4"/>
  <c r="DQ78" i="9" s="1"/>
  <c r="DV91" i="4"/>
  <c r="DV118" i="4"/>
  <c r="DQ76" i="9" s="1"/>
  <c r="DV105" i="4"/>
  <c r="DV126" i="4"/>
  <c r="DQ84" i="9" s="1"/>
  <c r="DV122" i="4"/>
  <c r="DQ80" i="9" s="1"/>
  <c r="DV94" i="4"/>
  <c r="DV102" i="4"/>
  <c r="DV124" i="4"/>
  <c r="DQ82" i="9" s="1"/>
  <c r="DV95" i="4"/>
  <c r="JD96" i="4"/>
  <c r="DT97" i="4" s="1"/>
  <c r="JE96" i="4" l="1"/>
  <c r="DU97" i="4" s="1"/>
  <c r="JF90" i="4"/>
  <c r="JF92" i="4"/>
  <c r="JF93" i="4"/>
  <c r="JF94" i="4"/>
  <c r="JF97" i="4"/>
  <c r="JF98" i="4" s="1"/>
  <c r="JF99" i="4" s="1"/>
  <c r="JF100" i="4" s="1"/>
  <c r="JF95" i="4"/>
  <c r="JF91" i="4"/>
  <c r="DV96" i="4"/>
  <c r="JF101" i="4" s="1"/>
  <c r="JI85" i="4"/>
  <c r="JI84" i="4" s="1"/>
  <c r="DY84" i="4" s="1"/>
  <c r="DW134" i="4"/>
  <c r="DW122" i="4"/>
  <c r="DR80" i="9" s="1"/>
  <c r="DW126" i="4"/>
  <c r="DR84" i="9" s="1"/>
  <c r="DW94" i="4"/>
  <c r="DW90" i="4"/>
  <c r="JG86" i="4"/>
  <c r="DW123" i="4"/>
  <c r="DR81" i="9" s="1"/>
  <c r="DW91" i="4"/>
  <c r="DW104" i="4"/>
  <c r="DW95" i="4"/>
  <c r="DW102" i="4"/>
  <c r="DW133" i="4"/>
  <c r="DW119" i="4"/>
  <c r="DR77" i="9" s="1"/>
  <c r="DW105" i="4"/>
  <c r="DW121" i="4"/>
  <c r="DR79" i="9" s="1"/>
  <c r="JG115" i="4"/>
  <c r="DW120" i="4"/>
  <c r="DR78" i="9" s="1"/>
  <c r="DW124" i="4"/>
  <c r="DR82" i="9" s="1"/>
  <c r="DW92" i="4"/>
  <c r="DW118" i="4"/>
  <c r="DR76" i="9" s="1"/>
  <c r="DW93" i="4"/>
  <c r="JG97" i="4" l="1"/>
  <c r="JG98" i="4" s="1"/>
  <c r="JG99" i="4" s="1"/>
  <c r="JG100" i="4" s="1"/>
  <c r="JG94" i="4"/>
  <c r="JG91" i="4"/>
  <c r="JG92" i="4"/>
  <c r="JG95" i="4"/>
  <c r="JG93" i="4"/>
  <c r="JG90" i="4"/>
  <c r="DW96" i="4"/>
  <c r="JG101" i="4" s="1"/>
  <c r="JJ85" i="4"/>
  <c r="JJ84" i="4" s="1"/>
  <c r="DZ84" i="4" s="1"/>
  <c r="DX134" i="4"/>
  <c r="DX119" i="4"/>
  <c r="DS77" i="9" s="1"/>
  <c r="DX123" i="4"/>
  <c r="DS81" i="9" s="1"/>
  <c r="DX92" i="4"/>
  <c r="DX90" i="4"/>
  <c r="JH115" i="4"/>
  <c r="DX118" i="4"/>
  <c r="DS76" i="9" s="1"/>
  <c r="DX95" i="4"/>
  <c r="DX133" i="4"/>
  <c r="DX124" i="4"/>
  <c r="DS82" i="9" s="1"/>
  <c r="DX126" i="4"/>
  <c r="DS84" i="9" s="1"/>
  <c r="DX91" i="4"/>
  <c r="DX104" i="4"/>
  <c r="JH86" i="4"/>
  <c r="DX120" i="4"/>
  <c r="DS78" i="9" s="1"/>
  <c r="DX122" i="4"/>
  <c r="DS80" i="9" s="1"/>
  <c r="DX105" i="4"/>
  <c r="DX93" i="4"/>
  <c r="DX102" i="4"/>
  <c r="DX121" i="4"/>
  <c r="DS79" i="9" s="1"/>
  <c r="DX94" i="4"/>
  <c r="JF96" i="4"/>
  <c r="DV97" i="4" s="1"/>
  <c r="DX96" i="4" l="1"/>
  <c r="JH101" i="4" s="1"/>
  <c r="JG96" i="4"/>
  <c r="DW97" i="4" s="1"/>
  <c r="JH97" i="4"/>
  <c r="JH98" i="4" s="1"/>
  <c r="JH99" i="4" s="1"/>
  <c r="JH100" i="4" s="1"/>
  <c r="JH94" i="4"/>
  <c r="JH90" i="4"/>
  <c r="JH95" i="4"/>
  <c r="JH91" i="4"/>
  <c r="JH93" i="4"/>
  <c r="JH92" i="4"/>
  <c r="DY134" i="4"/>
  <c r="DY119" i="4"/>
  <c r="DT77" i="9" s="1"/>
  <c r="DY121" i="4"/>
  <c r="DT79" i="9" s="1"/>
  <c r="DY105" i="4"/>
  <c r="DY92" i="4"/>
  <c r="JI86" i="4"/>
  <c r="DY133" i="4"/>
  <c r="DY123" i="4"/>
  <c r="DT81" i="9" s="1"/>
  <c r="DY126" i="4"/>
  <c r="DT84" i="9" s="1"/>
  <c r="DY95" i="4"/>
  <c r="DY90" i="4"/>
  <c r="JI115" i="4"/>
  <c r="DY118" i="4"/>
  <c r="DT76" i="9" s="1"/>
  <c r="DY120" i="4"/>
  <c r="DT78" i="9" s="1"/>
  <c r="DY94" i="4"/>
  <c r="DY104" i="4"/>
  <c r="DY122" i="4"/>
  <c r="DT80" i="9" s="1"/>
  <c r="DY124" i="4"/>
  <c r="DT82" i="9" s="1"/>
  <c r="DY93" i="4"/>
  <c r="DY91" i="4"/>
  <c r="DY102" i="4"/>
  <c r="JK85" i="4"/>
  <c r="JK84" i="4" s="1"/>
  <c r="EA84" i="4" s="1"/>
  <c r="DY96" i="4" l="1"/>
  <c r="JI101" i="4" s="1"/>
  <c r="JL85" i="4"/>
  <c r="JL84" i="4" s="1"/>
  <c r="EB84" i="4" s="1"/>
  <c r="DZ118" i="4"/>
  <c r="DU76" i="9" s="1"/>
  <c r="DZ119" i="4"/>
  <c r="DU77" i="9" s="1"/>
  <c r="DZ91" i="4"/>
  <c r="DZ94" i="4"/>
  <c r="DZ102" i="4"/>
  <c r="JJ86" i="4"/>
  <c r="DZ121" i="4"/>
  <c r="DU79" i="9" s="1"/>
  <c r="DZ120" i="4"/>
  <c r="DU78" i="9" s="1"/>
  <c r="DZ95" i="4"/>
  <c r="DZ92" i="4"/>
  <c r="DZ134" i="4"/>
  <c r="DZ123" i="4"/>
  <c r="DU81" i="9" s="1"/>
  <c r="DZ124" i="4"/>
  <c r="DU82" i="9" s="1"/>
  <c r="DZ90" i="4"/>
  <c r="DZ105" i="4"/>
  <c r="DZ133" i="4"/>
  <c r="DZ122" i="4"/>
  <c r="DU80" i="9" s="1"/>
  <c r="DZ126" i="4"/>
  <c r="DU84" i="9" s="1"/>
  <c r="DZ93" i="4"/>
  <c r="DZ104" i="4"/>
  <c r="JJ115" i="4"/>
  <c r="JI94" i="4"/>
  <c r="JI95" i="4"/>
  <c r="JI90" i="4"/>
  <c r="JI93" i="4"/>
  <c r="JI97" i="4"/>
  <c r="JI98" i="4" s="1"/>
  <c r="JI99" i="4" s="1"/>
  <c r="JI100" i="4" s="1"/>
  <c r="JI92" i="4"/>
  <c r="JI91" i="4"/>
  <c r="JH96" i="4"/>
  <c r="DX97" i="4" s="1"/>
  <c r="DZ96" i="4" l="1"/>
  <c r="JJ101" i="4" s="1"/>
  <c r="JI96" i="4"/>
  <c r="DY97" i="4" s="1"/>
  <c r="EA133" i="4"/>
  <c r="EA119" i="4"/>
  <c r="DV77" i="9" s="1"/>
  <c r="EA126" i="4"/>
  <c r="DV84" i="9" s="1"/>
  <c r="EA94" i="4"/>
  <c r="EA104" i="4"/>
  <c r="JK115" i="4"/>
  <c r="EA118" i="4"/>
  <c r="DV76" i="9" s="1"/>
  <c r="EA122" i="4"/>
  <c r="DV80" i="9" s="1"/>
  <c r="EA95" i="4"/>
  <c r="EA102" i="4"/>
  <c r="JK86" i="4"/>
  <c r="EA120" i="4"/>
  <c r="DV78" i="9" s="1"/>
  <c r="EA123" i="4"/>
  <c r="DV81" i="9" s="1"/>
  <c r="EA92" i="4"/>
  <c r="EA134" i="4"/>
  <c r="EA124" i="4"/>
  <c r="DV82" i="9" s="1"/>
  <c r="EA93" i="4"/>
  <c r="EA105" i="4"/>
  <c r="EA121" i="4"/>
  <c r="DV79" i="9" s="1"/>
  <c r="EA91" i="4"/>
  <c r="EA90" i="4"/>
  <c r="JJ91" i="4"/>
  <c r="JJ92" i="4"/>
  <c r="JJ94" i="4"/>
  <c r="JJ97" i="4"/>
  <c r="JJ98" i="4" s="1"/>
  <c r="JJ99" i="4" s="1"/>
  <c r="JJ100" i="4" s="1"/>
  <c r="JJ93" i="4"/>
  <c r="JJ95" i="4"/>
  <c r="JJ90" i="4"/>
  <c r="JM85" i="4"/>
  <c r="JM84" i="4" s="1"/>
  <c r="EC84" i="4" s="1"/>
  <c r="EA96" i="4" l="1"/>
  <c r="JK101" i="4" s="1"/>
  <c r="JK97" i="4"/>
  <c r="JK98" i="4" s="1"/>
  <c r="JK99" i="4" s="1"/>
  <c r="JK100" i="4" s="1"/>
  <c r="JK92" i="4"/>
  <c r="JK94" i="4"/>
  <c r="JK90" i="4"/>
  <c r="JK93" i="4"/>
  <c r="JK91" i="4"/>
  <c r="JK95" i="4"/>
  <c r="EB133" i="4"/>
  <c r="EB123" i="4"/>
  <c r="EB122" i="4"/>
  <c r="EB95" i="4"/>
  <c r="EB92" i="4"/>
  <c r="JL115" i="4"/>
  <c r="EB134" i="4"/>
  <c r="EB124" i="4"/>
  <c r="EB93" i="4"/>
  <c r="EB104" i="4"/>
  <c r="EB118" i="4"/>
  <c r="EB94" i="4"/>
  <c r="JL86" i="4"/>
  <c r="EB126" i="4"/>
  <c r="EB119" i="4"/>
  <c r="EB121" i="4"/>
  <c r="EB91" i="4"/>
  <c r="EB105" i="4"/>
  <c r="EB102" i="4"/>
  <c r="EB120" i="4"/>
  <c r="EB90" i="4"/>
  <c r="JN85" i="4"/>
  <c r="JN84" i="4" s="1"/>
  <c r="ED84" i="4" s="1"/>
  <c r="JJ96" i="4"/>
  <c r="DZ97" i="4" s="1"/>
  <c r="DW77" i="9" l="1"/>
  <c r="DW84" i="9"/>
  <c r="DW78" i="9"/>
  <c r="DW80" i="9"/>
  <c r="DW81" i="9"/>
  <c r="DW76" i="9"/>
  <c r="DW79" i="9"/>
  <c r="DW82" i="9"/>
  <c r="EB96" i="4"/>
  <c r="JK96" i="4"/>
  <c r="EA97" i="4" s="1"/>
  <c r="JL92" i="4"/>
  <c r="JL94" i="4"/>
  <c r="JL90" i="4"/>
  <c r="JL93" i="4"/>
  <c r="JL95" i="4"/>
  <c r="JL91" i="4"/>
  <c r="JL97" i="4"/>
  <c r="JL98" i="4" s="1"/>
  <c r="JL99" i="4" s="1"/>
  <c r="JL100" i="4" s="1"/>
  <c r="EC133" i="4"/>
  <c r="EC118" i="4"/>
  <c r="EC126" i="4"/>
  <c r="EC92" i="4"/>
  <c r="EC104" i="4"/>
  <c r="EC119" i="4"/>
  <c r="EC121" i="4"/>
  <c r="EC105" i="4"/>
  <c r="EC90" i="4"/>
  <c r="EC102" i="4"/>
  <c r="EC120" i="4"/>
  <c r="EC91" i="4"/>
  <c r="EC122" i="4"/>
  <c r="EC123" i="4"/>
  <c r="EC124" i="4"/>
  <c r="EC95" i="4"/>
  <c r="EC93" i="4"/>
  <c r="JM115" i="4"/>
  <c r="EC134" i="4"/>
  <c r="EC94" i="4"/>
  <c r="JM86" i="4"/>
  <c r="JO85" i="4"/>
  <c r="JO84" i="4" s="1"/>
  <c r="EE84" i="4" s="1"/>
  <c r="N29" i="9" l="1"/>
  <c r="O29" i="9"/>
  <c r="P29" i="9"/>
  <c r="Q29" i="9"/>
  <c r="JL101" i="4"/>
  <c r="N35" i="9"/>
  <c r="O35" i="9"/>
  <c r="P35" i="9"/>
  <c r="Q35" i="9"/>
  <c r="N34" i="9"/>
  <c r="O34" i="9"/>
  <c r="P34" i="9"/>
  <c r="Q34" i="9"/>
  <c r="N37" i="9"/>
  <c r="O37" i="9"/>
  <c r="P37" i="9"/>
  <c r="Q37" i="9"/>
  <c r="N31" i="9"/>
  <c r="O31" i="9"/>
  <c r="P31" i="9"/>
  <c r="Q31" i="9"/>
  <c r="N32" i="9"/>
  <c r="O32" i="9"/>
  <c r="P32" i="9"/>
  <c r="Q32" i="9"/>
  <c r="N33" i="9"/>
  <c r="O33" i="9"/>
  <c r="P33" i="9"/>
  <c r="Q33" i="9"/>
  <c r="N30" i="9"/>
  <c r="O30" i="9"/>
  <c r="P30" i="9"/>
  <c r="Q30" i="9"/>
  <c r="JM97" i="4"/>
  <c r="JM98" i="4" s="1"/>
  <c r="JM99" i="4" s="1"/>
  <c r="JM100" i="4" s="1"/>
  <c r="JM92" i="4"/>
  <c r="JM93" i="4"/>
  <c r="JM91" i="4"/>
  <c r="JM95" i="4"/>
  <c r="JM90" i="4"/>
  <c r="JM94" i="4"/>
  <c r="EC96" i="4"/>
  <c r="JM101" i="4" s="1"/>
  <c r="JL96" i="4"/>
  <c r="EB97" i="4" s="1"/>
  <c r="JP85" i="4"/>
  <c r="JP84" i="4" s="1"/>
  <c r="EF84" i="4" s="1"/>
  <c r="ED134" i="4"/>
  <c r="ED120" i="4"/>
  <c r="ED121" i="4"/>
  <c r="ED93" i="4"/>
  <c r="ED105" i="4"/>
  <c r="JN86" i="4"/>
  <c r="ED123" i="4"/>
  <c r="ED126" i="4"/>
  <c r="ED104" i="4"/>
  <c r="ED91" i="4"/>
  <c r="ED133" i="4"/>
  <c r="ED92" i="4"/>
  <c r="JN115" i="4"/>
  <c r="ED119" i="4"/>
  <c r="ED124" i="4"/>
  <c r="ED122" i="4"/>
  <c r="ED94" i="4"/>
  <c r="ED90" i="4"/>
  <c r="ED102" i="4"/>
  <c r="ED118" i="4"/>
  <c r="ED95" i="4"/>
  <c r="EE133" i="4" l="1"/>
  <c r="EE119" i="4"/>
  <c r="EE123" i="4"/>
  <c r="EE94" i="4"/>
  <c r="EE92" i="4"/>
  <c r="JO115" i="4"/>
  <c r="EE126" i="4"/>
  <c r="EE93" i="4"/>
  <c r="JO86" i="4"/>
  <c r="EE105" i="4"/>
  <c r="EE122" i="4"/>
  <c r="EE134" i="4"/>
  <c r="EE120" i="4"/>
  <c r="EE90" i="4"/>
  <c r="EE118" i="4"/>
  <c r="EE95" i="4"/>
  <c r="EE91" i="4"/>
  <c r="EE102" i="4"/>
  <c r="EE124" i="4"/>
  <c r="EE121" i="4"/>
  <c r="EE104" i="4"/>
  <c r="JQ85" i="4"/>
  <c r="JQ84" i="4" s="1"/>
  <c r="EG84" i="4" s="1"/>
  <c r="JM96" i="4"/>
  <c r="EC97" i="4" s="1"/>
  <c r="ED96" i="4"/>
  <c r="JN101" i="4" s="1"/>
  <c r="JN97" i="4"/>
  <c r="JN98" i="4" s="1"/>
  <c r="JN99" i="4" s="1"/>
  <c r="JN100" i="4" s="1"/>
  <c r="JN90" i="4"/>
  <c r="JN93" i="4"/>
  <c r="JN94" i="4"/>
  <c r="JN91" i="4"/>
  <c r="JN95" i="4"/>
  <c r="JN92" i="4"/>
  <c r="JR85" i="4" l="1"/>
  <c r="JR84" i="4" s="1"/>
  <c r="EH84" i="4" s="1"/>
  <c r="EE96" i="4"/>
  <c r="JO101" i="4" s="1"/>
  <c r="JN96" i="4"/>
  <c r="ED97" i="4" s="1"/>
  <c r="EF134" i="4"/>
  <c r="EF122" i="4"/>
  <c r="EF126" i="4"/>
  <c r="EF93" i="4"/>
  <c r="EF94" i="4"/>
  <c r="JP115" i="4"/>
  <c r="EF121" i="4"/>
  <c r="EF91" i="4"/>
  <c r="EF119" i="4"/>
  <c r="EF124" i="4"/>
  <c r="EF92" i="4"/>
  <c r="EF104" i="4"/>
  <c r="JP86" i="4"/>
  <c r="EF118" i="4"/>
  <c r="EF95" i="4"/>
  <c r="EF123" i="4"/>
  <c r="EF120" i="4"/>
  <c r="EF105" i="4"/>
  <c r="EF90" i="4"/>
  <c r="EF102" i="4"/>
  <c r="EF133" i="4"/>
  <c r="JO90" i="4"/>
  <c r="JO92" i="4"/>
  <c r="JO91" i="4"/>
  <c r="JO94" i="4"/>
  <c r="JO95" i="4"/>
  <c r="JO93" i="4"/>
  <c r="JO97" i="4"/>
  <c r="JO98" i="4" s="1"/>
  <c r="JO99" i="4" s="1"/>
  <c r="JO100" i="4" s="1"/>
  <c r="EF96" i="4" l="1"/>
  <c r="JP101" i="4" s="1"/>
  <c r="JO96" i="4"/>
  <c r="EE97" i="4" s="1"/>
  <c r="EG134" i="4"/>
  <c r="EG121" i="4"/>
  <c r="EG118" i="4"/>
  <c r="EG105" i="4"/>
  <c r="EG94" i="4"/>
  <c r="EG133" i="4"/>
  <c r="EG123" i="4"/>
  <c r="EG126" i="4"/>
  <c r="EG95" i="4"/>
  <c r="EG104" i="4"/>
  <c r="JQ115" i="4"/>
  <c r="EG120" i="4"/>
  <c r="EG90" i="4"/>
  <c r="EG119" i="4"/>
  <c r="EG124" i="4"/>
  <c r="EG93" i="4"/>
  <c r="EG92" i="4"/>
  <c r="EG102" i="4"/>
  <c r="JQ86" i="4"/>
  <c r="EG122" i="4"/>
  <c r="EG91" i="4"/>
  <c r="JP97" i="4"/>
  <c r="JP98" i="4" s="1"/>
  <c r="JP99" i="4" s="1"/>
  <c r="JP100" i="4" s="1"/>
  <c r="JP92" i="4"/>
  <c r="JP90" i="4"/>
  <c r="JP95" i="4"/>
  <c r="JP93" i="4"/>
  <c r="JP91" i="4"/>
  <c r="JP94" i="4"/>
  <c r="JS85" i="4"/>
  <c r="JS84" i="4" s="1"/>
  <c r="EI84" i="4" s="1"/>
  <c r="EH134" i="4" l="1"/>
  <c r="EH123" i="4"/>
  <c r="EH122" i="4"/>
  <c r="EH91" i="4"/>
  <c r="EH92" i="4"/>
  <c r="JR115" i="4"/>
  <c r="EH95" i="4"/>
  <c r="EH120" i="4"/>
  <c r="EH105" i="4"/>
  <c r="EH133" i="4"/>
  <c r="EH121" i="4"/>
  <c r="EH126" i="4"/>
  <c r="EH90" i="4"/>
  <c r="JR86" i="4"/>
  <c r="EH94" i="4"/>
  <c r="EH118" i="4"/>
  <c r="EH119" i="4"/>
  <c r="EH93" i="4"/>
  <c r="EH104" i="4"/>
  <c r="EH124" i="4"/>
  <c r="EH102" i="4"/>
  <c r="EG96" i="4"/>
  <c r="JT85" i="4"/>
  <c r="JT84" i="4" s="1"/>
  <c r="EJ84" i="4" s="1"/>
  <c r="JP96" i="4"/>
  <c r="EF97" i="4" s="1"/>
  <c r="JQ97" i="4"/>
  <c r="JQ98" i="4" s="1"/>
  <c r="JQ99" i="4" s="1"/>
  <c r="JQ100" i="4" s="1"/>
  <c r="JQ94" i="4"/>
  <c r="JQ92" i="4"/>
  <c r="JQ90" i="4"/>
  <c r="JQ95" i="4"/>
  <c r="JQ91" i="4"/>
  <c r="JQ93" i="4"/>
  <c r="JQ101" i="4" l="1"/>
  <c r="EI133" i="4"/>
  <c r="EI121" i="4"/>
  <c r="EI118" i="4"/>
  <c r="EI94" i="4"/>
  <c r="EI93" i="4"/>
  <c r="JS115" i="4"/>
  <c r="EI122" i="4"/>
  <c r="EI92" i="4"/>
  <c r="EI91" i="4"/>
  <c r="EI134" i="4"/>
  <c r="EI126" i="4"/>
  <c r="EI119" i="4"/>
  <c r="EI123" i="4"/>
  <c r="EI104" i="4"/>
  <c r="EI120" i="4"/>
  <c r="EI124" i="4"/>
  <c r="EI105" i="4"/>
  <c r="EI95" i="4"/>
  <c r="EI102" i="4"/>
  <c r="JS86" i="4"/>
  <c r="EI90" i="4"/>
  <c r="JR97" i="4"/>
  <c r="JR98" i="4" s="1"/>
  <c r="JR99" i="4" s="1"/>
  <c r="JR100" i="4" s="1"/>
  <c r="JR94" i="4"/>
  <c r="JR93" i="4"/>
  <c r="JR95" i="4"/>
  <c r="JR90" i="4"/>
  <c r="JR91" i="4"/>
  <c r="JR92" i="4"/>
  <c r="JU85" i="4"/>
  <c r="JU84" i="4" s="1"/>
  <c r="EK84" i="4" s="1"/>
  <c r="JQ96" i="4"/>
  <c r="EG97" i="4" s="1"/>
  <c r="EH96" i="4"/>
  <c r="JR101" i="4" s="1"/>
  <c r="H49" i="4"/>
  <c r="BJ49" i="4"/>
  <c r="BE99" i="9" s="1"/>
  <c r="DZ49" i="4"/>
  <c r="DU99" i="9" s="1"/>
  <c r="EF49" i="4"/>
  <c r="CA49" i="4"/>
  <c r="BV99" i="9" s="1"/>
  <c r="W49" i="4"/>
  <c r="AL49" i="4"/>
  <c r="Y49" i="4"/>
  <c r="AU49" i="4"/>
  <c r="CS49" i="4"/>
  <c r="CN99" i="9" s="1"/>
  <c r="EL49" i="4"/>
  <c r="DW49" i="4"/>
  <c r="DR99" i="9" s="1"/>
  <c r="DR49" i="4"/>
  <c r="DM99" i="9" s="1"/>
  <c r="DL49" i="4"/>
  <c r="DG99" i="9" s="1"/>
  <c r="BN49" i="4"/>
  <c r="BI99" i="9" s="1"/>
  <c r="Z49" i="4"/>
  <c r="CY49" i="4"/>
  <c r="CT99" i="9" s="1"/>
  <c r="DB49" i="4"/>
  <c r="CW99" i="9" s="1"/>
  <c r="BR49" i="4"/>
  <c r="BM99" i="9" s="1"/>
  <c r="EI49" i="4"/>
  <c r="CV49" i="4"/>
  <c r="CQ99" i="9" s="1"/>
  <c r="BO49" i="4"/>
  <c r="BJ99" i="9" s="1"/>
  <c r="DS49" i="4"/>
  <c r="DN99" i="9" s="1"/>
  <c r="CH49" i="4"/>
  <c r="CC99" i="9" s="1"/>
  <c r="R49" i="4"/>
  <c r="BC49" i="4"/>
  <c r="AX99" i="9" s="1"/>
  <c r="BX49" i="4"/>
  <c r="BS99" i="9" s="1"/>
  <c r="AG49" i="4"/>
  <c r="BP49" i="4"/>
  <c r="BK99" i="9" s="1"/>
  <c r="O49" i="4"/>
  <c r="EJ49" i="4"/>
  <c r="BG49" i="4"/>
  <c r="BB99" i="9" s="1"/>
  <c r="DY49" i="4"/>
  <c r="DT99" i="9" s="1"/>
  <c r="CB49" i="4"/>
  <c r="BW99" i="9" s="1"/>
  <c r="AJ49" i="4"/>
  <c r="CX49" i="4"/>
  <c r="CS99" i="9" s="1"/>
  <c r="BS49" i="4"/>
  <c r="BN99" i="9" s="1"/>
  <c r="CP49" i="4"/>
  <c r="CK99" i="9" s="1"/>
  <c r="BH49" i="4"/>
  <c r="BC99" i="9" s="1"/>
  <c r="DO49" i="4"/>
  <c r="DJ99" i="9" s="1"/>
  <c r="AI49" i="4"/>
  <c r="AZ49" i="4"/>
  <c r="AU99" i="9" s="1"/>
  <c r="DU49" i="4"/>
  <c r="DP99" i="9" s="1"/>
  <c r="CI49" i="4"/>
  <c r="CD99" i="9" s="1"/>
  <c r="BF49" i="4"/>
  <c r="BA99" i="9" s="1"/>
  <c r="BW49" i="4"/>
  <c r="BR99" i="9" s="1"/>
  <c r="AN49" i="4"/>
  <c r="DJ49" i="4"/>
  <c r="DE99" i="9" s="1"/>
  <c r="DA49" i="4"/>
  <c r="CV99" i="9" s="1"/>
  <c r="DN49" i="4"/>
  <c r="DI99" i="9" s="1"/>
  <c r="V49" i="4"/>
  <c r="BE49" i="4"/>
  <c r="AZ99" i="9" s="1"/>
  <c r="BI49" i="4"/>
  <c r="BD99" i="9" s="1"/>
  <c r="DI49" i="4"/>
  <c r="DD99" i="9" s="1"/>
  <c r="EK49" i="4"/>
  <c r="BU49" i="4"/>
  <c r="BP99" i="9" s="1"/>
  <c r="EB49" i="4"/>
  <c r="DW99" i="9" s="1"/>
  <c r="CL49" i="4"/>
  <c r="CG99" i="9" s="1"/>
  <c r="DP49" i="4"/>
  <c r="DK99" i="9" s="1"/>
  <c r="CG49" i="4"/>
  <c r="CB99" i="9" s="1"/>
  <c r="BB49" i="4"/>
  <c r="AW99" i="9" s="1"/>
  <c r="DX49" i="4"/>
  <c r="DS99" i="9" s="1"/>
  <c r="CO49" i="4"/>
  <c r="CJ99" i="9" s="1"/>
  <c r="AK49" i="4"/>
  <c r="BM49" i="4"/>
  <c r="BH99" i="9" s="1"/>
  <c r="CR49" i="4"/>
  <c r="CM99" i="9" s="1"/>
  <c r="CQ49" i="4"/>
  <c r="CL99" i="9" s="1"/>
  <c r="DG49" i="4"/>
  <c r="DB99" i="9" s="1"/>
  <c r="BY49" i="4"/>
  <c r="BT99" i="9" s="1"/>
  <c r="AW49" i="4"/>
  <c r="CF49" i="4"/>
  <c r="CA99" i="9" s="1"/>
  <c r="U49" i="4"/>
  <c r="M49" i="4"/>
  <c r="AF49" i="4"/>
  <c r="X49" i="4"/>
  <c r="DM49" i="4"/>
  <c r="DH99" i="9" s="1"/>
  <c r="CJ49" i="4"/>
  <c r="CE99" i="9" s="1"/>
  <c r="BK49" i="4"/>
  <c r="BF99" i="9" s="1"/>
  <c r="AX49" i="4"/>
  <c r="AB49" i="4"/>
  <c r="AO49" i="4"/>
  <c r="DH49" i="4"/>
  <c r="DC99" i="9" s="1"/>
  <c r="CN49" i="4"/>
  <c r="CI99" i="9" s="1"/>
  <c r="N49" i="4"/>
  <c r="EA49" i="4"/>
  <c r="DV99" i="9" s="1"/>
  <c r="AH49" i="4"/>
  <c r="DE49" i="4"/>
  <c r="CZ99" i="9" s="1"/>
  <c r="EE49" i="4"/>
  <c r="DK49" i="4"/>
  <c r="DF99" i="9" s="1"/>
  <c r="BQ49" i="4"/>
  <c r="BL99" i="9" s="1"/>
  <c r="BZ49" i="4"/>
  <c r="BU99" i="9" s="1"/>
  <c r="EM49" i="4"/>
  <c r="AQ49" i="4"/>
  <c r="CE49" i="4"/>
  <c r="BZ99" i="9" s="1"/>
  <c r="DD49" i="4"/>
  <c r="CY99" i="9" s="1"/>
  <c r="AR49" i="4"/>
  <c r="EG49" i="4"/>
  <c r="AA49" i="4"/>
  <c r="AM49" i="4"/>
  <c r="ED49" i="4"/>
  <c r="BD49" i="4"/>
  <c r="AY99" i="9" s="1"/>
  <c r="AD49" i="4"/>
  <c r="CD49" i="4"/>
  <c r="BY99" i="9" s="1"/>
  <c r="DC49" i="4"/>
  <c r="CX99" i="9" s="1"/>
  <c r="S49" i="4"/>
  <c r="CZ49" i="4"/>
  <c r="CU99" i="9" s="1"/>
  <c r="L49" i="4"/>
  <c r="G99" i="9" s="1"/>
  <c r="AT49" i="4"/>
  <c r="AY49" i="4"/>
  <c r="AT99" i="9" s="1"/>
  <c r="DQ49" i="4"/>
  <c r="DL99" i="9" s="1"/>
  <c r="EC49" i="4"/>
  <c r="T49" i="4"/>
  <c r="CU49" i="4"/>
  <c r="CP99" i="9" s="1"/>
  <c r="BL49" i="4"/>
  <c r="BG99" i="9" s="1"/>
  <c r="CC49" i="4"/>
  <c r="BX99" i="9" s="1"/>
  <c r="DV49" i="4"/>
  <c r="DQ99" i="9" s="1"/>
  <c r="AV49" i="4"/>
  <c r="CM49" i="4"/>
  <c r="CH99" i="9" s="1"/>
  <c r="P49" i="4"/>
  <c r="CK49" i="4"/>
  <c r="CF99" i="9" s="1"/>
  <c r="BV49" i="4"/>
  <c r="BQ99" i="9" s="1"/>
  <c r="CT49" i="4"/>
  <c r="CO99" i="9" s="1"/>
  <c r="Q49" i="4"/>
  <c r="DT49" i="4"/>
  <c r="DO99" i="9" s="1"/>
  <c r="DF49" i="4"/>
  <c r="DA99" i="9" s="1"/>
  <c r="AE49" i="4"/>
  <c r="AC49" i="4"/>
  <c r="BA49" i="4"/>
  <c r="AV99" i="9" s="1"/>
  <c r="CW49" i="4"/>
  <c r="CR99" i="9" s="1"/>
  <c r="EN49" i="4"/>
  <c r="AS49" i="4"/>
  <c r="AP49" i="4"/>
  <c r="EH49" i="4"/>
  <c r="BT49" i="4"/>
  <c r="BO99" i="9" s="1"/>
  <c r="JS97" i="4" l="1"/>
  <c r="JS98" i="4" s="1"/>
  <c r="JS99" i="4" s="1"/>
  <c r="JS100" i="4" s="1"/>
  <c r="JS90" i="4"/>
  <c r="JS91" i="4"/>
  <c r="JS95" i="4"/>
  <c r="JS92" i="4"/>
  <c r="JS94" i="4"/>
  <c r="JS93" i="4"/>
  <c r="JV85" i="4"/>
  <c r="JV84" i="4" s="1"/>
  <c r="EL84" i="4" s="1"/>
  <c r="JR96" i="4"/>
  <c r="EH97" i="4" s="1"/>
  <c r="EJ134" i="4"/>
  <c r="EJ123" i="4"/>
  <c r="EJ124" i="4"/>
  <c r="EJ93" i="4"/>
  <c r="EJ91" i="4"/>
  <c r="JT115" i="4"/>
  <c r="EJ121" i="4"/>
  <c r="EJ102" i="4"/>
  <c r="EJ122" i="4"/>
  <c r="EJ133" i="4"/>
  <c r="EJ120" i="4"/>
  <c r="EJ126" i="4"/>
  <c r="EJ94" i="4"/>
  <c r="EJ104" i="4"/>
  <c r="EJ119" i="4"/>
  <c r="EJ92" i="4"/>
  <c r="EJ118" i="4"/>
  <c r="EJ105" i="4"/>
  <c r="EJ95" i="4"/>
  <c r="EJ90" i="4"/>
  <c r="JT86" i="4"/>
  <c r="EI96" i="4"/>
  <c r="JS101" i="4" s="1"/>
  <c r="K49" i="4"/>
  <c r="HC127" i="4"/>
  <c r="BS127" i="4" s="1"/>
  <c r="BN85" i="9" s="1"/>
  <c r="JC127" i="4"/>
  <c r="DS127" i="4" s="1"/>
  <c r="DN85" i="9" s="1"/>
  <c r="IQ127" i="4"/>
  <c r="DG127" i="4" s="1"/>
  <c r="DB85" i="9" s="1"/>
  <c r="ID127" i="4"/>
  <c r="CT127" i="4" s="1"/>
  <c r="CO85" i="9" s="1"/>
  <c r="HJ127" i="4"/>
  <c r="BZ127" i="4" s="1"/>
  <c r="BU85" i="9" s="1"/>
  <c r="GV127" i="4"/>
  <c r="BL127" i="4" s="1"/>
  <c r="BG85" i="9" s="1"/>
  <c r="FR127" i="4"/>
  <c r="AH127" i="4" s="1"/>
  <c r="AC85" i="9" s="1"/>
  <c r="HS127" i="4"/>
  <c r="CI127" i="4" s="1"/>
  <c r="CD85" i="9" s="1"/>
  <c r="GK127" i="4"/>
  <c r="BA127" i="4" s="1"/>
  <c r="AV85" i="9" s="1"/>
  <c r="IK127" i="4"/>
  <c r="DA127" i="4" s="1"/>
  <c r="CV85" i="9" s="1"/>
  <c r="HH127" i="4"/>
  <c r="BX127" i="4" s="1"/>
  <c r="BS85" i="9" s="1"/>
  <c r="HT127" i="4"/>
  <c r="CJ127" i="4" s="1"/>
  <c r="CE85" i="9" s="1"/>
  <c r="JM127" i="4"/>
  <c r="EC127" i="4" s="1"/>
  <c r="IZ127" i="4"/>
  <c r="DP127" i="4" s="1"/>
  <c r="DK85" i="9" s="1"/>
  <c r="GX127" i="4"/>
  <c r="BN127" i="4" s="1"/>
  <c r="BI85" i="9" s="1"/>
  <c r="IN127" i="4"/>
  <c r="DD127" i="4" s="1"/>
  <c r="CY85" i="9" s="1"/>
  <c r="FQ127" i="4"/>
  <c r="AG127" i="4" s="1"/>
  <c r="AB85" i="9" s="1"/>
  <c r="JW127" i="4"/>
  <c r="EM127" i="4" s="1"/>
  <c r="HO127" i="4"/>
  <c r="CE127" i="4" s="1"/>
  <c r="BZ85" i="9" s="1"/>
  <c r="G175" i="4"/>
  <c r="IP127" i="4"/>
  <c r="DF127" i="4" s="1"/>
  <c r="DA85" i="9" s="1"/>
  <c r="FO127" i="4"/>
  <c r="AE127" i="4" s="1"/>
  <c r="Z85" i="9" s="1"/>
  <c r="EJ96" i="4" l="1"/>
  <c r="JT101" i="4" s="1"/>
  <c r="JW85" i="4"/>
  <c r="JW84" i="4" s="1"/>
  <c r="EM84" i="4" s="1"/>
  <c r="JT94" i="4"/>
  <c r="JT95" i="4"/>
  <c r="JT93" i="4"/>
  <c r="JT91" i="4"/>
  <c r="JT97" i="4"/>
  <c r="JT98" i="4" s="1"/>
  <c r="JT99" i="4" s="1"/>
  <c r="JT100" i="4" s="1"/>
  <c r="JT92" i="4"/>
  <c r="JT90" i="4"/>
  <c r="JS96" i="4"/>
  <c r="EI97" i="4" s="1"/>
  <c r="EK133" i="4"/>
  <c r="EK124" i="4"/>
  <c r="EK126" i="4"/>
  <c r="EK92" i="4"/>
  <c r="EK91" i="4"/>
  <c r="EK118" i="4"/>
  <c r="EK119" i="4"/>
  <c r="EK90" i="4"/>
  <c r="EK104" i="4"/>
  <c r="EK134" i="4"/>
  <c r="EK121" i="4"/>
  <c r="EK105" i="4"/>
  <c r="JU86" i="4"/>
  <c r="EK120" i="4"/>
  <c r="EK122" i="4"/>
  <c r="EK93" i="4"/>
  <c r="EK95" i="4"/>
  <c r="EK102" i="4"/>
  <c r="JU115" i="4"/>
  <c r="EK123" i="4"/>
  <c r="EK94" i="4"/>
  <c r="HS128" i="4"/>
  <c r="IZ128" i="4"/>
  <c r="HT128" i="4"/>
  <c r="HO128" i="4"/>
  <c r="HH128" i="4"/>
  <c r="FO128" i="4"/>
  <c r="JW128" i="4"/>
  <c r="IK128" i="4"/>
  <c r="FQ128" i="4"/>
  <c r="HC128" i="4"/>
  <c r="GK128" i="4"/>
  <c r="IP128" i="4"/>
  <c r="HJ128" i="4"/>
  <c r="IN128" i="4"/>
  <c r="FR128" i="4"/>
  <c r="GV128" i="4"/>
  <c r="GX128" i="4"/>
  <c r="JM128" i="4"/>
  <c r="IV127" i="4"/>
  <c r="DL127" i="4" s="1"/>
  <c r="DG85" i="9" s="1"/>
  <c r="GN127" i="4"/>
  <c r="BD127" i="4" s="1"/>
  <c r="AY85" i="9" s="1"/>
  <c r="HB127" i="4"/>
  <c r="BR127" i="4" s="1"/>
  <c r="BM85" i="9" s="1"/>
  <c r="JU127" i="4"/>
  <c r="EK127" i="4" s="1"/>
  <c r="IO127" i="4"/>
  <c r="DE127" i="4" s="1"/>
  <c r="CZ85" i="9" s="1"/>
  <c r="IQ128" i="4"/>
  <c r="JH127" i="4"/>
  <c r="DX127" i="4" s="1"/>
  <c r="DS85" i="9" s="1"/>
  <c r="FX127" i="4"/>
  <c r="AN127" i="4" s="1"/>
  <c r="AI85" i="9" s="1"/>
  <c r="IG127" i="4"/>
  <c r="CW127" i="4" s="1"/>
  <c r="CR85" i="9" s="1"/>
  <c r="GG127" i="4"/>
  <c r="AW127" i="4" s="1"/>
  <c r="AR85" i="9" s="1"/>
  <c r="II127" i="4"/>
  <c r="CY127" i="4" s="1"/>
  <c r="CT85" i="9" s="1"/>
  <c r="IU127" i="4"/>
  <c r="DK127" i="4" s="1"/>
  <c r="DF85" i="9" s="1"/>
  <c r="JR127" i="4"/>
  <c r="EH127" i="4" s="1"/>
  <c r="FT127" i="4"/>
  <c r="AJ127" i="4" s="1"/>
  <c r="AE85" i="9" s="1"/>
  <c r="HG127" i="4"/>
  <c r="BW127" i="4" s="1"/>
  <c r="BR85" i="9" s="1"/>
  <c r="FY127" i="4"/>
  <c r="AO127" i="4" s="1"/>
  <c r="AJ85" i="9" s="1"/>
  <c r="HY127" i="4"/>
  <c r="CO127" i="4" s="1"/>
  <c r="CJ85" i="9" s="1"/>
  <c r="GP127" i="4"/>
  <c r="BF127" i="4" s="1"/>
  <c r="BA85" i="9" s="1"/>
  <c r="HF127" i="4"/>
  <c r="BV127" i="4" s="1"/>
  <c r="BQ85" i="9" s="1"/>
  <c r="GA127" i="4"/>
  <c r="AQ127" i="4" s="1"/>
  <c r="AL85" i="9" s="1"/>
  <c r="GY127" i="4"/>
  <c r="BO127" i="4" s="1"/>
  <c r="BJ85" i="9" s="1"/>
  <c r="FP127" i="4"/>
  <c r="AF127" i="4" s="1"/>
  <c r="AA85" i="9" s="1"/>
  <c r="GW127" i="4"/>
  <c r="BM127" i="4" s="1"/>
  <c r="BH85" i="9" s="1"/>
  <c r="GL127" i="4"/>
  <c r="BB127" i="4" s="1"/>
  <c r="AW85" i="9" s="1"/>
  <c r="HW127" i="4"/>
  <c r="CM127" i="4" s="1"/>
  <c r="CH85" i="9" s="1"/>
  <c r="JC128" i="4"/>
  <c r="HU127" i="4"/>
  <c r="CK127" i="4" s="1"/>
  <c r="CF85" i="9" s="1"/>
  <c r="JJ127" i="4"/>
  <c r="DZ127" i="4" s="1"/>
  <c r="DU85" i="9" s="1"/>
  <c r="IX127" i="4"/>
  <c r="DN127" i="4" s="1"/>
  <c r="DI85" i="9" s="1"/>
  <c r="IR127" i="4"/>
  <c r="DH127" i="4" s="1"/>
  <c r="DC85" i="9" s="1"/>
  <c r="IE127" i="4"/>
  <c r="CU127" i="4" s="1"/>
  <c r="CP85" i="9" s="1"/>
  <c r="IY127" i="4"/>
  <c r="DO127" i="4" s="1"/>
  <c r="DJ85" i="9" s="1"/>
  <c r="JB127" i="4"/>
  <c r="DR127" i="4" s="1"/>
  <c r="DM85" i="9" s="1"/>
  <c r="HR127" i="4"/>
  <c r="CH127" i="4" s="1"/>
  <c r="CC85" i="9" s="1"/>
  <c r="GE127" i="4"/>
  <c r="AU127" i="4" s="1"/>
  <c r="AP85" i="9" s="1"/>
  <c r="JP127" i="4"/>
  <c r="EF127" i="4" s="1"/>
  <c r="JD127" i="4"/>
  <c r="DT127" i="4" s="1"/>
  <c r="DO85" i="9" s="1"/>
  <c r="HX127" i="4"/>
  <c r="CN127" i="4" s="1"/>
  <c r="CI85" i="9" s="1"/>
  <c r="GC127" i="4"/>
  <c r="AS127" i="4" s="1"/>
  <c r="AN85" i="9" s="1"/>
  <c r="JX127" i="4"/>
  <c r="EN127" i="4" s="1"/>
  <c r="IJ127" i="4"/>
  <c r="CZ127" i="4" s="1"/>
  <c r="CU85" i="9" s="1"/>
  <c r="JL127" i="4"/>
  <c r="EB127" i="4" s="1"/>
  <c r="DW85" i="9" s="1"/>
  <c r="JS127" i="4"/>
  <c r="EI127" i="4" s="1"/>
  <c r="JA127" i="4"/>
  <c r="DQ127" i="4" s="1"/>
  <c r="DL85" i="9" s="1"/>
  <c r="IF127" i="4"/>
  <c r="CV127" i="4" s="1"/>
  <c r="CQ85" i="9" s="1"/>
  <c r="JV127" i="4"/>
  <c r="EL127" i="4" s="1"/>
  <c r="H127" i="4"/>
  <c r="JG127" i="4"/>
  <c r="DW127" i="4" s="1"/>
  <c r="DR85" i="9" s="1"/>
  <c r="IT127" i="4"/>
  <c r="DJ127" i="4" s="1"/>
  <c r="DE85" i="9" s="1"/>
  <c r="FW127" i="4"/>
  <c r="AM127" i="4" s="1"/>
  <c r="AH85" i="9" s="1"/>
  <c r="HZ127" i="4"/>
  <c r="CP127" i="4" s="1"/>
  <c r="CK85" i="9" s="1"/>
  <c r="JT127" i="4"/>
  <c r="EJ127" i="4" s="1"/>
  <c r="HV127" i="4"/>
  <c r="CL127" i="4" s="1"/>
  <c r="CG85" i="9" s="1"/>
  <c r="IW127" i="4"/>
  <c r="DM127" i="4" s="1"/>
  <c r="DH85" i="9" s="1"/>
  <c r="JI127" i="4"/>
  <c r="DY127" i="4" s="1"/>
  <c r="DT85" i="9" s="1"/>
  <c r="GS127" i="4"/>
  <c r="BI127" i="4" s="1"/>
  <c r="BD85" i="9" s="1"/>
  <c r="JN127" i="4"/>
  <c r="ED127" i="4" s="1"/>
  <c r="FV127" i="4"/>
  <c r="AL127" i="4" s="1"/>
  <c r="AG85" i="9" s="1"/>
  <c r="GF127" i="4"/>
  <c r="AV127" i="4" s="1"/>
  <c r="AQ85" i="9" s="1"/>
  <c r="HQ127" i="4"/>
  <c r="CG127" i="4" s="1"/>
  <c r="CB85" i="9" s="1"/>
  <c r="JF127" i="4"/>
  <c r="DV127" i="4" s="1"/>
  <c r="DQ85" i="9" s="1"/>
  <c r="GJ127" i="4"/>
  <c r="AZ127" i="4" s="1"/>
  <c r="AU85" i="9" s="1"/>
  <c r="FZ127" i="4"/>
  <c r="AP127" i="4" s="1"/>
  <c r="AK85" i="9" s="1"/>
  <c r="GB127" i="4"/>
  <c r="AR127" i="4" s="1"/>
  <c r="AM85" i="9" s="1"/>
  <c r="GM127" i="4"/>
  <c r="BC127" i="4" s="1"/>
  <c r="AX85" i="9" s="1"/>
  <c r="GT127" i="4"/>
  <c r="BJ127" i="4" s="1"/>
  <c r="BE85" i="9" s="1"/>
  <c r="IA127" i="4"/>
  <c r="CQ127" i="4" s="1"/>
  <c r="CL85" i="9" s="1"/>
  <c r="IS127" i="4"/>
  <c r="DI127" i="4" s="1"/>
  <c r="DD85" i="9" s="1"/>
  <c r="IB127" i="4"/>
  <c r="CR127" i="4" s="1"/>
  <c r="CM85" i="9" s="1"/>
  <c r="ID128" i="4"/>
  <c r="GH127" i="4"/>
  <c r="AX127" i="4" s="1"/>
  <c r="AS85" i="9" s="1"/>
  <c r="GO127" i="4"/>
  <c r="BE127" i="4" s="1"/>
  <c r="AZ85" i="9" s="1"/>
  <c r="HK127" i="4"/>
  <c r="CA127" i="4" s="1"/>
  <c r="BV85" i="9" s="1"/>
  <c r="HA127" i="4"/>
  <c r="BQ127" i="4" s="1"/>
  <c r="BL85" i="9" s="1"/>
  <c r="IC127" i="4"/>
  <c r="CS127" i="4" s="1"/>
  <c r="CN85" i="9" s="1"/>
  <c r="GI127" i="4"/>
  <c r="AY127" i="4" s="1"/>
  <c r="AT85" i="9" s="1"/>
  <c r="GQ127" i="4"/>
  <c r="BG127" i="4" s="1"/>
  <c r="BB85" i="9" s="1"/>
  <c r="GD127" i="4"/>
  <c r="AT127" i="4" s="1"/>
  <c r="AO85" i="9" s="1"/>
  <c r="JO127" i="4"/>
  <c r="EE127" i="4" s="1"/>
  <c r="HM127" i="4"/>
  <c r="CC127" i="4" s="1"/>
  <c r="BX85" i="9" s="1"/>
  <c r="JQ127" i="4"/>
  <c r="EG127" i="4" s="1"/>
  <c r="FU127" i="4"/>
  <c r="AK127" i="4" s="1"/>
  <c r="AF85" i="9" s="1"/>
  <c r="FS127" i="4"/>
  <c r="AI127" i="4" s="1"/>
  <c r="AD85" i="9" s="1"/>
  <c r="JK127" i="4"/>
  <c r="EA127" i="4" s="1"/>
  <c r="DV85" i="9" s="1"/>
  <c r="GR127" i="4"/>
  <c r="BH127" i="4" s="1"/>
  <c r="BC85" i="9" s="1"/>
  <c r="HE127" i="4"/>
  <c r="BU127" i="4" s="1"/>
  <c r="BP85" i="9" s="1"/>
  <c r="HI127" i="4"/>
  <c r="BY127" i="4" s="1"/>
  <c r="BT85" i="9" s="1"/>
  <c r="HP127" i="4"/>
  <c r="CF127" i="4" s="1"/>
  <c r="CA85" i="9" s="1"/>
  <c r="GZ127" i="4"/>
  <c r="BP127" i="4" s="1"/>
  <c r="BK85" i="9" s="1"/>
  <c r="HL127" i="4"/>
  <c r="CB127" i="4" s="1"/>
  <c r="BW85" i="9" s="1"/>
  <c r="IL127" i="4"/>
  <c r="DB127" i="4" s="1"/>
  <c r="CW85" i="9" s="1"/>
  <c r="HN127" i="4"/>
  <c r="CD127" i="4" s="1"/>
  <c r="BY85" i="9" s="1"/>
  <c r="IH127" i="4"/>
  <c r="CX127" i="4" s="1"/>
  <c r="CS85" i="9" s="1"/>
  <c r="HD127" i="4"/>
  <c r="BT127" i="4" s="1"/>
  <c r="BO85" i="9" s="1"/>
  <c r="GU127" i="4"/>
  <c r="BK127" i="4" s="1"/>
  <c r="BF85" i="9" s="1"/>
  <c r="JE127" i="4"/>
  <c r="DU127" i="4" s="1"/>
  <c r="DP85" i="9" s="1"/>
  <c r="IM127" i="4"/>
  <c r="DC127" i="4" s="1"/>
  <c r="CX85" i="9" s="1"/>
  <c r="N38" i="9" l="1"/>
  <c r="M38" i="9"/>
  <c r="P38" i="9"/>
  <c r="Q38" i="9"/>
  <c r="O38" i="9"/>
  <c r="L38" i="9"/>
  <c r="J38" i="9"/>
  <c r="H38" i="9"/>
  <c r="I38" i="9"/>
  <c r="K38" i="9"/>
  <c r="JU91" i="4"/>
  <c r="JU95" i="4"/>
  <c r="JU92" i="4"/>
  <c r="JU97" i="4"/>
  <c r="JU98" i="4" s="1"/>
  <c r="JU99" i="4" s="1"/>
  <c r="JU100" i="4" s="1"/>
  <c r="JU94" i="4"/>
  <c r="JU93" i="4"/>
  <c r="JU90" i="4"/>
  <c r="EK96" i="4"/>
  <c r="JU101" i="4" s="1"/>
  <c r="EL133" i="4"/>
  <c r="EL119" i="4"/>
  <c r="EL126" i="4"/>
  <c r="EL90" i="4"/>
  <c r="EL104" i="4"/>
  <c r="JV115" i="4"/>
  <c r="EL118" i="4"/>
  <c r="EL91" i="4"/>
  <c r="EL124" i="4"/>
  <c r="EL123" i="4"/>
  <c r="EL95" i="4"/>
  <c r="EL105" i="4"/>
  <c r="EL102" i="4"/>
  <c r="JV86" i="4"/>
  <c r="EL92" i="4"/>
  <c r="EL134" i="4"/>
  <c r="EL121" i="4"/>
  <c r="EL94" i="4"/>
  <c r="EL122" i="4"/>
  <c r="EL120" i="4"/>
  <c r="EL93" i="4"/>
  <c r="JT96" i="4"/>
  <c r="EJ97" i="4" s="1"/>
  <c r="JX85" i="4"/>
  <c r="JX84" i="4" s="1"/>
  <c r="EN84" i="4" s="1"/>
  <c r="IL128" i="4"/>
  <c r="JG128" i="4"/>
  <c r="IU128" i="4"/>
  <c r="JB128" i="4"/>
  <c r="GS128" i="4"/>
  <c r="HF128" i="4"/>
  <c r="IC128" i="4"/>
  <c r="GZ128" i="4"/>
  <c r="IW128" i="4"/>
  <c r="GG128" i="4"/>
  <c r="HQ128" i="4"/>
  <c r="IG128" i="4"/>
  <c r="IS128" i="4"/>
  <c r="IA128" i="4"/>
  <c r="GP128" i="4"/>
  <c r="HA128" i="4"/>
  <c r="HY128" i="4"/>
  <c r="JQ128" i="4"/>
  <c r="GC128" i="4"/>
  <c r="HM128" i="4"/>
  <c r="FX128" i="4"/>
  <c r="FS128" i="4"/>
  <c r="JL128" i="4"/>
  <c r="JU128" i="4"/>
  <c r="HL128" i="4"/>
  <c r="II128" i="4"/>
  <c r="IY128" i="4"/>
  <c r="GN128" i="4"/>
  <c r="GU128" i="4"/>
  <c r="GT128" i="4"/>
  <c r="JV128" i="4"/>
  <c r="GL128" i="4"/>
  <c r="IV128" i="4"/>
  <c r="GO128" i="4"/>
  <c r="GF128" i="4"/>
  <c r="HX128" i="4"/>
  <c r="HG128" i="4"/>
  <c r="GH128" i="4"/>
  <c r="HZ128" i="4"/>
  <c r="JA128" i="4"/>
  <c r="FP128" i="4"/>
  <c r="FT128" i="4"/>
  <c r="JH128" i="4"/>
  <c r="GI128" i="4"/>
  <c r="HR128" i="4"/>
  <c r="FU128" i="4"/>
  <c r="IJ128" i="4"/>
  <c r="HB128" i="4"/>
  <c r="JX128" i="4"/>
  <c r="HK128" i="4"/>
  <c r="IE128" i="4"/>
  <c r="GM128" i="4"/>
  <c r="IF128" i="4"/>
  <c r="GW128" i="4"/>
  <c r="HD128" i="4"/>
  <c r="JO128" i="4"/>
  <c r="FV128" i="4"/>
  <c r="IX128" i="4"/>
  <c r="GR128" i="4"/>
  <c r="FW128" i="4"/>
  <c r="JP128" i="4"/>
  <c r="JJ128" i="4"/>
  <c r="GY128" i="4"/>
  <c r="JR128" i="4"/>
  <c r="IM128" i="4"/>
  <c r="JI128" i="4"/>
  <c r="JE128" i="4"/>
  <c r="JF128" i="4"/>
  <c r="HW128" i="4"/>
  <c r="HP128" i="4"/>
  <c r="HV128" i="4"/>
  <c r="FY128" i="4"/>
  <c r="HI128" i="4"/>
  <c r="JT128" i="4"/>
  <c r="IR128" i="4"/>
  <c r="HE128" i="4"/>
  <c r="GB128" i="4"/>
  <c r="JD128" i="4"/>
  <c r="IH128" i="4"/>
  <c r="GD128" i="4"/>
  <c r="FZ128" i="4"/>
  <c r="HN128" i="4"/>
  <c r="JK128" i="4"/>
  <c r="GQ128" i="4"/>
  <c r="IB128" i="4"/>
  <c r="GJ128" i="4"/>
  <c r="JN128" i="4"/>
  <c r="IT128" i="4"/>
  <c r="JS128" i="4"/>
  <c r="GE128" i="4"/>
  <c r="HU128" i="4"/>
  <c r="GA128" i="4"/>
  <c r="IO128" i="4"/>
  <c r="JU96" i="4" l="1"/>
  <c r="EK97" i="4" s="1"/>
  <c r="EL96" i="4"/>
  <c r="JV101" i="4" s="1"/>
  <c r="EM118" i="4"/>
  <c r="I166" i="4" s="1"/>
  <c r="EM122" i="4"/>
  <c r="I170" i="4" s="1"/>
  <c r="EM105" i="4"/>
  <c r="I158" i="4" s="1"/>
  <c r="EM92" i="4"/>
  <c r="EM121" i="4"/>
  <c r="I169" i="4" s="1"/>
  <c r="EM90" i="4"/>
  <c r="EM119" i="4"/>
  <c r="I167" i="4" s="1"/>
  <c r="EM123" i="4"/>
  <c r="I171" i="4" s="1"/>
  <c r="EM94" i="4"/>
  <c r="EM104" i="4"/>
  <c r="I157" i="4" s="1"/>
  <c r="EM124" i="4"/>
  <c r="I172" i="4" s="1"/>
  <c r="EM95" i="4"/>
  <c r="EM102" i="4"/>
  <c r="I155" i="4" s="1"/>
  <c r="JW86" i="4"/>
  <c r="JX86" i="4" s="1"/>
  <c r="EM133" i="4"/>
  <c r="I181" i="4" s="1"/>
  <c r="EM126" i="4"/>
  <c r="I174" i="4" s="1"/>
  <c r="EM91" i="4"/>
  <c r="JW115" i="4"/>
  <c r="EM134" i="4"/>
  <c r="I182" i="4" s="1"/>
  <c r="EM120" i="4"/>
  <c r="I168" i="4" s="1"/>
  <c r="EM93" i="4"/>
  <c r="JV95" i="4"/>
  <c r="JV91" i="4"/>
  <c r="JV94" i="4"/>
  <c r="JV93" i="4"/>
  <c r="JV92" i="4"/>
  <c r="JV90" i="4"/>
  <c r="JV97" i="4"/>
  <c r="JV98" i="4" s="1"/>
  <c r="JV99" i="4" s="1"/>
  <c r="JV100" i="4" s="1"/>
  <c r="EN134" i="4"/>
  <c r="EN123" i="4"/>
  <c r="EN121" i="4"/>
  <c r="EN91" i="4"/>
  <c r="EN104" i="4"/>
  <c r="EN118" i="4"/>
  <c r="EN120" i="4"/>
  <c r="EN95" i="4"/>
  <c r="EN133" i="4"/>
  <c r="EN124" i="4"/>
  <c r="EN126" i="4"/>
  <c r="EN93" i="4"/>
  <c r="EN90" i="4"/>
  <c r="EN102" i="4"/>
  <c r="EN94" i="4"/>
  <c r="JX115" i="4"/>
  <c r="EN119" i="4"/>
  <c r="EN122" i="4"/>
  <c r="EN105" i="4"/>
  <c r="EN92" i="4"/>
  <c r="H40" i="4"/>
  <c r="EP40" i="4"/>
  <c r="FZ40" i="4" s="1"/>
  <c r="GD40" i="4"/>
  <c r="G42" i="4"/>
  <c r="JV96" i="4" l="1"/>
  <c r="EL97" i="4" s="1"/>
  <c r="EM96" i="4"/>
  <c r="JW95" i="4"/>
  <c r="JW92" i="4"/>
  <c r="JW91" i="4"/>
  <c r="JW97" i="4"/>
  <c r="JW98" i="4" s="1"/>
  <c r="JW99" i="4" s="1"/>
  <c r="JW100" i="4" s="1"/>
  <c r="JW94" i="4"/>
  <c r="JW90" i="4"/>
  <c r="JW93" i="4"/>
  <c r="JX95" i="4"/>
  <c r="JX93" i="4"/>
  <c r="JX90" i="4"/>
  <c r="JX92" i="4"/>
  <c r="JX97" i="4"/>
  <c r="JX98" i="4" s="1"/>
  <c r="JX99" i="4" s="1"/>
  <c r="JX100" i="4" s="1"/>
  <c r="JX94" i="4"/>
  <c r="JX91" i="4"/>
  <c r="EN96" i="4"/>
  <c r="JX101" i="4" s="1"/>
  <c r="JP40" i="4"/>
  <c r="GU40" i="4"/>
  <c r="I221" i="4"/>
  <c r="FF40" i="4"/>
  <c r="FE40" i="4"/>
  <c r="HU40" i="4"/>
  <c r="JG40" i="4"/>
  <c r="GA40" i="4"/>
  <c r="HB211" i="4"/>
  <c r="IO211" i="4"/>
  <c r="GA211" i="4"/>
  <c r="FO211" i="4"/>
  <c r="FP211" i="4"/>
  <c r="EY211" i="4"/>
  <c r="JG211" i="4"/>
  <c r="IP211" i="4"/>
  <c r="IM211" i="4"/>
  <c r="HL211" i="4"/>
  <c r="HT211" i="4"/>
  <c r="JV211" i="4"/>
  <c r="JA211" i="4"/>
  <c r="JK211" i="4"/>
  <c r="JH211" i="4"/>
  <c r="GN211" i="4"/>
  <c r="JE211" i="4"/>
  <c r="GU211" i="4"/>
  <c r="ID211" i="4"/>
  <c r="JP211" i="4"/>
  <c r="HM211" i="4"/>
  <c r="IZ211" i="4"/>
  <c r="HF211" i="4"/>
  <c r="FY211" i="4"/>
  <c r="HA211" i="4"/>
  <c r="GK211" i="4"/>
  <c r="IY211" i="4"/>
  <c r="HV211" i="4"/>
  <c r="GJ211" i="4"/>
  <c r="FB211" i="4"/>
  <c r="FN211" i="4"/>
  <c r="FV211" i="4"/>
  <c r="JT211" i="4"/>
  <c r="HZ211" i="4"/>
  <c r="FL211" i="4"/>
  <c r="IC211" i="4"/>
  <c r="GE211" i="4"/>
  <c r="GQ211" i="4"/>
  <c r="HQ211" i="4"/>
  <c r="FR211" i="4"/>
  <c r="HR211" i="4"/>
  <c r="JJ211" i="4"/>
  <c r="GZ211" i="4"/>
  <c r="HY211" i="4"/>
  <c r="FD211" i="4"/>
  <c r="JR211" i="4"/>
  <c r="EW211" i="4"/>
  <c r="HS211" i="4"/>
  <c r="JL211" i="4"/>
  <c r="FZ211" i="4"/>
  <c r="H42" i="4"/>
  <c r="IG211" i="4"/>
  <c r="JF211" i="4"/>
  <c r="EX211" i="4"/>
  <c r="GS211" i="4"/>
  <c r="HC211" i="4"/>
  <c r="IU211" i="4"/>
  <c r="GR211" i="4"/>
  <c r="IB211" i="4"/>
  <c r="IT211" i="4"/>
  <c r="EZ211" i="4"/>
  <c r="HX211" i="4"/>
  <c r="HD211" i="4"/>
  <c r="IV211" i="4"/>
  <c r="FS211" i="4"/>
  <c r="FQ211" i="4"/>
  <c r="IA211" i="4"/>
  <c r="FM211" i="4"/>
  <c r="FW211" i="4"/>
  <c r="FT211" i="4"/>
  <c r="GF211" i="4"/>
  <c r="GO211" i="4"/>
  <c r="FU211" i="4"/>
  <c r="GT211" i="4"/>
  <c r="GB211" i="4"/>
  <c r="IH211" i="4"/>
  <c r="HI211" i="4"/>
  <c r="IK211" i="4"/>
  <c r="JI211" i="4"/>
  <c r="GD211" i="4"/>
  <c r="IQ211" i="4"/>
  <c r="HW211" i="4"/>
  <c r="FJ211" i="4"/>
  <c r="GL211" i="4"/>
  <c r="GP211" i="4"/>
  <c r="FE211" i="4"/>
  <c r="JQ211" i="4"/>
  <c r="IS211" i="4"/>
  <c r="FC211" i="4"/>
  <c r="HG211" i="4"/>
  <c r="HK211" i="4"/>
  <c r="FG211" i="4"/>
  <c r="JD211" i="4"/>
  <c r="IL211" i="4"/>
  <c r="FA211" i="4"/>
  <c r="II211" i="4"/>
  <c r="IF211" i="4"/>
  <c r="GH211" i="4"/>
  <c r="GM211" i="4"/>
  <c r="JO211" i="4"/>
  <c r="JC211" i="4"/>
  <c r="FI211" i="4"/>
  <c r="FX211" i="4"/>
  <c r="GY211" i="4"/>
  <c r="GV211" i="4"/>
  <c r="FK211" i="4"/>
  <c r="HE211" i="4"/>
  <c r="IE211" i="4"/>
  <c r="GI211" i="4"/>
  <c r="FH211" i="4"/>
  <c r="JU211" i="4"/>
  <c r="JN211" i="4"/>
  <c r="GX211" i="4"/>
  <c r="IR211" i="4"/>
  <c r="GC211" i="4"/>
  <c r="GW211" i="4"/>
  <c r="JX211" i="4"/>
  <c r="HJ211" i="4"/>
  <c r="HP211" i="4"/>
  <c r="JM211" i="4"/>
  <c r="IW211" i="4"/>
  <c r="HH211" i="4"/>
  <c r="IN211" i="4"/>
  <c r="GG211" i="4"/>
  <c r="HN211" i="4"/>
  <c r="IX211" i="4"/>
  <c r="JB211" i="4"/>
  <c r="HU211" i="4"/>
  <c r="IJ211" i="4"/>
  <c r="FF211" i="4"/>
  <c r="HO211" i="4"/>
  <c r="JS211" i="4"/>
  <c r="JW211" i="4"/>
  <c r="EP42" i="4"/>
  <c r="EV211" i="4"/>
  <c r="FL40" i="4"/>
  <c r="JJ40" i="4"/>
  <c r="JW40" i="4"/>
  <c r="EY40" i="4"/>
  <c r="ID40" i="4"/>
  <c r="GG40" i="4"/>
  <c r="HO40" i="4"/>
  <c r="GZ40" i="4"/>
  <c r="HJ40" i="4"/>
  <c r="FW40" i="4"/>
  <c r="IE40" i="4"/>
  <c r="IU40" i="4"/>
  <c r="GX40" i="4"/>
  <c r="JL40" i="4"/>
  <c r="GC40" i="4"/>
  <c r="FR40" i="4"/>
  <c r="JR40" i="4"/>
  <c r="HP40" i="4"/>
  <c r="FO40" i="4"/>
  <c r="GO40" i="4"/>
  <c r="JI40" i="4"/>
  <c r="IL40" i="4"/>
  <c r="HK40" i="4"/>
  <c r="HX40" i="4"/>
  <c r="HC40" i="4"/>
  <c r="JC40" i="4"/>
  <c r="HF40" i="4"/>
  <c r="IF40" i="4"/>
  <c r="GT40" i="4"/>
  <c r="FG40" i="4"/>
  <c r="GJ40" i="4"/>
  <c r="GS40" i="4"/>
  <c r="JH40" i="4"/>
  <c r="FY40" i="4"/>
  <c r="GN40" i="4"/>
  <c r="FJ40" i="4"/>
  <c r="IW40" i="4"/>
  <c r="IY40" i="4"/>
  <c r="IK40" i="4"/>
  <c r="GB40" i="4"/>
  <c r="EW40" i="4"/>
  <c r="GW40" i="4"/>
  <c r="JK40" i="4"/>
  <c r="JB40" i="4"/>
  <c r="IJ40" i="4"/>
  <c r="JT40" i="4"/>
  <c r="GL40" i="4"/>
  <c r="GQ40" i="4"/>
  <c r="GH40" i="4"/>
  <c r="FU40" i="4"/>
  <c r="IP40" i="4"/>
  <c r="HD40" i="4"/>
  <c r="IT40" i="4"/>
  <c r="FD40" i="4"/>
  <c r="FC40" i="4"/>
  <c r="JU40" i="4"/>
  <c r="JE40" i="4"/>
  <c r="GP40" i="4"/>
  <c r="JM40" i="4"/>
  <c r="HL40" i="4"/>
  <c r="HR40" i="4"/>
  <c r="HA40" i="4"/>
  <c r="FK40" i="4"/>
  <c r="GI40" i="4"/>
  <c r="HS40" i="4"/>
  <c r="IS40" i="4"/>
  <c r="FV40" i="4"/>
  <c r="HW40" i="4"/>
  <c r="JA40" i="4"/>
  <c r="IH40" i="4"/>
  <c r="JF40" i="4"/>
  <c r="IM40" i="4"/>
  <c r="FM40" i="4"/>
  <c r="FP40" i="4"/>
  <c r="JV40" i="4"/>
  <c r="EZ40" i="4"/>
  <c r="IN40" i="4"/>
  <c r="FX40" i="4"/>
  <c r="JS40" i="4"/>
  <c r="FH40" i="4"/>
  <c r="FB40" i="4"/>
  <c r="HM40" i="4"/>
  <c r="HH40" i="4"/>
  <c r="FA40" i="4"/>
  <c r="GE40" i="4"/>
  <c r="IO40" i="4"/>
  <c r="HN40" i="4"/>
  <c r="IX40" i="4"/>
  <c r="IR40" i="4"/>
  <c r="EV40" i="4"/>
  <c r="IB40" i="4"/>
  <c r="EX40" i="4"/>
  <c r="IG40" i="4"/>
  <c r="HQ40" i="4"/>
  <c r="HB40" i="4"/>
  <c r="IZ40" i="4"/>
  <c r="JQ40" i="4"/>
  <c r="FI40" i="4"/>
  <c r="JX40" i="4"/>
  <c r="IA40" i="4"/>
  <c r="JN40" i="4"/>
  <c r="HG40" i="4"/>
  <c r="FT40" i="4"/>
  <c r="HI40" i="4"/>
  <c r="HE40" i="4"/>
  <c r="GY40" i="4"/>
  <c r="FS40" i="4"/>
  <c r="IQ40" i="4"/>
  <c r="GK40" i="4"/>
  <c r="IC40" i="4"/>
  <c r="JD40" i="4"/>
  <c r="HY40" i="4"/>
  <c r="HT40" i="4"/>
  <c r="FQ40" i="4"/>
  <c r="GF40" i="4"/>
  <c r="FN40" i="4"/>
  <c r="II40" i="4"/>
  <c r="GM40" i="4"/>
  <c r="GV40" i="4"/>
  <c r="GR40" i="4"/>
  <c r="JO40" i="4"/>
  <c r="HV40" i="4"/>
  <c r="HZ40" i="4"/>
  <c r="IV40" i="4"/>
  <c r="BQ197" i="4" l="1"/>
  <c r="BL95" i="9" s="1"/>
  <c r="BL57" i="9"/>
  <c r="BL58" i="9" s="1"/>
  <c r="JW101" i="4"/>
  <c r="I149" i="4"/>
  <c r="JW96" i="4"/>
  <c r="EM97" i="4" s="1"/>
  <c r="I150" i="4" s="1"/>
  <c r="JX96" i="4"/>
  <c r="EN97" i="4" s="1"/>
  <c r="FC42" i="4"/>
  <c r="HV42" i="4"/>
  <c r="GK42" i="4"/>
  <c r="GD42" i="4"/>
  <c r="IU42" i="4"/>
  <c r="FB42" i="4"/>
  <c r="FF42" i="4"/>
  <c r="GH42" i="4"/>
  <c r="EY42" i="4"/>
  <c r="GZ42" i="4"/>
  <c r="IP42" i="4"/>
  <c r="HN42" i="4"/>
  <c r="HK42" i="4"/>
  <c r="GR42" i="4"/>
  <c r="HE42" i="4"/>
  <c r="GQ42" i="4"/>
  <c r="FG42" i="4"/>
  <c r="GC42" i="4"/>
  <c r="HC42" i="4"/>
  <c r="GL42" i="4"/>
  <c r="GN42" i="4"/>
  <c r="HF42" i="4"/>
  <c r="HT42" i="4"/>
  <c r="HM42" i="4"/>
  <c r="HR42" i="4"/>
  <c r="FQ42" i="4"/>
  <c r="FY42" i="4"/>
  <c r="FK42" i="4"/>
  <c r="EZ42" i="4"/>
  <c r="JS42" i="4"/>
  <c r="JQ42" i="4"/>
  <c r="JJ42" i="4"/>
  <c r="JW42" i="4"/>
  <c r="GX42" i="4"/>
  <c r="IE42" i="4"/>
  <c r="FV42" i="4"/>
  <c r="FP42" i="4"/>
  <c r="IG42" i="4"/>
  <c r="HG42" i="4"/>
  <c r="IH42" i="4"/>
  <c r="HU42" i="4"/>
  <c r="HX42" i="4"/>
  <c r="HA42" i="4"/>
  <c r="GV42" i="4"/>
  <c r="HB42" i="4"/>
  <c r="GA42" i="4"/>
  <c r="EV42" i="4"/>
  <c r="IZ42" i="4"/>
  <c r="IX42" i="4"/>
  <c r="HY42" i="4"/>
  <c r="IS42" i="4"/>
  <c r="FR42" i="4"/>
  <c r="FX42" i="4"/>
  <c r="JP42" i="4"/>
  <c r="GM42" i="4"/>
  <c r="GB42" i="4"/>
  <c r="HJ42" i="4"/>
  <c r="FA42" i="4"/>
  <c r="IQ42" i="4"/>
  <c r="FS42" i="4"/>
  <c r="JB42" i="4"/>
  <c r="JG42" i="4"/>
  <c r="GU42" i="4"/>
  <c r="GO42" i="4"/>
  <c r="JX42" i="4"/>
  <c r="GG42" i="4"/>
  <c r="GI42" i="4"/>
  <c r="JN42" i="4"/>
  <c r="GP42" i="4"/>
  <c r="IF42" i="4"/>
  <c r="IV42" i="4"/>
  <c r="JU42" i="4"/>
  <c r="FU42" i="4"/>
  <c r="HZ42" i="4"/>
  <c r="HW42" i="4"/>
  <c r="JF42" i="4"/>
  <c r="FD42" i="4"/>
  <c r="IR42" i="4"/>
  <c r="GY42" i="4"/>
  <c r="HD42" i="4"/>
  <c r="FI42" i="4"/>
  <c r="JV42" i="4"/>
  <c r="IK42" i="4"/>
  <c r="II42" i="4"/>
  <c r="GT42" i="4"/>
  <c r="FH42" i="4"/>
  <c r="FN42" i="4"/>
  <c r="JL42" i="4"/>
  <c r="JO42" i="4"/>
  <c r="IT42" i="4"/>
  <c r="IC42" i="4"/>
  <c r="IM42" i="4"/>
  <c r="IL42" i="4"/>
  <c r="JE42" i="4"/>
  <c r="IJ42" i="4"/>
  <c r="GJ42" i="4"/>
  <c r="HQ42" i="4"/>
  <c r="IB42" i="4"/>
  <c r="FO42" i="4"/>
  <c r="GW42" i="4"/>
  <c r="JC42" i="4"/>
  <c r="FM42" i="4"/>
  <c r="JM42" i="4"/>
  <c r="JH42" i="4"/>
  <c r="HH42" i="4"/>
  <c r="FT42" i="4"/>
  <c r="IN42" i="4"/>
  <c r="GE42" i="4"/>
  <c r="FL42" i="4"/>
  <c r="JI42" i="4"/>
  <c r="GS42" i="4"/>
  <c r="EW42" i="4"/>
  <c r="IY42" i="4"/>
  <c r="HP42" i="4"/>
  <c r="IW42" i="4"/>
  <c r="GF42" i="4"/>
  <c r="JD42" i="4"/>
  <c r="JK42" i="4"/>
  <c r="JR42" i="4"/>
  <c r="HL42" i="4"/>
  <c r="ID42" i="4"/>
  <c r="HS42" i="4"/>
  <c r="IA42" i="4"/>
  <c r="HO42" i="4"/>
  <c r="FZ42" i="4"/>
  <c r="FW42" i="4"/>
  <c r="IO42" i="4"/>
  <c r="JA42" i="4"/>
  <c r="HI42" i="4"/>
  <c r="EX42" i="4"/>
  <c r="FJ42" i="4"/>
  <c r="JT42" i="4"/>
  <c r="FE42" i="4"/>
  <c r="CT57" i="9" l="1"/>
  <c r="CT58" i="9" s="1"/>
  <c r="CY197" i="4"/>
  <c r="CT95" i="9" s="1"/>
  <c r="BS197" i="4"/>
  <c r="BN95" i="9" s="1"/>
  <c r="BN57" i="9"/>
  <c r="BN58" i="9" s="1"/>
  <c r="BL197" i="4"/>
  <c r="BG95" i="9" s="1"/>
  <c r="BG57" i="9"/>
  <c r="BG58" i="9" s="1"/>
  <c r="DN197" i="4"/>
  <c r="DI95" i="9" s="1"/>
  <c r="DI57" i="9"/>
  <c r="DI58" i="9" s="1"/>
  <c r="DP197" i="4"/>
  <c r="DK95" i="9" s="1"/>
  <c r="DK57" i="9"/>
  <c r="DK58" i="9" s="1"/>
  <c r="BM197" i="4"/>
  <c r="BH95" i="9" s="1"/>
  <c r="BH57" i="9"/>
  <c r="BH58" i="9" s="1"/>
  <c r="BF197" i="4"/>
  <c r="BA95" i="9" s="1"/>
  <c r="BA57" i="9"/>
  <c r="BA58" i="9" s="1"/>
  <c r="BI197" i="4"/>
  <c r="BD95" i="9" s="1"/>
  <c r="BD57" i="9"/>
  <c r="BV197" i="4"/>
  <c r="BQ95" i="9" s="1"/>
  <c r="BQ57" i="9"/>
  <c r="BQ58" i="9" s="1"/>
  <c r="DI197" i="4"/>
  <c r="DD95" i="9" s="1"/>
  <c r="DD57" i="9"/>
  <c r="DD58" i="9" s="1"/>
  <c r="BN197" i="4"/>
  <c r="BI95" i="9" s="1"/>
  <c r="BI57" i="9"/>
  <c r="BI58" i="9" s="1"/>
  <c r="EA197" i="4"/>
  <c r="DV95" i="9" s="1"/>
  <c r="DV57" i="9"/>
  <c r="DV58" i="9" s="1"/>
  <c r="CP57" i="9"/>
  <c r="CP58" i="9" s="1"/>
  <c r="CU197" i="4"/>
  <c r="CP95" i="9" s="1"/>
  <c r="DH57" i="9"/>
  <c r="DH58" i="9" s="1"/>
  <c r="DM197" i="4"/>
  <c r="DH95" i="9" s="1"/>
  <c r="CT197" i="4"/>
  <c r="CO95" i="9" s="1"/>
  <c r="CO57" i="9"/>
  <c r="CO58" i="9" s="1"/>
  <c r="DR197" i="4"/>
  <c r="DM95" i="9" s="1"/>
  <c r="DM57" i="9"/>
  <c r="DM58" i="9" s="1"/>
  <c r="DT57" i="9"/>
  <c r="DT58" i="9" s="1"/>
  <c r="DY197" i="4"/>
  <c r="DT95" i="9" s="1"/>
  <c r="CM197" i="4"/>
  <c r="CH95" i="9" s="1"/>
  <c r="CH57" i="9"/>
  <c r="CH58" i="9" s="1"/>
  <c r="CD57" i="9"/>
  <c r="CD58" i="9" s="1"/>
  <c r="CI197" i="4"/>
  <c r="CD95" i="9" s="1"/>
  <c r="DB57" i="9"/>
  <c r="DB58" i="9" s="1"/>
  <c r="DG197" i="4"/>
  <c r="DB95" i="9" s="1"/>
  <c r="CV57" i="9"/>
  <c r="CV58" i="9" s="1"/>
  <c r="DA197" i="4"/>
  <c r="CV95" i="9" s="1"/>
  <c r="CN57" i="9"/>
  <c r="CS197" i="4"/>
  <c r="CN95" i="9" s="1"/>
  <c r="BK197" i="4"/>
  <c r="BF95" i="9" s="1"/>
  <c r="BF57" i="9"/>
  <c r="BF58" i="9" s="1"/>
  <c r="DU57" i="9"/>
  <c r="DU58" i="9" s="1"/>
  <c r="DZ197" i="4"/>
  <c r="DU95" i="9" s="1"/>
  <c r="BV57" i="9"/>
  <c r="BV58" i="9" s="1"/>
  <c r="CA197" i="4"/>
  <c r="BV95" i="9" s="1"/>
  <c r="BX57" i="9"/>
  <c r="BX58" i="9" s="1"/>
  <c r="CC197" i="4"/>
  <c r="BX95" i="9" s="1"/>
  <c r="BK57" i="9"/>
  <c r="BK58" i="9" s="1"/>
  <c r="BP197" i="4"/>
  <c r="BK95" i="9" s="1"/>
  <c r="CG197" i="4"/>
  <c r="CB95" i="9" s="1"/>
  <c r="CB57" i="9"/>
  <c r="BR57" i="9"/>
  <c r="BR58" i="9" s="1"/>
  <c r="BW197" i="4"/>
  <c r="BR95" i="9" s="1"/>
  <c r="BO197" i="4"/>
  <c r="BJ95" i="9" s="1"/>
  <c r="BJ57" i="9"/>
  <c r="BJ58" i="9" s="1"/>
  <c r="BY197" i="4"/>
  <c r="BT95" i="9" s="1"/>
  <c r="BT57" i="9"/>
  <c r="BT58" i="9" s="1"/>
  <c r="BU57" i="9"/>
  <c r="BU58" i="9" s="1"/>
  <c r="BZ197" i="4"/>
  <c r="BU95" i="9" s="1"/>
  <c r="DJ197" i="4"/>
  <c r="DE95" i="9" s="1"/>
  <c r="DE57" i="9"/>
  <c r="DE58" i="9" s="1"/>
  <c r="CP197" i="4"/>
  <c r="CK95" i="9" s="1"/>
  <c r="CK57" i="9"/>
  <c r="CK58" i="9" s="1"/>
  <c r="BR197" i="4"/>
  <c r="BM95" i="9" s="1"/>
  <c r="BM57" i="9"/>
  <c r="BM58" i="9" s="1"/>
  <c r="CY57" i="9"/>
  <c r="CY58" i="9" s="1"/>
  <c r="DD197" i="4"/>
  <c r="CY95" i="9" s="1"/>
  <c r="DS197" i="4"/>
  <c r="DN95" i="9" s="1"/>
  <c r="DN57" i="9"/>
  <c r="DN58" i="9" s="1"/>
  <c r="DS57" i="9"/>
  <c r="DS58" i="9" s="1"/>
  <c r="DX197" i="4"/>
  <c r="DS95" i="9" s="1"/>
  <c r="DA57" i="9"/>
  <c r="DA58" i="9" s="1"/>
  <c r="DF197" i="4"/>
  <c r="DA95" i="9" s="1"/>
  <c r="CU57" i="9"/>
  <c r="CU58" i="9" s="1"/>
  <c r="CZ197" i="4"/>
  <c r="CU95" i="9" s="1"/>
  <c r="CR57" i="9"/>
  <c r="CR58" i="9" s="1"/>
  <c r="CW197" i="4"/>
  <c r="CR95" i="9" s="1"/>
  <c r="BS57" i="9"/>
  <c r="BS58" i="9" s="1"/>
  <c r="BX197" i="4"/>
  <c r="BS95" i="9" s="1"/>
  <c r="DC197" i="4"/>
  <c r="CX95" i="9" s="1"/>
  <c r="CX57" i="9"/>
  <c r="CX58" i="9" s="1"/>
  <c r="CM57" i="9"/>
  <c r="CM58" i="9" s="1"/>
  <c r="CR197" i="4"/>
  <c r="CM95" i="9" s="1"/>
  <c r="CW57" i="9"/>
  <c r="CW58" i="9" s="1"/>
  <c r="DB197" i="4"/>
  <c r="CW95" i="9" s="1"/>
  <c r="DF57" i="9"/>
  <c r="DF58" i="9" s="1"/>
  <c r="DK197" i="4"/>
  <c r="DF95" i="9" s="1"/>
  <c r="DR57" i="9"/>
  <c r="DR58" i="9" s="1"/>
  <c r="DW197" i="4"/>
  <c r="DR95" i="9" s="1"/>
  <c r="DC57" i="9"/>
  <c r="DC58" i="9" s="1"/>
  <c r="DH197" i="4"/>
  <c r="DC95" i="9" s="1"/>
  <c r="BY57" i="9"/>
  <c r="BY58" i="9" s="1"/>
  <c r="CD197" i="4"/>
  <c r="BY95" i="9" s="1"/>
  <c r="CH197" i="4"/>
  <c r="CC95" i="9" s="1"/>
  <c r="CC57" i="9"/>
  <c r="CC58" i="9" s="1"/>
  <c r="CZ57" i="9"/>
  <c r="DE197" i="4"/>
  <c r="CZ95" i="9" s="1"/>
  <c r="BC57" i="9"/>
  <c r="BC58" i="9" s="1"/>
  <c r="BH197" i="4"/>
  <c r="BC95" i="9" s="1"/>
  <c r="DP57" i="9"/>
  <c r="DP58" i="9" s="1"/>
  <c r="DU197" i="4"/>
  <c r="DP95" i="9" s="1"/>
  <c r="DV197" i="4"/>
  <c r="DQ95" i="9" s="1"/>
  <c r="DQ57" i="9"/>
  <c r="DQ58" i="9" s="1"/>
  <c r="DQ197" i="4"/>
  <c r="DL95" i="9" s="1"/>
  <c r="DL57" i="9"/>
  <c r="CF57" i="9"/>
  <c r="CF58" i="9" s="1"/>
  <c r="CK197" i="4"/>
  <c r="CF95" i="9" s="1"/>
  <c r="DJ57" i="9"/>
  <c r="DJ58" i="9" s="1"/>
  <c r="DO197" i="4"/>
  <c r="DJ95" i="9" s="1"/>
  <c r="CF197" i="4"/>
  <c r="CA95" i="9" s="1"/>
  <c r="CA57" i="9"/>
  <c r="CA58" i="9" s="1"/>
  <c r="DG57" i="9"/>
  <c r="DG58" i="9" s="1"/>
  <c r="DL197" i="4"/>
  <c r="DG95" i="9" s="1"/>
  <c r="CV197" i="4"/>
  <c r="CQ95" i="9" s="1"/>
  <c r="CQ57" i="9"/>
  <c r="CQ58" i="9" s="1"/>
  <c r="CL197" i="4"/>
  <c r="CG95" i="9" s="1"/>
  <c r="CG57" i="9"/>
  <c r="CG58" i="9" s="1"/>
  <c r="CO197" i="4"/>
  <c r="CJ95" i="9" s="1"/>
  <c r="CJ57" i="9"/>
  <c r="CJ58" i="9" s="1"/>
  <c r="BJ197" i="4"/>
  <c r="BE95" i="9" s="1"/>
  <c r="BE57" i="9"/>
  <c r="BE58" i="9" s="1"/>
  <c r="BZ57" i="9"/>
  <c r="BZ58" i="9" s="1"/>
  <c r="CE197" i="4"/>
  <c r="BZ95" i="9" s="1"/>
  <c r="DO57" i="9"/>
  <c r="DO58" i="9" s="1"/>
  <c r="DT197" i="4"/>
  <c r="DO95" i="9" s="1"/>
  <c r="CL57" i="9"/>
  <c r="CL58" i="9" s="1"/>
  <c r="CQ197" i="4"/>
  <c r="CL95" i="9" s="1"/>
  <c r="BO57" i="9"/>
  <c r="BO58" i="9" s="1"/>
  <c r="BT197" i="4"/>
  <c r="BO95" i="9" s="1"/>
  <c r="CI57" i="9"/>
  <c r="CI58" i="9" s="1"/>
  <c r="CN197" i="4"/>
  <c r="CI95" i="9" s="1"/>
  <c r="BB57" i="9"/>
  <c r="BB58" i="9" s="1"/>
  <c r="BG197" i="4"/>
  <c r="BB95" i="9" s="1"/>
  <c r="CX197" i="4"/>
  <c r="CS95" i="9" s="1"/>
  <c r="CS57" i="9"/>
  <c r="CS58" i="9" s="1"/>
  <c r="DW57" i="9"/>
  <c r="DW58" i="9" s="1"/>
  <c r="EB197" i="4"/>
  <c r="DW95" i="9" s="1"/>
  <c r="CB197" i="4"/>
  <c r="BW95" i="9" s="1"/>
  <c r="BW57" i="9"/>
  <c r="BW58" i="9" s="1"/>
  <c r="BP57" i="9"/>
  <c r="BU197" i="4"/>
  <c r="BP95" i="9" s="1"/>
  <c r="CJ197" i="4"/>
  <c r="CE95" i="9" s="1"/>
  <c r="CE57" i="9"/>
  <c r="CE58" i="9" s="1"/>
  <c r="BD58" i="9" l="1"/>
  <c r="L11" i="9" s="1"/>
  <c r="L10" i="9"/>
  <c r="CN58" i="9"/>
  <c r="O11" i="9" s="1"/>
  <c r="O10" i="9"/>
  <c r="DL58" i="9"/>
  <c r="Q11" i="9" s="1"/>
  <c r="Q10" i="9"/>
  <c r="CB58" i="9"/>
  <c r="N11" i="9" s="1"/>
  <c r="N10" i="9"/>
  <c r="BP58" i="9"/>
  <c r="M11" i="9" s="1"/>
  <c r="M10" i="9"/>
  <c r="CZ58" i="9"/>
  <c r="P11" i="9" s="1"/>
  <c r="P10" i="9"/>
  <c r="L198" i="4" l="1"/>
  <c r="EV54" i="4" l="1"/>
  <c r="G96" i="9"/>
  <c r="L69" i="4" l="1"/>
  <c r="L48" i="4"/>
  <c r="EV70" i="4"/>
  <c r="EV49" i="4" l="1"/>
  <c r="L51" i="4"/>
  <c r="G60" i="9" s="1"/>
  <c r="G13" i="9" l="1"/>
  <c r="I97" i="4" l="1"/>
  <c r="G96" i="4"/>
  <c r="G149" i="4"/>
  <c r="H175" i="4" s="1"/>
  <c r="E99" i="4"/>
  <c r="AO99" i="4" s="1"/>
  <c r="H96" i="4"/>
  <c r="I175" i="4" l="1"/>
  <c r="G150" i="4"/>
  <c r="H97" i="4"/>
  <c r="EX102" i="4"/>
  <c r="EX103" i="4" s="1"/>
  <c r="N98" i="4" s="1"/>
  <c r="N100" i="4" s="1"/>
  <c r="I68" i="9" s="1"/>
  <c r="EZ102" i="4"/>
  <c r="EZ103" i="4" s="1"/>
  <c r="P98" i="4" s="1"/>
  <c r="P100" i="4" s="1"/>
  <c r="K68" i="9" s="1"/>
  <c r="FW102" i="4"/>
  <c r="FW103" i="4" s="1"/>
  <c r="AM98" i="4" s="1"/>
  <c r="FZ102" i="4"/>
  <c r="FZ103" i="4" s="1"/>
  <c r="AP98" i="4" s="1"/>
  <c r="HZ102" i="4"/>
  <c r="HZ103" i="4" s="1"/>
  <c r="CP98" i="4" s="1"/>
  <c r="GW102" i="4"/>
  <c r="GW103" i="4" s="1"/>
  <c r="BM98" i="4" s="1"/>
  <c r="GL102" i="4"/>
  <c r="GL103" i="4" s="1"/>
  <c r="BB98" i="4" s="1"/>
  <c r="GX102" i="4"/>
  <c r="GX103" i="4" s="1"/>
  <c r="BN98" i="4" s="1"/>
  <c r="JW102" i="4"/>
  <c r="JW103" i="4" s="1"/>
  <c r="EM98" i="4" s="1"/>
  <c r="GF102" i="4"/>
  <c r="GF103" i="4" s="1"/>
  <c r="AV98" i="4" s="1"/>
  <c r="JP102" i="4"/>
  <c r="JP103" i="4" s="1"/>
  <c r="EF98" i="4" s="1"/>
  <c r="FR102" i="4"/>
  <c r="FR103" i="4" s="1"/>
  <c r="AH98" i="4" s="1"/>
  <c r="FY102" i="4"/>
  <c r="FY103" i="4" s="1"/>
  <c r="AO98" i="4" s="1"/>
  <c r="AO100" i="4" s="1"/>
  <c r="AJ68" i="9" s="1"/>
  <c r="FP102" i="4"/>
  <c r="FP103" i="4" s="1"/>
  <c r="AF98" i="4" s="1"/>
  <c r="FB102" i="4"/>
  <c r="FB103" i="4" s="1"/>
  <c r="R98" i="4" s="1"/>
  <c r="R100" i="4" s="1"/>
  <c r="M68" i="9" s="1"/>
  <c r="HL102" i="4"/>
  <c r="HL103" i="4" s="1"/>
  <c r="CB98" i="4" s="1"/>
  <c r="GT102" i="4"/>
  <c r="GT103" i="4" s="1"/>
  <c r="BJ98" i="4" s="1"/>
  <c r="GC102" i="4"/>
  <c r="GC103" i="4" s="1"/>
  <c r="AS98" i="4" s="1"/>
  <c r="IH102" i="4"/>
  <c r="IH103" i="4" s="1"/>
  <c r="CX98" i="4" s="1"/>
  <c r="ID102" i="4"/>
  <c r="ID103" i="4" s="1"/>
  <c r="CT98" i="4" s="1"/>
  <c r="GU102" i="4"/>
  <c r="GU103" i="4" s="1"/>
  <c r="BK98" i="4" s="1"/>
  <c r="IL102" i="4"/>
  <c r="IL103" i="4" s="1"/>
  <c r="DB98" i="4" s="1"/>
  <c r="HE102" i="4"/>
  <c r="HE103" i="4" s="1"/>
  <c r="BU98" i="4" s="1"/>
  <c r="IX102" i="4"/>
  <c r="IX103" i="4" s="1"/>
  <c r="DN98" i="4" s="1"/>
  <c r="GQ102" i="4"/>
  <c r="GQ103" i="4" s="1"/>
  <c r="BG98" i="4" s="1"/>
  <c r="GD102" i="4"/>
  <c r="GD103" i="4" s="1"/>
  <c r="AT98" i="4" s="1"/>
  <c r="GN102" i="4"/>
  <c r="GN103" i="4" s="1"/>
  <c r="BD98" i="4" s="1"/>
  <c r="IM102" i="4"/>
  <c r="IM103" i="4" s="1"/>
  <c r="DC98" i="4" s="1"/>
  <c r="GI102" i="4"/>
  <c r="GI103" i="4" s="1"/>
  <c r="AY98" i="4" s="1"/>
  <c r="JL102" i="4"/>
  <c r="JL103" i="4" s="1"/>
  <c r="EB98" i="4" s="1"/>
  <c r="GY102" i="4"/>
  <c r="GY103" i="4" s="1"/>
  <c r="BO98" i="4" s="1"/>
  <c r="FL102" i="4"/>
  <c r="FL103" i="4" s="1"/>
  <c r="AB98" i="4" s="1"/>
  <c r="AB100" i="4" s="1"/>
  <c r="W68" i="9" s="1"/>
  <c r="GA102" i="4"/>
  <c r="GA103" i="4" s="1"/>
  <c r="AQ98" i="4" s="1"/>
  <c r="FJ102" i="4"/>
  <c r="FJ103" i="4" s="1"/>
  <c r="Z98" i="4" s="1"/>
  <c r="Z100" i="4" s="1"/>
  <c r="U68" i="9" s="1"/>
  <c r="FV102" i="4"/>
  <c r="FV103" i="4" s="1"/>
  <c r="AL98" i="4" s="1"/>
  <c r="IA102" i="4"/>
  <c r="IA103" i="4" s="1"/>
  <c r="CQ98" i="4" s="1"/>
  <c r="GE102" i="4"/>
  <c r="GE103" i="4" s="1"/>
  <c r="AU98" i="4" s="1"/>
  <c r="HR102" i="4"/>
  <c r="HR103" i="4" s="1"/>
  <c r="CH98" i="4" s="1"/>
  <c r="HX102" i="4"/>
  <c r="HX103" i="4" s="1"/>
  <c r="CN98" i="4" s="1"/>
  <c r="HH102" i="4"/>
  <c r="HH103" i="4" s="1"/>
  <c r="BX98" i="4" s="1"/>
  <c r="FI102" i="4"/>
  <c r="FI103" i="4" s="1"/>
  <c r="Y98" i="4" s="1"/>
  <c r="Y100" i="4" s="1"/>
  <c r="T68" i="9" s="1"/>
  <c r="FE102" i="4"/>
  <c r="FE103" i="4" s="1"/>
  <c r="U98" i="4" s="1"/>
  <c r="U100" i="4" s="1"/>
  <c r="P68" i="9" s="1"/>
  <c r="FC102" i="4"/>
  <c r="FC103" i="4" s="1"/>
  <c r="S98" i="4" s="1"/>
  <c r="S100" i="4" s="1"/>
  <c r="N68" i="9" s="1"/>
  <c r="FG102" i="4"/>
  <c r="FG103" i="4" s="1"/>
  <c r="W98" i="4" s="1"/>
  <c r="W100" i="4" s="1"/>
  <c r="R68" i="9" s="1"/>
  <c r="JK102" i="4"/>
  <c r="JK103" i="4" s="1"/>
  <c r="EA98" i="4" s="1"/>
  <c r="GK102" i="4"/>
  <c r="GK103" i="4" s="1"/>
  <c r="BA98" i="4" s="1"/>
  <c r="IJ102" i="4"/>
  <c r="IJ103" i="4" s="1"/>
  <c r="CZ98" i="4" s="1"/>
  <c r="IQ102" i="4"/>
  <c r="IQ103" i="4" s="1"/>
  <c r="DG98" i="4" s="1"/>
  <c r="JF102" i="4"/>
  <c r="JF103" i="4" s="1"/>
  <c r="DV98" i="4" s="1"/>
  <c r="JS102" i="4"/>
  <c r="JS103" i="4" s="1"/>
  <c r="EI98" i="4" s="1"/>
  <c r="IV102" i="4"/>
  <c r="IV103" i="4" s="1"/>
  <c r="DL98" i="4" s="1"/>
  <c r="FQ102" i="4"/>
  <c r="FQ103" i="4" s="1"/>
  <c r="AG98" i="4" s="1"/>
  <c r="FD102" i="4"/>
  <c r="FD103" i="4" s="1"/>
  <c r="T98" i="4" s="1"/>
  <c r="T100" i="4" s="1"/>
  <c r="O68" i="9" s="1"/>
  <c r="FS102" i="4"/>
  <c r="FS103" i="4" s="1"/>
  <c r="AI98" i="4" s="1"/>
  <c r="EW102" i="4"/>
  <c r="EW103" i="4" s="1"/>
  <c r="M98" i="4" s="1"/>
  <c r="M100" i="4" s="1"/>
  <c r="H68" i="9" s="1"/>
  <c r="IY102" i="4"/>
  <c r="IY103" i="4" s="1"/>
  <c r="DO98" i="4" s="1"/>
  <c r="GZ102" i="4"/>
  <c r="GZ103" i="4" s="1"/>
  <c r="BP98" i="4" s="1"/>
  <c r="IB102" i="4"/>
  <c r="IB103" i="4" s="1"/>
  <c r="CR98" i="4" s="1"/>
  <c r="JA102" i="4"/>
  <c r="JA103" i="4" s="1"/>
  <c r="DQ98" i="4" s="1"/>
  <c r="IK102" i="4"/>
  <c r="IK103" i="4" s="1"/>
  <c r="DA98" i="4" s="1"/>
  <c r="HF102" i="4"/>
  <c r="HF103" i="4" s="1"/>
  <c r="BV98" i="4" s="1"/>
  <c r="IZ102" i="4"/>
  <c r="IZ103" i="4" s="1"/>
  <c r="DP98" i="4" s="1"/>
  <c r="FN102" i="4"/>
  <c r="FN103" i="4" s="1"/>
  <c r="AD98" i="4" s="1"/>
  <c r="AD100" i="4" s="1"/>
  <c r="Y68" i="9" s="1"/>
  <c r="FU102" i="4"/>
  <c r="FU103" i="4" s="1"/>
  <c r="AK98" i="4" s="1"/>
  <c r="FM102" i="4"/>
  <c r="FM103" i="4" s="1"/>
  <c r="AC98" i="4" s="1"/>
  <c r="AC100" i="4" s="1"/>
  <c r="X68" i="9" s="1"/>
  <c r="FX102" i="4"/>
  <c r="FX103" i="4" s="1"/>
  <c r="AN98" i="4" s="1"/>
  <c r="IW102" i="4"/>
  <c r="IW103" i="4" s="1"/>
  <c r="DM98" i="4" s="1"/>
  <c r="IP102" i="4"/>
  <c r="IP103" i="4" s="1"/>
  <c r="DF98" i="4" s="1"/>
  <c r="JU102" i="4"/>
  <c r="JU103" i="4" s="1"/>
  <c r="EK98" i="4" s="1"/>
  <c r="GO102" i="4"/>
  <c r="GO103" i="4" s="1"/>
  <c r="BE98" i="4" s="1"/>
  <c r="HW102" i="4"/>
  <c r="HW103" i="4" s="1"/>
  <c r="CM98" i="4" s="1"/>
  <c r="HU102" i="4"/>
  <c r="HU103" i="4" s="1"/>
  <c r="CK98" i="4" s="1"/>
  <c r="HN102" i="4"/>
  <c r="HN103" i="4" s="1"/>
  <c r="CD98" i="4" s="1"/>
  <c r="HM102" i="4"/>
  <c r="HM103" i="4" s="1"/>
  <c r="CC98" i="4" s="1"/>
  <c r="HD102" i="4"/>
  <c r="HD103" i="4" s="1"/>
  <c r="BT98" i="4" s="1"/>
  <c r="GM102" i="4"/>
  <c r="GM103" i="4" s="1"/>
  <c r="BC98" i="4" s="1"/>
  <c r="JI102" i="4"/>
  <c r="JI103" i="4" s="1"/>
  <c r="DY98" i="4" s="1"/>
  <c r="IC102" i="4"/>
  <c r="IC103" i="4" s="1"/>
  <c r="CS98" i="4" s="1"/>
  <c r="HK102" i="4"/>
  <c r="HK103" i="4" s="1"/>
  <c r="CA98" i="4" s="1"/>
  <c r="IF102" i="4"/>
  <c r="IF103" i="4" s="1"/>
  <c r="CV98" i="4" s="1"/>
  <c r="II102" i="4"/>
  <c r="II103" i="4" s="1"/>
  <c r="CY98" i="4" s="1"/>
  <c r="JN102" i="4"/>
  <c r="JN103" i="4" s="1"/>
  <c r="ED98" i="4" s="1"/>
  <c r="JH102" i="4"/>
  <c r="JH103" i="4" s="1"/>
  <c r="DX98" i="4" s="1"/>
  <c r="FH102" i="4"/>
  <c r="FH103" i="4" s="1"/>
  <c r="X98" i="4" s="1"/>
  <c r="X100" i="4" s="1"/>
  <c r="S68" i="9" s="1"/>
  <c r="FK102" i="4"/>
  <c r="FK103" i="4" s="1"/>
  <c r="AA98" i="4" s="1"/>
  <c r="AA100" i="4" s="1"/>
  <c r="V68" i="9" s="1"/>
  <c r="FF102" i="4"/>
  <c r="FF103" i="4" s="1"/>
  <c r="V98" i="4" s="1"/>
  <c r="V100" i="4" s="1"/>
  <c r="Q68" i="9" s="1"/>
  <c r="JO102" i="4"/>
  <c r="JO103" i="4" s="1"/>
  <c r="EE98" i="4" s="1"/>
  <c r="HV102" i="4"/>
  <c r="HV103" i="4" s="1"/>
  <c r="CL98" i="4" s="1"/>
  <c r="HB102" i="4"/>
  <c r="HB103" i="4" s="1"/>
  <c r="BR98" i="4" s="1"/>
  <c r="JB102" i="4"/>
  <c r="JB103" i="4" s="1"/>
  <c r="DR98" i="4" s="1"/>
  <c r="JE102" i="4"/>
  <c r="JE103" i="4" s="1"/>
  <c r="DU98" i="4" s="1"/>
  <c r="HS102" i="4"/>
  <c r="HS103" i="4" s="1"/>
  <c r="CI98" i="4" s="1"/>
  <c r="FT102" i="4"/>
  <c r="FT103" i="4" s="1"/>
  <c r="AJ98" i="4" s="1"/>
  <c r="FO102" i="4"/>
  <c r="FO103" i="4" s="1"/>
  <c r="AE98" i="4" s="1"/>
  <c r="EY102" i="4"/>
  <c r="EY103" i="4" s="1"/>
  <c r="O98" i="4" s="1"/>
  <c r="O100" i="4" s="1"/>
  <c r="J68" i="9" s="1"/>
  <c r="FA102" i="4"/>
  <c r="FA103" i="4" s="1"/>
  <c r="Q98" i="4" s="1"/>
  <c r="Q100" i="4" s="1"/>
  <c r="L68" i="9" s="1"/>
  <c r="IE102" i="4"/>
  <c r="IE103" i="4" s="1"/>
  <c r="CU98" i="4" s="1"/>
  <c r="IT102" i="4"/>
  <c r="IT103" i="4" s="1"/>
  <c r="DJ98" i="4" s="1"/>
  <c r="JC102" i="4"/>
  <c r="JC103" i="4" s="1"/>
  <c r="DS98" i="4" s="1"/>
  <c r="HY102" i="4"/>
  <c r="HY103" i="4" s="1"/>
  <c r="CO98" i="4" s="1"/>
  <c r="JV102" i="4"/>
  <c r="JV103" i="4" s="1"/>
  <c r="EL98" i="4" s="1"/>
  <c r="IR102" i="4"/>
  <c r="IR103" i="4" s="1"/>
  <c r="DH98" i="4" s="1"/>
  <c r="HC102" i="4"/>
  <c r="HC103" i="4" s="1"/>
  <c r="BS98" i="4" s="1"/>
  <c r="HI102" i="4"/>
  <c r="HI103" i="4" s="1"/>
  <c r="BY98" i="4" s="1"/>
  <c r="HA102" i="4"/>
  <c r="HA103" i="4" s="1"/>
  <c r="BQ98" i="4" s="1"/>
  <c r="IG102" i="4"/>
  <c r="IG103" i="4" s="1"/>
  <c r="CW98" i="4" s="1"/>
  <c r="GP102" i="4"/>
  <c r="GP103" i="4" s="1"/>
  <c r="BF98" i="4" s="1"/>
  <c r="GV102" i="4"/>
  <c r="GV103" i="4" s="1"/>
  <c r="BL98" i="4" s="1"/>
  <c r="GH102" i="4"/>
  <c r="GH103" i="4" s="1"/>
  <c r="AX98" i="4" s="1"/>
  <c r="JM102" i="4"/>
  <c r="JM103" i="4" s="1"/>
  <c r="EC98" i="4" s="1"/>
  <c r="HQ102" i="4"/>
  <c r="HQ103" i="4" s="1"/>
  <c r="CG98" i="4" s="1"/>
  <c r="JD102" i="4"/>
  <c r="JD103" i="4" s="1"/>
  <c r="DT98" i="4" s="1"/>
  <c r="IU102" i="4"/>
  <c r="IU103" i="4" s="1"/>
  <c r="DK98" i="4" s="1"/>
  <c r="JJ102" i="4"/>
  <c r="JJ103" i="4" s="1"/>
  <c r="DZ98" i="4" s="1"/>
  <c r="HP102" i="4"/>
  <c r="HP103" i="4" s="1"/>
  <c r="CF98" i="4" s="1"/>
  <c r="JQ102" i="4"/>
  <c r="JQ103" i="4" s="1"/>
  <c r="EG98" i="4" s="1"/>
  <c r="JX102" i="4"/>
  <c r="JX103" i="4" s="1"/>
  <c r="EN98" i="4" s="1"/>
  <c r="IN102" i="4"/>
  <c r="IN103" i="4" s="1"/>
  <c r="DD98" i="4" s="1"/>
  <c r="IS102" i="4"/>
  <c r="IS103" i="4" s="1"/>
  <c r="DI98" i="4" s="1"/>
  <c r="GR102" i="4"/>
  <c r="GR103" i="4" s="1"/>
  <c r="BH98" i="4" s="1"/>
  <c r="GJ102" i="4"/>
  <c r="GJ103" i="4" s="1"/>
  <c r="AZ98" i="4" s="1"/>
  <c r="GS102" i="4"/>
  <c r="GS103" i="4" s="1"/>
  <c r="BI98" i="4" s="1"/>
  <c r="HO102" i="4"/>
  <c r="HO103" i="4" s="1"/>
  <c r="CE98" i="4" s="1"/>
  <c r="JG102" i="4"/>
  <c r="JG103" i="4" s="1"/>
  <c r="DW98" i="4" s="1"/>
  <c r="GB102" i="4"/>
  <c r="GB103" i="4" s="1"/>
  <c r="AR98" i="4" s="1"/>
  <c r="IO102" i="4"/>
  <c r="IO103" i="4" s="1"/>
  <c r="DE98" i="4" s="1"/>
  <c r="HT102" i="4"/>
  <c r="HT103" i="4" s="1"/>
  <c r="CJ98" i="4" s="1"/>
  <c r="HG102" i="4"/>
  <c r="HG103" i="4" s="1"/>
  <c r="BW98" i="4" s="1"/>
  <c r="JT102" i="4"/>
  <c r="JT103" i="4" s="1"/>
  <c r="EJ98" i="4" s="1"/>
  <c r="GG102" i="4"/>
  <c r="GG103" i="4" s="1"/>
  <c r="AW98" i="4" s="1"/>
  <c r="HJ102" i="4"/>
  <c r="HJ103" i="4" s="1"/>
  <c r="BZ98" i="4" s="1"/>
  <c r="JR102" i="4"/>
  <c r="JR103" i="4" s="1"/>
  <c r="EH98" i="4" s="1"/>
  <c r="DU99" i="4"/>
  <c r="EM99" i="4"/>
  <c r="DB99" i="4"/>
  <c r="BU99" i="4"/>
  <c r="BD99" i="4"/>
  <c r="DE99" i="4"/>
  <c r="DT99" i="4"/>
  <c r="DD99" i="4"/>
  <c r="DK99" i="4"/>
  <c r="DH99" i="4"/>
  <c r="BR99" i="4"/>
  <c r="BJ99" i="4"/>
  <c r="DM99" i="4"/>
  <c r="AM99" i="4"/>
  <c r="BP99" i="4"/>
  <c r="BV99" i="4"/>
  <c r="CD99" i="4"/>
  <c r="BC99" i="4"/>
  <c r="CV99" i="4"/>
  <c r="CG99" i="4"/>
  <c r="EN99" i="4"/>
  <c r="BX99" i="4"/>
  <c r="BO99" i="4"/>
  <c r="BF99" i="4"/>
  <c r="DO99" i="4"/>
  <c r="CZ99" i="4"/>
  <c r="DS99" i="4"/>
  <c r="AQ99" i="4"/>
  <c r="AR99" i="4"/>
  <c r="BM99" i="4"/>
  <c r="AV99" i="4"/>
  <c r="DG99" i="4"/>
  <c r="DN99" i="4"/>
  <c r="DC99" i="4"/>
  <c r="BI99" i="4"/>
  <c r="BW99" i="4"/>
  <c r="BQ99" i="4"/>
  <c r="CI99" i="4"/>
  <c r="EB99" i="4"/>
  <c r="CP99" i="4"/>
  <c r="AS99" i="4"/>
  <c r="DF99" i="4"/>
  <c r="AE99" i="4"/>
  <c r="AP99" i="4"/>
  <c r="CR99" i="4"/>
  <c r="DP99" i="4"/>
  <c r="CO99" i="4"/>
  <c r="DY99" i="4"/>
  <c r="CY99" i="4"/>
  <c r="CW99" i="4"/>
  <c r="BY99" i="4"/>
  <c r="EG99" i="4"/>
  <c r="EF99" i="4"/>
  <c r="CQ99" i="4"/>
  <c r="DR99" i="4"/>
  <c r="CX99" i="4"/>
  <c r="AF99" i="4"/>
  <c r="AW99" i="4"/>
  <c r="AI99" i="4"/>
  <c r="BB99" i="4"/>
  <c r="CT99" i="4"/>
  <c r="DV99" i="4"/>
  <c r="BG99" i="4"/>
  <c r="AY99" i="4"/>
  <c r="DZ99" i="4"/>
  <c r="EI99" i="4"/>
  <c r="CF99" i="4"/>
  <c r="DL99" i="4"/>
  <c r="EE99" i="4"/>
  <c r="CN99" i="4"/>
  <c r="CU99" i="4"/>
  <c r="I99" i="4"/>
  <c r="H99" i="4" s="1"/>
  <c r="AL99" i="4"/>
  <c r="DQ99" i="4"/>
  <c r="CM99" i="4"/>
  <c r="EL99" i="4"/>
  <c r="CS99" i="4"/>
  <c r="BH99" i="4"/>
  <c r="EH99" i="4"/>
  <c r="AX99" i="4"/>
  <c r="CE99" i="4"/>
  <c r="DX99" i="4"/>
  <c r="AU99" i="4"/>
  <c r="EA99" i="4"/>
  <c r="BE99" i="4"/>
  <c r="AK99" i="4"/>
  <c r="AJ99" i="4"/>
  <c r="BN99" i="4"/>
  <c r="BK99" i="4"/>
  <c r="CC99" i="4"/>
  <c r="AT99" i="4"/>
  <c r="AZ99" i="4"/>
  <c r="BS99" i="4"/>
  <c r="BZ99" i="4"/>
  <c r="EJ99" i="4"/>
  <c r="ED99" i="4"/>
  <c r="CL99" i="4"/>
  <c r="BA99" i="4"/>
  <c r="DJ99" i="4"/>
  <c r="DA99" i="4"/>
  <c r="CK99" i="4"/>
  <c r="BT99" i="4"/>
  <c r="CA99" i="4"/>
  <c r="CJ99" i="4"/>
  <c r="BL99" i="4"/>
  <c r="DI99" i="4"/>
  <c r="EC99" i="4"/>
  <c r="DW99" i="4"/>
  <c r="CH99" i="4"/>
  <c r="CB99" i="4"/>
  <c r="EK99" i="4"/>
  <c r="AH99" i="4"/>
  <c r="AH100" i="4" s="1"/>
  <c r="AC68" i="9" s="1"/>
  <c r="AN99" i="4"/>
  <c r="AG99" i="4"/>
  <c r="G97" i="4"/>
  <c r="H100" i="4" l="1"/>
  <c r="H21" i="9"/>
  <c r="AG100" i="4"/>
  <c r="AB68" i="9" s="1"/>
  <c r="AJ100" i="4"/>
  <c r="AE68" i="9" s="1"/>
  <c r="AK100" i="4"/>
  <c r="AF68" i="9" s="1"/>
  <c r="AI100" i="4"/>
  <c r="AD68" i="9" s="1"/>
  <c r="AE100" i="4"/>
  <c r="Z68" i="9" s="1"/>
  <c r="AL100" i="4"/>
  <c r="AG68" i="9" s="1"/>
  <c r="AF100" i="4"/>
  <c r="AA68" i="9" s="1"/>
  <c r="AN100" i="4"/>
  <c r="AI68" i="9" s="1"/>
  <c r="AQ100" i="4"/>
  <c r="AL68" i="9" s="1"/>
  <c r="AM100" i="4"/>
  <c r="AH68" i="9" s="1"/>
  <c r="AP100" i="4"/>
  <c r="AK68" i="9" s="1"/>
  <c r="BH100" i="4"/>
  <c r="BC68" i="9" s="1"/>
  <c r="DT100" i="4"/>
  <c r="DO68" i="9" s="1"/>
  <c r="BY100" i="4"/>
  <c r="BT68" i="9" s="1"/>
  <c r="CL100" i="4"/>
  <c r="CG68" i="9" s="1"/>
  <c r="CV100" i="4"/>
  <c r="CQ68" i="9" s="1"/>
  <c r="CK100" i="4"/>
  <c r="CF68" i="9" s="1"/>
  <c r="DO100" i="4"/>
  <c r="DJ68" i="9" s="1"/>
  <c r="DG100" i="4"/>
  <c r="DB68" i="9" s="1"/>
  <c r="BX100" i="4"/>
  <c r="BS68" i="9" s="1"/>
  <c r="DN100" i="4"/>
  <c r="DI68" i="9" s="1"/>
  <c r="CB100" i="4"/>
  <c r="BW68" i="9" s="1"/>
  <c r="BN100" i="4"/>
  <c r="BI68" i="9" s="1"/>
  <c r="DE100" i="4"/>
  <c r="CZ68" i="9" s="1"/>
  <c r="DD100" i="4"/>
  <c r="CY68" i="9" s="1"/>
  <c r="CJ100" i="4"/>
  <c r="CE68" i="9" s="1"/>
  <c r="DI100" i="4"/>
  <c r="DD68" i="9" s="1"/>
  <c r="CG100" i="4"/>
  <c r="CB68" i="9" s="1"/>
  <c r="BS100" i="4"/>
  <c r="BN68" i="9" s="1"/>
  <c r="EE100" i="4"/>
  <c r="CA100" i="4"/>
  <c r="BV68" i="9" s="1"/>
  <c r="CM100" i="4"/>
  <c r="CH68" i="9" s="1"/>
  <c r="CZ100" i="4"/>
  <c r="CU68" i="9" s="1"/>
  <c r="CN100" i="4"/>
  <c r="CI68" i="9" s="1"/>
  <c r="BO100" i="4"/>
  <c r="BJ68" i="9" s="1"/>
  <c r="BU100" i="4"/>
  <c r="BP68" i="9" s="1"/>
  <c r="BB100" i="4"/>
  <c r="AW68" i="9" s="1"/>
  <c r="EC100" i="4"/>
  <c r="DH100" i="4"/>
  <c r="DC68" i="9" s="1"/>
  <c r="CS100" i="4"/>
  <c r="CN68" i="9" s="1"/>
  <c r="BE100" i="4"/>
  <c r="AZ68" i="9" s="1"/>
  <c r="DP100" i="4"/>
  <c r="DK68" i="9" s="1"/>
  <c r="BA100" i="4"/>
  <c r="AV68" i="9" s="1"/>
  <c r="CH100" i="4"/>
  <c r="CC68" i="9" s="1"/>
  <c r="EB100" i="4"/>
  <c r="DW68" i="9" s="1"/>
  <c r="DB100" i="4"/>
  <c r="CW68" i="9" s="1"/>
  <c r="BM100" i="4"/>
  <c r="BH68" i="9" s="1"/>
  <c r="AR100" i="4"/>
  <c r="AM68" i="9" s="1"/>
  <c r="H151" i="4"/>
  <c r="EN100" i="4"/>
  <c r="AX100" i="4"/>
  <c r="AS68" i="9" s="1"/>
  <c r="EL100" i="4"/>
  <c r="DY100" i="4"/>
  <c r="DT68" i="9" s="1"/>
  <c r="EK100" i="4"/>
  <c r="BV100" i="4"/>
  <c r="BQ68" i="9" s="1"/>
  <c r="EA100" i="4"/>
  <c r="DV68" i="9" s="1"/>
  <c r="AU100" i="4"/>
  <c r="AP68" i="9" s="1"/>
  <c r="AY100" i="4"/>
  <c r="AT68" i="9" s="1"/>
  <c r="BK100" i="4"/>
  <c r="BF68" i="9" s="1"/>
  <c r="CP100" i="4"/>
  <c r="CK68" i="9" s="1"/>
  <c r="G152" i="4"/>
  <c r="G153" i="4" s="1"/>
  <c r="G99" i="4"/>
  <c r="G100" i="4" s="1"/>
  <c r="F21" i="1" s="1"/>
  <c r="I100" i="4"/>
  <c r="EH100" i="4"/>
  <c r="DW100" i="4"/>
  <c r="DR68" i="9" s="1"/>
  <c r="EG100" i="4"/>
  <c r="BL100" i="4"/>
  <c r="BG68" i="9" s="1"/>
  <c r="CO100" i="4"/>
  <c r="CJ68" i="9" s="1"/>
  <c r="CI100" i="4"/>
  <c r="CD68" i="9" s="1"/>
  <c r="BC100" i="4"/>
  <c r="AX68" i="9" s="1"/>
  <c r="DF100" i="4"/>
  <c r="DA68" i="9" s="1"/>
  <c r="DA100" i="4"/>
  <c r="CV68" i="9" s="1"/>
  <c r="CQ100" i="4"/>
  <c r="CL68" i="9" s="1"/>
  <c r="DC100" i="4"/>
  <c r="CX68" i="9" s="1"/>
  <c r="CT100" i="4"/>
  <c r="CO68" i="9" s="1"/>
  <c r="BZ100" i="4"/>
  <c r="BU68" i="9" s="1"/>
  <c r="CE100" i="4"/>
  <c r="BZ68" i="9" s="1"/>
  <c r="CF100" i="4"/>
  <c r="CA68" i="9" s="1"/>
  <c r="BF100" i="4"/>
  <c r="BA68" i="9" s="1"/>
  <c r="DS100" i="4"/>
  <c r="DN68" i="9" s="1"/>
  <c r="DU100" i="4"/>
  <c r="DP68" i="9" s="1"/>
  <c r="DX100" i="4"/>
  <c r="DS68" i="9" s="1"/>
  <c r="BT100" i="4"/>
  <c r="BO68" i="9" s="1"/>
  <c r="DM100" i="4"/>
  <c r="DH68" i="9" s="1"/>
  <c r="DQ100" i="4"/>
  <c r="DL68" i="9" s="1"/>
  <c r="DL100" i="4"/>
  <c r="DG68" i="9" s="1"/>
  <c r="BD100" i="4"/>
  <c r="AY68" i="9" s="1"/>
  <c r="CX100" i="4"/>
  <c r="CS68" i="9" s="1"/>
  <c r="EF100" i="4"/>
  <c r="AW100" i="4"/>
  <c r="AR68" i="9" s="1"/>
  <c r="BI100" i="4"/>
  <c r="BD68" i="9" s="1"/>
  <c r="DZ100" i="4"/>
  <c r="DU68" i="9" s="1"/>
  <c r="CW100" i="4"/>
  <c r="CR68" i="9" s="1"/>
  <c r="DJ100" i="4"/>
  <c r="DE68" i="9" s="1"/>
  <c r="DR100" i="4"/>
  <c r="DM68" i="9" s="1"/>
  <c r="ED100" i="4"/>
  <c r="CC100" i="4"/>
  <c r="BX68" i="9" s="1"/>
  <c r="CR100" i="4"/>
  <c r="CM68" i="9" s="1"/>
  <c r="EI100" i="4"/>
  <c r="AT100" i="4"/>
  <c r="AO68" i="9" s="1"/>
  <c r="AS100" i="4"/>
  <c r="AN68" i="9" s="1"/>
  <c r="AV100" i="4"/>
  <c r="AQ68" i="9" s="1"/>
  <c r="BW100" i="4"/>
  <c r="BR68" i="9" s="1"/>
  <c r="H152" i="4"/>
  <c r="I152" i="4" s="1"/>
  <c r="EJ100" i="4"/>
  <c r="AZ100" i="4"/>
  <c r="AU68" i="9" s="1"/>
  <c r="DK100" i="4"/>
  <c r="DF68" i="9" s="1"/>
  <c r="BQ100" i="4"/>
  <c r="BL68" i="9" s="1"/>
  <c r="CU100" i="4"/>
  <c r="CP68" i="9" s="1"/>
  <c r="BR100" i="4"/>
  <c r="BM68" i="9" s="1"/>
  <c r="CY100" i="4"/>
  <c r="CT68" i="9" s="1"/>
  <c r="CD100" i="4"/>
  <c r="BY68" i="9" s="1"/>
  <c r="BP100" i="4"/>
  <c r="BK68" i="9" s="1"/>
  <c r="DV100" i="4"/>
  <c r="DQ68" i="9" s="1"/>
  <c r="BG100" i="4"/>
  <c r="BB68" i="9" s="1"/>
  <c r="BJ100" i="4"/>
  <c r="BE68" i="9" s="1"/>
  <c r="EM100" i="4"/>
  <c r="Q21" i="9" l="1"/>
  <c r="M21" i="9"/>
  <c r="N21" i="9"/>
  <c r="L21" i="9"/>
  <c r="O21" i="9"/>
  <c r="P21" i="9"/>
  <c r="K21" i="9"/>
  <c r="I21" i="9"/>
  <c r="J21" i="9"/>
  <c r="F105" i="4"/>
  <c r="H153" i="4"/>
  <c r="F102" i="4"/>
  <c r="F104" i="4"/>
  <c r="I103" i="4"/>
  <c r="I151" i="4"/>
  <c r="I153" i="4" s="1"/>
  <c r="DA103" i="4" l="1"/>
  <c r="DA106" i="4" s="1"/>
  <c r="CV69" i="9" s="1"/>
  <c r="CL103" i="4"/>
  <c r="CL106" i="4" s="1"/>
  <c r="CG69" i="9" s="1"/>
  <c r="DR103" i="4"/>
  <c r="DR106" i="4" s="1"/>
  <c r="DM69" i="9" s="1"/>
  <c r="DI103" i="4"/>
  <c r="DI106" i="4" s="1"/>
  <c r="DD69" i="9" s="1"/>
  <c r="Q103" i="4"/>
  <c r="Q106" i="4" s="1"/>
  <c r="L69" i="9" s="1"/>
  <c r="M103" i="4"/>
  <c r="M106" i="4" s="1"/>
  <c r="H69" i="9" s="1"/>
  <c r="BK103" i="4"/>
  <c r="BK106" i="4" s="1"/>
  <c r="BF69" i="9" s="1"/>
  <c r="DG103" i="4"/>
  <c r="DG106" i="4" s="1"/>
  <c r="DB69" i="9" s="1"/>
  <c r="CY103" i="4"/>
  <c r="CY106" i="4" s="1"/>
  <c r="CT69" i="9" s="1"/>
  <c r="DS103" i="4"/>
  <c r="DS106" i="4" s="1"/>
  <c r="DN69" i="9" s="1"/>
  <c r="DF103" i="4"/>
  <c r="DF106" i="4" s="1"/>
  <c r="DA69" i="9" s="1"/>
  <c r="R103" i="4"/>
  <c r="R106" i="4" s="1"/>
  <c r="M69" i="9" s="1"/>
  <c r="Z103" i="4"/>
  <c r="Z106" i="4" s="1"/>
  <c r="U69" i="9" s="1"/>
  <c r="AX103" i="4"/>
  <c r="AX106" i="4" s="1"/>
  <c r="AS69" i="9" s="1"/>
  <c r="BF103" i="4"/>
  <c r="BF106" i="4" s="1"/>
  <c r="BA69" i="9" s="1"/>
  <c r="AU103" i="4"/>
  <c r="AU106" i="4" s="1"/>
  <c r="AP69" i="9" s="1"/>
  <c r="AA103" i="4"/>
  <c r="AA106" i="4" s="1"/>
  <c r="V69" i="9" s="1"/>
  <c r="AI103" i="4"/>
  <c r="AI106" i="4" s="1"/>
  <c r="AD69" i="9" s="1"/>
  <c r="BW103" i="4"/>
  <c r="BW106" i="4" s="1"/>
  <c r="BR69" i="9" s="1"/>
  <c r="AO103" i="4"/>
  <c r="AO106" i="4" s="1"/>
  <c r="AJ69" i="9" s="1"/>
  <c r="BM103" i="4"/>
  <c r="BM106" i="4" s="1"/>
  <c r="BH69" i="9" s="1"/>
  <c r="BY103" i="4"/>
  <c r="BY106" i="4" s="1"/>
  <c r="BT69" i="9" s="1"/>
  <c r="EK103" i="4"/>
  <c r="EK106" i="4" s="1"/>
  <c r="AK103" i="4"/>
  <c r="AK106" i="4" s="1"/>
  <c r="AF69" i="9" s="1"/>
  <c r="BQ103" i="4"/>
  <c r="BQ106" i="4" s="1"/>
  <c r="BL69" i="9" s="1"/>
  <c r="CG103" i="4"/>
  <c r="CG106" i="4" s="1"/>
  <c r="CB69" i="9" s="1"/>
  <c r="AD103" i="4"/>
  <c r="AD106" i="4" s="1"/>
  <c r="Y69" i="9" s="1"/>
  <c r="BJ103" i="4"/>
  <c r="BJ106" i="4" s="1"/>
  <c r="BE69" i="9" s="1"/>
  <c r="EL103" i="4"/>
  <c r="EL106" i="4" s="1"/>
  <c r="DW103" i="4"/>
  <c r="DW106" i="4" s="1"/>
  <c r="DR69" i="9" s="1"/>
  <c r="EE103" i="4"/>
  <c r="EE106" i="4" s="1"/>
  <c r="BD103" i="4"/>
  <c r="BD106" i="4" s="1"/>
  <c r="AY69" i="9" s="1"/>
  <c r="CJ103" i="4"/>
  <c r="CJ106" i="4" s="1"/>
  <c r="CE69" i="9" s="1"/>
  <c r="CZ103" i="4"/>
  <c r="CZ106" i="4" s="1"/>
  <c r="CU69" i="9" s="1"/>
  <c r="CD103" i="4"/>
  <c r="CD106" i="4" s="1"/>
  <c r="BY69" i="9" s="1"/>
  <c r="AG103" i="4"/>
  <c r="AG106" i="4" s="1"/>
  <c r="AB69" i="9" s="1"/>
  <c r="CM103" i="4"/>
  <c r="CM106" i="4" s="1"/>
  <c r="CH69" i="9" s="1"/>
  <c r="CU103" i="4"/>
  <c r="CU106" i="4" s="1"/>
  <c r="CP69" i="9" s="1"/>
  <c r="EA103" i="4"/>
  <c r="EA106" i="4" s="1"/>
  <c r="DV69" i="9" s="1"/>
  <c r="T103" i="4"/>
  <c r="T106" i="4" s="1"/>
  <c r="O69" i="9" s="1"/>
  <c r="AZ103" i="4"/>
  <c r="AZ106" i="4" s="1"/>
  <c r="AU69" i="9" s="1"/>
  <c r="BH103" i="4"/>
  <c r="BH106" i="4" s="1"/>
  <c r="BC69" i="9" s="1"/>
  <c r="DL103" i="4"/>
  <c r="DL106" i="4" s="1"/>
  <c r="DG69" i="9" s="1"/>
  <c r="CO103" i="4"/>
  <c r="CO106" i="4" s="1"/>
  <c r="CJ69" i="9" s="1"/>
  <c r="CW103" i="4"/>
  <c r="CW106" i="4" s="1"/>
  <c r="CR69" i="9" s="1"/>
  <c r="CP103" i="4"/>
  <c r="CP106" i="4" s="1"/>
  <c r="CK69" i="9" s="1"/>
  <c r="AE103" i="4"/>
  <c r="AE106" i="4" s="1"/>
  <c r="Z69" i="9" s="1"/>
  <c r="W103" i="4"/>
  <c r="W106" i="4" s="1"/>
  <c r="R69" i="9" s="1"/>
  <c r="BL103" i="4"/>
  <c r="BL106" i="4" s="1"/>
  <c r="BG69" i="9" s="1"/>
  <c r="DP103" i="4"/>
  <c r="DP106" i="4" s="1"/>
  <c r="DK69" i="9" s="1"/>
  <c r="DX103" i="4"/>
  <c r="DX106" i="4" s="1"/>
  <c r="DS69" i="9" s="1"/>
  <c r="X103" i="4"/>
  <c r="X106" i="4" s="1"/>
  <c r="S69" i="9" s="1"/>
  <c r="ED103" i="4"/>
  <c r="ED106" i="4" s="1"/>
  <c r="CB103" i="4"/>
  <c r="CB106" i="4" s="1"/>
  <c r="BW69" i="9" s="1"/>
  <c r="AM103" i="4"/>
  <c r="AM106" i="4" s="1"/>
  <c r="AH69" i="9" s="1"/>
  <c r="Y103" i="4"/>
  <c r="Y106" i="4" s="1"/>
  <c r="T69" i="9" s="1"/>
  <c r="DJ103" i="4"/>
  <c r="DJ106" i="4" s="1"/>
  <c r="DE69" i="9" s="1"/>
  <c r="BE103" i="4"/>
  <c r="BE106" i="4" s="1"/>
  <c r="AZ69" i="9" s="1"/>
  <c r="BO103" i="4"/>
  <c r="BO106" i="4" s="1"/>
  <c r="BJ69" i="9" s="1"/>
  <c r="O103" i="4"/>
  <c r="O106" i="4" s="1"/>
  <c r="J69" i="9" s="1"/>
  <c r="CC103" i="4"/>
  <c r="CC106" i="4" s="1"/>
  <c r="BX69" i="9" s="1"/>
  <c r="CS103" i="4"/>
  <c r="CS106" i="4" s="1"/>
  <c r="CN69" i="9" s="1"/>
  <c r="AB103" i="4"/>
  <c r="AB106" i="4" s="1"/>
  <c r="W69" i="9" s="1"/>
  <c r="CF103" i="4"/>
  <c r="CF106" i="4" s="1"/>
  <c r="CA69" i="9" s="1"/>
  <c r="CN103" i="4"/>
  <c r="CN106" i="4" s="1"/>
  <c r="CI69" i="9" s="1"/>
  <c r="DT103" i="4"/>
  <c r="DT106" i="4" s="1"/>
  <c r="DO69" i="9" s="1"/>
  <c r="AS103" i="4"/>
  <c r="AS106" i="4" s="1"/>
  <c r="AN69" i="9" s="1"/>
  <c r="BR103" i="4"/>
  <c r="BR106" i="4" s="1"/>
  <c r="BM69" i="9" s="1"/>
  <c r="DV103" i="4"/>
  <c r="DV106" i="4" s="1"/>
  <c r="DQ69" i="9" s="1"/>
  <c r="CA103" i="4"/>
  <c r="CA106" i="4" s="1"/>
  <c r="BV69" i="9" s="1"/>
  <c r="BS103" i="4"/>
  <c r="BS106" i="4" s="1"/>
  <c r="BN69" i="9" s="1"/>
  <c r="CI103" i="4"/>
  <c r="CI106" i="4" s="1"/>
  <c r="CD69" i="9" s="1"/>
  <c r="AV103" i="4"/>
  <c r="AV106" i="4" s="1"/>
  <c r="AQ69" i="9" s="1"/>
  <c r="BT103" i="4"/>
  <c r="BT106" i="4" s="1"/>
  <c r="BO69" i="9" s="1"/>
  <c r="CR103" i="4"/>
  <c r="CR106" i="4" s="1"/>
  <c r="CM69" i="9" s="1"/>
  <c r="BC103" i="4"/>
  <c r="BC106" i="4" s="1"/>
  <c r="AX69" i="9" s="1"/>
  <c r="EN103" i="4"/>
  <c r="EN106" i="4" s="1"/>
  <c r="EG103" i="4"/>
  <c r="EG106" i="4" s="1"/>
  <c r="BN103" i="4"/>
  <c r="BN106" i="4" s="1"/>
  <c r="BI69" i="9" s="1"/>
  <c r="EH103" i="4"/>
  <c r="EH106" i="4" s="1"/>
  <c r="DY103" i="4"/>
  <c r="DY106" i="4" s="1"/>
  <c r="DT69" i="9" s="1"/>
  <c r="AQ103" i="4"/>
  <c r="AQ106" i="4" s="1"/>
  <c r="AL69" i="9" s="1"/>
  <c r="DK103" i="4"/>
  <c r="DK106" i="4" s="1"/>
  <c r="DF69" i="9" s="1"/>
  <c r="AJ103" i="4"/>
  <c r="AJ106" i="4" s="1"/>
  <c r="AE69" i="9" s="1"/>
  <c r="BP103" i="4"/>
  <c r="BP106" i="4" s="1"/>
  <c r="BK69" i="9" s="1"/>
  <c r="CV103" i="4"/>
  <c r="CV106" i="4" s="1"/>
  <c r="CQ69" i="9" s="1"/>
  <c r="EB103" i="4"/>
  <c r="EB106" i="4" s="1"/>
  <c r="DW69" i="9" s="1"/>
  <c r="CQ103" i="4"/>
  <c r="CQ106" i="4" s="1"/>
  <c r="CL69" i="9" s="1"/>
  <c r="P103" i="4"/>
  <c r="P106" i="4" s="1"/>
  <c r="K69" i="9" s="1"/>
  <c r="BB103" i="4"/>
  <c r="BB106" i="4" s="1"/>
  <c r="AW69" i="9" s="1"/>
  <c r="U103" i="4"/>
  <c r="U106" i="4" s="1"/>
  <c r="P69" i="9" s="1"/>
  <c r="AW103" i="4"/>
  <c r="BV103" i="4"/>
  <c r="BV106" i="4" s="1"/>
  <c r="BQ69" i="9" s="1"/>
  <c r="DB103" i="4"/>
  <c r="DB106" i="4" s="1"/>
  <c r="CW69" i="9" s="1"/>
  <c r="DZ103" i="4"/>
  <c r="DZ106" i="4" s="1"/>
  <c r="DU69" i="9" s="1"/>
  <c r="CK103" i="4"/>
  <c r="CK106" i="4" s="1"/>
  <c r="CF69" i="9" s="1"/>
  <c r="S103" i="4"/>
  <c r="S106" i="4" s="1"/>
  <c r="N69" i="9" s="1"/>
  <c r="DU103" i="4"/>
  <c r="DU106" i="4" s="1"/>
  <c r="DP69" i="9" s="1"/>
  <c r="V103" i="4"/>
  <c r="V106" i="4" s="1"/>
  <c r="Q69" i="9" s="1"/>
  <c r="AL103" i="4"/>
  <c r="AL106" i="4" s="1"/>
  <c r="AG69" i="9" s="1"/>
  <c r="AT103" i="4"/>
  <c r="AT106" i="4" s="1"/>
  <c r="AO69" i="9" s="1"/>
  <c r="CH103" i="4"/>
  <c r="CH106" i="4" s="1"/>
  <c r="CC69" i="9" s="1"/>
  <c r="EM103" i="4"/>
  <c r="EM106" i="4" s="1"/>
  <c r="EF103" i="4"/>
  <c r="EF106" i="4" s="1"/>
  <c r="AY103" i="4"/>
  <c r="AY106" i="4" s="1"/>
  <c r="AT69" i="9" s="1"/>
  <c r="BG103" i="4"/>
  <c r="BG106" i="4" s="1"/>
  <c r="BB69" i="9" s="1"/>
  <c r="DC103" i="4"/>
  <c r="DC106" i="4" s="1"/>
  <c r="CX69" i="9" s="1"/>
  <c r="EI103" i="4"/>
  <c r="EI106" i="4" s="1"/>
  <c r="AR103" i="4"/>
  <c r="DD103" i="4"/>
  <c r="DD106" i="4" s="1"/>
  <c r="CY69" i="9" s="1"/>
  <c r="BI103" i="4"/>
  <c r="BI106" i="4" s="1"/>
  <c r="BD69" i="9" s="1"/>
  <c r="DE103" i="4"/>
  <c r="DE106" i="4" s="1"/>
  <c r="CZ69" i="9" s="1"/>
  <c r="DM103" i="4"/>
  <c r="DM106" i="4" s="1"/>
  <c r="DH69" i="9" s="1"/>
  <c r="CX103" i="4"/>
  <c r="CX106" i="4" s="1"/>
  <c r="CS69" i="9" s="1"/>
  <c r="BU103" i="4"/>
  <c r="BU106" i="4" s="1"/>
  <c r="BP69" i="9" s="1"/>
  <c r="AH103" i="4"/>
  <c r="AH106" i="4" s="1"/>
  <c r="AC69" i="9" s="1"/>
  <c r="AP103" i="4"/>
  <c r="AP106" i="4" s="1"/>
  <c r="AK69" i="9" s="1"/>
  <c r="CT103" i="4"/>
  <c r="CT106" i="4" s="1"/>
  <c r="CO69" i="9" s="1"/>
  <c r="AC103" i="4"/>
  <c r="AC106" i="4" s="1"/>
  <c r="X69" i="9" s="1"/>
  <c r="CE103" i="4"/>
  <c r="CE106" i="4" s="1"/>
  <c r="BZ69" i="9" s="1"/>
  <c r="DQ103" i="4"/>
  <c r="DQ106" i="4" s="1"/>
  <c r="DL69" i="9" s="1"/>
  <c r="BX103" i="4"/>
  <c r="BX106" i="4" s="1"/>
  <c r="BS69" i="9" s="1"/>
  <c r="EJ103" i="4"/>
  <c r="EJ106" i="4" s="1"/>
  <c r="BA103" i="4"/>
  <c r="BA106" i="4" s="1"/>
  <c r="AV69" i="9" s="1"/>
  <c r="EC103" i="4"/>
  <c r="EC106" i="4" s="1"/>
  <c r="N103" i="4"/>
  <c r="N106" i="4" s="1"/>
  <c r="I69" i="9" s="1"/>
  <c r="BZ103" i="4"/>
  <c r="BZ106" i="4" s="1"/>
  <c r="BU69" i="9" s="1"/>
  <c r="DN103" i="4"/>
  <c r="DN106" i="4" s="1"/>
  <c r="DI69" i="9" s="1"/>
  <c r="DO103" i="4"/>
  <c r="DO106" i="4" s="1"/>
  <c r="DJ69" i="9" s="1"/>
  <c r="AF103" i="4"/>
  <c r="AF106" i="4" s="1"/>
  <c r="AA69" i="9" s="1"/>
  <c r="AN103" i="4"/>
  <c r="AN106" i="4" s="1"/>
  <c r="AI69" i="9" s="1"/>
  <c r="DH103" i="4"/>
  <c r="DH106" i="4" s="1"/>
  <c r="DC69" i="9" s="1"/>
  <c r="F103" i="4"/>
  <c r="H103" i="4"/>
  <c r="H106" i="4" s="1"/>
  <c r="G103" i="4"/>
  <c r="G106" i="4" s="1"/>
  <c r="G156" i="4"/>
  <c r="G159" i="4" s="1"/>
  <c r="I106" i="4"/>
  <c r="L22" i="9" l="1"/>
  <c r="O22" i="9"/>
  <c r="P22" i="9"/>
  <c r="M22" i="9"/>
  <c r="N22" i="9"/>
  <c r="Q22" i="9"/>
  <c r="I22" i="9"/>
  <c r="H22" i="9"/>
  <c r="F106" i="4"/>
  <c r="I110" i="4"/>
  <c r="AR106" i="4"/>
  <c r="AM69" i="9" s="1"/>
  <c r="J22" i="9" s="1"/>
  <c r="H156" i="4"/>
  <c r="H159" i="4" s="1"/>
  <c r="AW106" i="4"/>
  <c r="AR69" i="9" s="1"/>
  <c r="K22" i="9" s="1"/>
  <c r="I156" i="4" l="1"/>
  <c r="I159" i="4" s="1"/>
  <c r="H110" i="4"/>
  <c r="G110" i="4"/>
  <c r="G162" i="4"/>
  <c r="I12" i="7"/>
  <c r="AV12" i="7" l="1"/>
  <c r="AV15" i="7" s="1"/>
  <c r="AV23" i="7" s="1"/>
  <c r="AV24" i="7" s="1"/>
  <c r="AV25" i="7" s="1"/>
  <c r="AV35" i="7" s="1"/>
  <c r="AW108" i="4" s="1"/>
  <c r="AR70" i="9" s="1"/>
  <c r="I10" i="7"/>
  <c r="DP12" i="7"/>
  <c r="DP15" i="7" s="1"/>
  <c r="DP23" i="7" s="1"/>
  <c r="CM12" i="7"/>
  <c r="CM15" i="7" s="1"/>
  <c r="CM23" i="7" s="1"/>
  <c r="DH12" i="7"/>
  <c r="DH15" i="7" s="1"/>
  <c r="DH23" i="7" s="1"/>
  <c r="BD12" i="7"/>
  <c r="BD15" i="7" s="1"/>
  <c r="BD23" i="7" s="1"/>
  <c r="BJ12" i="7"/>
  <c r="BJ15" i="7" s="1"/>
  <c r="BJ23" i="7" s="1"/>
  <c r="CK12" i="7"/>
  <c r="CK15" i="7" s="1"/>
  <c r="CK23" i="7" s="1"/>
  <c r="BR12" i="7"/>
  <c r="BR15" i="7" s="1"/>
  <c r="BR23" i="7" s="1"/>
  <c r="BA12" i="7"/>
  <c r="BA15" i="7" s="1"/>
  <c r="BA23" i="7" s="1"/>
  <c r="BL12" i="7"/>
  <c r="BL15" i="7" s="1"/>
  <c r="BL23" i="7" s="1"/>
  <c r="DX12" i="7"/>
  <c r="DX15" i="7" s="1"/>
  <c r="DX23" i="7" s="1"/>
  <c r="CN12" i="7"/>
  <c r="CN15" i="7" s="1"/>
  <c r="CN23" i="7" s="1"/>
  <c r="DK12" i="7"/>
  <c r="DK15" i="7" s="1"/>
  <c r="DK23" i="7" s="1"/>
  <c r="DU12" i="7"/>
  <c r="DU15" i="7" s="1"/>
  <c r="DU23" i="7" s="1"/>
  <c r="DC12" i="7"/>
  <c r="DC15" i="7" s="1"/>
  <c r="DC23" i="7" s="1"/>
  <c r="DL12" i="7"/>
  <c r="DL15" i="7" s="1"/>
  <c r="DL23" i="7" s="1"/>
  <c r="DA12" i="7"/>
  <c r="DA15" i="7" s="1"/>
  <c r="DA23" i="7" s="1"/>
  <c r="BI12" i="7"/>
  <c r="BI15" i="7" s="1"/>
  <c r="BI23" i="7" s="1"/>
  <c r="CF12" i="7"/>
  <c r="CF15" i="7" s="1"/>
  <c r="CF23" i="7" s="1"/>
  <c r="BC12" i="7"/>
  <c r="BC15" i="7" s="1"/>
  <c r="BC23" i="7" s="1"/>
  <c r="BB12" i="7"/>
  <c r="BB15" i="7" s="1"/>
  <c r="BB23" i="7" s="1"/>
  <c r="EC12" i="7"/>
  <c r="EC15" i="7" s="1"/>
  <c r="EC23" i="7" s="1"/>
  <c r="CY12" i="7"/>
  <c r="CY15" i="7" s="1"/>
  <c r="CY23" i="7" s="1"/>
  <c r="BQ12" i="7"/>
  <c r="BQ15" i="7" s="1"/>
  <c r="BQ23" i="7" s="1"/>
  <c r="BO12" i="7"/>
  <c r="BO15" i="7" s="1"/>
  <c r="BO23" i="7" s="1"/>
  <c r="CA12" i="7"/>
  <c r="CA15" i="7" s="1"/>
  <c r="CA23" i="7" s="1"/>
  <c r="CL12" i="7"/>
  <c r="CL15" i="7" s="1"/>
  <c r="CL23" i="7" s="1"/>
  <c r="DW12" i="7"/>
  <c r="DW15" i="7" s="1"/>
  <c r="DW23" i="7" s="1"/>
  <c r="EH12" i="7"/>
  <c r="EH15" i="7" s="1"/>
  <c r="EH23" i="7" s="1"/>
  <c r="AZ12" i="7"/>
  <c r="AZ15" i="7" s="1"/>
  <c r="AZ23" i="7" s="1"/>
  <c r="BH12" i="7"/>
  <c r="BH15" i="7" s="1"/>
  <c r="BH23" i="7" s="1"/>
  <c r="EJ12" i="7"/>
  <c r="EJ15" i="7" s="1"/>
  <c r="EJ23" i="7" s="1"/>
  <c r="CB12" i="7"/>
  <c r="CB15" i="7" s="1"/>
  <c r="CB23" i="7" s="1"/>
  <c r="CV12" i="7"/>
  <c r="CV15" i="7" s="1"/>
  <c r="CV23" i="7" s="1"/>
  <c r="DT12" i="7"/>
  <c r="DT15" i="7" s="1"/>
  <c r="DT23" i="7" s="1"/>
  <c r="DS12" i="7"/>
  <c r="DS15" i="7" s="1"/>
  <c r="DS23" i="7" s="1"/>
  <c r="DR12" i="7"/>
  <c r="DR15" i="7" s="1"/>
  <c r="DR23" i="7" s="1"/>
  <c r="BN12" i="7"/>
  <c r="BN15" i="7" s="1"/>
  <c r="BN23" i="7" s="1"/>
  <c r="EF12" i="7"/>
  <c r="EF15" i="7" s="1"/>
  <c r="EF23" i="7" s="1"/>
  <c r="BS12" i="7"/>
  <c r="BS15" i="7" s="1"/>
  <c r="BS23" i="7" s="1"/>
  <c r="BW12" i="7"/>
  <c r="BW15" i="7" s="1"/>
  <c r="BW23" i="7" s="1"/>
  <c r="CU12" i="7"/>
  <c r="CU15" i="7" s="1"/>
  <c r="CU23" i="7" s="1"/>
  <c r="DF12" i="7"/>
  <c r="DF15" i="7" s="1"/>
  <c r="DF23" i="7" s="1"/>
  <c r="EM12" i="7"/>
  <c r="EM15" i="7" s="1"/>
  <c r="EM23" i="7" s="1"/>
  <c r="BX12" i="7"/>
  <c r="BX15" i="7" s="1"/>
  <c r="BX23" i="7" s="1"/>
  <c r="ED12" i="7"/>
  <c r="ED15" i="7" s="1"/>
  <c r="ED23" i="7" s="1"/>
  <c r="DN12" i="7"/>
  <c r="DN15" i="7" s="1"/>
  <c r="DN23" i="7" s="1"/>
  <c r="CG12" i="7"/>
  <c r="CG15" i="7" s="1"/>
  <c r="CG23" i="7" s="1"/>
  <c r="DV12" i="7"/>
  <c r="DV15" i="7" s="1"/>
  <c r="DV23" i="7" s="1"/>
  <c r="DG12" i="7"/>
  <c r="DG15" i="7" s="1"/>
  <c r="DG23" i="7" s="1"/>
  <c r="CX12" i="7"/>
  <c r="CX15" i="7" s="1"/>
  <c r="CX23" i="7" s="1"/>
  <c r="EK12" i="7"/>
  <c r="EK15" i="7" s="1"/>
  <c r="EK23" i="7" s="1"/>
  <c r="CT12" i="7"/>
  <c r="CT15" i="7" s="1"/>
  <c r="CT23" i="7" s="1"/>
  <c r="EE12" i="7"/>
  <c r="EE15" i="7" s="1"/>
  <c r="EE23" i="7" s="1"/>
  <c r="DQ12" i="7"/>
  <c r="DQ15" i="7" s="1"/>
  <c r="DQ23" i="7" s="1"/>
  <c r="BT12" i="7"/>
  <c r="BT15" i="7" s="1"/>
  <c r="BT23" i="7" s="1"/>
  <c r="BM12" i="7"/>
  <c r="BM15" i="7" s="1"/>
  <c r="BM23" i="7" s="1"/>
  <c r="CC12" i="7"/>
  <c r="CC15" i="7" s="1"/>
  <c r="CC23" i="7" s="1"/>
  <c r="CP12" i="7"/>
  <c r="CP15" i="7" s="1"/>
  <c r="CP23" i="7" s="1"/>
  <c r="EG12" i="7"/>
  <c r="EG15" i="7" s="1"/>
  <c r="EG23" i="7" s="1"/>
  <c r="BP12" i="7"/>
  <c r="BP15" i="7" s="1"/>
  <c r="BP23" i="7" s="1"/>
  <c r="EI12" i="7"/>
  <c r="EI15" i="7" s="1"/>
  <c r="EI23" i="7" s="1"/>
  <c r="DD12" i="7"/>
  <c r="DD15" i="7" s="1"/>
  <c r="DD23" i="7" s="1"/>
  <c r="DY12" i="7"/>
  <c r="DY15" i="7" s="1"/>
  <c r="DY23" i="7" s="1"/>
  <c r="AW12" i="7"/>
  <c r="AW15" i="7" s="1"/>
  <c r="AW23" i="7" s="1"/>
  <c r="DO12" i="7"/>
  <c r="DO15" i="7" s="1"/>
  <c r="DO23" i="7" s="1"/>
  <c r="EL12" i="7"/>
  <c r="EL15" i="7" s="1"/>
  <c r="EL23" i="7" s="1"/>
  <c r="BY12" i="7"/>
  <c r="BY15" i="7" s="1"/>
  <c r="BY23" i="7" s="1"/>
  <c r="CS12" i="7"/>
  <c r="CS15" i="7" s="1"/>
  <c r="CS23" i="7" s="1"/>
  <c r="CW12" i="7"/>
  <c r="CW15" i="7" s="1"/>
  <c r="CW23" i="7" s="1"/>
  <c r="AY12" i="7"/>
  <c r="AY15" i="7" s="1"/>
  <c r="AY23" i="7" s="1"/>
  <c r="DI12" i="7"/>
  <c r="DI15" i="7" s="1"/>
  <c r="DI23" i="7" s="1"/>
  <c r="CZ12" i="7"/>
  <c r="CZ15" i="7" s="1"/>
  <c r="CZ23" i="7" s="1"/>
  <c r="BK12" i="7"/>
  <c r="BK15" i="7" s="1"/>
  <c r="BK23" i="7" s="1"/>
  <c r="DM12" i="7"/>
  <c r="DM15" i="7" s="1"/>
  <c r="DM23" i="7" s="1"/>
  <c r="CQ12" i="7"/>
  <c r="CQ15" i="7" s="1"/>
  <c r="CQ23" i="7" s="1"/>
  <c r="CR12" i="7"/>
  <c r="CR15" i="7" s="1"/>
  <c r="CR23" i="7" s="1"/>
  <c r="BF12" i="7"/>
  <c r="BF15" i="7" s="1"/>
  <c r="BF23" i="7" s="1"/>
  <c r="BU12" i="7"/>
  <c r="BU15" i="7" s="1"/>
  <c r="BU23" i="7" s="1"/>
  <c r="BG12" i="7"/>
  <c r="BG15" i="7" s="1"/>
  <c r="BG23" i="7" s="1"/>
  <c r="CO12" i="7"/>
  <c r="CO15" i="7" s="1"/>
  <c r="CO23" i="7" s="1"/>
  <c r="CH12" i="7"/>
  <c r="CH15" i="7" s="1"/>
  <c r="CH23" i="7" s="1"/>
  <c r="DB12" i="7"/>
  <c r="DB15" i="7" s="1"/>
  <c r="DB23" i="7" s="1"/>
  <c r="BZ12" i="7"/>
  <c r="BZ15" i="7" s="1"/>
  <c r="BZ23" i="7" s="1"/>
  <c r="BV12" i="7"/>
  <c r="BV15" i="7" s="1"/>
  <c r="BV23" i="7" s="1"/>
  <c r="CJ12" i="7"/>
  <c r="CJ15" i="7" s="1"/>
  <c r="CJ23" i="7" s="1"/>
  <c r="BE12" i="7"/>
  <c r="BE15" i="7" s="1"/>
  <c r="BE23" i="7" s="1"/>
  <c r="DZ12" i="7"/>
  <c r="DZ15" i="7" s="1"/>
  <c r="DZ23" i="7" s="1"/>
  <c r="DE12" i="7"/>
  <c r="DE15" i="7" s="1"/>
  <c r="DE23" i="7" s="1"/>
  <c r="CE12" i="7"/>
  <c r="CE15" i="7" s="1"/>
  <c r="CE23" i="7" s="1"/>
  <c r="DJ12" i="7"/>
  <c r="DJ15" i="7" s="1"/>
  <c r="DJ23" i="7" s="1"/>
  <c r="CI12" i="7"/>
  <c r="CI15" i="7" s="1"/>
  <c r="CI23" i="7" s="1"/>
  <c r="EA12" i="7"/>
  <c r="EA15" i="7" s="1"/>
  <c r="EA23" i="7" s="1"/>
  <c r="AX12" i="7"/>
  <c r="AX15" i="7" s="1"/>
  <c r="AX23" i="7" s="1"/>
  <c r="EB12" i="7"/>
  <c r="EB15" i="7" s="1"/>
  <c r="EB23" i="7" s="1"/>
  <c r="CD12" i="7"/>
  <c r="CD15" i="7" s="1"/>
  <c r="CD23" i="7" s="1"/>
  <c r="AK12" i="7"/>
  <c r="AK15" i="7" s="1"/>
  <c r="AK23" i="7" s="1"/>
  <c r="AU12" i="7"/>
  <c r="AU15" i="7" s="1"/>
  <c r="AU23" i="7" s="1"/>
  <c r="AP12" i="7"/>
  <c r="AP15" i="7" s="1"/>
  <c r="AP23" i="7" s="1"/>
  <c r="M12" i="7"/>
  <c r="M15" i="7" s="1"/>
  <c r="M23" i="7" s="1"/>
  <c r="V12" i="7"/>
  <c r="V15" i="7" s="1"/>
  <c r="V23" i="7" s="1"/>
  <c r="AC12" i="7"/>
  <c r="AC15" i="7" s="1"/>
  <c r="AC23" i="7" s="1"/>
  <c r="AN12" i="7"/>
  <c r="AN15" i="7" s="1"/>
  <c r="AN23" i="7" s="1"/>
  <c r="AB12" i="7"/>
  <c r="AB15" i="7" s="1"/>
  <c r="AB23" i="7" s="1"/>
  <c r="S12" i="7"/>
  <c r="S15" i="7" s="1"/>
  <c r="S23" i="7" s="1"/>
  <c r="AT12" i="7"/>
  <c r="AT15" i="7" s="1"/>
  <c r="AT23" i="7" s="1"/>
  <c r="P12" i="7"/>
  <c r="P15" i="7" s="1"/>
  <c r="P23" i="7" s="1"/>
  <c r="Q12" i="7"/>
  <c r="Q15" i="7" s="1"/>
  <c r="Q23" i="7" s="1"/>
  <c r="U12" i="7"/>
  <c r="U15" i="7" s="1"/>
  <c r="U23" i="7" s="1"/>
  <c r="AL12" i="7"/>
  <c r="AL15" i="7" s="1"/>
  <c r="AL23" i="7" s="1"/>
  <c r="AH12" i="7"/>
  <c r="AH15" i="7" s="1"/>
  <c r="AH23" i="7" s="1"/>
  <c r="AS12" i="7"/>
  <c r="AS15" i="7" s="1"/>
  <c r="AS23" i="7" s="1"/>
  <c r="AA12" i="7"/>
  <c r="AA15" i="7" s="1"/>
  <c r="AA23" i="7" s="1"/>
  <c r="AG12" i="7"/>
  <c r="AG15" i="7" s="1"/>
  <c r="AG23" i="7" s="1"/>
  <c r="Z12" i="7"/>
  <c r="Z15" i="7" s="1"/>
  <c r="Z23" i="7" s="1"/>
  <c r="W12" i="7"/>
  <c r="W15" i="7" s="1"/>
  <c r="W23" i="7" s="1"/>
  <c r="AF12" i="7"/>
  <c r="AF15" i="7" s="1"/>
  <c r="AF23" i="7" s="1"/>
  <c r="T12" i="7"/>
  <c r="T15" i="7" s="1"/>
  <c r="T23" i="7" s="1"/>
  <c r="O12" i="7"/>
  <c r="O15" i="7" s="1"/>
  <c r="O23" i="7" s="1"/>
  <c r="N12" i="7"/>
  <c r="N15" i="7" s="1"/>
  <c r="N23" i="7" s="1"/>
  <c r="AR12" i="7"/>
  <c r="AR15" i="7" s="1"/>
  <c r="AR23" i="7" s="1"/>
  <c r="X12" i="7"/>
  <c r="X15" i="7" s="1"/>
  <c r="X23" i="7" s="1"/>
  <c r="Y12" i="7"/>
  <c r="Y15" i="7" s="1"/>
  <c r="Y23" i="7" s="1"/>
  <c r="AE12" i="7"/>
  <c r="AE15" i="7" s="1"/>
  <c r="AE23" i="7" s="1"/>
  <c r="AJ12" i="7"/>
  <c r="AJ15" i="7" s="1"/>
  <c r="AJ23" i="7" s="1"/>
  <c r="AO12" i="7"/>
  <c r="AO15" i="7" s="1"/>
  <c r="AO23" i="7" s="1"/>
  <c r="AI12" i="7"/>
  <c r="AI15" i="7" s="1"/>
  <c r="AI23" i="7" s="1"/>
  <c r="AM12" i="7"/>
  <c r="AM15" i="7" s="1"/>
  <c r="AM23" i="7" s="1"/>
  <c r="R12" i="7"/>
  <c r="R15" i="7" s="1"/>
  <c r="R23" i="7" s="1"/>
  <c r="AD12" i="7"/>
  <c r="AD15" i="7" s="1"/>
  <c r="AD23" i="7" s="1"/>
  <c r="AQ12" i="7"/>
  <c r="AQ15" i="7" s="1"/>
  <c r="AQ23" i="7" s="1"/>
  <c r="I15" i="7"/>
  <c r="L12" i="7"/>
  <c r="L15" i="7" s="1"/>
  <c r="L23" i="7" s="1"/>
  <c r="AR71" i="9" l="1"/>
  <c r="H15" i="7"/>
  <c r="I23" i="7"/>
  <c r="AO24" i="7"/>
  <c r="AO25" i="7" s="1"/>
  <c r="AO35" i="7" s="1"/>
  <c r="AP108" i="4" s="1"/>
  <c r="T24" i="7"/>
  <c r="T25" i="7" s="1"/>
  <c r="T35" i="7" s="1"/>
  <c r="U108" i="4" s="1"/>
  <c r="AL24" i="7"/>
  <c r="AL25" i="7" s="1"/>
  <c r="AL35" i="7" s="1"/>
  <c r="AM108" i="4" s="1"/>
  <c r="AC24" i="7"/>
  <c r="AC25" i="7" s="1"/>
  <c r="AC35" i="7" s="1"/>
  <c r="AD108" i="4" s="1"/>
  <c r="AX24" i="7"/>
  <c r="AX25" i="7" s="1"/>
  <c r="AX35" i="7" s="1"/>
  <c r="AY108" i="4" s="1"/>
  <c r="CJ24" i="7"/>
  <c r="CJ25" i="7" s="1"/>
  <c r="CJ35" i="7" s="1"/>
  <c r="CK108" i="4" s="1"/>
  <c r="BF24" i="7"/>
  <c r="BF25" i="7" s="1"/>
  <c r="BF35" i="7" s="1"/>
  <c r="BG108" i="4" s="1"/>
  <c r="CW24" i="7"/>
  <c r="CW25" i="7" s="1"/>
  <c r="CW35" i="7" s="1"/>
  <c r="CX108" i="4" s="1"/>
  <c r="EI24" i="7"/>
  <c r="EI25" i="7" s="1"/>
  <c r="EI35" i="7" s="1"/>
  <c r="EJ108" i="4" s="1"/>
  <c r="EJ109" i="4" s="1"/>
  <c r="EE24" i="7"/>
  <c r="EE25" i="7" s="1"/>
  <c r="EE35" i="7" s="1"/>
  <c r="EF108" i="4" s="1"/>
  <c r="EF109" i="4" s="1"/>
  <c r="ED24" i="7"/>
  <c r="ED25" i="7" s="1"/>
  <c r="ED35" i="7" s="1"/>
  <c r="EE108" i="4" s="1"/>
  <c r="EE109" i="4" s="1"/>
  <c r="BN24" i="7"/>
  <c r="BN25" i="7" s="1"/>
  <c r="BN35" i="7" s="1"/>
  <c r="BO108" i="4" s="1"/>
  <c r="AZ24" i="7"/>
  <c r="AZ25" i="7" s="1"/>
  <c r="AZ35" i="7" s="1"/>
  <c r="BA108" i="4" s="1"/>
  <c r="EC24" i="7"/>
  <c r="EC25" i="7" s="1"/>
  <c r="EC35" i="7" s="1"/>
  <c r="ED108" i="4" s="1"/>
  <c r="ED109" i="4" s="1"/>
  <c r="DU24" i="7"/>
  <c r="DU25" i="7" s="1"/>
  <c r="DU35" i="7" s="1"/>
  <c r="DV108" i="4" s="1"/>
  <c r="BJ24" i="7"/>
  <c r="BJ25" i="7" s="1"/>
  <c r="BJ35" i="7" s="1"/>
  <c r="BK108" i="4" s="1"/>
  <c r="L24" i="7"/>
  <c r="L25" i="7" s="1"/>
  <c r="L35" i="7" s="1"/>
  <c r="M108" i="4" s="1"/>
  <c r="AJ24" i="7"/>
  <c r="AJ25" i="7" s="1"/>
  <c r="AJ35" i="7" s="1"/>
  <c r="AK108" i="4" s="1"/>
  <c r="AF24" i="7"/>
  <c r="AF25" i="7" s="1"/>
  <c r="AF35" i="7" s="1"/>
  <c r="AG108" i="4" s="1"/>
  <c r="U24" i="7"/>
  <c r="U25" i="7" s="1"/>
  <c r="U35" i="7" s="1"/>
  <c r="V108" i="4" s="1"/>
  <c r="V24" i="7"/>
  <c r="V25" i="7" s="1"/>
  <c r="V35" i="7" s="1"/>
  <c r="W108" i="4" s="1"/>
  <c r="EA24" i="7"/>
  <c r="EA25" i="7" s="1"/>
  <c r="EA35" i="7" s="1"/>
  <c r="EB108" i="4" s="1"/>
  <c r="BV24" i="7"/>
  <c r="BV25" i="7" s="1"/>
  <c r="BV35" i="7" s="1"/>
  <c r="BW108" i="4" s="1"/>
  <c r="CR24" i="7"/>
  <c r="CR25" i="7" s="1"/>
  <c r="CR35" i="7" s="1"/>
  <c r="CS108" i="4" s="1"/>
  <c r="CS24" i="7"/>
  <c r="CS25" i="7" s="1"/>
  <c r="CS35" i="7" s="1"/>
  <c r="CT108" i="4" s="1"/>
  <c r="BP24" i="7"/>
  <c r="BP25" i="7" s="1"/>
  <c r="BP35" i="7" s="1"/>
  <c r="BQ108" i="4" s="1"/>
  <c r="CT24" i="7"/>
  <c r="CT25" i="7" s="1"/>
  <c r="CT35" i="7" s="1"/>
  <c r="CU108" i="4" s="1"/>
  <c r="BX24" i="7"/>
  <c r="BX25" i="7" s="1"/>
  <c r="BX35" i="7" s="1"/>
  <c r="BY108" i="4" s="1"/>
  <c r="DR24" i="7"/>
  <c r="DR25" i="7" s="1"/>
  <c r="DR35" i="7" s="1"/>
  <c r="DS108" i="4" s="1"/>
  <c r="EH24" i="7"/>
  <c r="EH25" i="7" s="1"/>
  <c r="EH35" i="7" s="1"/>
  <c r="EI108" i="4" s="1"/>
  <c r="EI109" i="4" s="1"/>
  <c r="BB24" i="7"/>
  <c r="BB25" i="7" s="1"/>
  <c r="BB35" i="7" s="1"/>
  <c r="BC108" i="4" s="1"/>
  <c r="DK24" i="7"/>
  <c r="DK25" i="7" s="1"/>
  <c r="DK35" i="7" s="1"/>
  <c r="DL108" i="4" s="1"/>
  <c r="BD24" i="7"/>
  <c r="BD25" i="7" s="1"/>
  <c r="BD35" i="7" s="1"/>
  <c r="BE108" i="4" s="1"/>
  <c r="AE24" i="7"/>
  <c r="AE25" i="7" s="1"/>
  <c r="AE35" i="7" s="1"/>
  <c r="AF108" i="4" s="1"/>
  <c r="Q24" i="7"/>
  <c r="Q25" i="7" s="1"/>
  <c r="Q35" i="7" s="1"/>
  <c r="R108" i="4" s="1"/>
  <c r="M24" i="7"/>
  <c r="M25" i="7" s="1"/>
  <c r="M35" i="7" s="1"/>
  <c r="N108" i="4" s="1"/>
  <c r="CI24" i="7"/>
  <c r="CI25" i="7" s="1"/>
  <c r="CI35" i="7" s="1"/>
  <c r="CJ108" i="4" s="1"/>
  <c r="BZ24" i="7"/>
  <c r="BZ25" i="7" s="1"/>
  <c r="BZ35" i="7" s="1"/>
  <c r="CA108" i="4" s="1"/>
  <c r="CQ24" i="7"/>
  <c r="CQ25" i="7" s="1"/>
  <c r="CQ35" i="7" s="1"/>
  <c r="CR108" i="4" s="1"/>
  <c r="BY24" i="7"/>
  <c r="BY25" i="7" s="1"/>
  <c r="BY35" i="7" s="1"/>
  <c r="BZ108" i="4" s="1"/>
  <c r="EG24" i="7"/>
  <c r="EG25" i="7" s="1"/>
  <c r="EG35" i="7" s="1"/>
  <c r="EH108" i="4" s="1"/>
  <c r="EH109" i="4" s="1"/>
  <c r="EK24" i="7"/>
  <c r="EK25" i="7" s="1"/>
  <c r="EK35" i="7" s="1"/>
  <c r="EL108" i="4" s="1"/>
  <c r="EL109" i="4" s="1"/>
  <c r="EM24" i="7"/>
  <c r="EM25" i="7" s="1"/>
  <c r="EM35" i="7" s="1"/>
  <c r="EN108" i="4" s="1"/>
  <c r="EN109" i="4" s="1"/>
  <c r="DS24" i="7"/>
  <c r="DS25" i="7" s="1"/>
  <c r="DS35" i="7" s="1"/>
  <c r="DT108" i="4" s="1"/>
  <c r="DW24" i="7"/>
  <c r="DW25" i="7" s="1"/>
  <c r="DW35" i="7" s="1"/>
  <c r="DX108" i="4" s="1"/>
  <c r="BC24" i="7"/>
  <c r="BC25" i="7" s="1"/>
  <c r="BC35" i="7" s="1"/>
  <c r="BD108" i="4" s="1"/>
  <c r="CN24" i="7"/>
  <c r="CN25" i="7" s="1"/>
  <c r="CN35" i="7" s="1"/>
  <c r="CO108" i="4" s="1"/>
  <c r="DH24" i="7"/>
  <c r="DH25" i="7" s="1"/>
  <c r="DH35" i="7" s="1"/>
  <c r="DI108" i="4" s="1"/>
  <c r="W24" i="7"/>
  <c r="W25" i="7" s="1"/>
  <c r="W35" i="7" s="1"/>
  <c r="X108" i="4" s="1"/>
  <c r="AQ24" i="7"/>
  <c r="AQ25" i="7" s="1"/>
  <c r="AQ35" i="7" s="1"/>
  <c r="AR108" i="4" s="1"/>
  <c r="AM70" i="9" s="1"/>
  <c r="AM71" i="9" s="1"/>
  <c r="Y24" i="7"/>
  <c r="Y25" i="7" s="1"/>
  <c r="Y35" i="7" s="1"/>
  <c r="Z108" i="4" s="1"/>
  <c r="Z24" i="7"/>
  <c r="Z25" i="7" s="1"/>
  <c r="Z35" i="7" s="1"/>
  <c r="AA108" i="4" s="1"/>
  <c r="P24" i="7"/>
  <c r="P25" i="7" s="1"/>
  <c r="P35" i="7" s="1"/>
  <c r="Q108" i="4" s="1"/>
  <c r="AP24" i="7"/>
  <c r="AP25" i="7" s="1"/>
  <c r="AP35" i="7" s="1"/>
  <c r="AQ108" i="4" s="1"/>
  <c r="DJ24" i="7"/>
  <c r="DJ25" i="7" s="1"/>
  <c r="DJ35" i="7" s="1"/>
  <c r="DK108" i="4" s="1"/>
  <c r="DB24" i="7"/>
  <c r="DB25" i="7" s="1"/>
  <c r="DB35" i="7" s="1"/>
  <c r="DC108" i="4" s="1"/>
  <c r="DM24" i="7"/>
  <c r="DM25" i="7" s="1"/>
  <c r="DM35" i="7" s="1"/>
  <c r="DN108" i="4" s="1"/>
  <c r="EL24" i="7"/>
  <c r="EL25" i="7" s="1"/>
  <c r="EL35" i="7" s="1"/>
  <c r="EM108" i="4" s="1"/>
  <c r="EM109" i="4" s="1"/>
  <c r="CP24" i="7"/>
  <c r="CP25" i="7" s="1"/>
  <c r="CP35" i="7" s="1"/>
  <c r="CQ108" i="4" s="1"/>
  <c r="CX24" i="7"/>
  <c r="CX25" i="7" s="1"/>
  <c r="CX35" i="7" s="1"/>
  <c r="CY108" i="4" s="1"/>
  <c r="DF24" i="7"/>
  <c r="DF25" i="7" s="1"/>
  <c r="DF35" i="7" s="1"/>
  <c r="DG108" i="4" s="1"/>
  <c r="DT24" i="7"/>
  <c r="DT25" i="7" s="1"/>
  <c r="DT35" i="7" s="1"/>
  <c r="DU108" i="4" s="1"/>
  <c r="CL24" i="7"/>
  <c r="CL25" i="7" s="1"/>
  <c r="CL35" i="7" s="1"/>
  <c r="CM108" i="4" s="1"/>
  <c r="CF24" i="7"/>
  <c r="CF25" i="7" s="1"/>
  <c r="CF35" i="7" s="1"/>
  <c r="CG108" i="4" s="1"/>
  <c r="DX24" i="7"/>
  <c r="DX25" i="7" s="1"/>
  <c r="DX35" i="7" s="1"/>
  <c r="DY108" i="4" s="1"/>
  <c r="CM24" i="7"/>
  <c r="CM25" i="7" s="1"/>
  <c r="CM35" i="7" s="1"/>
  <c r="CN108" i="4" s="1"/>
  <c r="AD24" i="7"/>
  <c r="AD25" i="7" s="1"/>
  <c r="AD35" i="7" s="1"/>
  <c r="AE108" i="4" s="1"/>
  <c r="X24" i="7"/>
  <c r="X25" i="7" s="1"/>
  <c r="X35" i="7" s="1"/>
  <c r="Y108" i="4" s="1"/>
  <c r="AG24" i="7"/>
  <c r="AG25" i="7" s="1"/>
  <c r="AG35" i="7" s="1"/>
  <c r="AH108" i="4" s="1"/>
  <c r="AT24" i="7"/>
  <c r="AT25" i="7" s="1"/>
  <c r="AT35" i="7" s="1"/>
  <c r="AU108" i="4" s="1"/>
  <c r="AU24" i="7"/>
  <c r="AU25" i="7" s="1"/>
  <c r="AU35" i="7" s="1"/>
  <c r="AV108" i="4" s="1"/>
  <c r="CE24" i="7"/>
  <c r="CE25" i="7" s="1"/>
  <c r="CE35" i="7" s="1"/>
  <c r="CF108" i="4" s="1"/>
  <c r="CH24" i="7"/>
  <c r="CH25" i="7" s="1"/>
  <c r="CH35" i="7" s="1"/>
  <c r="CI108" i="4" s="1"/>
  <c r="BK24" i="7"/>
  <c r="BK25" i="7" s="1"/>
  <c r="BK35" i="7" s="1"/>
  <c r="BL108" i="4" s="1"/>
  <c r="DO24" i="7"/>
  <c r="DO25" i="7" s="1"/>
  <c r="DO35" i="7" s="1"/>
  <c r="DP108" i="4" s="1"/>
  <c r="CC24" i="7"/>
  <c r="CC25" i="7" s="1"/>
  <c r="CC35" i="7" s="1"/>
  <c r="CD108" i="4" s="1"/>
  <c r="DG24" i="7"/>
  <c r="DG25" i="7" s="1"/>
  <c r="DG35" i="7" s="1"/>
  <c r="DH108" i="4" s="1"/>
  <c r="CU24" i="7"/>
  <c r="CU25" i="7" s="1"/>
  <c r="CU35" i="7" s="1"/>
  <c r="CV108" i="4" s="1"/>
  <c r="CV24" i="7"/>
  <c r="CV25" i="7" s="1"/>
  <c r="CV35" i="7" s="1"/>
  <c r="CW108" i="4" s="1"/>
  <c r="CA24" i="7"/>
  <c r="CA25" i="7" s="1"/>
  <c r="CA35" i="7" s="1"/>
  <c r="CB108" i="4" s="1"/>
  <c r="BI24" i="7"/>
  <c r="BI25" i="7" s="1"/>
  <c r="BI35" i="7" s="1"/>
  <c r="BJ108" i="4" s="1"/>
  <c r="BL24" i="7"/>
  <c r="BL25" i="7" s="1"/>
  <c r="BL35" i="7" s="1"/>
  <c r="BM108" i="4" s="1"/>
  <c r="DP24" i="7"/>
  <c r="DP25" i="7" s="1"/>
  <c r="DP35" i="7" s="1"/>
  <c r="DQ108" i="4" s="1"/>
  <c r="R24" i="7"/>
  <c r="R25" i="7" s="1"/>
  <c r="R35" i="7" s="1"/>
  <c r="S108" i="4" s="1"/>
  <c r="AR24" i="7"/>
  <c r="AR25" i="7" s="1"/>
  <c r="AR35" i="7" s="1"/>
  <c r="AS108" i="4" s="1"/>
  <c r="AN70" i="9" s="1"/>
  <c r="AN71" i="9" s="1"/>
  <c r="AA24" i="7"/>
  <c r="AA25" i="7" s="1"/>
  <c r="AA35" i="7" s="1"/>
  <c r="AB108" i="4" s="1"/>
  <c r="S24" i="7"/>
  <c r="S25" i="7" s="1"/>
  <c r="S35" i="7" s="1"/>
  <c r="T108" i="4" s="1"/>
  <c r="AK24" i="7"/>
  <c r="AK25" i="7" s="1"/>
  <c r="AK35" i="7" s="1"/>
  <c r="AL108" i="4" s="1"/>
  <c r="DE24" i="7"/>
  <c r="DE25" i="7" s="1"/>
  <c r="DE35" i="7" s="1"/>
  <c r="DF108" i="4" s="1"/>
  <c r="CO24" i="7"/>
  <c r="CO25" i="7" s="1"/>
  <c r="CO35" i="7" s="1"/>
  <c r="CP108" i="4" s="1"/>
  <c r="CZ24" i="7"/>
  <c r="CZ25" i="7" s="1"/>
  <c r="CZ35" i="7" s="1"/>
  <c r="DA108" i="4" s="1"/>
  <c r="AW24" i="7"/>
  <c r="AW25" i="7" s="1"/>
  <c r="AW35" i="7" s="1"/>
  <c r="AX108" i="4" s="1"/>
  <c r="BM24" i="7"/>
  <c r="BM25" i="7" s="1"/>
  <c r="BM35" i="7" s="1"/>
  <c r="BN108" i="4" s="1"/>
  <c r="DV24" i="7"/>
  <c r="DV25" i="7" s="1"/>
  <c r="DV35" i="7" s="1"/>
  <c r="DW108" i="4" s="1"/>
  <c r="BW24" i="7"/>
  <c r="BW25" i="7" s="1"/>
  <c r="BW35" i="7" s="1"/>
  <c r="BX108" i="4" s="1"/>
  <c r="CB24" i="7"/>
  <c r="CB25" i="7" s="1"/>
  <c r="CB35" i="7" s="1"/>
  <c r="CC108" i="4" s="1"/>
  <c r="BO24" i="7"/>
  <c r="BO25" i="7" s="1"/>
  <c r="BO35" i="7" s="1"/>
  <c r="BP108" i="4" s="1"/>
  <c r="DA24" i="7"/>
  <c r="DA25" i="7" s="1"/>
  <c r="DA35" i="7" s="1"/>
  <c r="DB108" i="4" s="1"/>
  <c r="BA24" i="7"/>
  <c r="BA25" i="7" s="1"/>
  <c r="BA35" i="7" s="1"/>
  <c r="BB108" i="4" s="1"/>
  <c r="G15" i="7"/>
  <c r="N24" i="7"/>
  <c r="N25" i="7" s="1"/>
  <c r="N35" i="7" s="1"/>
  <c r="O108" i="4" s="1"/>
  <c r="AB24" i="7"/>
  <c r="AB25" i="7" s="1"/>
  <c r="AB35" i="7" s="1"/>
  <c r="AC108" i="4" s="1"/>
  <c r="CD24" i="7"/>
  <c r="CD25" i="7" s="1"/>
  <c r="CD35" i="7" s="1"/>
  <c r="CE108" i="4" s="1"/>
  <c r="DZ24" i="7"/>
  <c r="DZ25" i="7" s="1"/>
  <c r="DZ35" i="7" s="1"/>
  <c r="EA108" i="4" s="1"/>
  <c r="BG24" i="7"/>
  <c r="BG25" i="7" s="1"/>
  <c r="BG35" i="7" s="1"/>
  <c r="BH108" i="4" s="1"/>
  <c r="DI24" i="7"/>
  <c r="DI25" i="7" s="1"/>
  <c r="DI35" i="7" s="1"/>
  <c r="DJ108" i="4" s="1"/>
  <c r="DY24" i="7"/>
  <c r="DY25" i="7" s="1"/>
  <c r="DY35" i="7" s="1"/>
  <c r="DZ108" i="4" s="1"/>
  <c r="BT24" i="7"/>
  <c r="BT25" i="7" s="1"/>
  <c r="BT35" i="7" s="1"/>
  <c r="BU108" i="4" s="1"/>
  <c r="CG24" i="7"/>
  <c r="CG25" i="7" s="1"/>
  <c r="CG35" i="7" s="1"/>
  <c r="CH108" i="4" s="1"/>
  <c r="BS24" i="7"/>
  <c r="BS25" i="7" s="1"/>
  <c r="BS35" i="7" s="1"/>
  <c r="BT108" i="4" s="1"/>
  <c r="EJ24" i="7"/>
  <c r="EJ25" i="7" s="1"/>
  <c r="EJ35" i="7" s="1"/>
  <c r="EK108" i="4" s="1"/>
  <c r="EK109" i="4" s="1"/>
  <c r="BQ24" i="7"/>
  <c r="BQ25" i="7" s="1"/>
  <c r="BQ35" i="7" s="1"/>
  <c r="BR108" i="4" s="1"/>
  <c r="DL24" i="7"/>
  <c r="DL25" i="7" s="1"/>
  <c r="DL35" i="7" s="1"/>
  <c r="DM108" i="4" s="1"/>
  <c r="BR24" i="7"/>
  <c r="BR25" i="7" s="1"/>
  <c r="BR35" i="7" s="1"/>
  <c r="BS108" i="4" s="1"/>
  <c r="AW109" i="4"/>
  <c r="AM24" i="7"/>
  <c r="AM25" i="7" s="1"/>
  <c r="AM35" i="7" s="1"/>
  <c r="AN108" i="4" s="1"/>
  <c r="AS24" i="7"/>
  <c r="AS25" i="7" s="1"/>
  <c r="AS35" i="7" s="1"/>
  <c r="AT108" i="4" s="1"/>
  <c r="AI24" i="7"/>
  <c r="AI25" i="7" s="1"/>
  <c r="AI35" i="7" s="1"/>
  <c r="AJ108" i="4" s="1"/>
  <c r="O24" i="7"/>
  <c r="O25" i="7" s="1"/>
  <c r="O35" i="7" s="1"/>
  <c r="P108" i="4" s="1"/>
  <c r="AH24" i="7"/>
  <c r="AH25" i="7" s="1"/>
  <c r="AH35" i="7" s="1"/>
  <c r="AI108" i="4" s="1"/>
  <c r="AN24" i="7"/>
  <c r="AN25" i="7" s="1"/>
  <c r="AN35" i="7" s="1"/>
  <c r="AO108" i="4" s="1"/>
  <c r="EB24" i="7"/>
  <c r="EB25" i="7" s="1"/>
  <c r="EB35" i="7" s="1"/>
  <c r="EC108" i="4" s="1"/>
  <c r="EC109" i="4" s="1"/>
  <c r="BE24" i="7"/>
  <c r="BE25" i="7" s="1"/>
  <c r="BE35" i="7" s="1"/>
  <c r="BF108" i="4" s="1"/>
  <c r="BU24" i="7"/>
  <c r="BU25" i="7" s="1"/>
  <c r="BU35" i="7" s="1"/>
  <c r="BV108" i="4" s="1"/>
  <c r="AY24" i="7"/>
  <c r="AY25" i="7" s="1"/>
  <c r="AY35" i="7" s="1"/>
  <c r="AZ108" i="4" s="1"/>
  <c r="AU70" i="9" s="1"/>
  <c r="AU71" i="9" s="1"/>
  <c r="DD24" i="7"/>
  <c r="DD25" i="7" s="1"/>
  <c r="DD35" i="7" s="1"/>
  <c r="DE108" i="4" s="1"/>
  <c r="DQ24" i="7"/>
  <c r="DQ25" i="7" s="1"/>
  <c r="DQ35" i="7" s="1"/>
  <c r="DR108" i="4" s="1"/>
  <c r="DN24" i="7"/>
  <c r="DN25" i="7" s="1"/>
  <c r="DN35" i="7" s="1"/>
  <c r="DO108" i="4" s="1"/>
  <c r="EF24" i="7"/>
  <c r="EF25" i="7" s="1"/>
  <c r="EF35" i="7" s="1"/>
  <c r="EG108" i="4" s="1"/>
  <c r="EG109" i="4" s="1"/>
  <c r="BH24" i="7"/>
  <c r="BH25" i="7" s="1"/>
  <c r="BH35" i="7" s="1"/>
  <c r="BI108" i="4" s="1"/>
  <c r="CY24" i="7"/>
  <c r="CY25" i="7" s="1"/>
  <c r="CY35" i="7" s="1"/>
  <c r="CZ108" i="4" s="1"/>
  <c r="DC24" i="7"/>
  <c r="DC25" i="7" s="1"/>
  <c r="DC35" i="7" s="1"/>
  <c r="DD108" i="4" s="1"/>
  <c r="CK24" i="7"/>
  <c r="CK25" i="7" s="1"/>
  <c r="CK35" i="7" s="1"/>
  <c r="CL108" i="4" s="1"/>
  <c r="DG109" i="4" l="1"/>
  <c r="DB70" i="9"/>
  <c r="DB71" i="9" s="1"/>
  <c r="DD109" i="4"/>
  <c r="DD110" i="4" s="1"/>
  <c r="CY70" i="9"/>
  <c r="CY71" i="9" s="1"/>
  <c r="BV109" i="4"/>
  <c r="BV110" i="4" s="1"/>
  <c r="BQ70" i="9"/>
  <c r="BQ71" i="9" s="1"/>
  <c r="BU109" i="4"/>
  <c r="BU110" i="4" s="1"/>
  <c r="BP70" i="9"/>
  <c r="CD109" i="4"/>
  <c r="BY70" i="9"/>
  <c r="BY71" i="9" s="1"/>
  <c r="CY109" i="4"/>
  <c r="CY110" i="4" s="1"/>
  <c r="CT70" i="9"/>
  <c r="CT71" i="9" s="1"/>
  <c r="DT109" i="4"/>
  <c r="DT110" i="4" s="1"/>
  <c r="DO70" i="9"/>
  <c r="DO71" i="9" s="1"/>
  <c r="BY109" i="4"/>
  <c r="BY110" i="4" s="1"/>
  <c r="BT70" i="9"/>
  <c r="BT71" i="9" s="1"/>
  <c r="BO109" i="4"/>
  <c r="BO110" i="4" s="1"/>
  <c r="BJ70" i="9"/>
  <c r="BJ71" i="9" s="1"/>
  <c r="BN109" i="4"/>
  <c r="BN110" i="4" s="1"/>
  <c r="BI70" i="9"/>
  <c r="BI71" i="9" s="1"/>
  <c r="CZ109" i="4"/>
  <c r="CZ110" i="4" s="1"/>
  <c r="CU70" i="9"/>
  <c r="CU71" i="9" s="1"/>
  <c r="BF109" i="4"/>
  <c r="BF110" i="4" s="1"/>
  <c r="BA70" i="9"/>
  <c r="BA71" i="9" s="1"/>
  <c r="DZ109" i="4"/>
  <c r="DZ110" i="4" s="1"/>
  <c r="DU70" i="9"/>
  <c r="DU71" i="9" s="1"/>
  <c r="BB109" i="4"/>
  <c r="BB110" i="4" s="1"/>
  <c r="AW70" i="9"/>
  <c r="AW71" i="9" s="1"/>
  <c r="DA109" i="4"/>
  <c r="DA110" i="4" s="1"/>
  <c r="CV70" i="9"/>
  <c r="CV71" i="9" s="1"/>
  <c r="DQ109" i="4"/>
  <c r="DQ110" i="4" s="1"/>
  <c r="DL70" i="9"/>
  <c r="DP109" i="4"/>
  <c r="DK70" i="9"/>
  <c r="DK71" i="9" s="1"/>
  <c r="CQ109" i="4"/>
  <c r="CL70" i="9"/>
  <c r="CL71" i="9" s="1"/>
  <c r="CU109" i="4"/>
  <c r="CU110" i="4" s="1"/>
  <c r="CP70" i="9"/>
  <c r="CP71" i="9" s="1"/>
  <c r="DH109" i="4"/>
  <c r="DH110" i="4" s="1"/>
  <c r="DC70" i="9"/>
  <c r="DC71" i="9" s="1"/>
  <c r="DS109" i="4"/>
  <c r="DS110" i="4" s="1"/>
  <c r="DN70" i="9"/>
  <c r="DN71" i="9" s="1"/>
  <c r="BS109" i="4"/>
  <c r="BS110" i="4" s="1"/>
  <c r="BN70" i="9"/>
  <c r="BN71" i="9" s="1"/>
  <c r="DJ109" i="4"/>
  <c r="DE70" i="9"/>
  <c r="DE71" i="9" s="1"/>
  <c r="DB109" i="4"/>
  <c r="DB110" i="4" s="1"/>
  <c r="CW70" i="9"/>
  <c r="CW71" i="9" s="1"/>
  <c r="CP109" i="4"/>
  <c r="CK70" i="9"/>
  <c r="CK71" i="9" s="1"/>
  <c r="BM109" i="4"/>
  <c r="BM110" i="4" s="1"/>
  <c r="BH70" i="9"/>
  <c r="BH71" i="9" s="1"/>
  <c r="BL109" i="4"/>
  <c r="BL110" i="4" s="1"/>
  <c r="BG70" i="9"/>
  <c r="BG71" i="9" s="1"/>
  <c r="CN109" i="4"/>
  <c r="CN110" i="4" s="1"/>
  <c r="CI70" i="9"/>
  <c r="CI71" i="9" s="1"/>
  <c r="BQ109" i="4"/>
  <c r="BQ110" i="4" s="1"/>
  <c r="BL70" i="9"/>
  <c r="BL71" i="9" s="1"/>
  <c r="CJ109" i="4"/>
  <c r="CJ110" i="4" s="1"/>
  <c r="CE70" i="9"/>
  <c r="CE71" i="9" s="1"/>
  <c r="DM109" i="4"/>
  <c r="DM110" i="4" s="1"/>
  <c r="DH70" i="9"/>
  <c r="DH71" i="9" s="1"/>
  <c r="BH109" i="4"/>
  <c r="BH110" i="4" s="1"/>
  <c r="BC70" i="9"/>
  <c r="BC71" i="9" s="1"/>
  <c r="BP109" i="4"/>
  <c r="BK70" i="9"/>
  <c r="BK71" i="9" s="1"/>
  <c r="DF109" i="4"/>
  <c r="DF110" i="4" s="1"/>
  <c r="DA70" i="9"/>
  <c r="DA71" i="9" s="1"/>
  <c r="BJ109" i="4"/>
  <c r="BJ110" i="4" s="1"/>
  <c r="BE70" i="9"/>
  <c r="BE71" i="9" s="1"/>
  <c r="CI109" i="4"/>
  <c r="CI110" i="4" s="1"/>
  <c r="CD70" i="9"/>
  <c r="CD71" i="9" s="1"/>
  <c r="DY109" i="4"/>
  <c r="DT70" i="9"/>
  <c r="DT71" i="9" s="1"/>
  <c r="DN109" i="4"/>
  <c r="DN110" i="4" s="1"/>
  <c r="DI70" i="9"/>
  <c r="DI71" i="9" s="1"/>
  <c r="BE109" i="4"/>
  <c r="BE110" i="4" s="1"/>
  <c r="AZ70" i="9"/>
  <c r="AZ71" i="9" s="1"/>
  <c r="CT109" i="4"/>
  <c r="CT110" i="4" s="1"/>
  <c r="CO70" i="9"/>
  <c r="CO71" i="9" s="1"/>
  <c r="CH109" i="4"/>
  <c r="CH110" i="4" s="1"/>
  <c r="CC70" i="9"/>
  <c r="CC71" i="9" s="1"/>
  <c r="DO109" i="4"/>
  <c r="DO110" i="4" s="1"/>
  <c r="DJ70" i="9"/>
  <c r="DJ71" i="9" s="1"/>
  <c r="BR109" i="4"/>
  <c r="BR110" i="4" s="1"/>
  <c r="BM70" i="9"/>
  <c r="BM71" i="9" s="1"/>
  <c r="EA109" i="4"/>
  <c r="EA110" i="4" s="1"/>
  <c r="DV70" i="9"/>
  <c r="DV71" i="9" s="1"/>
  <c r="CC109" i="4"/>
  <c r="CC110" i="4" s="1"/>
  <c r="BX70" i="9"/>
  <c r="BX71" i="9" s="1"/>
  <c r="CB109" i="4"/>
  <c r="CB110" i="4" s="1"/>
  <c r="BW70" i="9"/>
  <c r="BW71" i="9" s="1"/>
  <c r="CF109" i="4"/>
  <c r="CA70" i="9"/>
  <c r="CA71" i="9" s="1"/>
  <c r="CG109" i="4"/>
  <c r="CG110" i="4" s="1"/>
  <c r="CB70" i="9"/>
  <c r="DC109" i="4"/>
  <c r="DC110" i="4" s="1"/>
  <c r="CX70" i="9"/>
  <c r="CX71" i="9" s="1"/>
  <c r="DI109" i="4"/>
  <c r="DI110" i="4" s="1"/>
  <c r="DD70" i="9"/>
  <c r="DD71" i="9" s="1"/>
  <c r="BZ109" i="4"/>
  <c r="BU70" i="9"/>
  <c r="BU71" i="9" s="1"/>
  <c r="DL109" i="4"/>
  <c r="DL110" i="4" s="1"/>
  <c r="DG70" i="9"/>
  <c r="DG71" i="9" s="1"/>
  <c r="CS109" i="4"/>
  <c r="CN70" i="9"/>
  <c r="BK109" i="4"/>
  <c r="BK110" i="4" s="1"/>
  <c r="BF70" i="9"/>
  <c r="BF71" i="9" s="1"/>
  <c r="CX109" i="4"/>
  <c r="CX110" i="4" s="1"/>
  <c r="CS70" i="9"/>
  <c r="CS71" i="9" s="1"/>
  <c r="BA109" i="4"/>
  <c r="BA110" i="4" s="1"/>
  <c r="AV70" i="9"/>
  <c r="AV71" i="9" s="1"/>
  <c r="DR109" i="4"/>
  <c r="DR110" i="4" s="1"/>
  <c r="DM70" i="9"/>
  <c r="DM71" i="9" s="1"/>
  <c r="CE109" i="4"/>
  <c r="CE110" i="4" s="1"/>
  <c r="BZ70" i="9"/>
  <c r="BZ71" i="9" s="1"/>
  <c r="BX109" i="4"/>
  <c r="BX110" i="4" s="1"/>
  <c r="BS70" i="9"/>
  <c r="BS71" i="9" s="1"/>
  <c r="CW109" i="4"/>
  <c r="CW110" i="4" s="1"/>
  <c r="CR70" i="9"/>
  <c r="CR71" i="9" s="1"/>
  <c r="CM109" i="4"/>
  <c r="CM110" i="4" s="1"/>
  <c r="CH70" i="9"/>
  <c r="CH71" i="9" s="1"/>
  <c r="DK109" i="4"/>
  <c r="DK110" i="4" s="1"/>
  <c r="DF70" i="9"/>
  <c r="DF71" i="9" s="1"/>
  <c r="CO109" i="4"/>
  <c r="CO110" i="4" s="1"/>
  <c r="CJ70" i="9"/>
  <c r="CJ71" i="9" s="1"/>
  <c r="CR109" i="4"/>
  <c r="CR110" i="4" s="1"/>
  <c r="CM70" i="9"/>
  <c r="CM71" i="9" s="1"/>
  <c r="BC109" i="4"/>
  <c r="BC110" i="4" s="1"/>
  <c r="AX70" i="9"/>
  <c r="AX71" i="9" s="1"/>
  <c r="BW109" i="4"/>
  <c r="BW110" i="4" s="1"/>
  <c r="BR70" i="9"/>
  <c r="BR71" i="9" s="1"/>
  <c r="DV109" i="4"/>
  <c r="DV110" i="4" s="1"/>
  <c r="DQ70" i="9"/>
  <c r="DQ71" i="9" s="1"/>
  <c r="BG109" i="4"/>
  <c r="BG110" i="4" s="1"/>
  <c r="BB70" i="9"/>
  <c r="BB71" i="9" s="1"/>
  <c r="CL109" i="4"/>
  <c r="CL110" i="4" s="1"/>
  <c r="CG70" i="9"/>
  <c r="CG71" i="9" s="1"/>
  <c r="DX109" i="4"/>
  <c r="DX110" i="4" s="1"/>
  <c r="DS70" i="9"/>
  <c r="DS71" i="9" s="1"/>
  <c r="BI109" i="4"/>
  <c r="BI110" i="4" s="1"/>
  <c r="BD70" i="9"/>
  <c r="DE109" i="4"/>
  <c r="DE110" i="4" s="1"/>
  <c r="CZ70" i="9"/>
  <c r="BT109" i="4"/>
  <c r="BO70" i="9"/>
  <c r="BO71" i="9" s="1"/>
  <c r="DW109" i="4"/>
  <c r="DW110" i="4" s="1"/>
  <c r="DR70" i="9"/>
  <c r="DR71" i="9" s="1"/>
  <c r="CV109" i="4"/>
  <c r="CV110" i="4" s="1"/>
  <c r="CQ70" i="9"/>
  <c r="CQ71" i="9" s="1"/>
  <c r="DU109" i="4"/>
  <c r="DU110" i="4" s="1"/>
  <c r="DP70" i="9"/>
  <c r="DP71" i="9" s="1"/>
  <c r="BD109" i="4"/>
  <c r="AY70" i="9"/>
  <c r="AY71" i="9" s="1"/>
  <c r="CA109" i="4"/>
  <c r="CA110" i="4" s="1"/>
  <c r="BV70" i="9"/>
  <c r="BV71" i="9" s="1"/>
  <c r="EB109" i="4"/>
  <c r="EB110" i="4" s="1"/>
  <c r="DW70" i="9"/>
  <c r="DW71" i="9" s="1"/>
  <c r="CK109" i="4"/>
  <c r="CK110" i="4" s="1"/>
  <c r="CF70" i="9"/>
  <c r="CF71" i="9" s="1"/>
  <c r="AY109" i="4"/>
  <c r="AY110" i="4" s="1"/>
  <c r="AT70" i="9"/>
  <c r="AT71" i="9" s="1"/>
  <c r="AJ109" i="4"/>
  <c r="AJ110" i="4" s="1"/>
  <c r="AE70" i="9"/>
  <c r="AE71" i="9" s="1"/>
  <c r="AC109" i="4"/>
  <c r="AC110" i="4" s="1"/>
  <c r="X70" i="9"/>
  <c r="X71" i="9" s="1"/>
  <c r="AB109" i="4"/>
  <c r="AB110" i="4" s="1"/>
  <c r="W70" i="9"/>
  <c r="W71" i="9" s="1"/>
  <c r="AU109" i="4"/>
  <c r="AU110" i="4" s="1"/>
  <c r="AP70" i="9"/>
  <c r="AP71" i="9" s="1"/>
  <c r="AQ109" i="4"/>
  <c r="AQ110" i="4" s="1"/>
  <c r="AL70" i="9"/>
  <c r="AL71" i="9" s="1"/>
  <c r="O109" i="4"/>
  <c r="O110" i="4" s="1"/>
  <c r="J70" i="9"/>
  <c r="J71" i="9" s="1"/>
  <c r="AH109" i="4"/>
  <c r="AH110" i="4" s="1"/>
  <c r="AC70" i="9"/>
  <c r="AC71" i="9" s="1"/>
  <c r="Q109" i="4"/>
  <c r="Q110" i="4" s="1"/>
  <c r="L70" i="9"/>
  <c r="L71" i="9" s="1"/>
  <c r="W109" i="4"/>
  <c r="W110" i="4" s="1"/>
  <c r="R70" i="9"/>
  <c r="R71" i="9" s="1"/>
  <c r="AN109" i="4"/>
  <c r="AN110" i="4" s="1"/>
  <c r="AI70" i="9"/>
  <c r="AI71" i="9" s="1"/>
  <c r="AX109" i="4"/>
  <c r="AX110" i="4" s="1"/>
  <c r="AS70" i="9"/>
  <c r="S109" i="4"/>
  <c r="S110" i="4" s="1"/>
  <c r="N70" i="9"/>
  <c r="N71" i="9" s="1"/>
  <c r="Y109" i="4"/>
  <c r="Y110" i="4" s="1"/>
  <c r="T70" i="9"/>
  <c r="AA109" i="4"/>
  <c r="AA110" i="4" s="1"/>
  <c r="V70" i="9"/>
  <c r="V71" i="9" s="1"/>
  <c r="N109" i="4"/>
  <c r="N110" i="4" s="1"/>
  <c r="I70" i="9"/>
  <c r="I71" i="9" s="1"/>
  <c r="V109" i="4"/>
  <c r="V110" i="4" s="1"/>
  <c r="Q70" i="9"/>
  <c r="Q71" i="9" s="1"/>
  <c r="AD109" i="4"/>
  <c r="AD110" i="4" s="1"/>
  <c r="Y70" i="9"/>
  <c r="Y71" i="9" s="1"/>
  <c r="AT109" i="4"/>
  <c r="AT110" i="4" s="1"/>
  <c r="AO70" i="9"/>
  <c r="AO71" i="9" s="1"/>
  <c r="AE109" i="4"/>
  <c r="AE110" i="4" s="1"/>
  <c r="Z70" i="9"/>
  <c r="Z71" i="9" s="1"/>
  <c r="Z109" i="4"/>
  <c r="Z110" i="4" s="1"/>
  <c r="U70" i="9"/>
  <c r="U71" i="9" s="1"/>
  <c r="R109" i="4"/>
  <c r="R110" i="4" s="1"/>
  <c r="M70" i="9"/>
  <c r="M71" i="9" s="1"/>
  <c r="AG109" i="4"/>
  <c r="AG110" i="4" s="1"/>
  <c r="AB70" i="9"/>
  <c r="AB71" i="9" s="1"/>
  <c r="AM109" i="4"/>
  <c r="AM110" i="4" s="1"/>
  <c r="AH70" i="9"/>
  <c r="AH71" i="9" s="1"/>
  <c r="AF109" i="4"/>
  <c r="AF110" i="4" s="1"/>
  <c r="AA70" i="9"/>
  <c r="AA71" i="9" s="1"/>
  <c r="AK109" i="4"/>
  <c r="AK110" i="4" s="1"/>
  <c r="AF70" i="9"/>
  <c r="U109" i="4"/>
  <c r="U110" i="4" s="1"/>
  <c r="P70" i="9"/>
  <c r="P71" i="9" s="1"/>
  <c r="AO109" i="4"/>
  <c r="AO110" i="4" s="1"/>
  <c r="AJ70" i="9"/>
  <c r="AJ71" i="9" s="1"/>
  <c r="X109" i="4"/>
  <c r="X110" i="4" s="1"/>
  <c r="S70" i="9"/>
  <c r="S71" i="9" s="1"/>
  <c r="M109" i="4"/>
  <c r="M110" i="4" s="1"/>
  <c r="H70" i="9"/>
  <c r="AP109" i="4"/>
  <c r="AP110" i="4" s="1"/>
  <c r="AK70" i="9"/>
  <c r="AK71" i="9" s="1"/>
  <c r="AI109" i="4"/>
  <c r="AI110" i="4" s="1"/>
  <c r="AD70" i="9"/>
  <c r="AD71" i="9" s="1"/>
  <c r="AL109" i="4"/>
  <c r="AL110" i="4" s="1"/>
  <c r="AG70" i="9"/>
  <c r="AG71" i="9" s="1"/>
  <c r="P109" i="4"/>
  <c r="P110" i="4" s="1"/>
  <c r="K70" i="9"/>
  <c r="K71" i="9" s="1"/>
  <c r="T109" i="4"/>
  <c r="T110" i="4" s="1"/>
  <c r="O70" i="9"/>
  <c r="O71" i="9" s="1"/>
  <c r="AV109" i="4"/>
  <c r="AV110" i="4" s="1"/>
  <c r="AQ70" i="9"/>
  <c r="AQ71" i="9" s="1"/>
  <c r="E40" i="7"/>
  <c r="AS109" i="4"/>
  <c r="AS110" i="4" s="1"/>
  <c r="H160" i="4"/>
  <c r="I160" i="4" s="1"/>
  <c r="DJ110" i="4"/>
  <c r="EC110" i="4"/>
  <c r="EC111" i="4" s="1"/>
  <c r="EC125" i="4" s="1"/>
  <c r="EK110" i="4"/>
  <c r="EK111" i="4" s="1"/>
  <c r="EK125" i="4" s="1"/>
  <c r="BT110" i="4"/>
  <c r="EG110" i="4"/>
  <c r="EG111" i="4" s="1"/>
  <c r="EG125" i="4" s="1"/>
  <c r="AZ109" i="4"/>
  <c r="DP110" i="4"/>
  <c r="CQ110" i="4"/>
  <c r="EN110" i="4"/>
  <c r="EN111" i="4" s="1"/>
  <c r="EN125" i="4" s="1"/>
  <c r="EE110" i="4"/>
  <c r="EE111" i="4" s="1"/>
  <c r="EE125" i="4" s="1"/>
  <c r="AW110" i="4"/>
  <c r="AR72" i="9" s="1"/>
  <c r="CP110" i="4"/>
  <c r="EM110" i="4"/>
  <c r="EM111" i="4" s="1"/>
  <c r="EM125" i="4" s="1"/>
  <c r="AR109" i="4"/>
  <c r="EL110" i="4"/>
  <c r="EL111" i="4" s="1"/>
  <c r="EL125" i="4" s="1"/>
  <c r="ED110" i="4"/>
  <c r="ED111" i="4" s="1"/>
  <c r="ED125" i="4" s="1"/>
  <c r="EF110" i="4"/>
  <c r="EF111" i="4" s="1"/>
  <c r="EF125" i="4" s="1"/>
  <c r="BD110" i="4"/>
  <c r="EI110" i="4"/>
  <c r="EI111" i="4" s="1"/>
  <c r="EI125" i="4" s="1"/>
  <c r="BP110" i="4"/>
  <c r="DY110" i="4"/>
  <c r="EJ110" i="4"/>
  <c r="EJ111" i="4" s="1"/>
  <c r="EJ125" i="4" s="1"/>
  <c r="DG110" i="4"/>
  <c r="EH110" i="4"/>
  <c r="EH111" i="4" s="1"/>
  <c r="EH125" i="4" s="1"/>
  <c r="CD110" i="4"/>
  <c r="CF110" i="4"/>
  <c r="BZ110" i="4"/>
  <c r="CS110" i="4"/>
  <c r="I24" i="7"/>
  <c r="I25" i="7" s="1"/>
  <c r="CK111" i="4" l="1"/>
  <c r="CK125" i="4" s="1"/>
  <c r="CF83" i="9" s="1"/>
  <c r="CF86" i="9" s="1"/>
  <c r="CF72" i="9"/>
  <c r="DU111" i="4"/>
  <c r="DU125" i="4" s="1"/>
  <c r="DP83" i="9" s="1"/>
  <c r="DP86" i="9" s="1"/>
  <c r="DP72" i="9"/>
  <c r="DP73" i="9" s="1"/>
  <c r="BG111" i="4"/>
  <c r="BG125" i="4" s="1"/>
  <c r="BB83" i="9" s="1"/>
  <c r="BB86" i="9" s="1"/>
  <c r="BB72" i="9"/>
  <c r="BB73" i="9" s="1"/>
  <c r="BB88" i="9" s="1"/>
  <c r="CW111" i="4"/>
  <c r="CW125" i="4" s="1"/>
  <c r="CR83" i="9" s="1"/>
  <c r="CR86" i="9" s="1"/>
  <c r="CR72" i="9"/>
  <c r="CR73" i="9" s="1"/>
  <c r="BH111" i="4"/>
  <c r="BH125" i="4" s="1"/>
  <c r="BC83" i="9" s="1"/>
  <c r="BC86" i="9" s="1"/>
  <c r="BC72" i="9"/>
  <c r="DH111" i="4"/>
  <c r="DH125" i="4" s="1"/>
  <c r="DC83" i="9" s="1"/>
  <c r="DC86" i="9" s="1"/>
  <c r="DC72" i="9"/>
  <c r="DC73" i="9" s="1"/>
  <c r="DL111" i="4"/>
  <c r="DL125" i="4" s="1"/>
  <c r="DG83" i="9" s="1"/>
  <c r="DG86" i="9" s="1"/>
  <c r="DG72" i="9"/>
  <c r="DG73" i="9" s="1"/>
  <c r="CI111" i="4"/>
  <c r="CI125" i="4" s="1"/>
  <c r="CD83" i="9" s="1"/>
  <c r="CD86" i="9" s="1"/>
  <c r="CD72" i="9"/>
  <c r="CD73" i="9" s="1"/>
  <c r="CR111" i="4"/>
  <c r="CR125" i="4" s="1"/>
  <c r="CM83" i="9" s="1"/>
  <c r="CM86" i="9" s="1"/>
  <c r="CM72" i="9"/>
  <c r="CM73" i="9" s="1"/>
  <c r="DE111" i="4"/>
  <c r="DE125" i="4" s="1"/>
  <c r="CZ83" i="9" s="1"/>
  <c r="CZ72" i="9"/>
  <c r="CN111" i="4"/>
  <c r="CN125" i="4" s="1"/>
  <c r="CI83" i="9" s="1"/>
  <c r="CI86" i="9" s="1"/>
  <c r="CI72" i="9"/>
  <c r="CI73" i="9" s="1"/>
  <c r="CG111" i="4"/>
  <c r="CG125" i="4" s="1"/>
  <c r="CB83" i="9" s="1"/>
  <c r="CB72" i="9"/>
  <c r="CT111" i="4"/>
  <c r="CT125" i="4" s="1"/>
  <c r="CO83" i="9" s="1"/>
  <c r="CO86" i="9" s="1"/>
  <c r="CO72" i="9"/>
  <c r="CO73" i="9" s="1"/>
  <c r="CY111" i="4"/>
  <c r="CY125" i="4" s="1"/>
  <c r="CT83" i="9" s="1"/>
  <c r="CT86" i="9" s="1"/>
  <c r="CT72" i="9"/>
  <c r="CT73" i="9" s="1"/>
  <c r="DF111" i="4"/>
  <c r="DF125" i="4" s="1"/>
  <c r="DA83" i="9" s="1"/>
  <c r="DA86" i="9" s="1"/>
  <c r="DA72" i="9"/>
  <c r="DA73" i="9" s="1"/>
  <c r="BW111" i="4"/>
  <c r="BW125" i="4" s="1"/>
  <c r="BR83" i="9" s="1"/>
  <c r="BR86" i="9" s="1"/>
  <c r="BR72" i="9"/>
  <c r="BR73" i="9" s="1"/>
  <c r="BR111" i="4"/>
  <c r="BR125" i="4" s="1"/>
  <c r="BM83" i="9" s="1"/>
  <c r="BM86" i="9" s="1"/>
  <c r="BM72" i="9"/>
  <c r="BM73" i="9" s="1"/>
  <c r="CZ111" i="4"/>
  <c r="CZ125" i="4" s="1"/>
  <c r="CU83" i="9" s="1"/>
  <c r="CU86" i="9" s="1"/>
  <c r="CU72" i="9"/>
  <c r="CU73" i="9" s="1"/>
  <c r="L23" i="9"/>
  <c r="BD71" i="9"/>
  <c r="CS111" i="4"/>
  <c r="CS125" i="4" s="1"/>
  <c r="CN83" i="9" s="1"/>
  <c r="CN72" i="9"/>
  <c r="DA111" i="4"/>
  <c r="DA125" i="4" s="1"/>
  <c r="CV83" i="9" s="1"/>
  <c r="CV86" i="9" s="1"/>
  <c r="CV72" i="9"/>
  <c r="CV73" i="9" s="1"/>
  <c r="M23" i="9"/>
  <c r="BP71" i="9"/>
  <c r="BY111" i="4"/>
  <c r="BY125" i="4" s="1"/>
  <c r="BT83" i="9" s="1"/>
  <c r="BT86" i="9" s="1"/>
  <c r="BT72" i="9"/>
  <c r="BT73" i="9" s="1"/>
  <c r="DS111" i="4"/>
  <c r="DS125" i="4" s="1"/>
  <c r="DN83" i="9" s="1"/>
  <c r="DN86" i="9" s="1"/>
  <c r="DN72" i="9"/>
  <c r="DN73" i="9" s="1"/>
  <c r="CO111" i="4"/>
  <c r="CO125" i="4" s="1"/>
  <c r="CJ83" i="9" s="1"/>
  <c r="CJ86" i="9" s="1"/>
  <c r="CJ72" i="9"/>
  <c r="CJ73" i="9" s="1"/>
  <c r="BX111" i="4"/>
  <c r="BX125" i="4" s="1"/>
  <c r="BS83" i="9" s="1"/>
  <c r="BS86" i="9" s="1"/>
  <c r="BS72" i="9"/>
  <c r="BS73" i="9" s="1"/>
  <c r="CB111" i="4"/>
  <c r="CB125" i="4" s="1"/>
  <c r="BW83" i="9" s="1"/>
  <c r="BW86" i="9" s="1"/>
  <c r="BW72" i="9"/>
  <c r="BW73" i="9" s="1"/>
  <c r="BE111" i="4"/>
  <c r="BE125" i="4" s="1"/>
  <c r="AZ83" i="9" s="1"/>
  <c r="AZ86" i="9" s="1"/>
  <c r="AZ72" i="9"/>
  <c r="AZ73" i="9" s="1"/>
  <c r="BP111" i="4"/>
  <c r="BP125" i="4" s="1"/>
  <c r="BK83" i="9" s="1"/>
  <c r="BK86" i="9" s="1"/>
  <c r="BK72" i="9"/>
  <c r="BK73" i="9" s="1"/>
  <c r="DK111" i="4"/>
  <c r="DK125" i="4" s="1"/>
  <c r="DF83" i="9" s="1"/>
  <c r="DF86" i="9" s="1"/>
  <c r="DF72" i="9"/>
  <c r="DF73" i="9" s="1"/>
  <c r="CU111" i="4"/>
  <c r="CU125" i="4" s="1"/>
  <c r="CP83" i="9" s="1"/>
  <c r="CP86" i="9" s="1"/>
  <c r="CP72" i="9"/>
  <c r="CP73" i="9" s="1"/>
  <c r="BU111" i="4"/>
  <c r="BU125" i="4" s="1"/>
  <c r="BP83" i="9" s="1"/>
  <c r="BP72" i="9"/>
  <c r="DO111" i="4"/>
  <c r="DO125" i="4" s="1"/>
  <c r="DJ83" i="9" s="1"/>
  <c r="DJ86" i="9" s="1"/>
  <c r="DJ72" i="9"/>
  <c r="DJ73" i="9" s="1"/>
  <c r="DZ111" i="4"/>
  <c r="DZ125" i="4" s="1"/>
  <c r="DU83" i="9" s="1"/>
  <c r="DU86" i="9" s="1"/>
  <c r="DU72" i="9"/>
  <c r="DU73" i="9" s="1"/>
  <c r="DB111" i="4"/>
  <c r="DB125" i="4" s="1"/>
  <c r="CW83" i="9" s="1"/>
  <c r="CW86" i="9" s="1"/>
  <c r="CW72" i="9"/>
  <c r="CW73" i="9" s="1"/>
  <c r="CC111" i="4"/>
  <c r="CC125" i="4" s="1"/>
  <c r="BX83" i="9" s="1"/>
  <c r="BX86" i="9" s="1"/>
  <c r="BX72" i="9"/>
  <c r="BX73" i="9" s="1"/>
  <c r="BZ111" i="4"/>
  <c r="BZ125" i="4" s="1"/>
  <c r="BU83" i="9" s="1"/>
  <c r="BU86" i="9" s="1"/>
  <c r="BU72" i="9"/>
  <c r="BU73" i="9" s="1"/>
  <c r="DG111" i="4"/>
  <c r="DG125" i="4" s="1"/>
  <c r="DB83" i="9" s="1"/>
  <c r="DB86" i="9" s="1"/>
  <c r="DB72" i="9"/>
  <c r="DB73" i="9" s="1"/>
  <c r="CJ111" i="4"/>
  <c r="CJ125" i="4" s="1"/>
  <c r="CE83" i="9" s="1"/>
  <c r="CE86" i="9" s="1"/>
  <c r="CE72" i="9"/>
  <c r="CE73" i="9" s="1"/>
  <c r="CM111" i="4"/>
  <c r="CM125" i="4" s="1"/>
  <c r="CH83" i="9" s="1"/>
  <c r="CH86" i="9" s="1"/>
  <c r="CH72" i="9"/>
  <c r="CH73" i="9" s="1"/>
  <c r="BT111" i="4"/>
  <c r="BT125" i="4" s="1"/>
  <c r="BO83" i="9" s="1"/>
  <c r="BO86" i="9" s="1"/>
  <c r="BO72" i="9"/>
  <c r="BO73" i="9" s="1"/>
  <c r="BI111" i="4"/>
  <c r="BI125" i="4" s="1"/>
  <c r="BD83" i="9" s="1"/>
  <c r="BD72" i="9"/>
  <c r="BF111" i="4"/>
  <c r="BF125" i="4" s="1"/>
  <c r="BA83" i="9" s="1"/>
  <c r="BA86" i="9" s="1"/>
  <c r="BA72" i="9"/>
  <c r="BA73" i="9" s="1"/>
  <c r="BA111" i="4"/>
  <c r="BA125" i="4" s="1"/>
  <c r="AV83" i="9" s="1"/>
  <c r="AV86" i="9" s="1"/>
  <c r="AV72" i="9"/>
  <c r="AV73" i="9" s="1"/>
  <c r="EA111" i="4"/>
  <c r="EA125" i="4" s="1"/>
  <c r="DV83" i="9" s="1"/>
  <c r="DV86" i="9" s="1"/>
  <c r="DV72" i="9"/>
  <c r="DV73" i="9" s="1"/>
  <c r="DX111" i="4"/>
  <c r="DX125" i="4" s="1"/>
  <c r="DS83" i="9" s="1"/>
  <c r="DS86" i="9" s="1"/>
  <c r="DS72" i="9"/>
  <c r="DS73" i="9" s="1"/>
  <c r="BD111" i="4"/>
  <c r="BD125" i="4" s="1"/>
  <c r="AY83" i="9" s="1"/>
  <c r="AY86" i="9" s="1"/>
  <c r="AY72" i="9"/>
  <c r="AY73" i="9" s="1"/>
  <c r="BL111" i="4"/>
  <c r="BL125" i="4" s="1"/>
  <c r="BG83" i="9" s="1"/>
  <c r="BG86" i="9" s="1"/>
  <c r="BG72" i="9"/>
  <c r="BG73" i="9" s="1"/>
  <c r="BV111" i="4"/>
  <c r="BV125" i="4" s="1"/>
  <c r="BQ83" i="9" s="1"/>
  <c r="BQ86" i="9" s="1"/>
  <c r="BQ72" i="9"/>
  <c r="BQ73" i="9" s="1"/>
  <c r="DT111" i="4"/>
  <c r="DT125" i="4" s="1"/>
  <c r="DO83" i="9" s="1"/>
  <c r="DO86" i="9" s="1"/>
  <c r="DO72" i="9"/>
  <c r="DO73" i="9" s="1"/>
  <c r="BC111" i="4"/>
  <c r="BC125" i="4" s="1"/>
  <c r="AX83" i="9" s="1"/>
  <c r="AX86" i="9" s="1"/>
  <c r="AX72" i="9"/>
  <c r="AX73" i="9" s="1"/>
  <c r="DI111" i="4"/>
  <c r="DI125" i="4" s="1"/>
  <c r="DD83" i="9" s="1"/>
  <c r="DD86" i="9" s="1"/>
  <c r="DD72" i="9"/>
  <c r="DD73" i="9" s="1"/>
  <c r="DC111" i="4"/>
  <c r="DC125" i="4" s="1"/>
  <c r="CX83" i="9" s="1"/>
  <c r="CX86" i="9" s="1"/>
  <c r="CX72" i="9"/>
  <c r="CX73" i="9" s="1"/>
  <c r="DN111" i="4"/>
  <c r="DN125" i="4" s="1"/>
  <c r="DI83" i="9" s="1"/>
  <c r="DI86" i="9" s="1"/>
  <c r="DI72" i="9"/>
  <c r="DI73" i="9" s="1"/>
  <c r="EB111" i="4"/>
  <c r="EB125" i="4" s="1"/>
  <c r="DW83" i="9" s="1"/>
  <c r="DW86" i="9" s="1"/>
  <c r="DW72" i="9"/>
  <c r="DW73" i="9" s="1"/>
  <c r="BB111" i="4"/>
  <c r="BB125" i="4" s="1"/>
  <c r="AW83" i="9" s="1"/>
  <c r="AW86" i="9" s="1"/>
  <c r="AW72" i="9"/>
  <c r="AW73" i="9" s="1"/>
  <c r="DD111" i="4"/>
  <c r="DD125" i="4" s="1"/>
  <c r="CY83" i="9" s="1"/>
  <c r="CY86" i="9" s="1"/>
  <c r="CY72" i="9"/>
  <c r="CY73" i="9" s="1"/>
  <c r="DM111" i="4"/>
  <c r="DM125" i="4" s="1"/>
  <c r="DH83" i="9" s="1"/>
  <c r="DH86" i="9" s="1"/>
  <c r="DH72" i="9"/>
  <c r="DH73" i="9" s="1"/>
  <c r="O23" i="9"/>
  <c r="CN71" i="9"/>
  <c r="BJ111" i="4"/>
  <c r="BJ125" i="4" s="1"/>
  <c r="BE83" i="9" s="1"/>
  <c r="BE86" i="9" s="1"/>
  <c r="BE72" i="9"/>
  <c r="BE73" i="9" s="1"/>
  <c r="CL111" i="4"/>
  <c r="CL125" i="4" s="1"/>
  <c r="CG83" i="9" s="1"/>
  <c r="CG86" i="9" s="1"/>
  <c r="CG72" i="9"/>
  <c r="CG73" i="9" s="1"/>
  <c r="Q23" i="9"/>
  <c r="DL71" i="9"/>
  <c r="CX111" i="4"/>
  <c r="CX125" i="4" s="1"/>
  <c r="CS83" i="9" s="1"/>
  <c r="CS86" i="9" s="1"/>
  <c r="CS72" i="9"/>
  <c r="CS73" i="9" s="1"/>
  <c r="BN111" i="4"/>
  <c r="BN125" i="4" s="1"/>
  <c r="BI83" i="9" s="1"/>
  <c r="BI86" i="9" s="1"/>
  <c r="BI72" i="9"/>
  <c r="BI73" i="9" s="1"/>
  <c r="BM111" i="4"/>
  <c r="BM125" i="4" s="1"/>
  <c r="BH83" i="9" s="1"/>
  <c r="BH86" i="9" s="1"/>
  <c r="BH72" i="9"/>
  <c r="BH73" i="9" s="1"/>
  <c r="CQ111" i="4"/>
  <c r="CQ125" i="4" s="1"/>
  <c r="CL83" i="9" s="1"/>
  <c r="CL86" i="9" s="1"/>
  <c r="CL72" i="9"/>
  <c r="CL73" i="9" s="1"/>
  <c r="DR111" i="4"/>
  <c r="DR125" i="4" s="1"/>
  <c r="DM83" i="9" s="1"/>
  <c r="DM86" i="9" s="1"/>
  <c r="DM72" i="9"/>
  <c r="DM73" i="9" s="1"/>
  <c r="BO111" i="4"/>
  <c r="BO125" i="4" s="1"/>
  <c r="BJ83" i="9" s="1"/>
  <c r="BJ86" i="9" s="1"/>
  <c r="BJ72" i="9"/>
  <c r="BJ73" i="9" s="1"/>
  <c r="DY111" i="4"/>
  <c r="DY125" i="4" s="1"/>
  <c r="DT83" i="9" s="1"/>
  <c r="DT86" i="9" s="1"/>
  <c r="DT72" i="9"/>
  <c r="DT73" i="9" s="1"/>
  <c r="CV111" i="4"/>
  <c r="CV125" i="4" s="1"/>
  <c r="CQ83" i="9" s="1"/>
  <c r="CQ86" i="9" s="1"/>
  <c r="CQ72" i="9"/>
  <c r="CQ73" i="9" s="1"/>
  <c r="BQ111" i="4"/>
  <c r="BQ125" i="4" s="1"/>
  <c r="BL83" i="9" s="1"/>
  <c r="BL86" i="9" s="1"/>
  <c r="BL72" i="9"/>
  <c r="BL73" i="9" s="1"/>
  <c r="CP111" i="4"/>
  <c r="CP125" i="4" s="1"/>
  <c r="CK83" i="9" s="1"/>
  <c r="CK86" i="9" s="1"/>
  <c r="CK72" i="9"/>
  <c r="CK73" i="9" s="1"/>
  <c r="DP111" i="4"/>
  <c r="DP125" i="4" s="1"/>
  <c r="DK83" i="9" s="1"/>
  <c r="DK86" i="9" s="1"/>
  <c r="DK72" i="9"/>
  <c r="DK73" i="9" s="1"/>
  <c r="CE111" i="4"/>
  <c r="CE125" i="4" s="1"/>
  <c r="BZ83" i="9" s="1"/>
  <c r="BZ86" i="9" s="1"/>
  <c r="BZ72" i="9"/>
  <c r="BZ73" i="9" s="1"/>
  <c r="CD111" i="4"/>
  <c r="CD125" i="4" s="1"/>
  <c r="BY83" i="9" s="1"/>
  <c r="BY86" i="9" s="1"/>
  <c r="BY72" i="9"/>
  <c r="BY73" i="9" s="1"/>
  <c r="DV111" i="4"/>
  <c r="DV125" i="4" s="1"/>
  <c r="DQ83" i="9" s="1"/>
  <c r="DQ86" i="9" s="1"/>
  <c r="DQ72" i="9"/>
  <c r="DQ73" i="9" s="1"/>
  <c r="BS111" i="4"/>
  <c r="BS125" i="4" s="1"/>
  <c r="BN83" i="9" s="1"/>
  <c r="BN86" i="9" s="1"/>
  <c r="BN72" i="9"/>
  <c r="BN73" i="9" s="1"/>
  <c r="BK111" i="4"/>
  <c r="BK125" i="4" s="1"/>
  <c r="BF83" i="9" s="1"/>
  <c r="BF86" i="9" s="1"/>
  <c r="BF72" i="9"/>
  <c r="BF73" i="9" s="1"/>
  <c r="CF111" i="4"/>
  <c r="CF125" i="4" s="1"/>
  <c r="CA83" i="9" s="1"/>
  <c r="CA86" i="9" s="1"/>
  <c r="CA72" i="9"/>
  <c r="CA73" i="9" s="1"/>
  <c r="DW111" i="4"/>
  <c r="DW125" i="4" s="1"/>
  <c r="DR83" i="9" s="1"/>
  <c r="DR86" i="9" s="1"/>
  <c r="DR72" i="9"/>
  <c r="DR73" i="9" s="1"/>
  <c r="CA111" i="4"/>
  <c r="CA125" i="4" s="1"/>
  <c r="BV83" i="9" s="1"/>
  <c r="BV86" i="9" s="1"/>
  <c r="BV72" i="9"/>
  <c r="BV73" i="9" s="1"/>
  <c r="DQ111" i="4"/>
  <c r="DQ125" i="4" s="1"/>
  <c r="DL83" i="9" s="1"/>
  <c r="DL72" i="9"/>
  <c r="CH111" i="4"/>
  <c r="CH125" i="4" s="1"/>
  <c r="CC83" i="9" s="1"/>
  <c r="CC86" i="9" s="1"/>
  <c r="CC72" i="9"/>
  <c r="CC73" i="9" s="1"/>
  <c r="DJ111" i="4"/>
  <c r="DJ125" i="4" s="1"/>
  <c r="DE83" i="9" s="1"/>
  <c r="DE86" i="9" s="1"/>
  <c r="DE72" i="9"/>
  <c r="DE73" i="9" s="1"/>
  <c r="CF73" i="9"/>
  <c r="P23" i="9"/>
  <c r="CZ71" i="9"/>
  <c r="N23" i="9"/>
  <c r="CB71" i="9"/>
  <c r="BC73" i="9"/>
  <c r="BC88" i="9" s="1"/>
  <c r="AY111" i="4"/>
  <c r="AY125" i="4" s="1"/>
  <c r="AT83" i="9" s="1"/>
  <c r="AT86" i="9" s="1"/>
  <c r="AT72" i="9"/>
  <c r="AT73" i="9" s="1"/>
  <c r="AS71" i="9"/>
  <c r="K24" i="9" s="1"/>
  <c r="K23" i="9"/>
  <c r="AR73" i="9"/>
  <c r="H71" i="9"/>
  <c r="H24" i="9" s="1"/>
  <c r="H23" i="9"/>
  <c r="AF71" i="9"/>
  <c r="J24" i="9" s="1"/>
  <c r="J23" i="9"/>
  <c r="T71" i="9"/>
  <c r="I24" i="9" s="1"/>
  <c r="I23" i="9"/>
  <c r="AD111" i="4"/>
  <c r="AD125" i="4" s="1"/>
  <c r="Y83" i="9" s="1"/>
  <c r="Y86" i="9" s="1"/>
  <c r="Y72" i="9"/>
  <c r="Y73" i="9" s="1"/>
  <c r="N111" i="4"/>
  <c r="N125" i="4" s="1"/>
  <c r="I83" i="9" s="1"/>
  <c r="I86" i="9" s="1"/>
  <c r="I72" i="9"/>
  <c r="I73" i="9" s="1"/>
  <c r="S111" i="4"/>
  <c r="S125" i="4" s="1"/>
  <c r="N83" i="9" s="1"/>
  <c r="N86" i="9" s="1"/>
  <c r="N72" i="9"/>
  <c r="N73" i="9" s="1"/>
  <c r="AB111" i="4"/>
  <c r="AB125" i="4" s="1"/>
  <c r="W83" i="9" s="1"/>
  <c r="W86" i="9" s="1"/>
  <c r="W72" i="9"/>
  <c r="W73" i="9" s="1"/>
  <c r="AV111" i="4"/>
  <c r="AV125" i="4" s="1"/>
  <c r="AQ83" i="9" s="1"/>
  <c r="AQ86" i="9" s="1"/>
  <c r="AQ72" i="9"/>
  <c r="AQ73" i="9" s="1"/>
  <c r="AG111" i="4"/>
  <c r="AG125" i="4" s="1"/>
  <c r="AB83" i="9" s="1"/>
  <c r="AB86" i="9" s="1"/>
  <c r="AB72" i="9"/>
  <c r="AB73" i="9" s="1"/>
  <c r="AE111" i="4"/>
  <c r="AE125" i="4" s="1"/>
  <c r="Z83" i="9" s="1"/>
  <c r="Z86" i="9" s="1"/>
  <c r="Z72" i="9"/>
  <c r="Z73" i="9" s="1"/>
  <c r="AC111" i="4"/>
  <c r="AC125" i="4" s="1"/>
  <c r="X83" i="9" s="1"/>
  <c r="X86" i="9" s="1"/>
  <c r="X72" i="9"/>
  <c r="X73" i="9" s="1"/>
  <c r="AX111" i="4"/>
  <c r="AX125" i="4" s="1"/>
  <c r="AS83" i="9" s="1"/>
  <c r="AS86" i="9" s="1"/>
  <c r="AS72" i="9"/>
  <c r="AP111" i="4"/>
  <c r="AP125" i="4" s="1"/>
  <c r="AK83" i="9" s="1"/>
  <c r="AK86" i="9" s="1"/>
  <c r="AK72" i="9"/>
  <c r="AK73" i="9" s="1"/>
  <c r="Y111" i="4"/>
  <c r="Y125" i="4" s="1"/>
  <c r="T83" i="9" s="1"/>
  <c r="T72" i="9"/>
  <c r="AF111" i="4"/>
  <c r="AF125" i="4" s="1"/>
  <c r="AA83" i="9" s="1"/>
  <c r="AA86" i="9" s="1"/>
  <c r="AA72" i="9"/>
  <c r="AA73" i="9" s="1"/>
  <c r="T111" i="4"/>
  <c r="T125" i="4" s="1"/>
  <c r="O83" i="9" s="1"/>
  <c r="O86" i="9" s="1"/>
  <c r="O72" i="9"/>
  <c r="O73" i="9" s="1"/>
  <c r="AO111" i="4"/>
  <c r="AO125" i="4" s="1"/>
  <c r="AJ83" i="9" s="1"/>
  <c r="AJ86" i="9" s="1"/>
  <c r="AJ72" i="9"/>
  <c r="AJ73" i="9" s="1"/>
  <c r="AJ111" i="4"/>
  <c r="AJ125" i="4" s="1"/>
  <c r="AE83" i="9" s="1"/>
  <c r="AE86" i="9" s="1"/>
  <c r="AE72" i="9"/>
  <c r="AE73" i="9" s="1"/>
  <c r="AI111" i="4"/>
  <c r="AI125" i="4" s="1"/>
  <c r="AD83" i="9" s="1"/>
  <c r="AD86" i="9" s="1"/>
  <c r="AD72" i="9"/>
  <c r="AD73" i="9" s="1"/>
  <c r="AA111" i="4"/>
  <c r="AA125" i="4" s="1"/>
  <c r="V83" i="9" s="1"/>
  <c r="V86" i="9" s="1"/>
  <c r="V72" i="9"/>
  <c r="V73" i="9" s="1"/>
  <c r="Q111" i="4"/>
  <c r="Q125" i="4" s="1"/>
  <c r="L83" i="9" s="1"/>
  <c r="L86" i="9" s="1"/>
  <c r="L72" i="9"/>
  <c r="L73" i="9" s="1"/>
  <c r="U111" i="4"/>
  <c r="U125" i="4" s="1"/>
  <c r="P83" i="9" s="1"/>
  <c r="P86" i="9" s="1"/>
  <c r="P72" i="9"/>
  <c r="P73" i="9" s="1"/>
  <c r="R111" i="4"/>
  <c r="R125" i="4" s="1"/>
  <c r="M83" i="9" s="1"/>
  <c r="M86" i="9" s="1"/>
  <c r="M72" i="9"/>
  <c r="M73" i="9" s="1"/>
  <c r="O111" i="4"/>
  <c r="O125" i="4" s="1"/>
  <c r="J83" i="9" s="1"/>
  <c r="J86" i="9" s="1"/>
  <c r="J72" i="9"/>
  <c r="J73" i="9" s="1"/>
  <c r="AL111" i="4"/>
  <c r="AL125" i="4" s="1"/>
  <c r="AG83" i="9" s="1"/>
  <c r="AG86" i="9" s="1"/>
  <c r="AG72" i="9"/>
  <c r="AG73" i="9" s="1"/>
  <c r="V111" i="4"/>
  <c r="V125" i="4" s="1"/>
  <c r="Q83" i="9" s="1"/>
  <c r="Q86" i="9" s="1"/>
  <c r="Q72" i="9"/>
  <c r="Q73" i="9" s="1"/>
  <c r="X111" i="4"/>
  <c r="X125" i="4" s="1"/>
  <c r="S83" i="9" s="1"/>
  <c r="S86" i="9" s="1"/>
  <c r="S72" i="9"/>
  <c r="S73" i="9" s="1"/>
  <c r="AQ111" i="4"/>
  <c r="AQ125" i="4" s="1"/>
  <c r="AL83" i="9" s="1"/>
  <c r="AL86" i="9" s="1"/>
  <c r="AL72" i="9"/>
  <c r="AL73" i="9" s="1"/>
  <c r="AM111" i="4"/>
  <c r="AM125" i="4" s="1"/>
  <c r="AH83" i="9" s="1"/>
  <c r="AH86" i="9" s="1"/>
  <c r="AH72" i="9"/>
  <c r="AH73" i="9" s="1"/>
  <c r="M111" i="4"/>
  <c r="M85" i="4" s="1"/>
  <c r="H72" i="9"/>
  <c r="AT111" i="4"/>
  <c r="AT125" i="4" s="1"/>
  <c r="AO83" i="9" s="1"/>
  <c r="AO86" i="9" s="1"/>
  <c r="AO72" i="9"/>
  <c r="AO73" i="9" s="1"/>
  <c r="AH111" i="4"/>
  <c r="AH125" i="4" s="1"/>
  <c r="AC83" i="9" s="1"/>
  <c r="AC86" i="9" s="1"/>
  <c r="AC72" i="9"/>
  <c r="AC73" i="9" s="1"/>
  <c r="AU111" i="4"/>
  <c r="AU125" i="4" s="1"/>
  <c r="AP83" i="9" s="1"/>
  <c r="AP86" i="9" s="1"/>
  <c r="AP72" i="9"/>
  <c r="AP73" i="9" s="1"/>
  <c r="Z111" i="4"/>
  <c r="Z125" i="4" s="1"/>
  <c r="U83" i="9" s="1"/>
  <c r="U86" i="9" s="1"/>
  <c r="U72" i="9"/>
  <c r="U73" i="9" s="1"/>
  <c r="AN111" i="4"/>
  <c r="AN125" i="4" s="1"/>
  <c r="AI83" i="9" s="1"/>
  <c r="AI86" i="9" s="1"/>
  <c r="AI72" i="9"/>
  <c r="AI73" i="9" s="1"/>
  <c r="AS111" i="4"/>
  <c r="AS125" i="4" s="1"/>
  <c r="AN83" i="9" s="1"/>
  <c r="AN86" i="9" s="1"/>
  <c r="AN72" i="9"/>
  <c r="AN73" i="9" s="1"/>
  <c r="W111" i="4"/>
  <c r="W125" i="4" s="1"/>
  <c r="R83" i="9" s="1"/>
  <c r="R86" i="9" s="1"/>
  <c r="R72" i="9"/>
  <c r="R73" i="9" s="1"/>
  <c r="AK111" i="4"/>
  <c r="AK125" i="4" s="1"/>
  <c r="AF83" i="9" s="1"/>
  <c r="AF72" i="9"/>
  <c r="P111" i="4"/>
  <c r="P125" i="4" s="1"/>
  <c r="K83" i="9" s="1"/>
  <c r="K86" i="9" s="1"/>
  <c r="K72" i="9"/>
  <c r="K73" i="9" s="1"/>
  <c r="I40" i="7"/>
  <c r="I41" i="7" s="1"/>
  <c r="I42" i="7" s="1"/>
  <c r="D40" i="7"/>
  <c r="H40" i="7" s="1"/>
  <c r="H41" i="7" s="1"/>
  <c r="H42" i="7" s="1"/>
  <c r="I161" i="4"/>
  <c r="H161" i="4"/>
  <c r="BH85" i="4"/>
  <c r="BH128" i="4"/>
  <c r="BH130" i="4" s="1"/>
  <c r="EF85" i="4"/>
  <c r="EF128" i="4"/>
  <c r="EF130" i="4" s="1"/>
  <c r="AR110" i="4"/>
  <c r="AM72" i="9" s="1"/>
  <c r="AM73" i="9" s="1"/>
  <c r="BG85" i="4"/>
  <c r="EN85" i="4"/>
  <c r="EN128" i="4"/>
  <c r="EN130" i="4" s="1"/>
  <c r="AZ110" i="4"/>
  <c r="EH128" i="4"/>
  <c r="EH130" i="4" s="1"/>
  <c r="EH85" i="4"/>
  <c r="EI128" i="4"/>
  <c r="EI130" i="4" s="1"/>
  <c r="EI85" i="4"/>
  <c r="ED85" i="4"/>
  <c r="ED128" i="4"/>
  <c r="ED130" i="4" s="1"/>
  <c r="EM85" i="4"/>
  <c r="EM128" i="4"/>
  <c r="EM130" i="4" s="1"/>
  <c r="EE85" i="4"/>
  <c r="EE128" i="4"/>
  <c r="EE130" i="4" s="1"/>
  <c r="EK85" i="4"/>
  <c r="EK128" i="4"/>
  <c r="EK130" i="4" s="1"/>
  <c r="H25" i="7"/>
  <c r="I35" i="7"/>
  <c r="CN128" i="4"/>
  <c r="CN130" i="4" s="1"/>
  <c r="EG85" i="4"/>
  <c r="EG128" i="4"/>
  <c r="EG130" i="4" s="1"/>
  <c r="EC128" i="4"/>
  <c r="EC130" i="4" s="1"/>
  <c r="EC85" i="4"/>
  <c r="AW111" i="4"/>
  <c r="AW125" i="4" s="1"/>
  <c r="AR83" i="9" s="1"/>
  <c r="DF85" i="4"/>
  <c r="CK128" i="4"/>
  <c r="CK130" i="4" s="1"/>
  <c r="EL85" i="4"/>
  <c r="EL128" i="4"/>
  <c r="EL130" i="4" s="1"/>
  <c r="EJ128" i="4"/>
  <c r="EJ130" i="4" s="1"/>
  <c r="EJ85" i="4"/>
  <c r="DK128" i="4" l="1"/>
  <c r="DK130" i="4" s="1"/>
  <c r="DG128" i="4"/>
  <c r="DG130" i="4" s="1"/>
  <c r="DZ85" i="4"/>
  <c r="CY128" i="4"/>
  <c r="CY130" i="4" s="1"/>
  <c r="BX128" i="4"/>
  <c r="BX130" i="4" s="1"/>
  <c r="CZ128" i="4"/>
  <c r="CZ130" i="4" s="1"/>
  <c r="DG85" i="4"/>
  <c r="DH128" i="4"/>
  <c r="DH130" i="4" s="1"/>
  <c r="DZ128" i="4"/>
  <c r="DZ130" i="4" s="1"/>
  <c r="DU128" i="4"/>
  <c r="DU130" i="4" s="1"/>
  <c r="BX85" i="4"/>
  <c r="CK85" i="4"/>
  <c r="BG128" i="4"/>
  <c r="BG130" i="4" s="1"/>
  <c r="DL128" i="4"/>
  <c r="DL130" i="4" s="1"/>
  <c r="CR128" i="4"/>
  <c r="CR130" i="4" s="1"/>
  <c r="CR85" i="4"/>
  <c r="DC128" i="4"/>
  <c r="DC130" i="4" s="1"/>
  <c r="BV128" i="4"/>
  <c r="BV130" i="4" s="1"/>
  <c r="BV85" i="4"/>
  <c r="EA128" i="4"/>
  <c r="EA130" i="4" s="1"/>
  <c r="EA85" i="4"/>
  <c r="DA88" i="9"/>
  <c r="DG88" i="9"/>
  <c r="DF88" i="9"/>
  <c r="CT88" i="9"/>
  <c r="DC88" i="9"/>
  <c r="CJ88" i="9"/>
  <c r="CO88" i="9"/>
  <c r="BQ128" i="4"/>
  <c r="BQ130" i="4" s="1"/>
  <c r="CZ85" i="4"/>
  <c r="DE128" i="4"/>
  <c r="DE130" i="4" s="1"/>
  <c r="CY85" i="4"/>
  <c r="DH85" i="4"/>
  <c r="CT128" i="4"/>
  <c r="CT130" i="4" s="1"/>
  <c r="CT85" i="4"/>
  <c r="BR85" i="4"/>
  <c r="BR128" i="4"/>
  <c r="BR130" i="4" s="1"/>
  <c r="CM85" i="4"/>
  <c r="CM128" i="4"/>
  <c r="CM130" i="4" s="1"/>
  <c r="BJ85" i="4"/>
  <c r="CC128" i="4"/>
  <c r="CC130" i="4" s="1"/>
  <c r="CC85" i="4"/>
  <c r="DJ85" i="4"/>
  <c r="BA128" i="4"/>
  <c r="BA130" i="4" s="1"/>
  <c r="CP128" i="4"/>
  <c r="CP130" i="4" s="1"/>
  <c r="DV128" i="4"/>
  <c r="DV130" i="4" s="1"/>
  <c r="BO128" i="4"/>
  <c r="BO130" i="4" s="1"/>
  <c r="BA85" i="4"/>
  <c r="DR128" i="4"/>
  <c r="DR130" i="4" s="1"/>
  <c r="DR85" i="4"/>
  <c r="CF85" i="4"/>
  <c r="CP85" i="4"/>
  <c r="BO85" i="4"/>
  <c r="BQ85" i="4"/>
  <c r="DQ85" i="4"/>
  <c r="DQ128" i="4"/>
  <c r="DQ130" i="4" s="1"/>
  <c r="DW85" i="4"/>
  <c r="DB128" i="4"/>
  <c r="DB130" i="4" s="1"/>
  <c r="BK85" i="4"/>
  <c r="BI128" i="4"/>
  <c r="BI130" i="4" s="1"/>
  <c r="CN85" i="4"/>
  <c r="BK128" i="4"/>
  <c r="BK130" i="4" s="1"/>
  <c r="BS128" i="4"/>
  <c r="BS130" i="4" s="1"/>
  <c r="BC128" i="4"/>
  <c r="BC130" i="4" s="1"/>
  <c r="BC85" i="4"/>
  <c r="EB128" i="4"/>
  <c r="EB130" i="4" s="1"/>
  <c r="EB85" i="4"/>
  <c r="DJ128" i="4"/>
  <c r="DJ130" i="4" s="1"/>
  <c r="DW128" i="4"/>
  <c r="DW130" i="4" s="1"/>
  <c r="CS128" i="4"/>
  <c r="CS130" i="4" s="1"/>
  <c r="DS85" i="4"/>
  <c r="CQ128" i="4"/>
  <c r="CQ130" i="4" s="1"/>
  <c r="BU85" i="4"/>
  <c r="CV128" i="4"/>
  <c r="CV130" i="4" s="1"/>
  <c r="CE128" i="4"/>
  <c r="CE130" i="4" s="1"/>
  <c r="CV85" i="4"/>
  <c r="CE85" i="4"/>
  <c r="DM128" i="4"/>
  <c r="DM130" i="4" s="1"/>
  <c r="DN128" i="4"/>
  <c r="DN130" i="4" s="1"/>
  <c r="DM85" i="4"/>
  <c r="BS85" i="4"/>
  <c r="DN85" i="4"/>
  <c r="CJ85" i="4"/>
  <c r="CI85" i="4"/>
  <c r="CS85" i="4"/>
  <c r="BE128" i="4"/>
  <c r="BE130" i="4" s="1"/>
  <c r="CI128" i="4"/>
  <c r="CI130" i="4" s="1"/>
  <c r="CW85" i="4"/>
  <c r="Q25" i="9"/>
  <c r="DS128" i="4"/>
  <c r="DS130" i="4" s="1"/>
  <c r="BF128" i="4"/>
  <c r="BF130" i="4" s="1"/>
  <c r="BF85" i="4"/>
  <c r="BE85" i="4"/>
  <c r="CA128" i="4"/>
  <c r="CA130" i="4" s="1"/>
  <c r="DX128" i="4"/>
  <c r="DX130" i="4" s="1"/>
  <c r="DX85" i="4"/>
  <c r="DI88" i="9"/>
  <c r="DV88" i="9"/>
  <c r="BI88" i="9"/>
  <c r="BE88" i="9"/>
  <c r="BQ88" i="9"/>
  <c r="CE88" i="9"/>
  <c r="CH88" i="9"/>
  <c r="DB88" i="9"/>
  <c r="BZ88" i="9"/>
  <c r="DH88" i="9"/>
  <c r="BX88" i="9"/>
  <c r="N25" i="9"/>
  <c r="CD88" i="9"/>
  <c r="CR88" i="9"/>
  <c r="CK88" i="9"/>
  <c r="BJ88" i="9"/>
  <c r="CI88" i="9"/>
  <c r="BF88" i="9"/>
  <c r="BV88" i="9"/>
  <c r="BN88" i="9"/>
  <c r="AV88" i="9"/>
  <c r="BA88" i="9"/>
  <c r="CW88" i="9"/>
  <c r="CM88" i="9"/>
  <c r="DE88" i="9"/>
  <c r="DR88" i="9"/>
  <c r="DQ88" i="9"/>
  <c r="DT88" i="9"/>
  <c r="AX88" i="9"/>
  <c r="AZ88" i="9"/>
  <c r="BL88" i="9"/>
  <c r="DM88" i="9"/>
  <c r="CS88" i="9"/>
  <c r="DT85" i="4"/>
  <c r="CU128" i="4"/>
  <c r="CU130" i="4" s="1"/>
  <c r="BY128" i="4"/>
  <c r="BY130" i="4" s="1"/>
  <c r="CQ88" i="9"/>
  <c r="BO88" i="9"/>
  <c r="DW88" i="9"/>
  <c r="DS88" i="9"/>
  <c r="BK88" i="9"/>
  <c r="CH128" i="4"/>
  <c r="CH130" i="4" s="1"/>
  <c r="BT85" i="4"/>
  <c r="CC88" i="9"/>
  <c r="DT128" i="4"/>
  <c r="DT130" i="4" s="1"/>
  <c r="CH85" i="4"/>
  <c r="BN85" i="4"/>
  <c r="BY85" i="4"/>
  <c r="BN128" i="4"/>
  <c r="BN130" i="4" s="1"/>
  <c r="DD128" i="4"/>
  <c r="DD130" i="4" s="1"/>
  <c r="BL85" i="4"/>
  <c r="CX128" i="4"/>
  <c r="CX130" i="4" s="1"/>
  <c r="DC85" i="4"/>
  <c r="CG128" i="4"/>
  <c r="CG130" i="4" s="1"/>
  <c r="CF128" i="4"/>
  <c r="CF130" i="4" s="1"/>
  <c r="CB128" i="4"/>
  <c r="CB130" i="4" s="1"/>
  <c r="CB85" i="4"/>
  <c r="CU85" i="4"/>
  <c r="CD85" i="4"/>
  <c r="CD128" i="4"/>
  <c r="CD130" i="4" s="1"/>
  <c r="CQ85" i="4"/>
  <c r="CA85" i="4"/>
  <c r="BT128" i="4"/>
  <c r="BT130" i="4" s="1"/>
  <c r="CW128" i="4"/>
  <c r="CW130" i="4" s="1"/>
  <c r="BZ128" i="4"/>
  <c r="BZ130" i="4" s="1"/>
  <c r="BI85" i="4"/>
  <c r="DD85" i="4"/>
  <c r="BL128" i="4"/>
  <c r="BL130" i="4" s="1"/>
  <c r="DF128" i="4"/>
  <c r="DF130" i="4" s="1"/>
  <c r="CX85" i="4"/>
  <c r="CJ128" i="4"/>
  <c r="CJ130" i="4" s="1"/>
  <c r="DE85" i="4"/>
  <c r="DV85" i="4"/>
  <c r="BJ128" i="4"/>
  <c r="BJ130" i="4" s="1"/>
  <c r="DK85" i="4"/>
  <c r="DB85" i="4"/>
  <c r="AY128" i="4"/>
  <c r="AY130" i="4" s="1"/>
  <c r="DL85" i="4"/>
  <c r="BU128" i="4"/>
  <c r="BU130" i="4" s="1"/>
  <c r="DU85" i="4"/>
  <c r="BZ85" i="4"/>
  <c r="CG85" i="4"/>
  <c r="CA88" i="9"/>
  <c r="BY88" i="9"/>
  <c r="CG88" i="9"/>
  <c r="DO88" i="9"/>
  <c r="BU88" i="9"/>
  <c r="BT88" i="9"/>
  <c r="BD85" i="4"/>
  <c r="DI85" i="4"/>
  <c r="BP85" i="4"/>
  <c r="CB73" i="9"/>
  <c r="N24" i="9"/>
  <c r="Q36" i="9"/>
  <c r="DL86" i="9"/>
  <c r="Q39" i="9" s="1"/>
  <c r="AW88" i="9"/>
  <c r="BD86" i="9"/>
  <c r="L39" i="9" s="1"/>
  <c r="L36" i="9"/>
  <c r="M25" i="9"/>
  <c r="O25" i="9"/>
  <c r="CB86" i="9"/>
  <c r="N39" i="9" s="1"/>
  <c r="N36" i="9"/>
  <c r="L25" i="9"/>
  <c r="BB128" i="4"/>
  <c r="BB130" i="4" s="1"/>
  <c r="BD128" i="4"/>
  <c r="BD130" i="4" s="1"/>
  <c r="DI128" i="4"/>
  <c r="DI130" i="4" s="1"/>
  <c r="CX88" i="9"/>
  <c r="AY88" i="9"/>
  <c r="CL88" i="9"/>
  <c r="BR88" i="9"/>
  <c r="CU88" i="9"/>
  <c r="BP86" i="9"/>
  <c r="M39" i="9" s="1"/>
  <c r="M36" i="9"/>
  <c r="DN88" i="9"/>
  <c r="O36" i="9"/>
  <c r="CN86" i="9"/>
  <c r="O39" i="9" s="1"/>
  <c r="BB85" i="4"/>
  <c r="DP128" i="4"/>
  <c r="DP130" i="4" s="1"/>
  <c r="BP128" i="4"/>
  <c r="BP130" i="4" s="1"/>
  <c r="DO128" i="4"/>
  <c r="DO130" i="4" s="1"/>
  <c r="DA128" i="4"/>
  <c r="DA130" i="4" s="1"/>
  <c r="AZ111" i="4"/>
  <c r="AZ125" i="4" s="1"/>
  <c r="AU83" i="9" s="1"/>
  <c r="AU86" i="9" s="1"/>
  <c r="AU72" i="9"/>
  <c r="AU73" i="9" s="1"/>
  <c r="DP85" i="4"/>
  <c r="DY128" i="4"/>
  <c r="DY130" i="4" s="1"/>
  <c r="DU88" i="9"/>
  <c r="CN73" i="9"/>
  <c r="O24" i="9"/>
  <c r="CV88" i="9"/>
  <c r="DK88" i="9"/>
  <c r="DJ88" i="9"/>
  <c r="CP88" i="9"/>
  <c r="BG88" i="9"/>
  <c r="BS88" i="9"/>
  <c r="P25" i="9"/>
  <c r="CZ73" i="9"/>
  <c r="P24" i="9"/>
  <c r="BH88" i="9"/>
  <c r="DO85" i="4"/>
  <c r="DA85" i="4"/>
  <c r="CO128" i="4"/>
  <c r="CO130" i="4" s="1"/>
  <c r="DY85" i="4"/>
  <c r="CL128" i="4"/>
  <c r="CL130" i="4" s="1"/>
  <c r="AY85" i="4"/>
  <c r="CO85" i="4"/>
  <c r="DL73" i="9"/>
  <c r="Q24" i="9"/>
  <c r="BW88" i="9"/>
  <c r="BP73" i="9"/>
  <c r="M24" i="9"/>
  <c r="P36" i="9"/>
  <c r="CZ86" i="9"/>
  <c r="P39" i="9" s="1"/>
  <c r="DP88" i="9"/>
  <c r="CY88" i="9"/>
  <c r="DD88" i="9"/>
  <c r="BM88" i="9"/>
  <c r="CL85" i="4"/>
  <c r="BW85" i="4"/>
  <c r="BM85" i="4"/>
  <c r="BW128" i="4"/>
  <c r="BW130" i="4" s="1"/>
  <c r="BM128" i="4"/>
  <c r="BM130" i="4" s="1"/>
  <c r="BD73" i="9"/>
  <c r="L24" i="9"/>
  <c r="CF88" i="9"/>
  <c r="AM85" i="4"/>
  <c r="AT88" i="9"/>
  <c r="AD85" i="4"/>
  <c r="N85" i="4"/>
  <c r="AV128" i="4"/>
  <c r="AV130" i="4" s="1"/>
  <c r="AA128" i="4"/>
  <c r="AA130" i="4" s="1"/>
  <c r="AV85" i="4"/>
  <c r="AD128" i="4"/>
  <c r="AD130" i="4" s="1"/>
  <c r="AX128" i="4"/>
  <c r="AX130" i="4" s="1"/>
  <c r="N128" i="4"/>
  <c r="N130" i="4" s="1"/>
  <c r="AP128" i="4"/>
  <c r="AP130" i="4" s="1"/>
  <c r="AP85" i="4"/>
  <c r="AL128" i="4"/>
  <c r="AL130" i="4" s="1"/>
  <c r="AG128" i="4"/>
  <c r="AG130" i="4" s="1"/>
  <c r="AX85" i="4"/>
  <c r="AG85" i="4"/>
  <c r="AO85" i="4"/>
  <c r="AS73" i="9"/>
  <c r="Q128" i="4"/>
  <c r="Q130" i="4" s="1"/>
  <c r="Q85" i="4"/>
  <c r="AO128" i="4"/>
  <c r="AO130" i="4" s="1"/>
  <c r="AL85" i="4"/>
  <c r="AH85" i="4"/>
  <c r="AK128" i="4"/>
  <c r="AK130" i="4" s="1"/>
  <c r="V85" i="4"/>
  <c r="U85" i="4"/>
  <c r="V128" i="4"/>
  <c r="V130" i="4" s="1"/>
  <c r="AJ85" i="4"/>
  <c r="AF73" i="9"/>
  <c r="J26" i="9" s="1"/>
  <c r="J25" i="9"/>
  <c r="H73" i="9"/>
  <c r="H26" i="9" s="1"/>
  <c r="H25" i="9"/>
  <c r="T73" i="9"/>
  <c r="I26" i="9" s="1"/>
  <c r="I25" i="9"/>
  <c r="AF86" i="9"/>
  <c r="T86" i="9"/>
  <c r="I39" i="9" s="1"/>
  <c r="I36" i="9"/>
  <c r="AR86" i="9"/>
  <c r="AU128" i="4"/>
  <c r="AU130" i="4" s="1"/>
  <c r="AA85" i="4"/>
  <c r="T128" i="4"/>
  <c r="T130" i="4" s="1"/>
  <c r="T85" i="4"/>
  <c r="AS85" i="4"/>
  <c r="AS128" i="4"/>
  <c r="AS130" i="4" s="1"/>
  <c r="O85" i="4"/>
  <c r="AH128" i="4"/>
  <c r="AH130" i="4" s="1"/>
  <c r="O128" i="4"/>
  <c r="O130" i="4" s="1"/>
  <c r="AE128" i="4"/>
  <c r="AE130" i="4" s="1"/>
  <c r="AE85" i="4"/>
  <c r="AK85" i="4"/>
  <c r="AJ128" i="4"/>
  <c r="AJ130" i="4" s="1"/>
  <c r="Z85" i="4"/>
  <c r="U128" i="4"/>
  <c r="U130" i="4" s="1"/>
  <c r="Y128" i="4"/>
  <c r="Y130" i="4" s="1"/>
  <c r="S128" i="4"/>
  <c r="S130" i="4" s="1"/>
  <c r="Y85" i="4"/>
  <c r="S85" i="4"/>
  <c r="W128" i="4"/>
  <c r="W130" i="4" s="1"/>
  <c r="AC128" i="4"/>
  <c r="AC130" i="4" s="1"/>
  <c r="X85" i="4"/>
  <c r="R85" i="4"/>
  <c r="AC85" i="4"/>
  <c r="AI128" i="4"/>
  <c r="AI130" i="4" s="1"/>
  <c r="AI85" i="4"/>
  <c r="AF85" i="4"/>
  <c r="Z128" i="4"/>
  <c r="Z130" i="4" s="1"/>
  <c r="AT85" i="4"/>
  <c r="AQ128" i="4"/>
  <c r="AQ130" i="4" s="1"/>
  <c r="AU85" i="4"/>
  <c r="W85" i="4"/>
  <c r="AQ85" i="4"/>
  <c r="AN85" i="4"/>
  <c r="AN128" i="4"/>
  <c r="AN130" i="4" s="1"/>
  <c r="AB128" i="4"/>
  <c r="AB130" i="4" s="1"/>
  <c r="R128" i="4"/>
  <c r="R130" i="4" s="1"/>
  <c r="X128" i="4"/>
  <c r="X130" i="4" s="1"/>
  <c r="AF128" i="4"/>
  <c r="AF130" i="4" s="1"/>
  <c r="AB85" i="4"/>
  <c r="P128" i="4"/>
  <c r="P130" i="4" s="1"/>
  <c r="P85" i="4"/>
  <c r="AM128" i="4"/>
  <c r="AM130" i="4" s="1"/>
  <c r="N88" i="9"/>
  <c r="M125" i="4"/>
  <c r="M128" i="4" s="1"/>
  <c r="M130" i="4" s="1"/>
  <c r="AT128" i="4"/>
  <c r="AT130" i="4" s="1"/>
  <c r="AB88" i="9"/>
  <c r="I88" i="9"/>
  <c r="Z88" i="9"/>
  <c r="P88" i="9"/>
  <c r="AE88" i="9"/>
  <c r="AJ88" i="9"/>
  <c r="AK88" i="9"/>
  <c r="Q88" i="9"/>
  <c r="AN88" i="9"/>
  <c r="AC88" i="9"/>
  <c r="AL88" i="9"/>
  <c r="J88" i="9"/>
  <c r="AD88" i="9"/>
  <c r="AA88" i="9"/>
  <c r="X88" i="9"/>
  <c r="W88" i="9"/>
  <c r="U88" i="9"/>
  <c r="R88" i="9"/>
  <c r="AP88" i="9"/>
  <c r="AH88" i="9"/>
  <c r="AG88" i="9"/>
  <c r="L88" i="9"/>
  <c r="V88" i="9"/>
  <c r="O88" i="9"/>
  <c r="AQ88" i="9"/>
  <c r="Y88" i="9"/>
  <c r="K88" i="9"/>
  <c r="AI88" i="9"/>
  <c r="AO88" i="9"/>
  <c r="S88" i="9"/>
  <c r="M88" i="9"/>
  <c r="I45" i="7"/>
  <c r="I135" i="4" s="1"/>
  <c r="E135" i="4" s="1"/>
  <c r="H35" i="7"/>
  <c r="I108" i="4"/>
  <c r="AW85" i="4"/>
  <c r="H162" i="4"/>
  <c r="AR111" i="4"/>
  <c r="AR125" i="4" s="1"/>
  <c r="AM83" i="9" s="1"/>
  <c r="AM86" i="9" s="1"/>
  <c r="AM88" i="9" s="1"/>
  <c r="AZ85" i="4" l="1"/>
  <c r="AZ128" i="4"/>
  <c r="AZ130" i="4" s="1"/>
  <c r="K36" i="9"/>
  <c r="AU88" i="9"/>
  <c r="K25" i="9"/>
  <c r="K26" i="9"/>
  <c r="BD88" i="9"/>
  <c r="L26" i="9"/>
  <c r="BP88" i="9"/>
  <c r="M26" i="9"/>
  <c r="CB88" i="9"/>
  <c r="N26" i="9"/>
  <c r="DL88" i="9"/>
  <c r="Q26" i="9"/>
  <c r="CN88" i="9"/>
  <c r="O26" i="9"/>
  <c r="CZ88" i="9"/>
  <c r="P26" i="9"/>
  <c r="G160" i="4"/>
  <c r="E108" i="4"/>
  <c r="H45" i="7"/>
  <c r="I5" i="7" s="1"/>
  <c r="AS88" i="9"/>
  <c r="AF88" i="9"/>
  <c r="J41" i="9" s="1"/>
  <c r="T88" i="9"/>
  <c r="I41" i="9" s="1"/>
  <c r="J36" i="9"/>
  <c r="J39" i="9"/>
  <c r="AR88" i="9"/>
  <c r="K39" i="9"/>
  <c r="H83" i="9"/>
  <c r="G183" i="4"/>
  <c r="G184" i="4" s="1"/>
  <c r="H135" i="4"/>
  <c r="I136" i="4"/>
  <c r="H136" i="4" s="1"/>
  <c r="O135" i="4"/>
  <c r="O136" i="4" s="1"/>
  <c r="M135" i="4"/>
  <c r="M136" i="4" s="1"/>
  <c r="N135" i="4"/>
  <c r="N136" i="4" s="1"/>
  <c r="P135" i="4"/>
  <c r="P136" i="4" s="1"/>
  <c r="Q135" i="4"/>
  <c r="Q136" i="4" s="1"/>
  <c r="R135" i="4"/>
  <c r="R136" i="4" s="1"/>
  <c r="S135" i="4"/>
  <c r="S136" i="4" s="1"/>
  <c r="T135" i="4"/>
  <c r="T136" i="4" s="1"/>
  <c r="U135" i="4"/>
  <c r="U136" i="4" s="1"/>
  <c r="V135" i="4"/>
  <c r="V136" i="4" s="1"/>
  <c r="W135" i="4"/>
  <c r="W136" i="4" s="1"/>
  <c r="X135" i="4"/>
  <c r="X136" i="4" s="1"/>
  <c r="Y135" i="4"/>
  <c r="Y136" i="4" s="1"/>
  <c r="Z135" i="4"/>
  <c r="Z136" i="4" s="1"/>
  <c r="AA135" i="4"/>
  <c r="AA136" i="4" s="1"/>
  <c r="AB135" i="4"/>
  <c r="AB136" i="4" s="1"/>
  <c r="AC135" i="4"/>
  <c r="AC136" i="4" s="1"/>
  <c r="AD135" i="4"/>
  <c r="AD136" i="4" s="1"/>
  <c r="AE135" i="4"/>
  <c r="AE136" i="4" s="1"/>
  <c r="AF135" i="4"/>
  <c r="AF136" i="4" s="1"/>
  <c r="AG135" i="4"/>
  <c r="AG136" i="4" s="1"/>
  <c r="AH135" i="4"/>
  <c r="AH136" i="4" s="1"/>
  <c r="AI135" i="4"/>
  <c r="AI136" i="4" s="1"/>
  <c r="AJ135" i="4"/>
  <c r="AJ136" i="4" s="1"/>
  <c r="AK135" i="4"/>
  <c r="AK136" i="4" s="1"/>
  <c r="AL135" i="4"/>
  <c r="AL136" i="4" s="1"/>
  <c r="AM135" i="4"/>
  <c r="AM136" i="4" s="1"/>
  <c r="AN135" i="4"/>
  <c r="AN136" i="4" s="1"/>
  <c r="AO135" i="4"/>
  <c r="AO136" i="4" s="1"/>
  <c r="AP135" i="4"/>
  <c r="AP136" i="4" s="1"/>
  <c r="AQ135" i="4"/>
  <c r="AQ136" i="4" s="1"/>
  <c r="AR135" i="4"/>
  <c r="AR136" i="4" s="1"/>
  <c r="AM90" i="9" s="1"/>
  <c r="AM92" i="9" s="1"/>
  <c r="AS135" i="4"/>
  <c r="AT135" i="4"/>
  <c r="AT136" i="4" s="1"/>
  <c r="AU135" i="4"/>
  <c r="AU136" i="4" s="1"/>
  <c r="AV135" i="4"/>
  <c r="AV136" i="4" s="1"/>
  <c r="AW135" i="4"/>
  <c r="AW136" i="4" s="1"/>
  <c r="AR90" i="9" s="1"/>
  <c r="AX135" i="4"/>
  <c r="AY135" i="4"/>
  <c r="AY136" i="4" s="1"/>
  <c r="AZ135" i="4"/>
  <c r="AZ136" i="4" s="1"/>
  <c r="BA135" i="4"/>
  <c r="BA136" i="4" s="1"/>
  <c r="BB135" i="4"/>
  <c r="BB136" i="4" s="1"/>
  <c r="BC135" i="4"/>
  <c r="BC136" i="4" s="1"/>
  <c r="BD135" i="4"/>
  <c r="BD136" i="4" s="1"/>
  <c r="BE135" i="4"/>
  <c r="BE136" i="4" s="1"/>
  <c r="BF135" i="4"/>
  <c r="BF136" i="4" s="1"/>
  <c r="BG135" i="4"/>
  <c r="BG136" i="4" s="1"/>
  <c r="BH135" i="4"/>
  <c r="BH136" i="4" s="1"/>
  <c r="BI135" i="4"/>
  <c r="BI136" i="4" s="1"/>
  <c r="BJ135" i="4"/>
  <c r="BJ136" i="4" s="1"/>
  <c r="BK135" i="4"/>
  <c r="BK136" i="4" s="1"/>
  <c r="BL135" i="4"/>
  <c r="BL136" i="4" s="1"/>
  <c r="BM135" i="4"/>
  <c r="BM136" i="4" s="1"/>
  <c r="BN135" i="4"/>
  <c r="BN136" i="4" s="1"/>
  <c r="BO135" i="4"/>
  <c r="BO136" i="4" s="1"/>
  <c r="BP135" i="4"/>
  <c r="BP136" i="4" s="1"/>
  <c r="BQ135" i="4"/>
  <c r="BQ136" i="4" s="1"/>
  <c r="BR135" i="4"/>
  <c r="BR136" i="4" s="1"/>
  <c r="BS135" i="4"/>
  <c r="BS136" i="4" s="1"/>
  <c r="BT135" i="4"/>
  <c r="BT136" i="4" s="1"/>
  <c r="BU135" i="4"/>
  <c r="BU136" i="4" s="1"/>
  <c r="BV135" i="4"/>
  <c r="BV136" i="4" s="1"/>
  <c r="BW135" i="4"/>
  <c r="BW136" i="4" s="1"/>
  <c r="BX135" i="4"/>
  <c r="BX136" i="4" s="1"/>
  <c r="BY135" i="4"/>
  <c r="BY136" i="4" s="1"/>
  <c r="BZ135" i="4"/>
  <c r="BZ136" i="4" s="1"/>
  <c r="CA135" i="4"/>
  <c r="CA136" i="4" s="1"/>
  <c r="CB135" i="4"/>
  <c r="CB136" i="4" s="1"/>
  <c r="CC135" i="4"/>
  <c r="CC136" i="4" s="1"/>
  <c r="CD135" i="4"/>
  <c r="CD136" i="4" s="1"/>
  <c r="CE135" i="4"/>
  <c r="CE136" i="4" s="1"/>
  <c r="CF135" i="4"/>
  <c r="CF136" i="4" s="1"/>
  <c r="CG135" i="4"/>
  <c r="CG136" i="4" s="1"/>
  <c r="CH135" i="4"/>
  <c r="CH136" i="4" s="1"/>
  <c r="CI135" i="4"/>
  <c r="CI136" i="4" s="1"/>
  <c r="CJ135" i="4"/>
  <c r="CJ136" i="4" s="1"/>
  <c r="CK135" i="4"/>
  <c r="CK136" i="4" s="1"/>
  <c r="CL135" i="4"/>
  <c r="CL136" i="4" s="1"/>
  <c r="CM135" i="4"/>
  <c r="CM136" i="4" s="1"/>
  <c r="CN135" i="4"/>
  <c r="CN136" i="4" s="1"/>
  <c r="CO135" i="4"/>
  <c r="CO136" i="4" s="1"/>
  <c r="CP135" i="4"/>
  <c r="CP136" i="4" s="1"/>
  <c r="CQ135" i="4"/>
  <c r="CQ136" i="4" s="1"/>
  <c r="CR135" i="4"/>
  <c r="CR136" i="4" s="1"/>
  <c r="CS135" i="4"/>
  <c r="CS136" i="4" s="1"/>
  <c r="CT135" i="4"/>
  <c r="CT136" i="4" s="1"/>
  <c r="CU135" i="4"/>
  <c r="CU136" i="4" s="1"/>
  <c r="CV135" i="4"/>
  <c r="CV136" i="4" s="1"/>
  <c r="CW135" i="4"/>
  <c r="CW136" i="4" s="1"/>
  <c r="CX135" i="4"/>
  <c r="CX136" i="4" s="1"/>
  <c r="CY135" i="4"/>
  <c r="CY136" i="4" s="1"/>
  <c r="CZ135" i="4"/>
  <c r="CZ136" i="4" s="1"/>
  <c r="DA135" i="4"/>
  <c r="DA136" i="4" s="1"/>
  <c r="DB135" i="4"/>
  <c r="DB136" i="4" s="1"/>
  <c r="DC135" i="4"/>
  <c r="DC136" i="4" s="1"/>
  <c r="DD135" i="4"/>
  <c r="DD136" i="4" s="1"/>
  <c r="DE135" i="4"/>
  <c r="DE136" i="4" s="1"/>
  <c r="DF135" i="4"/>
  <c r="DF136" i="4" s="1"/>
  <c r="DG135" i="4"/>
  <c r="DG136" i="4" s="1"/>
  <c r="DH135" i="4"/>
  <c r="DH136" i="4" s="1"/>
  <c r="DI135" i="4"/>
  <c r="DI136" i="4" s="1"/>
  <c r="DJ135" i="4"/>
  <c r="DJ136" i="4" s="1"/>
  <c r="DK135" i="4"/>
  <c r="DK136" i="4" s="1"/>
  <c r="DL135" i="4"/>
  <c r="DL136" i="4" s="1"/>
  <c r="DM135" i="4"/>
  <c r="DM136" i="4" s="1"/>
  <c r="DN135" i="4"/>
  <c r="DN136" i="4" s="1"/>
  <c r="DO135" i="4"/>
  <c r="DO136" i="4" s="1"/>
  <c r="DP135" i="4"/>
  <c r="DP136" i="4" s="1"/>
  <c r="DQ135" i="4"/>
  <c r="DQ136" i="4" s="1"/>
  <c r="DR135" i="4"/>
  <c r="DR136" i="4" s="1"/>
  <c r="DS135" i="4"/>
  <c r="DS136" i="4" s="1"/>
  <c r="DT135" i="4"/>
  <c r="DT136" i="4" s="1"/>
  <c r="DU135" i="4"/>
  <c r="DU136" i="4" s="1"/>
  <c r="DV135" i="4"/>
  <c r="DV136" i="4" s="1"/>
  <c r="DW135" i="4"/>
  <c r="DW136" i="4" s="1"/>
  <c r="DX135" i="4"/>
  <c r="DX136" i="4" s="1"/>
  <c r="DY135" i="4"/>
  <c r="DY136" i="4" s="1"/>
  <c r="DZ135" i="4"/>
  <c r="DZ136" i="4" s="1"/>
  <c r="EA135" i="4"/>
  <c r="EA136" i="4" s="1"/>
  <c r="EB135" i="4"/>
  <c r="EB136" i="4" s="1"/>
  <c r="EC135" i="4"/>
  <c r="EC136" i="4" s="1"/>
  <c r="EC138" i="4" s="1"/>
  <c r="JM55" i="4" s="1"/>
  <c r="ED135" i="4"/>
  <c r="ED136" i="4" s="1"/>
  <c r="ED138" i="4" s="1"/>
  <c r="JN55" i="4" s="1"/>
  <c r="EE135" i="4"/>
  <c r="EE136" i="4" s="1"/>
  <c r="EE138" i="4" s="1"/>
  <c r="JO55" i="4" s="1"/>
  <c r="EF135" i="4"/>
  <c r="EF136" i="4" s="1"/>
  <c r="EF138" i="4" s="1"/>
  <c r="JP55" i="4" s="1"/>
  <c r="EG135" i="4"/>
  <c r="EG136" i="4" s="1"/>
  <c r="EG138" i="4" s="1"/>
  <c r="JQ55" i="4" s="1"/>
  <c r="EH135" i="4"/>
  <c r="EH136" i="4" s="1"/>
  <c r="EH138" i="4" s="1"/>
  <c r="JR55" i="4" s="1"/>
  <c r="EI135" i="4"/>
  <c r="EI136" i="4" s="1"/>
  <c r="EI138" i="4" s="1"/>
  <c r="JS55" i="4" s="1"/>
  <c r="EJ135" i="4"/>
  <c r="EJ136" i="4" s="1"/>
  <c r="EJ138" i="4" s="1"/>
  <c r="JT55" i="4" s="1"/>
  <c r="EK135" i="4"/>
  <c r="EK136" i="4" s="1"/>
  <c r="EK138" i="4" s="1"/>
  <c r="JU55" i="4" s="1"/>
  <c r="EL135" i="4"/>
  <c r="EL136" i="4" s="1"/>
  <c r="EL138" i="4" s="1"/>
  <c r="JV55" i="4" s="1"/>
  <c r="EN135" i="4"/>
  <c r="EN136" i="4" s="1"/>
  <c r="EN138" i="4" s="1"/>
  <c r="JX55" i="4" s="1"/>
  <c r="EM135" i="4"/>
  <c r="EM136" i="4" s="1"/>
  <c r="EM138" i="4" s="1"/>
  <c r="JW55" i="4" s="1"/>
  <c r="H163" i="4"/>
  <c r="I162" i="4"/>
  <c r="I163" i="4" s="1"/>
  <c r="AW128" i="4"/>
  <c r="AW130" i="4" s="1"/>
  <c r="AR85" i="4"/>
  <c r="H108" i="4"/>
  <c r="G108" i="4"/>
  <c r="G109" i="4" s="1"/>
  <c r="G111" i="4" s="1"/>
  <c r="I109" i="4"/>
  <c r="G161" i="4"/>
  <c r="G163" i="4" s="1"/>
  <c r="DE138" i="4" l="1"/>
  <c r="CZ90" i="9"/>
  <c r="CG138" i="4"/>
  <c r="CB90" i="9"/>
  <c r="CB92" i="9" s="1"/>
  <c r="BI138" i="4"/>
  <c r="BD90" i="9"/>
  <c r="DC138" i="4"/>
  <c r="CX90" i="9"/>
  <c r="CX92" i="9" s="1"/>
  <c r="CX100" i="9" s="1"/>
  <c r="CE138" i="4"/>
  <c r="BZ90" i="9"/>
  <c r="BZ92" i="9" s="1"/>
  <c r="BZ100" i="9" s="1"/>
  <c r="DR138" i="4"/>
  <c r="DM90" i="9"/>
  <c r="DM92" i="9" s="1"/>
  <c r="DM100" i="9" s="1"/>
  <c r="CT138" i="4"/>
  <c r="CO90" i="9"/>
  <c r="CO92" i="9" s="1"/>
  <c r="CO100" i="9" s="1"/>
  <c r="BV138" i="4"/>
  <c r="BQ90" i="9"/>
  <c r="BQ92" i="9" s="1"/>
  <c r="BQ100" i="9" s="1"/>
  <c r="DJ138" i="4"/>
  <c r="DE90" i="9"/>
  <c r="DE92" i="9" s="1"/>
  <c r="DE100" i="9" s="1"/>
  <c r="CL138" i="4"/>
  <c r="CG90" i="9"/>
  <c r="CG92" i="9" s="1"/>
  <c r="CG100" i="9" s="1"/>
  <c r="BN138" i="4"/>
  <c r="BI90" i="9"/>
  <c r="BI92" i="9" s="1"/>
  <c r="BI100" i="9" s="1"/>
  <c r="DY138" i="4"/>
  <c r="DT90" i="9"/>
  <c r="DT92" i="9" s="1"/>
  <c r="DT100" i="9" s="1"/>
  <c r="DQ138" i="4"/>
  <c r="DL90" i="9"/>
  <c r="DI138" i="4"/>
  <c r="DD90" i="9"/>
  <c r="DD92" i="9" s="1"/>
  <c r="DD100" i="9" s="1"/>
  <c r="DA138" i="4"/>
  <c r="CV90" i="9"/>
  <c r="CV92" i="9" s="1"/>
  <c r="CV100" i="9" s="1"/>
  <c r="CS138" i="4"/>
  <c r="CN90" i="9"/>
  <c r="CK138" i="4"/>
  <c r="CF90" i="9"/>
  <c r="CF92" i="9" s="1"/>
  <c r="CF100" i="9" s="1"/>
  <c r="CC138" i="4"/>
  <c r="BX90" i="9"/>
  <c r="BX92" i="9" s="1"/>
  <c r="BX100" i="9" s="1"/>
  <c r="BU138" i="4"/>
  <c r="BP90" i="9"/>
  <c r="BP92" i="9" s="1"/>
  <c r="BM138" i="4"/>
  <c r="BH90" i="9"/>
  <c r="BH92" i="9" s="1"/>
  <c r="BH100" i="9" s="1"/>
  <c r="BE138" i="4"/>
  <c r="AZ90" i="9"/>
  <c r="AZ92" i="9" s="1"/>
  <c r="AZ100" i="9" s="1"/>
  <c r="N41" i="9"/>
  <c r="CO138" i="4"/>
  <c r="CJ90" i="9"/>
  <c r="CJ92" i="9" s="1"/>
  <c r="CJ100" i="9" s="1"/>
  <c r="BA138" i="4"/>
  <c r="AV90" i="9"/>
  <c r="AV92" i="9" s="1"/>
  <c r="AV100" i="9" s="1"/>
  <c r="EA138" i="4"/>
  <c r="DV90" i="9"/>
  <c r="DV92" i="9" s="1"/>
  <c r="DV100" i="9" s="1"/>
  <c r="CU138" i="4"/>
  <c r="CP90" i="9"/>
  <c r="CP92" i="9" s="1"/>
  <c r="CP100" i="9" s="1"/>
  <c r="BO138" i="4"/>
  <c r="BJ90" i="9"/>
  <c r="BJ92" i="9" s="1"/>
  <c r="BJ100" i="9" s="1"/>
  <c r="CZ92" i="9"/>
  <c r="P41" i="9"/>
  <c r="DZ138" i="4"/>
  <c r="DU90" i="9"/>
  <c r="DU92" i="9" s="1"/>
  <c r="DU100" i="9" s="1"/>
  <c r="DB138" i="4"/>
  <c r="CW90" i="9"/>
  <c r="CW92" i="9" s="1"/>
  <c r="CW100" i="9" s="1"/>
  <c r="CD138" i="4"/>
  <c r="BY90" i="9"/>
  <c r="BY92" i="9" s="1"/>
  <c r="BY100" i="9" s="1"/>
  <c r="BF138" i="4"/>
  <c r="BA90" i="9"/>
  <c r="BA92" i="9" s="1"/>
  <c r="BA100" i="9" s="1"/>
  <c r="DX138" i="4"/>
  <c r="DS90" i="9"/>
  <c r="DS92" i="9" s="1"/>
  <c r="DS100" i="9" s="1"/>
  <c r="DP138" i="4"/>
  <c r="DK90" i="9"/>
  <c r="DK92" i="9" s="1"/>
  <c r="DK100" i="9" s="1"/>
  <c r="DH138" i="4"/>
  <c r="DC90" i="9"/>
  <c r="DC92" i="9" s="1"/>
  <c r="DC100" i="9" s="1"/>
  <c r="CZ138" i="4"/>
  <c r="CU90" i="9"/>
  <c r="CU92" i="9" s="1"/>
  <c r="CU100" i="9" s="1"/>
  <c r="CR138" i="4"/>
  <c r="CM90" i="9"/>
  <c r="CM92" i="9" s="1"/>
  <c r="CM100" i="9" s="1"/>
  <c r="CJ138" i="4"/>
  <c r="CE90" i="9"/>
  <c r="CE92" i="9" s="1"/>
  <c r="CE100" i="9" s="1"/>
  <c r="CB138" i="4"/>
  <c r="BW90" i="9"/>
  <c r="BW92" i="9" s="1"/>
  <c r="BW100" i="9" s="1"/>
  <c r="BT138" i="4"/>
  <c r="BO90" i="9"/>
  <c r="BO92" i="9" s="1"/>
  <c r="BO100" i="9" s="1"/>
  <c r="BL138" i="4"/>
  <c r="BG90" i="9"/>
  <c r="BG92" i="9" s="1"/>
  <c r="BG100" i="9" s="1"/>
  <c r="BD138" i="4"/>
  <c r="AY90" i="9"/>
  <c r="AY92" i="9" s="1"/>
  <c r="AY100" i="9" s="1"/>
  <c r="DU138" i="4"/>
  <c r="DP90" i="9"/>
  <c r="DP92" i="9" s="1"/>
  <c r="DP100" i="9" s="1"/>
  <c r="BQ138" i="4"/>
  <c r="BL90" i="9"/>
  <c r="BL92" i="9" s="1"/>
  <c r="BL100" i="9" s="1"/>
  <c r="DK138" i="4"/>
  <c r="DF90" i="9"/>
  <c r="DF92" i="9" s="1"/>
  <c r="DF100" i="9" s="1"/>
  <c r="BW138" i="4"/>
  <c r="BR90" i="9"/>
  <c r="BR92" i="9" s="1"/>
  <c r="BR100" i="9" s="1"/>
  <c r="DO138" i="4"/>
  <c r="DJ90" i="9"/>
  <c r="DJ92" i="9" s="1"/>
  <c r="DJ100" i="9" s="1"/>
  <c r="CY138" i="4"/>
  <c r="CT90" i="9"/>
  <c r="CT92" i="9" s="1"/>
  <c r="CT100" i="9" s="1"/>
  <c r="CI138" i="4"/>
  <c r="CD90" i="9"/>
  <c r="CD92" i="9" s="1"/>
  <c r="CD100" i="9" s="1"/>
  <c r="BK138" i="4"/>
  <c r="BF90" i="9"/>
  <c r="BF92" i="9" s="1"/>
  <c r="BF100" i="9" s="1"/>
  <c r="DM138" i="4"/>
  <c r="DH90" i="9"/>
  <c r="DH92" i="9" s="1"/>
  <c r="DH100" i="9" s="1"/>
  <c r="BY138" i="4"/>
  <c r="BT90" i="9"/>
  <c r="BT92" i="9" s="1"/>
  <c r="BT100" i="9" s="1"/>
  <c r="DS138" i="4"/>
  <c r="DN90" i="9"/>
  <c r="DN92" i="9" s="1"/>
  <c r="DN100" i="9" s="1"/>
  <c r="CM138" i="4"/>
  <c r="CH90" i="9"/>
  <c r="CH92" i="9" s="1"/>
  <c r="CH100" i="9" s="1"/>
  <c r="BG138" i="4"/>
  <c r="BB90" i="9"/>
  <c r="BB92" i="9" s="1"/>
  <c r="BB100" i="9" s="1"/>
  <c r="DW138" i="4"/>
  <c r="DR90" i="9"/>
  <c r="DR92" i="9" s="1"/>
  <c r="DR100" i="9" s="1"/>
  <c r="DG138" i="4"/>
  <c r="DB90" i="9"/>
  <c r="DB92" i="9" s="1"/>
  <c r="DB100" i="9" s="1"/>
  <c r="CQ138" i="4"/>
  <c r="CL90" i="9"/>
  <c r="CL92" i="9" s="1"/>
  <c r="CL100" i="9" s="1"/>
  <c r="CA138" i="4"/>
  <c r="BV90" i="9"/>
  <c r="BV92" i="9" s="1"/>
  <c r="BV100" i="9" s="1"/>
  <c r="BS138" i="4"/>
  <c r="BN90" i="9"/>
  <c r="BN92" i="9" s="1"/>
  <c r="BN100" i="9" s="1"/>
  <c r="BC138" i="4"/>
  <c r="AX90" i="9"/>
  <c r="AX92" i="9" s="1"/>
  <c r="AX100" i="9" s="1"/>
  <c r="DV138" i="4"/>
  <c r="DQ90" i="9"/>
  <c r="DQ92" i="9" s="1"/>
  <c r="DQ100" i="9" s="1"/>
  <c r="DN138" i="4"/>
  <c r="DI90" i="9"/>
  <c r="DI92" i="9" s="1"/>
  <c r="DI100" i="9" s="1"/>
  <c r="DF138" i="4"/>
  <c r="DA90" i="9"/>
  <c r="DA92" i="9" s="1"/>
  <c r="DA100" i="9" s="1"/>
  <c r="CX138" i="4"/>
  <c r="CS90" i="9"/>
  <c r="CS92" i="9" s="1"/>
  <c r="CS100" i="9" s="1"/>
  <c r="CP138" i="4"/>
  <c r="CK90" i="9"/>
  <c r="CK92" i="9" s="1"/>
  <c r="CK100" i="9" s="1"/>
  <c r="CH138" i="4"/>
  <c r="CC90" i="9"/>
  <c r="CC92" i="9" s="1"/>
  <c r="CC100" i="9" s="1"/>
  <c r="BZ138" i="4"/>
  <c r="BU90" i="9"/>
  <c r="BU92" i="9" s="1"/>
  <c r="BU100" i="9" s="1"/>
  <c r="BR138" i="4"/>
  <c r="BM90" i="9"/>
  <c r="BM92" i="9" s="1"/>
  <c r="BM100" i="9" s="1"/>
  <c r="BJ138" i="4"/>
  <c r="BE90" i="9"/>
  <c r="BE92" i="9" s="1"/>
  <c r="BE100" i="9" s="1"/>
  <c r="BB138" i="4"/>
  <c r="AW90" i="9"/>
  <c r="AW92" i="9" s="1"/>
  <c r="AW100" i="9" s="1"/>
  <c r="M41" i="9"/>
  <c r="CW138" i="4"/>
  <c r="CR90" i="9"/>
  <c r="CR92" i="9" s="1"/>
  <c r="CR100" i="9" s="1"/>
  <c r="EB138" i="4"/>
  <c r="DW90" i="9"/>
  <c r="DW92" i="9" s="1"/>
  <c r="DW100" i="9" s="1"/>
  <c r="DT138" i="4"/>
  <c r="DO90" i="9"/>
  <c r="DO92" i="9" s="1"/>
  <c r="DO100" i="9" s="1"/>
  <c r="DL138" i="4"/>
  <c r="DG90" i="9"/>
  <c r="DG92" i="9" s="1"/>
  <c r="DG100" i="9" s="1"/>
  <c r="DD138" i="4"/>
  <c r="CY90" i="9"/>
  <c r="CY92" i="9" s="1"/>
  <c r="CY100" i="9" s="1"/>
  <c r="CV138" i="4"/>
  <c r="CQ90" i="9"/>
  <c r="CQ92" i="9" s="1"/>
  <c r="CQ100" i="9" s="1"/>
  <c r="CN138" i="4"/>
  <c r="CI90" i="9"/>
  <c r="CI92" i="9" s="1"/>
  <c r="CI100" i="9" s="1"/>
  <c r="CF138" i="4"/>
  <c r="CA90" i="9"/>
  <c r="CA92" i="9" s="1"/>
  <c r="CA100" i="9" s="1"/>
  <c r="BX138" i="4"/>
  <c r="BS90" i="9"/>
  <c r="BS92" i="9" s="1"/>
  <c r="BS100" i="9" s="1"/>
  <c r="BP138" i="4"/>
  <c r="BK90" i="9"/>
  <c r="BK92" i="9" s="1"/>
  <c r="BK100" i="9" s="1"/>
  <c r="BH138" i="4"/>
  <c r="BC90" i="9"/>
  <c r="BC92" i="9" s="1"/>
  <c r="BC100" i="9" s="1"/>
  <c r="AZ138" i="4"/>
  <c r="AZ203" i="4" s="1"/>
  <c r="AU90" i="9"/>
  <c r="AU92" i="9" s="1"/>
  <c r="AU100" i="9" s="1"/>
  <c r="O41" i="9"/>
  <c r="DL92" i="9"/>
  <c r="Q41" i="9"/>
  <c r="BD92" i="9"/>
  <c r="L41" i="9"/>
  <c r="AY138" i="4"/>
  <c r="AT90" i="9"/>
  <c r="AT92" i="9" s="1"/>
  <c r="AT100" i="9" s="1"/>
  <c r="K41" i="9"/>
  <c r="AR92" i="9"/>
  <c r="H86" i="9"/>
  <c r="H36" i="9"/>
  <c r="AJ138" i="4"/>
  <c r="AE90" i="9"/>
  <c r="AE92" i="9" s="1"/>
  <c r="AB138" i="4"/>
  <c r="FL55" i="4" s="1"/>
  <c r="W90" i="9"/>
  <c r="W92" i="9" s="1"/>
  <c r="T138" i="4"/>
  <c r="O90" i="9"/>
  <c r="O92" i="9" s="1"/>
  <c r="AQ138" i="4"/>
  <c r="GA55" i="4" s="1"/>
  <c r="AL90" i="9"/>
  <c r="AL92" i="9" s="1"/>
  <c r="AI138" i="4"/>
  <c r="AD90" i="9"/>
  <c r="AD92" i="9" s="1"/>
  <c r="AA138" i="4"/>
  <c r="FK55" i="4" s="1"/>
  <c r="V90" i="9"/>
  <c r="V92" i="9" s="1"/>
  <c r="S138" i="4"/>
  <c r="FC55" i="4" s="1"/>
  <c r="N90" i="9"/>
  <c r="N92" i="9" s="1"/>
  <c r="AP138" i="4"/>
  <c r="AK90" i="9"/>
  <c r="AK92" i="9" s="1"/>
  <c r="AH138" i="4"/>
  <c r="AC90" i="9"/>
  <c r="AC92" i="9" s="1"/>
  <c r="Z138" i="4"/>
  <c r="FJ55" i="4" s="1"/>
  <c r="U90" i="9"/>
  <c r="U92" i="9" s="1"/>
  <c r="R138" i="4"/>
  <c r="M90" i="9"/>
  <c r="M92" i="9" s="1"/>
  <c r="AO138" i="4"/>
  <c r="FY55" i="4" s="1"/>
  <c r="AJ90" i="9"/>
  <c r="AJ92" i="9" s="1"/>
  <c r="AG138" i="4"/>
  <c r="AB90" i="9"/>
  <c r="AB92" i="9" s="1"/>
  <c r="Y138" i="4"/>
  <c r="FI55" i="4" s="1"/>
  <c r="T90" i="9"/>
  <c r="Q138" i="4"/>
  <c r="FA55" i="4" s="1"/>
  <c r="L90" i="9"/>
  <c r="L92" i="9" s="1"/>
  <c r="AV138" i="4"/>
  <c r="GF55" i="4" s="1"/>
  <c r="AQ90" i="9"/>
  <c r="AQ92" i="9" s="1"/>
  <c r="AN138" i="4"/>
  <c r="FX55" i="4" s="1"/>
  <c r="AI90" i="9"/>
  <c r="AI92" i="9" s="1"/>
  <c r="AF138" i="4"/>
  <c r="FP55" i="4" s="1"/>
  <c r="AA90" i="9"/>
  <c r="AA92" i="9" s="1"/>
  <c r="X138" i="4"/>
  <c r="FH55" i="4" s="1"/>
  <c r="S90" i="9"/>
  <c r="S92" i="9" s="1"/>
  <c r="P138" i="4"/>
  <c r="EZ55" i="4" s="1"/>
  <c r="K90" i="9"/>
  <c r="K92" i="9" s="1"/>
  <c r="AU138" i="4"/>
  <c r="AP90" i="9"/>
  <c r="AP92" i="9" s="1"/>
  <c r="AM138" i="4"/>
  <c r="AH90" i="9"/>
  <c r="AH92" i="9" s="1"/>
  <c r="AE138" i="4"/>
  <c r="FO55" i="4" s="1"/>
  <c r="Z90" i="9"/>
  <c r="Z92" i="9" s="1"/>
  <c r="W138" i="4"/>
  <c r="FG55" i="4" s="1"/>
  <c r="R90" i="9"/>
  <c r="R92" i="9" s="1"/>
  <c r="N138" i="4"/>
  <c r="I90" i="9"/>
  <c r="I92" i="9" s="1"/>
  <c r="AT138" i="4"/>
  <c r="AO90" i="9"/>
  <c r="AO92" i="9" s="1"/>
  <c r="AL138" i="4"/>
  <c r="AG90" i="9"/>
  <c r="AG92" i="9" s="1"/>
  <c r="AD138" i="4"/>
  <c r="Y90" i="9"/>
  <c r="Y92" i="9" s="1"/>
  <c r="V138" i="4"/>
  <c r="FF55" i="4" s="1"/>
  <c r="Q90" i="9"/>
  <c r="Q92" i="9" s="1"/>
  <c r="M138" i="4"/>
  <c r="EW55" i="4" s="1"/>
  <c r="H90" i="9"/>
  <c r="AK138" i="4"/>
  <c r="FU55" i="4" s="1"/>
  <c r="AF90" i="9"/>
  <c r="AC138" i="4"/>
  <c r="X90" i="9"/>
  <c r="X92" i="9" s="1"/>
  <c r="U138" i="4"/>
  <c r="P90" i="9"/>
  <c r="P92" i="9" s="1"/>
  <c r="O138" i="4"/>
  <c r="EY55" i="4" s="1"/>
  <c r="J90" i="9"/>
  <c r="J92" i="9" s="1"/>
  <c r="EE50" i="4"/>
  <c r="ED50" i="4"/>
  <c r="EF50" i="4"/>
  <c r="EK50" i="4"/>
  <c r="EC50" i="4"/>
  <c r="EJ50" i="4"/>
  <c r="EI70" i="4"/>
  <c r="EH70" i="4"/>
  <c r="EM50" i="4"/>
  <c r="EN50" i="4"/>
  <c r="EL70" i="4"/>
  <c r="EG50" i="4"/>
  <c r="I24" i="1"/>
  <c r="AW138" i="4"/>
  <c r="GG55" i="4" s="1"/>
  <c r="AS136" i="4"/>
  <c r="H183" i="4"/>
  <c r="H184" i="4" s="1"/>
  <c r="AX136" i="4"/>
  <c r="I21" i="1"/>
  <c r="H173" i="4"/>
  <c r="AR128" i="4"/>
  <c r="AR130" i="4" s="1"/>
  <c r="AR138" i="4" s="1"/>
  <c r="GB55" i="4" s="1"/>
  <c r="H109" i="4"/>
  <c r="H111" i="4" s="1"/>
  <c r="I111" i="4"/>
  <c r="K21" i="1"/>
  <c r="J21" i="1"/>
  <c r="CX203" i="4" l="1"/>
  <c r="IH55" i="4"/>
  <c r="CX70" i="4" s="1"/>
  <c r="BX203" i="4"/>
  <c r="HH55" i="4"/>
  <c r="DD203" i="4"/>
  <c r="IN55" i="4"/>
  <c r="CW203" i="4"/>
  <c r="IG55" i="4"/>
  <c r="CW50" i="4" s="1"/>
  <c r="BM203" i="4"/>
  <c r="GW55" i="4"/>
  <c r="BM50" i="4" s="1"/>
  <c r="CS203" i="4"/>
  <c r="IC55" i="4"/>
  <c r="CS70" i="4" s="1"/>
  <c r="DY203" i="4"/>
  <c r="JI55" i="4"/>
  <c r="DY70" i="4" s="1"/>
  <c r="BV203" i="4"/>
  <c r="HF55" i="4"/>
  <c r="BV70" i="4" s="1"/>
  <c r="DC203" i="4"/>
  <c r="IM55" i="4"/>
  <c r="DC70" i="4" s="1"/>
  <c r="AC203" i="4"/>
  <c r="FM55" i="4"/>
  <c r="AC50" i="4" s="1"/>
  <c r="DG203" i="4"/>
  <c r="IQ55" i="4"/>
  <c r="DG50" i="4" s="1"/>
  <c r="CI203" i="4"/>
  <c r="HS55" i="4"/>
  <c r="CI70" i="4" s="1"/>
  <c r="CR203" i="4"/>
  <c r="IB55" i="4"/>
  <c r="CR50" i="4" s="1"/>
  <c r="DX203" i="4"/>
  <c r="JH55" i="4"/>
  <c r="DX70" i="4" s="1"/>
  <c r="EA203" i="4"/>
  <c r="JK55" i="4"/>
  <c r="EA70" i="4" s="1"/>
  <c r="AL203" i="4"/>
  <c r="FV55" i="4"/>
  <c r="AL70" i="4" s="1"/>
  <c r="R203" i="4"/>
  <c r="FB55" i="4"/>
  <c r="R50" i="4" s="1"/>
  <c r="T203" i="4"/>
  <c r="FD55" i="4"/>
  <c r="T50" i="4" s="1"/>
  <c r="BZ203" i="4"/>
  <c r="HJ55" i="4"/>
  <c r="BZ50" i="4" s="1"/>
  <c r="DF203" i="4"/>
  <c r="IP55" i="4"/>
  <c r="DF70" i="4" s="1"/>
  <c r="BS203" i="4"/>
  <c r="HC55" i="4"/>
  <c r="BS50" i="4" s="1"/>
  <c r="DW203" i="4"/>
  <c r="JG55" i="4"/>
  <c r="DW50" i="4" s="1"/>
  <c r="BY203" i="4"/>
  <c r="HI55" i="4"/>
  <c r="BY70" i="4" s="1"/>
  <c r="CY203" i="4"/>
  <c r="II55" i="4"/>
  <c r="CY70" i="4" s="1"/>
  <c r="BQ203" i="4"/>
  <c r="HA55" i="4"/>
  <c r="BQ50" i="4" s="1"/>
  <c r="BT203" i="4"/>
  <c r="HD55" i="4"/>
  <c r="BT70" i="4" s="1"/>
  <c r="CZ203" i="4"/>
  <c r="IJ55" i="4"/>
  <c r="CZ70" i="4" s="1"/>
  <c r="BF203" i="4"/>
  <c r="GP55" i="4"/>
  <c r="BF70" i="4" s="1"/>
  <c r="BA203" i="4"/>
  <c r="GK55" i="4"/>
  <c r="BA50" i="4" s="1"/>
  <c r="AP203" i="4"/>
  <c r="FZ55" i="4"/>
  <c r="AP70" i="4" s="1"/>
  <c r="GJ55" i="4"/>
  <c r="AZ70" i="4" s="1"/>
  <c r="CF203" i="4"/>
  <c r="HP55" i="4"/>
  <c r="CF50" i="4" s="1"/>
  <c r="DL203" i="4"/>
  <c r="IV55" i="4"/>
  <c r="DL50" i="4" s="1"/>
  <c r="BU203" i="4"/>
  <c r="HE55" i="4"/>
  <c r="BU70" i="4" s="1"/>
  <c r="DA203" i="4"/>
  <c r="IK55" i="4"/>
  <c r="DA50" i="4" s="1"/>
  <c r="BN203" i="4"/>
  <c r="GX55" i="4"/>
  <c r="BN70" i="4" s="1"/>
  <c r="CT203" i="4"/>
  <c r="ID55" i="4"/>
  <c r="CT70" i="4" s="1"/>
  <c r="BI203" i="4"/>
  <c r="GS55" i="4"/>
  <c r="BI50" i="4" s="1"/>
  <c r="AD203" i="4"/>
  <c r="FN55" i="4"/>
  <c r="AD50" i="4" s="1"/>
  <c r="AT203" i="4"/>
  <c r="GD55" i="4"/>
  <c r="AT50" i="4" s="1"/>
  <c r="AM203" i="4"/>
  <c r="FW55" i="4"/>
  <c r="AM50" i="4" s="1"/>
  <c r="AY203" i="4"/>
  <c r="GI55" i="4"/>
  <c r="AY50" i="4" s="1"/>
  <c r="BB203" i="4"/>
  <c r="GL55" i="4"/>
  <c r="BB70" i="4" s="1"/>
  <c r="CH203" i="4"/>
  <c r="HR55" i="4"/>
  <c r="CH50" i="4" s="1"/>
  <c r="DN203" i="4"/>
  <c r="IX55" i="4"/>
  <c r="DN70" i="4" s="1"/>
  <c r="CA203" i="4"/>
  <c r="HK55" i="4"/>
  <c r="CA70" i="4" s="1"/>
  <c r="BG203" i="4"/>
  <c r="GQ55" i="4"/>
  <c r="BG50" i="4" s="1"/>
  <c r="DM203" i="4"/>
  <c r="IW55" i="4"/>
  <c r="DM50" i="4" s="1"/>
  <c r="DO203" i="4"/>
  <c r="IY55" i="4"/>
  <c r="DO50" i="4" s="1"/>
  <c r="DU203" i="4"/>
  <c r="JE55" i="4"/>
  <c r="DU50" i="4" s="1"/>
  <c r="CB203" i="4"/>
  <c r="HL55" i="4"/>
  <c r="CB70" i="4" s="1"/>
  <c r="DH203" i="4"/>
  <c r="IR55" i="4"/>
  <c r="DH70" i="4" s="1"/>
  <c r="CD203" i="4"/>
  <c r="HN55" i="4"/>
  <c r="CD50" i="4" s="1"/>
  <c r="BO203" i="4"/>
  <c r="GY55" i="4"/>
  <c r="BO50" i="4" s="1"/>
  <c r="CO203" i="4"/>
  <c r="HY55" i="4"/>
  <c r="CO50" i="4" s="1"/>
  <c r="BC203" i="4"/>
  <c r="GM55" i="4"/>
  <c r="BC50" i="4" s="1"/>
  <c r="BH203" i="4"/>
  <c r="GR55" i="4"/>
  <c r="BH70" i="4" s="1"/>
  <c r="CN203" i="4"/>
  <c r="HX55" i="4"/>
  <c r="CN70" i="4" s="1"/>
  <c r="DT203" i="4"/>
  <c r="JD55" i="4"/>
  <c r="DT70" i="4" s="1"/>
  <c r="CC203" i="4"/>
  <c r="HM55" i="4"/>
  <c r="CC50" i="4" s="1"/>
  <c r="DI203" i="4"/>
  <c r="IS55" i="4"/>
  <c r="DI50" i="4" s="1"/>
  <c r="CL203" i="4"/>
  <c r="HV55" i="4"/>
  <c r="CL50" i="4" s="1"/>
  <c r="DR203" i="4"/>
  <c r="JB55" i="4"/>
  <c r="DR50" i="4" s="1"/>
  <c r="CG203" i="4"/>
  <c r="HQ55" i="4"/>
  <c r="CG50" i="4" s="1"/>
  <c r="BR203" i="4"/>
  <c r="HB55" i="4"/>
  <c r="BR50" i="4" s="1"/>
  <c r="DK203" i="4"/>
  <c r="IU55" i="4"/>
  <c r="DK70" i="4" s="1"/>
  <c r="U203" i="4"/>
  <c r="FE55" i="4"/>
  <c r="U70" i="4" s="1"/>
  <c r="N203" i="4"/>
  <c r="EX55" i="4"/>
  <c r="N70" i="4" s="1"/>
  <c r="AU203" i="4"/>
  <c r="GE55" i="4"/>
  <c r="AU70" i="4" s="1"/>
  <c r="AG203" i="4"/>
  <c r="FQ55" i="4"/>
  <c r="AG50" i="4" s="1"/>
  <c r="AH203" i="4"/>
  <c r="FR55" i="4"/>
  <c r="AH70" i="4" s="1"/>
  <c r="AI203" i="4"/>
  <c r="FS55" i="4"/>
  <c r="AI50" i="4" s="1"/>
  <c r="AJ203" i="4"/>
  <c r="FT55" i="4"/>
  <c r="AJ70" i="4" s="1"/>
  <c r="BJ203" i="4"/>
  <c r="GT55" i="4"/>
  <c r="BJ50" i="4" s="1"/>
  <c r="CP203" i="4"/>
  <c r="HZ55" i="4"/>
  <c r="CP70" i="4" s="1"/>
  <c r="DV203" i="4"/>
  <c r="JF55" i="4"/>
  <c r="DV70" i="4" s="1"/>
  <c r="CQ203" i="4"/>
  <c r="IA55" i="4"/>
  <c r="CQ70" i="4" s="1"/>
  <c r="CM203" i="4"/>
  <c r="HW55" i="4"/>
  <c r="CM70" i="4" s="1"/>
  <c r="BK203" i="4"/>
  <c r="GU55" i="4"/>
  <c r="BK70" i="4" s="1"/>
  <c r="BW203" i="4"/>
  <c r="HG55" i="4"/>
  <c r="BW70" i="4" s="1"/>
  <c r="BD203" i="4"/>
  <c r="GN55" i="4"/>
  <c r="BD70" i="4" s="1"/>
  <c r="CJ203" i="4"/>
  <c r="HT55" i="4"/>
  <c r="CJ50" i="4" s="1"/>
  <c r="DP203" i="4"/>
  <c r="IZ55" i="4"/>
  <c r="DP50" i="4" s="1"/>
  <c r="DB203" i="4"/>
  <c r="IL55" i="4"/>
  <c r="DB50" i="4" s="1"/>
  <c r="CU203" i="4"/>
  <c r="IE55" i="4"/>
  <c r="CU50" i="4" s="1"/>
  <c r="DS203" i="4"/>
  <c r="JC55" i="4"/>
  <c r="DS50" i="4" s="1"/>
  <c r="BL203" i="4"/>
  <c r="GV55" i="4"/>
  <c r="BL50" i="4" s="1"/>
  <c r="DZ203" i="4"/>
  <c r="JJ55" i="4"/>
  <c r="DZ70" i="4" s="1"/>
  <c r="BP203" i="4"/>
  <c r="GZ55" i="4"/>
  <c r="BP70" i="4" s="1"/>
  <c r="CV203" i="4"/>
  <c r="IF55" i="4"/>
  <c r="CV70" i="4" s="1"/>
  <c r="EB203" i="4"/>
  <c r="JL55" i="4"/>
  <c r="EB50" i="4" s="1"/>
  <c r="BE203" i="4"/>
  <c r="GO55" i="4"/>
  <c r="BE50" i="4" s="1"/>
  <c r="CK203" i="4"/>
  <c r="HU55" i="4"/>
  <c r="CK50" i="4" s="1"/>
  <c r="DQ203" i="4"/>
  <c r="JA55" i="4"/>
  <c r="DQ70" i="4" s="1"/>
  <c r="DJ203" i="4"/>
  <c r="IT55" i="4"/>
  <c r="DJ50" i="4" s="1"/>
  <c r="CE203" i="4"/>
  <c r="HO55" i="4"/>
  <c r="CE70" i="4" s="1"/>
  <c r="DE203" i="4"/>
  <c r="IO55" i="4"/>
  <c r="DE70" i="4" s="1"/>
  <c r="DC50" i="4"/>
  <c r="BX70" i="4"/>
  <c r="BP100" i="9"/>
  <c r="M45" i="9"/>
  <c r="O43" i="9"/>
  <c r="CZ100" i="9"/>
  <c r="P45" i="9"/>
  <c r="M43" i="9"/>
  <c r="L43" i="9"/>
  <c r="BD100" i="9"/>
  <c r="L45" i="9"/>
  <c r="N43" i="9"/>
  <c r="DL100" i="9"/>
  <c r="Q45" i="9"/>
  <c r="CB100" i="9"/>
  <c r="N45" i="9"/>
  <c r="Q43" i="9"/>
  <c r="P43" i="9"/>
  <c r="CN92" i="9"/>
  <c r="AN203" i="4"/>
  <c r="EE70" i="4"/>
  <c r="Z203" i="4"/>
  <c r="AB203" i="4"/>
  <c r="Y203" i="4"/>
  <c r="O203" i="4"/>
  <c r="M203" i="4"/>
  <c r="AF203" i="4"/>
  <c r="AA203" i="4"/>
  <c r="EC70" i="4"/>
  <c r="V203" i="4"/>
  <c r="ED70" i="4"/>
  <c r="H43" i="9"/>
  <c r="T92" i="9"/>
  <c r="I45" i="9" s="1"/>
  <c r="I43" i="9"/>
  <c r="H88" i="9"/>
  <c r="H41" i="9" s="1"/>
  <c r="H39" i="9"/>
  <c r="AF92" i="9"/>
  <c r="AK203" i="4"/>
  <c r="Q203" i="4"/>
  <c r="X203" i="4"/>
  <c r="S203" i="4"/>
  <c r="AE203" i="4"/>
  <c r="AO203" i="4"/>
  <c r="AV203" i="4"/>
  <c r="AQ203" i="4"/>
  <c r="W203" i="4"/>
  <c r="P203" i="4"/>
  <c r="EJ70" i="4"/>
  <c r="EL50" i="4"/>
  <c r="EK70" i="4"/>
  <c r="EF70" i="4"/>
  <c r="EM70" i="4"/>
  <c r="EH50" i="4"/>
  <c r="AX138" i="4"/>
  <c r="GH55" i="4" s="1"/>
  <c r="AS90" i="9"/>
  <c r="AS138" i="4"/>
  <c r="AN90" i="9"/>
  <c r="AN92" i="9" s="1"/>
  <c r="EG70" i="4"/>
  <c r="BM70" i="4"/>
  <c r="EI50" i="4"/>
  <c r="AW70" i="4"/>
  <c r="EN70" i="4"/>
  <c r="J24" i="1"/>
  <c r="AW203" i="4"/>
  <c r="I183" i="4"/>
  <c r="AO50" i="4"/>
  <c r="AO70" i="4"/>
  <c r="X50" i="4"/>
  <c r="X70" i="4"/>
  <c r="AF50" i="4"/>
  <c r="AF70" i="4"/>
  <c r="AV70" i="4"/>
  <c r="AV50" i="4"/>
  <c r="V70" i="4"/>
  <c r="V50" i="4"/>
  <c r="AK50" i="4"/>
  <c r="AK70" i="4"/>
  <c r="S50" i="4"/>
  <c r="S70" i="4"/>
  <c r="Q50" i="4"/>
  <c r="Q70" i="4"/>
  <c r="AA50" i="4"/>
  <c r="AA70" i="4"/>
  <c r="AB70" i="4"/>
  <c r="AB50" i="4"/>
  <c r="AN50" i="4"/>
  <c r="AN70" i="4"/>
  <c r="Y50" i="4"/>
  <c r="Y70" i="4"/>
  <c r="W50" i="4"/>
  <c r="W70" i="4"/>
  <c r="O50" i="4"/>
  <c r="O70" i="4"/>
  <c r="P70" i="4"/>
  <c r="P50" i="4"/>
  <c r="Z70" i="4"/>
  <c r="Z50" i="4"/>
  <c r="AQ70" i="4"/>
  <c r="AQ50" i="4"/>
  <c r="EW71" i="4"/>
  <c r="M50" i="4"/>
  <c r="M70" i="4"/>
  <c r="AE70" i="4"/>
  <c r="AE50" i="4"/>
  <c r="G126" i="4"/>
  <c r="G118" i="4"/>
  <c r="G119" i="4"/>
  <c r="G123" i="4"/>
  <c r="G121" i="4"/>
  <c r="G122" i="4"/>
  <c r="G120" i="4"/>
  <c r="G127" i="4"/>
  <c r="G133" i="4"/>
  <c r="G136" i="4"/>
  <c r="G135" i="4"/>
  <c r="G134" i="4"/>
  <c r="G124" i="4"/>
  <c r="I125" i="4"/>
  <c r="AR203" i="4"/>
  <c r="H176" i="4"/>
  <c r="I173" i="4"/>
  <c r="I176" i="4" s="1"/>
  <c r="CX50" i="4" l="1"/>
  <c r="DL70" i="4"/>
  <c r="DI70" i="4"/>
  <c r="DO70" i="4"/>
  <c r="CT50" i="4"/>
  <c r="CD70" i="4"/>
  <c r="DN50" i="4"/>
  <c r="CA50" i="4"/>
  <c r="CB50" i="4"/>
  <c r="BU50" i="4"/>
  <c r="DU70" i="4"/>
  <c r="BO70" i="4"/>
  <c r="BG70" i="4"/>
  <c r="BP50" i="4"/>
  <c r="AZ50" i="4"/>
  <c r="CL70" i="4"/>
  <c r="DY50" i="4"/>
  <c r="DA70" i="4"/>
  <c r="BY50" i="4"/>
  <c r="BB50" i="4"/>
  <c r="CO70" i="4"/>
  <c r="CK70" i="4"/>
  <c r="DP70" i="4"/>
  <c r="EB70" i="4"/>
  <c r="CY50" i="4"/>
  <c r="DJ70" i="4"/>
  <c r="CJ70" i="4"/>
  <c r="CM50" i="4"/>
  <c r="CP50" i="4"/>
  <c r="BK50" i="4"/>
  <c r="CV50" i="4"/>
  <c r="DE50" i="4"/>
  <c r="DQ50" i="4"/>
  <c r="CU70" i="4"/>
  <c r="BJ70" i="4"/>
  <c r="CE50" i="4"/>
  <c r="CF70" i="4"/>
  <c r="DH50" i="4"/>
  <c r="BD50" i="4"/>
  <c r="DV50" i="4"/>
  <c r="CH70" i="4"/>
  <c r="DM70" i="4"/>
  <c r="BN50" i="4"/>
  <c r="DB70" i="4"/>
  <c r="BW50" i="4"/>
  <c r="AS203" i="4"/>
  <c r="GC55" i="4"/>
  <c r="AS70" i="4" s="1"/>
  <c r="BE70" i="4"/>
  <c r="BV50" i="4"/>
  <c r="CQ50" i="4"/>
  <c r="CG70" i="4"/>
  <c r="CS50" i="4"/>
  <c r="CC70" i="4"/>
  <c r="BF50" i="4"/>
  <c r="CZ50" i="4"/>
  <c r="BS70" i="4"/>
  <c r="BZ70" i="4"/>
  <c r="DX50" i="4"/>
  <c r="BI70" i="4"/>
  <c r="BA70" i="4"/>
  <c r="BQ70" i="4"/>
  <c r="DR70" i="4"/>
  <c r="BL70" i="4"/>
  <c r="DW70" i="4"/>
  <c r="EA50" i="4"/>
  <c r="DZ50" i="4"/>
  <c r="CN50" i="4"/>
  <c r="DS70" i="4"/>
  <c r="BH50" i="4"/>
  <c r="DF50" i="4"/>
  <c r="BT50" i="4"/>
  <c r="BR70" i="4"/>
  <c r="DG70" i="4"/>
  <c r="CR70" i="4"/>
  <c r="CW70" i="4"/>
  <c r="DK50" i="4"/>
  <c r="BX50" i="4"/>
  <c r="DT50" i="4"/>
  <c r="CI50" i="4"/>
  <c r="DD50" i="4"/>
  <c r="DD70" i="4"/>
  <c r="BC70" i="4"/>
  <c r="CN100" i="9"/>
  <c r="O45" i="9"/>
  <c r="AY70" i="4"/>
  <c r="AT70" i="4"/>
  <c r="I184" i="4"/>
  <c r="K24" i="1" s="1"/>
  <c r="AI70" i="4"/>
  <c r="AJ50" i="4"/>
  <c r="EX71" i="4"/>
  <c r="EY71" i="4" s="1"/>
  <c r="EZ71" i="4" s="1"/>
  <c r="FA71" i="4" s="1"/>
  <c r="FB71" i="4" s="1"/>
  <c r="FC71" i="4" s="1"/>
  <c r="FD71" i="4" s="1"/>
  <c r="FE71" i="4" s="1"/>
  <c r="FF71" i="4" s="1"/>
  <c r="FG71" i="4" s="1"/>
  <c r="FH71" i="4" s="1"/>
  <c r="FI71" i="4" s="1"/>
  <c r="FJ71" i="4" s="1"/>
  <c r="FK71" i="4" s="1"/>
  <c r="FL71" i="4" s="1"/>
  <c r="FM71" i="4" s="1"/>
  <c r="FN71" i="4" s="1"/>
  <c r="FO71" i="4" s="1"/>
  <c r="FP71" i="4" s="1"/>
  <c r="FQ71" i="4" s="1"/>
  <c r="FR71" i="4" s="1"/>
  <c r="FS71" i="4" s="1"/>
  <c r="FT71" i="4" s="1"/>
  <c r="FU71" i="4" s="1"/>
  <c r="FV71" i="4" s="1"/>
  <c r="FW71" i="4" s="1"/>
  <c r="FX71" i="4" s="1"/>
  <c r="FY71" i="4" s="1"/>
  <c r="FZ71" i="4" s="1"/>
  <c r="GA71" i="4" s="1"/>
  <c r="GB71" i="4" s="1"/>
  <c r="U50" i="4"/>
  <c r="AM70" i="4"/>
  <c r="AH50" i="4"/>
  <c r="N50" i="4"/>
  <c r="AG70" i="4"/>
  <c r="AU50" i="4"/>
  <c r="T70" i="4"/>
  <c r="AS92" i="9"/>
  <c r="K45" i="9" s="1"/>
  <c r="K43" i="9"/>
  <c r="J43" i="9"/>
  <c r="J45" i="9"/>
  <c r="H92" i="9"/>
  <c r="H45" i="9" s="1"/>
  <c r="AL50" i="4"/>
  <c r="R70" i="4"/>
  <c r="AP50" i="4"/>
  <c r="AC70" i="4"/>
  <c r="AD70" i="4"/>
  <c r="AX203" i="4"/>
  <c r="AW50" i="4"/>
  <c r="AX70" i="4"/>
  <c r="AX50" i="4"/>
  <c r="AR70" i="4"/>
  <c r="AR50" i="4"/>
  <c r="H125" i="4"/>
  <c r="I128" i="4"/>
  <c r="E108" i="6"/>
  <c r="G173" i="4"/>
  <c r="G176" i="4" s="1"/>
  <c r="K22" i="1"/>
  <c r="K23" i="1" s="1"/>
  <c r="I178" i="4"/>
  <c r="J22" i="1"/>
  <c r="J23" i="1" s="1"/>
  <c r="J25" i="1" s="1"/>
  <c r="H178" i="4"/>
  <c r="I203" i="4" l="1"/>
  <c r="EU55" i="4"/>
  <c r="EU68" i="4" s="1"/>
  <c r="EV68" i="4" s="1"/>
  <c r="EW68" i="4" s="1"/>
  <c r="EX68" i="4" s="1"/>
  <c r="EY68" i="4" s="1"/>
  <c r="EZ68" i="4" s="1"/>
  <c r="FA68" i="4" s="1"/>
  <c r="FB68" i="4" s="1"/>
  <c r="FC68" i="4" s="1"/>
  <c r="FD68" i="4" s="1"/>
  <c r="FE68" i="4" s="1"/>
  <c r="FF68" i="4" s="1"/>
  <c r="FG68" i="4" s="1"/>
  <c r="FH68" i="4" s="1"/>
  <c r="FI68" i="4" s="1"/>
  <c r="FJ68" i="4" s="1"/>
  <c r="FK68" i="4" s="1"/>
  <c r="FL68" i="4" s="1"/>
  <c r="FM68" i="4" s="1"/>
  <c r="FN68" i="4" s="1"/>
  <c r="FO68" i="4" s="1"/>
  <c r="FP68" i="4" s="1"/>
  <c r="FQ68" i="4" s="1"/>
  <c r="FR68" i="4" s="1"/>
  <c r="FS68" i="4" s="1"/>
  <c r="FT68" i="4" s="1"/>
  <c r="FU68" i="4" s="1"/>
  <c r="FV68" i="4" s="1"/>
  <c r="FW68" i="4" s="1"/>
  <c r="FX68" i="4" s="1"/>
  <c r="FY68" i="4" s="1"/>
  <c r="FZ68" i="4" s="1"/>
  <c r="GA68" i="4" s="1"/>
  <c r="GB68" i="4" s="1"/>
  <c r="GC68" i="4" s="1"/>
  <c r="GD68" i="4" s="1"/>
  <c r="GE68" i="4" s="1"/>
  <c r="GF68" i="4" s="1"/>
  <c r="GG68" i="4" s="1"/>
  <c r="GH68" i="4" s="1"/>
  <c r="GI68" i="4" s="1"/>
  <c r="GJ68" i="4" s="1"/>
  <c r="GK68" i="4" s="1"/>
  <c r="GL68" i="4" s="1"/>
  <c r="GM68" i="4" s="1"/>
  <c r="GN68" i="4" s="1"/>
  <c r="GO68" i="4" s="1"/>
  <c r="GP68" i="4" s="1"/>
  <c r="GQ68" i="4" s="1"/>
  <c r="GR68" i="4" s="1"/>
  <c r="GS68" i="4" s="1"/>
  <c r="GT68" i="4" s="1"/>
  <c r="GU68" i="4" s="1"/>
  <c r="GV68" i="4" s="1"/>
  <c r="GW68" i="4" s="1"/>
  <c r="GX68" i="4" s="1"/>
  <c r="GY68" i="4" s="1"/>
  <c r="GZ68" i="4" s="1"/>
  <c r="HA68" i="4" s="1"/>
  <c r="HB68" i="4" s="1"/>
  <c r="HC68" i="4" s="1"/>
  <c r="HD68" i="4" s="1"/>
  <c r="HE68" i="4" s="1"/>
  <c r="HF68" i="4" s="1"/>
  <c r="HG68" i="4" s="1"/>
  <c r="HH68" i="4" s="1"/>
  <c r="HI68" i="4" s="1"/>
  <c r="HJ68" i="4" s="1"/>
  <c r="HK68" i="4" s="1"/>
  <c r="HL68" i="4" s="1"/>
  <c r="HM68" i="4" s="1"/>
  <c r="HN68" i="4" s="1"/>
  <c r="HO68" i="4" s="1"/>
  <c r="HP68" i="4" s="1"/>
  <c r="HQ68" i="4" s="1"/>
  <c r="HR68" i="4" s="1"/>
  <c r="HS68" i="4" s="1"/>
  <c r="HT68" i="4" s="1"/>
  <c r="HU68" i="4" s="1"/>
  <c r="HV68" i="4" s="1"/>
  <c r="HW68" i="4" s="1"/>
  <c r="HX68" i="4" s="1"/>
  <c r="HY68" i="4" s="1"/>
  <c r="HZ68" i="4" s="1"/>
  <c r="IA68" i="4" s="1"/>
  <c r="IB68" i="4" s="1"/>
  <c r="IC68" i="4" s="1"/>
  <c r="ID68" i="4" s="1"/>
  <c r="IE68" i="4" s="1"/>
  <c r="IF68" i="4" s="1"/>
  <c r="IG68" i="4" s="1"/>
  <c r="IH68" i="4" s="1"/>
  <c r="II68" i="4" s="1"/>
  <c r="IJ68" i="4" s="1"/>
  <c r="IK68" i="4" s="1"/>
  <c r="IL68" i="4" s="1"/>
  <c r="IM68" i="4" s="1"/>
  <c r="IN68" i="4" s="1"/>
  <c r="IO68" i="4" s="1"/>
  <c r="IP68" i="4" s="1"/>
  <c r="IQ68" i="4" s="1"/>
  <c r="IR68" i="4" s="1"/>
  <c r="IS68" i="4" s="1"/>
  <c r="IT68" i="4" s="1"/>
  <c r="IU68" i="4" s="1"/>
  <c r="IV68" i="4" s="1"/>
  <c r="IW68" i="4" s="1"/>
  <c r="IX68" i="4" s="1"/>
  <c r="IY68" i="4" s="1"/>
  <c r="IZ68" i="4" s="1"/>
  <c r="JA68" i="4" s="1"/>
  <c r="JB68" i="4" s="1"/>
  <c r="JC68" i="4" s="1"/>
  <c r="JD68" i="4" s="1"/>
  <c r="JE68" i="4" s="1"/>
  <c r="JF68" i="4" s="1"/>
  <c r="JG68" i="4" s="1"/>
  <c r="JH68" i="4" s="1"/>
  <c r="JI68" i="4" s="1"/>
  <c r="JJ68" i="4" s="1"/>
  <c r="JK68" i="4" s="1"/>
  <c r="JL68" i="4" s="1"/>
  <c r="JM68" i="4" s="1"/>
  <c r="JN68" i="4" s="1"/>
  <c r="JO68" i="4" s="1"/>
  <c r="JP68" i="4" s="1"/>
  <c r="JQ68" i="4" s="1"/>
  <c r="JR68" i="4" s="1"/>
  <c r="JS68" i="4" s="1"/>
  <c r="JT68" i="4" s="1"/>
  <c r="JU68" i="4" s="1"/>
  <c r="JV68" i="4" s="1"/>
  <c r="JW68" i="4" s="1"/>
  <c r="JX68" i="4" s="1"/>
  <c r="AS50" i="4"/>
  <c r="I50" i="4" s="1"/>
  <c r="K50" i="4" s="1"/>
  <c r="K25" i="1"/>
  <c r="I70" i="4"/>
  <c r="H70" i="4" s="1"/>
  <c r="G108" i="6"/>
  <c r="F108" i="6"/>
  <c r="E133" i="6"/>
  <c r="H128" i="4"/>
  <c r="G128" i="4"/>
  <c r="I130" i="4"/>
  <c r="I138" i="4" s="1"/>
  <c r="I22" i="1"/>
  <c r="G178" i="4"/>
  <c r="GC71" i="4"/>
  <c r="GD71" i="4" s="1"/>
  <c r="GE71" i="4" s="1"/>
  <c r="GF71" i="4" s="1"/>
  <c r="GG71" i="4" s="1"/>
  <c r="GH71" i="4" s="1"/>
  <c r="GI71" i="4" s="1"/>
  <c r="GJ71" i="4" s="1"/>
  <c r="GK71" i="4" s="1"/>
  <c r="GL71" i="4" s="1"/>
  <c r="GM71" i="4" s="1"/>
  <c r="GN71" i="4" s="1"/>
  <c r="GO71" i="4" s="1"/>
  <c r="GP71" i="4" s="1"/>
  <c r="GQ71" i="4" s="1"/>
  <c r="GR71" i="4" s="1"/>
  <c r="GS71" i="4" s="1"/>
  <c r="GT71" i="4" s="1"/>
  <c r="GU71" i="4" s="1"/>
  <c r="GV71" i="4" s="1"/>
  <c r="GW71" i="4" s="1"/>
  <c r="GX71" i="4" s="1"/>
  <c r="GY71" i="4" s="1"/>
  <c r="GZ71" i="4" s="1"/>
  <c r="HA71" i="4" s="1"/>
  <c r="HB71" i="4" s="1"/>
  <c r="HC71" i="4" s="1"/>
  <c r="HD71" i="4" s="1"/>
  <c r="HE71" i="4" s="1"/>
  <c r="HF71" i="4" s="1"/>
  <c r="HG71" i="4" s="1"/>
  <c r="HH71" i="4" s="1"/>
  <c r="HI71" i="4" s="1"/>
  <c r="HJ71" i="4" s="1"/>
  <c r="HK71" i="4" s="1"/>
  <c r="HL71" i="4" s="1"/>
  <c r="HM71" i="4" s="1"/>
  <c r="HN71" i="4" s="1"/>
  <c r="HO71" i="4" s="1"/>
  <c r="HP71" i="4" s="1"/>
  <c r="HQ71" i="4" s="1"/>
  <c r="HR71" i="4" s="1"/>
  <c r="HS71" i="4" s="1"/>
  <c r="HT71" i="4" s="1"/>
  <c r="HU71" i="4" s="1"/>
  <c r="HV71" i="4" s="1"/>
  <c r="HW71" i="4" s="1"/>
  <c r="HX71" i="4" s="1"/>
  <c r="HY71" i="4" s="1"/>
  <c r="HZ71" i="4" s="1"/>
  <c r="IA71" i="4" s="1"/>
  <c r="IB71" i="4" s="1"/>
  <c r="IC71" i="4" s="1"/>
  <c r="ID71" i="4" s="1"/>
  <c r="IE71" i="4" s="1"/>
  <c r="IF71" i="4" s="1"/>
  <c r="IG71" i="4" s="1"/>
  <c r="IH71" i="4" s="1"/>
  <c r="II71" i="4" s="1"/>
  <c r="IJ71" i="4" s="1"/>
  <c r="IK71" i="4" s="1"/>
  <c r="IL71" i="4" s="1"/>
  <c r="IM71" i="4" s="1"/>
  <c r="IN71" i="4" s="1"/>
  <c r="IO71" i="4" s="1"/>
  <c r="IP71" i="4" s="1"/>
  <c r="IQ71" i="4" s="1"/>
  <c r="IR71" i="4" s="1"/>
  <c r="IS71" i="4" s="1"/>
  <c r="IT71" i="4" s="1"/>
  <c r="IU71" i="4" s="1"/>
  <c r="IV71" i="4" s="1"/>
  <c r="IW71" i="4" s="1"/>
  <c r="IX71" i="4" s="1"/>
  <c r="IY71" i="4" s="1"/>
  <c r="IZ71" i="4" s="1"/>
  <c r="JA71" i="4" s="1"/>
  <c r="JB71" i="4" s="1"/>
  <c r="JC71" i="4" s="1"/>
  <c r="JD71" i="4" s="1"/>
  <c r="JE71" i="4" s="1"/>
  <c r="JF71" i="4" s="1"/>
  <c r="JG71" i="4" s="1"/>
  <c r="JH71" i="4" s="1"/>
  <c r="JI71" i="4" s="1"/>
  <c r="JJ71" i="4" s="1"/>
  <c r="JK71" i="4" s="1"/>
  <c r="JL71" i="4" s="1"/>
  <c r="JM71" i="4" s="1"/>
  <c r="JN71" i="4" s="1"/>
  <c r="JO71" i="4" s="1"/>
  <c r="JP71" i="4" s="1"/>
  <c r="JQ71" i="4" s="1"/>
  <c r="JR71" i="4" s="1"/>
  <c r="JS71" i="4" s="1"/>
  <c r="JT71" i="4" s="1"/>
  <c r="JU71" i="4" s="1"/>
  <c r="JV71" i="4" s="1"/>
  <c r="JW71" i="4" s="1"/>
  <c r="JX71" i="4" s="1"/>
  <c r="H186" i="4"/>
  <c r="H190" i="4"/>
  <c r="H191" i="4" s="1"/>
  <c r="I186" i="4"/>
  <c r="I190" i="4"/>
  <c r="I191" i="4" s="1"/>
  <c r="I192" i="4" l="1"/>
  <c r="F175" i="4"/>
  <c r="H192" i="4"/>
  <c r="E175" i="4"/>
  <c r="J27" i="1"/>
  <c r="J29" i="1" s="1"/>
  <c r="G70" i="4"/>
  <c r="G186" i="4"/>
  <c r="G190" i="4"/>
  <c r="G191" i="4" s="1"/>
  <c r="D175" i="4" s="1"/>
  <c r="I23" i="1"/>
  <c r="I25" i="1" s="1"/>
  <c r="K27" i="1"/>
  <c r="K29" i="1" s="1"/>
  <c r="E188" i="4"/>
  <c r="D188" i="4" s="1"/>
  <c r="C5" i="6"/>
  <c r="F23" i="1"/>
  <c r="G50" i="4"/>
  <c r="H50" i="4"/>
  <c r="G133" i="6"/>
  <c r="F133" i="6"/>
  <c r="E135" i="6"/>
  <c r="ES71" i="4"/>
  <c r="H193" i="4" l="1"/>
  <c r="G192" i="4"/>
  <c r="G193" i="4" s="1"/>
  <c r="I193" i="4"/>
  <c r="F135" i="6"/>
  <c r="G135" i="6"/>
  <c r="E189" i="4"/>
  <c r="D127" i="4"/>
  <c r="G5" i="6"/>
  <c r="I27" i="1"/>
  <c r="I29" i="1" s="1"/>
  <c r="E190" i="4" l="1"/>
  <c r="AN206" i="4" s="1"/>
  <c r="D189" i="4"/>
  <c r="D190" i="4" s="1"/>
  <c r="DO206" i="4" l="1"/>
  <c r="DO212" i="4" s="1"/>
  <c r="DJ106" i="9" s="1"/>
  <c r="DZ206" i="4"/>
  <c r="DZ212" i="4" s="1"/>
  <c r="DU106" i="9" s="1"/>
  <c r="CN206" i="4"/>
  <c r="CN212" i="4" s="1"/>
  <c r="CI106" i="9" s="1"/>
  <c r="DN206" i="4"/>
  <c r="CY206" i="4"/>
  <c r="BZ206" i="4"/>
  <c r="BH206" i="4"/>
  <c r="BU206" i="4"/>
  <c r="DI206" i="4"/>
  <c r="BL206" i="4"/>
  <c r="BL212" i="4" s="1"/>
  <c r="BG106" i="9" s="1"/>
  <c r="BJ206" i="4"/>
  <c r="CQ206" i="4"/>
  <c r="CQ212" i="4" s="1"/>
  <c r="CL106" i="9" s="1"/>
  <c r="BV206" i="4"/>
  <c r="DF206" i="4"/>
  <c r="DY206" i="4"/>
  <c r="BI206" i="4"/>
  <c r="CV206" i="4"/>
  <c r="CH206" i="4"/>
  <c r="CH212" i="4" s="1"/>
  <c r="CC106" i="9" s="1"/>
  <c r="EA206" i="4"/>
  <c r="DV102" i="9" s="1"/>
  <c r="BF206" i="4"/>
  <c r="BA102" i="9" s="1"/>
  <c r="CR206" i="4"/>
  <c r="DU206" i="4"/>
  <c r="DH206" i="4"/>
  <c r="CS206" i="4"/>
  <c r="DQ206" i="4"/>
  <c r="BQ206" i="4"/>
  <c r="BQ212" i="4" s="1"/>
  <c r="BL106" i="9" s="1"/>
  <c r="BX206" i="4"/>
  <c r="BS102" i="9" s="1"/>
  <c r="CK206" i="4"/>
  <c r="CD206" i="4"/>
  <c r="BC206" i="4"/>
  <c r="BK206" i="4"/>
  <c r="CI206" i="4"/>
  <c r="CX206" i="4"/>
  <c r="BR206" i="4"/>
  <c r="BR212" i="4" s="1"/>
  <c r="BM106" i="9" s="1"/>
  <c r="CB206" i="4"/>
  <c r="BW102" i="9" s="1"/>
  <c r="BS206" i="4"/>
  <c r="BS212" i="4" s="1"/>
  <c r="BN106" i="9" s="1"/>
  <c r="BB206" i="4"/>
  <c r="DP206" i="4"/>
  <c r="DS206" i="4"/>
  <c r="BT206" i="4"/>
  <c r="CG206" i="4"/>
  <c r="DG206" i="4"/>
  <c r="DB102" i="9" s="1"/>
  <c r="CW206" i="4"/>
  <c r="CW212" i="4" s="1"/>
  <c r="CR106" i="9" s="1"/>
  <c r="CC206" i="4"/>
  <c r="BX102" i="9" s="1"/>
  <c r="CU206" i="4"/>
  <c r="CP102" i="9" s="1"/>
  <c r="DM206" i="4"/>
  <c r="CA206" i="4"/>
  <c r="CM206" i="4"/>
  <c r="CT206" i="4"/>
  <c r="DJ206" i="4"/>
  <c r="DE102" i="9" s="1"/>
  <c r="CO206" i="4"/>
  <c r="CJ102" i="9" s="1"/>
  <c r="DT206" i="4"/>
  <c r="DT212" i="4" s="1"/>
  <c r="DO106" i="9" s="1"/>
  <c r="BG206" i="4"/>
  <c r="CZ206" i="4"/>
  <c r="CF206" i="4"/>
  <c r="AZ206" i="4"/>
  <c r="BW206" i="4"/>
  <c r="DC206" i="4"/>
  <c r="BY206" i="4"/>
  <c r="BP206" i="4"/>
  <c r="BK102" i="9" s="1"/>
  <c r="BO206" i="4"/>
  <c r="BO212" i="4" s="1"/>
  <c r="BJ106" i="9" s="1"/>
  <c r="DD206" i="4"/>
  <c r="DV206" i="4"/>
  <c r="DW206" i="4"/>
  <c r="BD206" i="4"/>
  <c r="DL206" i="4"/>
  <c r="CP206" i="4"/>
  <c r="DX206" i="4"/>
  <c r="CL206" i="4"/>
  <c r="DR206" i="4"/>
  <c r="EB206" i="4"/>
  <c r="DA206" i="4"/>
  <c r="CJ206" i="4"/>
  <c r="BN206" i="4"/>
  <c r="BM206" i="4"/>
  <c r="BA206" i="4"/>
  <c r="BE206" i="4"/>
  <c r="DE206" i="4"/>
  <c r="DB206" i="4"/>
  <c r="CE206" i="4"/>
  <c r="DK206" i="4"/>
  <c r="AY206" i="4"/>
  <c r="AF206" i="4"/>
  <c r="AS206" i="4"/>
  <c r="AK206" i="4"/>
  <c r="S206" i="4"/>
  <c r="AE206" i="4"/>
  <c r="AV206" i="4"/>
  <c r="AP206" i="4"/>
  <c r="AU206" i="4"/>
  <c r="AB206" i="4"/>
  <c r="T206" i="4"/>
  <c r="AW206" i="4"/>
  <c r="AH206" i="4"/>
  <c r="AL206" i="4"/>
  <c r="AI206" i="4"/>
  <c r="R206" i="4"/>
  <c r="AR206" i="4"/>
  <c r="AJ206" i="4"/>
  <c r="AD206" i="4"/>
  <c r="M206" i="4"/>
  <c r="Y206" i="4"/>
  <c r="AT206" i="4"/>
  <c r="N206" i="4"/>
  <c r="AC206" i="4"/>
  <c r="V206" i="4"/>
  <c r="AX206" i="4"/>
  <c r="AQ206" i="4"/>
  <c r="X206" i="4"/>
  <c r="AO206" i="4"/>
  <c r="AM206" i="4"/>
  <c r="F25" i="1"/>
  <c r="P206" i="4"/>
  <c r="Q206" i="4"/>
  <c r="AA206" i="4"/>
  <c r="O206" i="4"/>
  <c r="Z206" i="4"/>
  <c r="L206" i="4"/>
  <c r="W206" i="4"/>
  <c r="U206" i="4"/>
  <c r="AG206" i="4"/>
  <c r="DN212" i="4"/>
  <c r="DI106" i="9" s="1"/>
  <c r="DI102" i="9"/>
  <c r="BF212" i="4"/>
  <c r="BA106" i="9" s="1"/>
  <c r="CK212" i="4"/>
  <c r="CF106" i="9" s="1"/>
  <c r="CF102" i="9"/>
  <c r="G33" i="6"/>
  <c r="DO102" i="9" l="1"/>
  <c r="DJ102" i="9"/>
  <c r="CC212" i="4"/>
  <c r="BX106" i="9" s="1"/>
  <c r="BM102" i="9"/>
  <c r="DG212" i="4"/>
  <c r="DB106" i="9" s="1"/>
  <c r="BP212" i="4"/>
  <c r="BK106" i="9" s="1"/>
  <c r="BN102" i="9"/>
  <c r="CL102" i="9"/>
  <c r="CI102" i="9"/>
  <c r="DU102" i="9"/>
  <c r="BL102" i="9"/>
  <c r="BG102" i="9"/>
  <c r="CZ102" i="9"/>
  <c r="CU212" i="4"/>
  <c r="CP106" i="9" s="1"/>
  <c r="BJ102" i="9"/>
  <c r="BG212" i="4"/>
  <c r="BB106" i="9" s="1"/>
  <c r="CD212" i="4"/>
  <c r="BY106" i="9" s="1"/>
  <c r="CM102" i="9"/>
  <c r="CY212" i="4"/>
  <c r="CT106" i="9" s="1"/>
  <c r="BH102" i="9"/>
  <c r="CK102" i="9"/>
  <c r="BY212" i="4"/>
  <c r="BT106" i="9" s="1"/>
  <c r="CR102" i="9"/>
  <c r="CB212" i="4"/>
  <c r="BW106" i="9" s="1"/>
  <c r="BX212" i="4"/>
  <c r="BS106" i="9" s="1"/>
  <c r="EA212" i="4"/>
  <c r="DV106" i="9" s="1"/>
  <c r="BE102" i="9"/>
  <c r="CG102" i="9"/>
  <c r="BB102" i="9"/>
  <c r="CT102" i="9"/>
  <c r="DS102" i="9"/>
  <c r="BU102" i="9"/>
  <c r="BZ212" i="4"/>
  <c r="BU106" i="9" s="1"/>
  <c r="AV102" i="9"/>
  <c r="AY102" i="9"/>
  <c r="CO102" i="9"/>
  <c r="CV212" i="4"/>
  <c r="CQ106" i="9" s="1"/>
  <c r="CE212" i="4"/>
  <c r="BZ106" i="9" s="1"/>
  <c r="DA212" i="4"/>
  <c r="CV106" i="9" s="1"/>
  <c r="CH102" i="9"/>
  <c r="BT212" i="4"/>
  <c r="BO106" i="9" s="1"/>
  <c r="CI212" i="4"/>
  <c r="CD106" i="9" s="1"/>
  <c r="BI212" i="4"/>
  <c r="BD106" i="9" s="1"/>
  <c r="BP102" i="9"/>
  <c r="DX212" i="4"/>
  <c r="DS106" i="9" s="1"/>
  <c r="DB212" i="4"/>
  <c r="CW106" i="9" s="1"/>
  <c r="DW102" i="9"/>
  <c r="DQ102" i="9"/>
  <c r="CF212" i="4"/>
  <c r="CA106" i="9" s="1"/>
  <c r="CA212" i="4"/>
  <c r="BV106" i="9" s="1"/>
  <c r="DS212" i="4"/>
  <c r="DN106" i="9" s="1"/>
  <c r="BK212" i="4"/>
  <c r="BF106" i="9" s="1"/>
  <c r="DC102" i="9"/>
  <c r="DY212" i="4"/>
  <c r="DT106" i="9" s="1"/>
  <c r="BH212" i="4"/>
  <c r="BC106" i="9" s="1"/>
  <c r="CJ212" i="4"/>
  <c r="CE106" i="9" s="1"/>
  <c r="CX212" i="4"/>
  <c r="CS106" i="9" s="1"/>
  <c r="DW212" i="4"/>
  <c r="DR106" i="9" s="1"/>
  <c r="CN102" i="9"/>
  <c r="AZ102" i="9"/>
  <c r="DE212" i="4"/>
  <c r="CZ106" i="9" s="1"/>
  <c r="DR212" i="4"/>
  <c r="DM106" i="9" s="1"/>
  <c r="CY102" i="9"/>
  <c r="CZ212" i="4"/>
  <c r="CU106" i="9" s="1"/>
  <c r="DM212" i="4"/>
  <c r="DH106" i="9" s="1"/>
  <c r="DP212" i="4"/>
  <c r="DK106" i="9" s="1"/>
  <c r="DU212" i="4"/>
  <c r="DP106" i="9" s="1"/>
  <c r="DF212" i="4"/>
  <c r="DA106" i="9" s="1"/>
  <c r="DK212" i="4"/>
  <c r="DF106" i="9" s="1"/>
  <c r="DI212" i="4"/>
  <c r="DD106" i="9" s="1"/>
  <c r="CL212" i="4"/>
  <c r="CG106" i="9" s="1"/>
  <c r="AW102" i="9"/>
  <c r="BY102" i="9"/>
  <c r="CR212" i="4"/>
  <c r="CM106" i="9" s="1"/>
  <c r="BV212" i="4"/>
  <c r="BQ106" i="9" s="1"/>
  <c r="BW212" i="4"/>
  <c r="BR106" i="9" s="1"/>
  <c r="CG212" i="4"/>
  <c r="CB106" i="9" s="1"/>
  <c r="DQ212" i="4"/>
  <c r="DL106" i="9" s="1"/>
  <c r="BM212" i="4"/>
  <c r="BH106" i="9" s="1"/>
  <c r="CP212" i="4"/>
  <c r="CK106" i="9" s="1"/>
  <c r="BT102" i="9"/>
  <c r="CO212" i="4"/>
  <c r="CJ106" i="9" s="1"/>
  <c r="BJ212" i="4"/>
  <c r="BE106" i="9" s="1"/>
  <c r="AT102" i="9"/>
  <c r="BN212" i="4"/>
  <c r="BI106" i="9" s="1"/>
  <c r="DL212" i="4"/>
  <c r="DG106" i="9" s="1"/>
  <c r="DC212" i="4"/>
  <c r="CX106" i="9" s="1"/>
  <c r="DJ212" i="4"/>
  <c r="DE106" i="9" s="1"/>
  <c r="CC102" i="9"/>
  <c r="DT102" i="9"/>
  <c r="BQ102" i="9"/>
  <c r="DD212" i="4"/>
  <c r="CY106" i="9" s="1"/>
  <c r="G102" i="9"/>
  <c r="I206" i="4"/>
  <c r="BU212" i="4"/>
  <c r="BP106" i="9" s="1"/>
  <c r="BC102" i="9"/>
  <c r="DD102" i="9"/>
  <c r="CD102" i="9"/>
  <c r="DA102" i="9"/>
  <c r="DV212" i="4"/>
  <c r="DQ106" i="9" s="1"/>
  <c r="DM102" i="9"/>
  <c r="DR102" i="9"/>
  <c r="EB212" i="4"/>
  <c r="DW106" i="9" s="1"/>
  <c r="DH102" i="9"/>
  <c r="DK102" i="9"/>
  <c r="DP102" i="9"/>
  <c r="AX102" i="9"/>
  <c r="CU102" i="9"/>
  <c r="AU102" i="9"/>
  <c r="CM212" i="4"/>
  <c r="CH106" i="9" s="1"/>
  <c r="CS212" i="4"/>
  <c r="CN106" i="9" s="1"/>
  <c r="BD102" i="9"/>
  <c r="BO102" i="9"/>
  <c r="BZ102" i="9"/>
  <c r="CV102" i="9"/>
  <c r="CX102" i="9"/>
  <c r="DG102" i="9"/>
  <c r="DH212" i="4"/>
  <c r="DC106" i="9" s="1"/>
  <c r="DN102" i="9"/>
  <c r="BF102" i="9"/>
  <c r="CW102" i="9"/>
  <c r="BV102" i="9"/>
  <c r="CA102" i="9"/>
  <c r="CT212" i="4"/>
  <c r="CO106" i="9" s="1"/>
  <c r="DL102" i="9"/>
  <c r="CQ102" i="9"/>
  <c r="BR102" i="9"/>
  <c r="CB102" i="9"/>
  <c r="CS102" i="9"/>
  <c r="BI102" i="9"/>
  <c r="DF102" i="9"/>
  <c r="CE102" i="9"/>
  <c r="M49" i="9" l="1"/>
  <c r="P49" i="9"/>
  <c r="L49" i="9"/>
  <c r="N49" i="9"/>
  <c r="Q49" i="9"/>
  <c r="O49" i="9"/>
  <c r="Q4" i="9" l="1"/>
  <c r="H102" i="9" l="1"/>
  <c r="H99" i="9"/>
  <c r="H100" i="9"/>
  <c r="I102" i="9" l="1"/>
  <c r="I99" i="9"/>
  <c r="I100" i="9"/>
  <c r="J102" i="9" l="1"/>
  <c r="J99" i="9"/>
  <c r="J100" i="9"/>
  <c r="K102" i="9" l="1"/>
  <c r="K99" i="9"/>
  <c r="K100" i="9"/>
  <c r="L102" i="9" l="1"/>
  <c r="L100" i="9"/>
  <c r="L99" i="9"/>
  <c r="M100" i="9" l="1"/>
  <c r="M102" i="9"/>
  <c r="M99" i="9"/>
  <c r="N100" i="9" l="1"/>
  <c r="N102" i="9"/>
  <c r="N99" i="9"/>
  <c r="O100" i="9" l="1"/>
  <c r="O102" i="9"/>
  <c r="O99" i="9"/>
  <c r="P100" i="9" l="1"/>
  <c r="P102" i="9"/>
  <c r="P99" i="9"/>
  <c r="Q102" i="9" l="1"/>
  <c r="Q99" i="9"/>
  <c r="Q100" i="9"/>
  <c r="R102" i="9" l="1"/>
  <c r="R99" i="9"/>
  <c r="R100" i="9"/>
  <c r="S102" i="9" l="1"/>
  <c r="S99" i="9"/>
  <c r="S100" i="9"/>
  <c r="T99" i="9" l="1"/>
  <c r="T100" i="9"/>
  <c r="T102" i="9"/>
  <c r="U100" i="9" l="1"/>
  <c r="U102" i="9"/>
  <c r="U99" i="9"/>
  <c r="V100" i="9" l="1"/>
  <c r="V102" i="9"/>
  <c r="V99" i="9"/>
  <c r="W100" i="9" l="1"/>
  <c r="W102" i="9"/>
  <c r="W99" i="9"/>
  <c r="X100" i="9" l="1"/>
  <c r="X102" i="9"/>
  <c r="X99" i="9"/>
  <c r="Y102" i="9" l="1"/>
  <c r="Y99" i="9"/>
  <c r="Y100" i="9"/>
  <c r="Z102" i="9" l="1"/>
  <c r="Z99" i="9"/>
  <c r="Z100" i="9"/>
  <c r="AA102" i="9" l="1"/>
  <c r="AA99" i="9"/>
  <c r="AA100" i="9"/>
  <c r="AB102" i="9" l="1"/>
  <c r="AB99" i="9"/>
  <c r="AB100" i="9"/>
  <c r="AC100" i="9" l="1"/>
  <c r="AC102" i="9"/>
  <c r="AC99" i="9"/>
  <c r="AD100" i="9" l="1"/>
  <c r="AD102" i="9"/>
  <c r="AD99" i="9"/>
  <c r="AE100" i="9" l="1"/>
  <c r="AE102" i="9"/>
  <c r="AE99" i="9"/>
  <c r="AF102" i="9" l="1"/>
  <c r="AF99" i="9"/>
  <c r="AF100" i="9"/>
  <c r="AG102" i="9" l="1"/>
  <c r="AG99" i="9"/>
  <c r="AG100" i="9"/>
  <c r="AH102" i="9" l="1"/>
  <c r="AH99" i="9"/>
  <c r="AH100" i="9"/>
  <c r="AI102" i="9" l="1"/>
  <c r="AI99" i="9"/>
  <c r="AI100" i="9"/>
  <c r="AJ100" i="9" l="1"/>
  <c r="AJ102" i="9"/>
  <c r="AJ99" i="9"/>
  <c r="AK100" i="9" l="1"/>
  <c r="AK102" i="9"/>
  <c r="AK99" i="9"/>
  <c r="AL100" i="9" l="1"/>
  <c r="AL102" i="9"/>
  <c r="AL99" i="9"/>
  <c r="AM100" i="9" l="1"/>
  <c r="AM102" i="9"/>
  <c r="AM99" i="9"/>
  <c r="AN102" i="9" l="1"/>
  <c r="AN99" i="9"/>
  <c r="AN100" i="9"/>
  <c r="AO102" i="9" l="1"/>
  <c r="AO99" i="9"/>
  <c r="AO100" i="9"/>
  <c r="AP102" i="9" l="1"/>
  <c r="AP99" i="9"/>
  <c r="AP100" i="9"/>
  <c r="AQ102" i="9" l="1"/>
  <c r="AQ99" i="9"/>
  <c r="AQ100" i="9"/>
  <c r="AR100" i="9" l="1"/>
  <c r="AR102" i="9"/>
  <c r="AR99" i="9"/>
  <c r="AS100" i="9" l="1"/>
  <c r="AS102" i="9"/>
  <c r="AS99" i="9"/>
  <c r="ET75" i="4" l="1"/>
  <c r="ET76" i="4" s="1"/>
  <c r="C62" i="4" l="1"/>
  <c r="BR28" i="4"/>
  <c r="BR29" i="4" s="1"/>
  <c r="DH28" i="4"/>
  <c r="DH29" i="4" s="1"/>
  <c r="DI28" i="4"/>
  <c r="DI29" i="4" s="1"/>
  <c r="BZ28" i="4"/>
  <c r="BZ29" i="4" s="1"/>
  <c r="BG28" i="4"/>
  <c r="BG29" i="4" s="1"/>
  <c r="CJ28" i="4"/>
  <c r="CJ29" i="4"/>
  <c r="BT28" i="4"/>
  <c r="BT29" i="4" s="1"/>
  <c r="CV28" i="4"/>
  <c r="CV29" i="4" s="1"/>
  <c r="DB28" i="4"/>
  <c r="DB29" i="4" s="1"/>
  <c r="BW28" i="4"/>
  <c r="BW29" i="4" s="1"/>
  <c r="CB28" i="4"/>
  <c r="CB29" i="4" s="1"/>
  <c r="CZ28" i="4"/>
  <c r="CZ29" i="4" s="1"/>
  <c r="DZ28" i="4"/>
  <c r="DZ29" i="4" s="1"/>
  <c r="CF28" i="4"/>
  <c r="CF29" i="4"/>
  <c r="EE28" i="4"/>
  <c r="EE29" i="4"/>
  <c r="DS28" i="4"/>
  <c r="DS29" i="4" s="1"/>
  <c r="BF28" i="4"/>
  <c r="BF29" i="4" s="1"/>
  <c r="CE28" i="4"/>
  <c r="CE29" i="4" s="1"/>
  <c r="BX28" i="4"/>
  <c r="BX29" i="4" s="1"/>
  <c r="DA28" i="4"/>
  <c r="DA29" i="4" s="1"/>
  <c r="BS28" i="4"/>
  <c r="BS29" i="4" s="1"/>
  <c r="DN28" i="4"/>
  <c r="DN29" i="4" s="1"/>
  <c r="DQ28" i="4"/>
  <c r="DQ29" i="4" s="1"/>
  <c r="CN28" i="4"/>
  <c r="CN29" i="4"/>
  <c r="BY28" i="4"/>
  <c r="BY29" i="4" s="1"/>
  <c r="BK28" i="4"/>
  <c r="BK29" i="4" s="1"/>
  <c r="BV28" i="4"/>
  <c r="BV29" i="4" s="1"/>
  <c r="ED28" i="4"/>
  <c r="ED29" i="4" s="1"/>
  <c r="EJ28" i="4"/>
  <c r="EJ29" i="4" s="1"/>
  <c r="DW28" i="4"/>
  <c r="DW29" i="4" s="1"/>
  <c r="EC28" i="4"/>
  <c r="EC29" i="4" s="1"/>
  <c r="CI28" i="4"/>
  <c r="CI29" i="4"/>
  <c r="BH28" i="4"/>
  <c r="BH29" i="4"/>
  <c r="CU28" i="4"/>
  <c r="CU29" i="4" s="1"/>
  <c r="EB28" i="4"/>
  <c r="EB29" i="4" s="1"/>
  <c r="BP28" i="4"/>
  <c r="BP29" i="4" s="1"/>
  <c r="DR28" i="4"/>
  <c r="DR29" i="4" s="1"/>
  <c r="BU28" i="4"/>
  <c r="BU29" i="4" s="1"/>
  <c r="DE28" i="4"/>
  <c r="DE29" i="4"/>
  <c r="CR28" i="4"/>
  <c r="CR29" i="4" s="1"/>
  <c r="DD28" i="4"/>
  <c r="DD29" i="4"/>
  <c r="CG28" i="4"/>
  <c r="CG29" i="4" s="1"/>
  <c r="DG28" i="4"/>
  <c r="DG29" i="4"/>
  <c r="DM28" i="4"/>
  <c r="DM29" i="4" s="1"/>
  <c r="BM28" i="4"/>
  <c r="BM29" i="4" s="1"/>
  <c r="EL28" i="4"/>
  <c r="EL29" i="4" s="1"/>
  <c r="EA28" i="4"/>
  <c r="EA29" i="4"/>
  <c r="CT28" i="4"/>
  <c r="CT29" i="4" s="1"/>
  <c r="DP28" i="4"/>
  <c r="DP29" i="4" s="1"/>
  <c r="DC28" i="4"/>
  <c r="DC29" i="4" s="1"/>
  <c r="CC28" i="4"/>
  <c r="CC29" i="4" s="1"/>
  <c r="CQ28" i="4"/>
  <c r="CQ29" i="4" s="1"/>
  <c r="BJ28" i="4"/>
  <c r="BJ29" i="4" s="1"/>
  <c r="CK28" i="4"/>
  <c r="CK29" i="4" s="1"/>
  <c r="CD28" i="4"/>
  <c r="CD29" i="4" s="1"/>
  <c r="CW28" i="4"/>
  <c r="CW29" i="4"/>
  <c r="CA28" i="4"/>
  <c r="CA29" i="4" s="1"/>
  <c r="CM28" i="4"/>
  <c r="CM29" i="4" s="1"/>
  <c r="BN28" i="4"/>
  <c r="BN29" i="4" s="1"/>
  <c r="BL28" i="4"/>
  <c r="BL29" i="4" s="1"/>
  <c r="EG28" i="4"/>
  <c r="EG29" i="4" s="1"/>
  <c r="EH28" i="4"/>
  <c r="EH29" i="4" s="1"/>
  <c r="CH28" i="4"/>
  <c r="CH29" i="4" s="1"/>
  <c r="EF28" i="4"/>
  <c r="EF29" i="4"/>
  <c r="DL28" i="4"/>
  <c r="DL29" i="4"/>
  <c r="CO28" i="4"/>
  <c r="CO29" i="4" s="1"/>
  <c r="EK28" i="4"/>
  <c r="EK29" i="4" s="1"/>
  <c r="DJ28" i="4"/>
  <c r="DJ29" i="4" s="1"/>
  <c r="EN28" i="4"/>
  <c r="EN29" i="4" s="1"/>
  <c r="DF28" i="4"/>
  <c r="DF29" i="4" s="1"/>
  <c r="CX28" i="4"/>
  <c r="CX29" i="4" s="1"/>
  <c r="CP28" i="4"/>
  <c r="CP29" i="4" s="1"/>
  <c r="DY28" i="4"/>
  <c r="DY29" i="4" s="1"/>
  <c r="CY28" i="4"/>
  <c r="CY29" i="4" s="1"/>
  <c r="EM28" i="4"/>
  <c r="EM29" i="4" s="1"/>
  <c r="DV28" i="4"/>
  <c r="DV29" i="4" s="1"/>
  <c r="DT28" i="4"/>
  <c r="DT29" i="4" s="1"/>
  <c r="DO28" i="4"/>
  <c r="DO29" i="4"/>
  <c r="CL28" i="4"/>
  <c r="CL29" i="4" s="1"/>
  <c r="DU28" i="4"/>
  <c r="DU29" i="4" s="1"/>
  <c r="DK28" i="4"/>
  <c r="DK29" i="4" s="1"/>
  <c r="DX28" i="4"/>
  <c r="DX29" i="4" s="1"/>
  <c r="BO28" i="4"/>
  <c r="BO29" i="4" s="1"/>
  <c r="CS28" i="4"/>
  <c r="CS29" i="4"/>
  <c r="BI28" i="4"/>
  <c r="BI29" i="4" s="1"/>
  <c r="EI28" i="4"/>
  <c r="EI29" i="4" s="1"/>
  <c r="BQ28" i="4"/>
  <c r="BQ29" i="4" s="1"/>
  <c r="G29" i="4"/>
  <c r="G28" i="4"/>
  <c r="H29" i="4"/>
  <c r="H28" i="4"/>
  <c r="AI28" i="4"/>
  <c r="AI29" i="4" s="1"/>
  <c r="BA28" i="4"/>
  <c r="BA29" i="4" s="1"/>
  <c r="AW28" i="4"/>
  <c r="AW29" i="4" s="1"/>
  <c r="Y28" i="4"/>
  <c r="Y29" i="4" s="1"/>
  <c r="AV28" i="4"/>
  <c r="AV29" i="4" s="1"/>
  <c r="AO28" i="4"/>
  <c r="AO29" i="4" s="1"/>
  <c r="X28" i="4"/>
  <c r="X29" i="4"/>
  <c r="Q28" i="4"/>
  <c r="Q29" i="4" s="1"/>
  <c r="AD28" i="4"/>
  <c r="AD29" i="4" s="1"/>
  <c r="AX28" i="4"/>
  <c r="AX29" i="4" s="1"/>
  <c r="AP28" i="4"/>
  <c r="AP29" i="4"/>
  <c r="AR28" i="4"/>
  <c r="AR29" i="4" s="1"/>
  <c r="AE28" i="4"/>
  <c r="AE29" i="4"/>
  <c r="BB28" i="4"/>
  <c r="BB29" i="4" s="1"/>
  <c r="AF28" i="4"/>
  <c r="AF29" i="4"/>
  <c r="AM28" i="4"/>
  <c r="AM29" i="4" s="1"/>
  <c r="AJ28" i="4"/>
  <c r="AJ29" i="4" s="1"/>
  <c r="AL28" i="4"/>
  <c r="AL29" i="4" s="1"/>
  <c r="BE28" i="4"/>
  <c r="BE29" i="4"/>
  <c r="AH28" i="4"/>
  <c r="AH29" i="4" s="1"/>
  <c r="AU28" i="4"/>
  <c r="AU29" i="4" s="1"/>
  <c r="BC28" i="4"/>
  <c r="BC29" i="4" s="1"/>
  <c r="U28" i="4"/>
  <c r="U29" i="4" s="1"/>
  <c r="AC28" i="4"/>
  <c r="AC29" i="4"/>
  <c r="AN28" i="4"/>
  <c r="AN29" i="4"/>
  <c r="N28" i="4"/>
  <c r="N29" i="4" s="1"/>
  <c r="V28" i="4"/>
  <c r="V29" i="4" s="1"/>
  <c r="W28" i="4"/>
  <c r="W29" i="4" s="1"/>
  <c r="BD28" i="4"/>
  <c r="BD29" i="4" s="1"/>
  <c r="S28" i="4"/>
  <c r="S29" i="4" s="1"/>
  <c r="AQ28" i="4"/>
  <c r="AQ29" i="4" s="1"/>
  <c r="AY28" i="4"/>
  <c r="AY29" i="4"/>
  <c r="AK28" i="4"/>
  <c r="AK29" i="4" s="1"/>
  <c r="O28" i="4"/>
  <c r="O29" i="4" s="1"/>
  <c r="M28" i="4"/>
  <c r="M29" i="4" s="1"/>
  <c r="AZ28" i="4"/>
  <c r="AZ29" i="4" s="1"/>
  <c r="Z28" i="4"/>
  <c r="Z29" i="4"/>
  <c r="AA28" i="4"/>
  <c r="AA29" i="4" s="1"/>
  <c r="R28" i="4"/>
  <c r="R29" i="4" s="1"/>
  <c r="AT28" i="4"/>
  <c r="AT29" i="4" s="1"/>
  <c r="AB28" i="4"/>
  <c r="AB29" i="4" s="1"/>
  <c r="T28" i="4"/>
  <c r="T29" i="4" s="1"/>
  <c r="AG28" i="4"/>
  <c r="AG29" i="4" s="1"/>
  <c r="AS28" i="4"/>
  <c r="AS29" i="4" s="1"/>
  <c r="P28" i="4"/>
  <c r="P29" i="4" s="1"/>
  <c r="L28" i="4"/>
  <c r="L29" i="4" s="1"/>
  <c r="K32" i="1"/>
  <c r="I29" i="4"/>
  <c r="JX28" i="4"/>
  <c r="JP28" i="4"/>
  <c r="JH28" i="4"/>
  <c r="IZ28" i="4"/>
  <c r="IR28" i="4"/>
  <c r="IJ28" i="4"/>
  <c r="IB28" i="4"/>
  <c r="HT28" i="4"/>
  <c r="HL28" i="4"/>
  <c r="HD28" i="4"/>
  <c r="GV28" i="4"/>
  <c r="GN28" i="4"/>
  <c r="GF28" i="4"/>
  <c r="FX28" i="4"/>
  <c r="FQ28" i="4"/>
  <c r="FP28" i="4"/>
  <c r="FK28" i="4"/>
  <c r="FJ28" i="4"/>
  <c r="FI28" i="4"/>
  <c r="FH28" i="4"/>
  <c r="FD28" i="4"/>
  <c r="FC28" i="4"/>
  <c r="FB28" i="4"/>
  <c r="FA28" i="4"/>
  <c r="EZ28" i="4"/>
  <c r="EX28" i="4"/>
  <c r="EP28" i="4"/>
  <c r="JW28" i="4" s="1"/>
  <c r="EV28" i="4"/>
  <c r="L55" i="9" l="1"/>
  <c r="S55" i="9"/>
  <c r="J55" i="9"/>
  <c r="T55" i="9"/>
  <c r="K29" i="4"/>
  <c r="G55" i="9"/>
  <c r="AM55" i="9"/>
  <c r="N55" i="9"/>
  <c r="AC55" i="9"/>
  <c r="R55" i="9"/>
  <c r="AU55" i="9"/>
  <c r="AJ55" i="9"/>
  <c r="AO55" i="9"/>
  <c r="AG55" i="9"/>
  <c r="AW55" i="9"/>
  <c r="V55" i="9"/>
  <c r="AV55" i="9"/>
  <c r="AN55" i="9"/>
  <c r="AS55" i="9"/>
  <c r="I55" i="9"/>
  <c r="AX55" i="9"/>
  <c r="FY28" i="4"/>
  <c r="GG28" i="4"/>
  <c r="GO28" i="4"/>
  <c r="GW28" i="4"/>
  <c r="HE28" i="4"/>
  <c r="HM28" i="4"/>
  <c r="HU28" i="4"/>
  <c r="IC28" i="4"/>
  <c r="IK28" i="4"/>
  <c r="IS28" i="4"/>
  <c r="JA28" i="4"/>
  <c r="JI28" i="4"/>
  <c r="JQ28" i="4"/>
  <c r="AI55" i="9"/>
  <c r="O55" i="9"/>
  <c r="AK55" i="9"/>
  <c r="AZ55" i="9"/>
  <c r="U55" i="9"/>
  <c r="AP55" i="9"/>
  <c r="FR28" i="4"/>
  <c r="FZ28" i="4"/>
  <c r="GH28" i="4"/>
  <c r="GP28" i="4"/>
  <c r="GX28" i="4"/>
  <c r="HF28" i="4"/>
  <c r="HN28" i="4"/>
  <c r="HV28" i="4"/>
  <c r="ID28" i="4"/>
  <c r="IL28" i="4"/>
  <c r="IT28" i="4"/>
  <c r="JB28" i="4"/>
  <c r="JJ28" i="4"/>
  <c r="JR28" i="4"/>
  <c r="AH55" i="9"/>
  <c r="FS28" i="4"/>
  <c r="GA28" i="4"/>
  <c r="GI28" i="4"/>
  <c r="GQ28" i="4"/>
  <c r="GY28" i="4"/>
  <c r="HG28" i="4"/>
  <c r="HO28" i="4"/>
  <c r="HW28" i="4"/>
  <c r="IE28" i="4"/>
  <c r="IM28" i="4"/>
  <c r="IU28" i="4"/>
  <c r="JC28" i="4"/>
  <c r="JK28" i="4"/>
  <c r="JS28" i="4"/>
  <c r="H55" i="9"/>
  <c r="AF55" i="9"/>
  <c r="K55" i="9"/>
  <c r="Y55" i="9"/>
  <c r="AQ55" i="9"/>
  <c r="FT28" i="4"/>
  <c r="GJ28" i="4"/>
  <c r="GR28" i="4"/>
  <c r="GZ28" i="4"/>
  <c r="HH28" i="4"/>
  <c r="HP28" i="4"/>
  <c r="HX28" i="4"/>
  <c r="IF28" i="4"/>
  <c r="IN28" i="4"/>
  <c r="IV28" i="4"/>
  <c r="JD28" i="4"/>
  <c r="JL28" i="4"/>
  <c r="JT28" i="4"/>
  <c r="I32" i="1"/>
  <c r="J32" i="1"/>
  <c r="AL55" i="9"/>
  <c r="FL28" i="4"/>
  <c r="GB28" i="4"/>
  <c r="EW28" i="4"/>
  <c r="FE28" i="4"/>
  <c r="FM28" i="4"/>
  <c r="FU28" i="4"/>
  <c r="GC28" i="4"/>
  <c r="GK28" i="4"/>
  <c r="GS28" i="4"/>
  <c r="HA28" i="4"/>
  <c r="HI28" i="4"/>
  <c r="HQ28" i="4"/>
  <c r="HY28" i="4"/>
  <c r="IG28" i="4"/>
  <c r="IO28" i="4"/>
  <c r="IW28" i="4"/>
  <c r="JE28" i="4"/>
  <c r="JM28" i="4"/>
  <c r="JU28" i="4"/>
  <c r="X55" i="9"/>
  <c r="AA55" i="9"/>
  <c r="P55" i="9"/>
  <c r="FN28" i="4"/>
  <c r="GD28" i="4"/>
  <c r="GL28" i="4"/>
  <c r="GT28" i="4"/>
  <c r="HB28" i="4"/>
  <c r="HJ28" i="4"/>
  <c r="HR28" i="4"/>
  <c r="HZ28" i="4"/>
  <c r="IH28" i="4"/>
  <c r="IP28" i="4"/>
  <c r="IX28" i="4"/>
  <c r="JF28" i="4"/>
  <c r="JN28" i="4"/>
  <c r="JV28" i="4"/>
  <c r="AE55" i="9"/>
  <c r="M55" i="9"/>
  <c r="AY55" i="9"/>
  <c r="FF28" i="4"/>
  <c r="FV28" i="4"/>
  <c r="EY28" i="4"/>
  <c r="FG28" i="4"/>
  <c r="FO28" i="4"/>
  <c r="FW28" i="4"/>
  <c r="GE28" i="4"/>
  <c r="GM28" i="4"/>
  <c r="GU28" i="4"/>
  <c r="HC28" i="4"/>
  <c r="HK28" i="4"/>
  <c r="HS28" i="4"/>
  <c r="IA28" i="4"/>
  <c r="II28" i="4"/>
  <c r="IQ28" i="4"/>
  <c r="IY28" i="4"/>
  <c r="JG28" i="4"/>
  <c r="JO28" i="4"/>
  <c r="AR55" i="9"/>
  <c r="AT55" i="9"/>
  <c r="AD55" i="9"/>
  <c r="Z55" i="9"/>
  <c r="Q55" i="9"/>
  <c r="AB55" i="9"/>
  <c r="W55" i="9"/>
  <c r="I8" i="9" l="1"/>
  <c r="J8" i="9"/>
  <c r="G8" i="9"/>
  <c r="H8" i="9"/>
  <c r="K8" i="9"/>
  <c r="DO41" i="4"/>
  <c r="DO43" i="4" s="1"/>
  <c r="EH41" i="4"/>
  <c r="EH43" i="4" s="1"/>
  <c r="EJ41" i="4"/>
  <c r="EJ43" i="4" s="1"/>
  <c r="DL41" i="4"/>
  <c r="DL43" i="4" s="1"/>
  <c r="CU41" i="4"/>
  <c r="CU43" i="4" s="1"/>
  <c r="DG41" i="4"/>
  <c r="DG43" i="4"/>
  <c r="IQ48" i="4" s="1"/>
  <c r="BN41" i="4"/>
  <c r="BN43" i="4" s="1"/>
  <c r="DX41" i="4"/>
  <c r="DX43" i="4" s="1"/>
  <c r="CA41" i="4"/>
  <c r="CA43" i="4" s="1"/>
  <c r="DM41" i="4"/>
  <c r="DM43" i="4"/>
  <c r="DM45" i="4" s="1"/>
  <c r="BM41" i="4"/>
  <c r="BM43" i="4" s="1"/>
  <c r="EB41" i="4"/>
  <c r="EB43" i="4" s="1"/>
  <c r="CN41" i="4"/>
  <c r="CN43" i="4"/>
  <c r="CN45" i="4" s="1"/>
  <c r="BU41" i="4"/>
  <c r="BU43" i="4"/>
  <c r="BU45" i="4" s="1"/>
  <c r="BK41" i="4"/>
  <c r="BK43" i="4" s="1"/>
  <c r="BP41" i="4"/>
  <c r="BP43" i="4" s="1"/>
  <c r="BO41" i="4"/>
  <c r="BO43" i="4" s="1"/>
  <c r="CM41" i="4"/>
  <c r="CM43" i="4"/>
  <c r="CM45" i="4" s="1"/>
  <c r="CD41" i="4"/>
  <c r="CD43" i="4" s="1"/>
  <c r="CH41" i="4"/>
  <c r="CH43" i="4" s="1"/>
  <c r="EM41" i="4"/>
  <c r="EM43" i="4" s="1"/>
  <c r="EF41" i="4"/>
  <c r="EF43" i="4" s="1"/>
  <c r="CT41" i="4"/>
  <c r="CT43" i="4" s="1"/>
  <c r="CP41" i="4"/>
  <c r="CP43" i="4" s="1"/>
  <c r="DJ41" i="4"/>
  <c r="DJ43" i="4"/>
  <c r="EG41" i="4"/>
  <c r="EG43" i="4" s="1"/>
  <c r="ED41" i="4"/>
  <c r="ED43" i="4" s="1"/>
  <c r="BL41" i="4"/>
  <c r="BL43" i="4" s="1"/>
  <c r="DI41" i="4"/>
  <c r="DI43" i="4"/>
  <c r="DI45" i="4" s="1"/>
  <c r="JB41" i="4"/>
  <c r="IW41" i="4"/>
  <c r="HH41" i="4"/>
  <c r="JD41" i="4"/>
  <c r="HQ41" i="4"/>
  <c r="GW41" i="4"/>
  <c r="JR41" i="4"/>
  <c r="FI41" i="4"/>
  <c r="FU41" i="4"/>
  <c r="FS41" i="4"/>
  <c r="EP41" i="4"/>
  <c r="EZ41" i="4" s="1"/>
  <c r="FA41" i="4"/>
  <c r="DW41" i="4"/>
  <c r="DW43" i="4" s="1"/>
  <c r="BH41" i="4"/>
  <c r="BH43" i="4" s="1"/>
  <c r="G41" i="4"/>
  <c r="G43" i="4" s="1"/>
  <c r="G45" i="4" s="1"/>
  <c r="EL41" i="4"/>
  <c r="EL43" i="4"/>
  <c r="EL45" i="4" s="1"/>
  <c r="BV41" i="4"/>
  <c r="BV43" i="4"/>
  <c r="BV45" i="4" s="1"/>
  <c r="BG41" i="4"/>
  <c r="BG43" i="4"/>
  <c r="BG45" i="4" s="1"/>
  <c r="BF41" i="4"/>
  <c r="BF43" i="4" s="1"/>
  <c r="CX41" i="4"/>
  <c r="CX43" i="4"/>
  <c r="CX45" i="4" s="1"/>
  <c r="DA41" i="4"/>
  <c r="DA43" i="4" s="1"/>
  <c r="EK41" i="4"/>
  <c r="EK43" i="4" s="1"/>
  <c r="DY41" i="4"/>
  <c r="DY43" i="4"/>
  <c r="DY45" i="4" s="1"/>
  <c r="CF41" i="4"/>
  <c r="CF43" i="4" s="1"/>
  <c r="CJ41" i="4"/>
  <c r="CJ43" i="4" s="1"/>
  <c r="CV41" i="4"/>
  <c r="CV43" i="4"/>
  <c r="CV45" i="4" s="1"/>
  <c r="DD41" i="4"/>
  <c r="DD43" i="4" s="1"/>
  <c r="CR41" i="4"/>
  <c r="CR43" i="4"/>
  <c r="IB48" i="4" s="1"/>
  <c r="DZ41" i="4"/>
  <c r="DZ43" i="4" s="1"/>
  <c r="DR41" i="4"/>
  <c r="DR43" i="4" s="1"/>
  <c r="CI41" i="4"/>
  <c r="CI43" i="4" s="1"/>
  <c r="EN41" i="4"/>
  <c r="EN43" i="4"/>
  <c r="EN45" i="4" s="1"/>
  <c r="EA41" i="4"/>
  <c r="EA43" i="4" s="1"/>
  <c r="CG41" i="4"/>
  <c r="CG43" i="4" s="1"/>
  <c r="BJ41" i="4"/>
  <c r="BJ43" i="4" s="1"/>
  <c r="CW41" i="4"/>
  <c r="CW43" i="4" s="1"/>
  <c r="BW41" i="4"/>
  <c r="BW43" i="4" s="1"/>
  <c r="DT41" i="4"/>
  <c r="DT43" i="4" s="1"/>
  <c r="CB41" i="4"/>
  <c r="CB43" i="4"/>
  <c r="CB45" i="4" s="1"/>
  <c r="DH41" i="4"/>
  <c r="DH43" i="4" s="1"/>
  <c r="DB41" i="4"/>
  <c r="DB43" i="4" s="1"/>
  <c r="CZ41" i="4"/>
  <c r="CZ43" i="4"/>
  <c r="IJ48" i="4" s="1"/>
  <c r="EC41" i="4"/>
  <c r="EC43" i="4"/>
  <c r="EC45" i="4" s="1"/>
  <c r="BZ41" i="4"/>
  <c r="BZ43" i="4" s="1"/>
  <c r="H41" i="4"/>
  <c r="H43" i="4"/>
  <c r="H45" i="4" s="1"/>
  <c r="DF41" i="4"/>
  <c r="DF43" i="4"/>
  <c r="DF45" i="4" s="1"/>
  <c r="BX41" i="4"/>
  <c r="BX43" i="4"/>
  <c r="HH48" i="4" s="1"/>
  <c r="DC41" i="4"/>
  <c r="DC43" i="4" s="1"/>
  <c r="BI41" i="4"/>
  <c r="BI43" i="4" s="1"/>
  <c r="CE41" i="4"/>
  <c r="CE43" i="4" s="1"/>
  <c r="EI41" i="4"/>
  <c r="EI43" i="4" s="1"/>
  <c r="EI45" i="4" s="1"/>
  <c r="DP41" i="4"/>
  <c r="DP43" i="4" s="1"/>
  <c r="DS41" i="4"/>
  <c r="DS43" i="4"/>
  <c r="DS45" i="4" s="1"/>
  <c r="BS41" i="4"/>
  <c r="BS43" i="4" s="1"/>
  <c r="EE41" i="4"/>
  <c r="EE43" i="4" s="1"/>
  <c r="BQ41" i="4"/>
  <c r="BQ43" i="4"/>
  <c r="BQ45" i="4" s="1"/>
  <c r="DN41" i="4"/>
  <c r="DN43" i="4" s="1"/>
  <c r="DU41" i="4"/>
  <c r="DU43" i="4" s="1"/>
  <c r="DE41" i="4"/>
  <c r="DE43" i="4" s="1"/>
  <c r="AL41" i="4"/>
  <c r="AL43" i="4" s="1"/>
  <c r="CS41" i="4"/>
  <c r="CS43" i="4" s="1"/>
  <c r="X41" i="4"/>
  <c r="X43" i="4" s="1"/>
  <c r="CC41" i="4"/>
  <c r="CC43" i="4" s="1"/>
  <c r="CO41" i="4"/>
  <c r="CO43" i="4" s="1"/>
  <c r="AJ41" i="4"/>
  <c r="AJ43" i="4"/>
  <c r="AJ197" i="4" s="1"/>
  <c r="AE95" i="9" s="1"/>
  <c r="CL41" i="4"/>
  <c r="CL43" i="4" s="1"/>
  <c r="AR41" i="4"/>
  <c r="AR43" i="4"/>
  <c r="AR197" i="4" s="1"/>
  <c r="AO41" i="4"/>
  <c r="AO43" i="4" s="1"/>
  <c r="AK41" i="4"/>
  <c r="AK43" i="4" s="1"/>
  <c r="W41" i="4"/>
  <c r="W43" i="4" s="1"/>
  <c r="M41" i="4"/>
  <c r="M43" i="4" s="1"/>
  <c r="AD41" i="4"/>
  <c r="AD43" i="4"/>
  <c r="AD197" i="4" s="1"/>
  <c r="BA41" i="4"/>
  <c r="BA43" i="4" s="1"/>
  <c r="P41" i="4"/>
  <c r="P43" i="4" s="1"/>
  <c r="AH41" i="4"/>
  <c r="AH43" i="4" s="1"/>
  <c r="AG41" i="4"/>
  <c r="AG43" i="4" s="1"/>
  <c r="DV41" i="4"/>
  <c r="DV43" i="4" s="1"/>
  <c r="AA41" i="4"/>
  <c r="AA43" i="4" s="1"/>
  <c r="BR41" i="4"/>
  <c r="BR43" i="4"/>
  <c r="BR45" i="4" s="1"/>
  <c r="BY41" i="4"/>
  <c r="BY43" i="4" s="1"/>
  <c r="BB41" i="4"/>
  <c r="BB43" i="4"/>
  <c r="BB197" i="4" s="1"/>
  <c r="DQ41" i="4"/>
  <c r="DQ43" i="4" s="1"/>
  <c r="BE41" i="4"/>
  <c r="BE43" i="4" s="1"/>
  <c r="Y41" i="4"/>
  <c r="Y43" i="4" s="1"/>
  <c r="AB41" i="4"/>
  <c r="AB43" i="4"/>
  <c r="AB197" i="4" s="1"/>
  <c r="AE41" i="4"/>
  <c r="AE43" i="4"/>
  <c r="AE197" i="4" s="1"/>
  <c r="Q41" i="4"/>
  <c r="Q43" i="4"/>
  <c r="Q45" i="4" s="1"/>
  <c r="AM41" i="4"/>
  <c r="AM43" i="4" s="1"/>
  <c r="BD41" i="4"/>
  <c r="BD43" i="4"/>
  <c r="BD197" i="4" s="1"/>
  <c r="AY95" i="9" s="1"/>
  <c r="BT41" i="4"/>
  <c r="BT43" i="4"/>
  <c r="BT45" i="4" s="1"/>
  <c r="N41" i="4"/>
  <c r="N43" i="4" s="1"/>
  <c r="AW41" i="4"/>
  <c r="AW43" i="4" s="1"/>
  <c r="CK41" i="4"/>
  <c r="CK43" i="4"/>
  <c r="CK45" i="4" s="1"/>
  <c r="R41" i="4"/>
  <c r="R43" i="4" s="1"/>
  <c r="AP41" i="4"/>
  <c r="AP43" i="4" s="1"/>
  <c r="T41" i="4"/>
  <c r="T43" i="4" s="1"/>
  <c r="CQ41" i="4"/>
  <c r="CQ43" i="4" s="1"/>
  <c r="AF41" i="4"/>
  <c r="AF43" i="4" s="1"/>
  <c r="AN41" i="4"/>
  <c r="AN43" i="4" s="1"/>
  <c r="BC41" i="4"/>
  <c r="BC43" i="4" s="1"/>
  <c r="DK41" i="4"/>
  <c r="DK43" i="4"/>
  <c r="DK45" i="4" s="1"/>
  <c r="AZ41" i="4"/>
  <c r="AZ43" i="4" s="1"/>
  <c r="AX41" i="4"/>
  <c r="AX43" i="4" s="1"/>
  <c r="AQ41" i="4"/>
  <c r="AQ43" i="4"/>
  <c r="AQ197" i="4" s="1"/>
  <c r="AC41" i="4"/>
  <c r="AC43" i="4" s="1"/>
  <c r="U41" i="4"/>
  <c r="U43" i="4"/>
  <c r="U197" i="4" s="1"/>
  <c r="AV41" i="4"/>
  <c r="AV43" i="4" s="1"/>
  <c r="AU41" i="4"/>
  <c r="AU43" i="4" s="1"/>
  <c r="CY41" i="4"/>
  <c r="CY43" i="4" s="1"/>
  <c r="S41" i="4"/>
  <c r="S43" i="4"/>
  <c r="S197" i="4" s="1"/>
  <c r="AY41" i="4"/>
  <c r="AY43" i="4" s="1"/>
  <c r="AI41" i="4"/>
  <c r="AI43" i="4" s="1"/>
  <c r="O41" i="4"/>
  <c r="O43" i="4" s="1"/>
  <c r="AS41" i="4"/>
  <c r="AS43" i="4" s="1"/>
  <c r="V41" i="4"/>
  <c r="V43" i="4"/>
  <c r="V197" i="4" s="1"/>
  <c r="Z41" i="4"/>
  <c r="Z43" i="4" s="1"/>
  <c r="AT41" i="4"/>
  <c r="AT43" i="4" s="1"/>
  <c r="I43" i="4"/>
  <c r="L41" i="4"/>
  <c r="IH48" i="4" l="1"/>
  <c r="IS48" i="4"/>
  <c r="GQ48" i="4"/>
  <c r="BX45" i="4"/>
  <c r="L57" i="9"/>
  <c r="L58" i="9" s="1"/>
  <c r="IP48" i="4"/>
  <c r="CZ45" i="4"/>
  <c r="IU48" i="4"/>
  <c r="HA48" i="4"/>
  <c r="JI48" i="4"/>
  <c r="AO57" i="9"/>
  <c r="AO58" i="9" s="1"/>
  <c r="AT45" i="4"/>
  <c r="GD48" i="4"/>
  <c r="AT197" i="4"/>
  <c r="AI45" i="4"/>
  <c r="AD57" i="9"/>
  <c r="AD58" i="9" s="1"/>
  <c r="FS48" i="4"/>
  <c r="AI197" i="4"/>
  <c r="U57" i="9"/>
  <c r="U58" i="9" s="1"/>
  <c r="Z45" i="4"/>
  <c r="FJ48" i="4"/>
  <c r="Z197" i="4"/>
  <c r="AS45" i="4"/>
  <c r="AN57" i="9"/>
  <c r="AN58" i="9" s="1"/>
  <c r="GC48" i="4"/>
  <c r="AS197" i="4"/>
  <c r="AT57" i="9"/>
  <c r="AT58" i="9" s="1"/>
  <c r="AY45" i="4"/>
  <c r="GI48" i="4"/>
  <c r="AY197" i="4"/>
  <c r="V212" i="4"/>
  <c r="Q106" i="9" s="1"/>
  <c r="Q95" i="9"/>
  <c r="J57" i="9"/>
  <c r="J58" i="9" s="1"/>
  <c r="O45" i="4"/>
  <c r="EY48" i="4"/>
  <c r="O197" i="4"/>
  <c r="K41" i="4"/>
  <c r="U212" i="4"/>
  <c r="P106" i="9" s="1"/>
  <c r="P95" i="9"/>
  <c r="M57" i="9"/>
  <c r="M58" i="9" s="1"/>
  <c r="R45" i="4"/>
  <c r="R197" i="4"/>
  <c r="FB48" i="4"/>
  <c r="I45" i="4"/>
  <c r="K34" i="1"/>
  <c r="X57" i="9"/>
  <c r="X58" i="9" s="1"/>
  <c r="AC45" i="4"/>
  <c r="FM48" i="4"/>
  <c r="AC197" i="4"/>
  <c r="BC45" i="4"/>
  <c r="AX57" i="9"/>
  <c r="AX58" i="9" s="1"/>
  <c r="GM48" i="4"/>
  <c r="BC197" i="4"/>
  <c r="AL95" i="9"/>
  <c r="AQ212" i="4"/>
  <c r="AL106" i="9" s="1"/>
  <c r="AI57" i="9"/>
  <c r="AI58" i="9" s="1"/>
  <c r="AN45" i="4"/>
  <c r="FX48" i="4"/>
  <c r="AN197" i="4"/>
  <c r="AF45" i="4"/>
  <c r="AA57" i="9"/>
  <c r="AA58" i="9" s="1"/>
  <c r="FP48" i="4"/>
  <c r="AF197" i="4"/>
  <c r="Q57" i="9"/>
  <c r="Q58" i="9" s="1"/>
  <c r="FF48" i="4"/>
  <c r="V45" i="4"/>
  <c r="CY45" i="4"/>
  <c r="II48" i="4"/>
  <c r="AS57" i="9"/>
  <c r="AS58" i="9" s="1"/>
  <c r="AX45" i="4"/>
  <c r="GH48" i="4"/>
  <c r="AX197" i="4"/>
  <c r="CQ45" i="4"/>
  <c r="IA48" i="4"/>
  <c r="AP57" i="9"/>
  <c r="AP58" i="9" s="1"/>
  <c r="AU45" i="4"/>
  <c r="GE48" i="4"/>
  <c r="AU197" i="4"/>
  <c r="AU57" i="9"/>
  <c r="AU58" i="9" s="1"/>
  <c r="AZ45" i="4"/>
  <c r="GJ48" i="4"/>
  <c r="AZ197" i="4"/>
  <c r="O57" i="9"/>
  <c r="O58" i="9" s="1"/>
  <c r="T45" i="4"/>
  <c r="FD48" i="4"/>
  <c r="T197" i="4"/>
  <c r="L43" i="4"/>
  <c r="GF48" i="4"/>
  <c r="AV45" i="4"/>
  <c r="AQ57" i="9"/>
  <c r="AQ58" i="9" s="1"/>
  <c r="AV197" i="4"/>
  <c r="AK57" i="9"/>
  <c r="AK58" i="9" s="1"/>
  <c r="AP45" i="4"/>
  <c r="FZ48" i="4"/>
  <c r="AP197" i="4"/>
  <c r="BY45" i="4"/>
  <c r="HI48" i="4"/>
  <c r="S212" i="4"/>
  <c r="N106" i="9" s="1"/>
  <c r="N95" i="9"/>
  <c r="AL57" i="9"/>
  <c r="AL58" i="9" s="1"/>
  <c r="AQ45" i="4"/>
  <c r="GA48" i="4"/>
  <c r="AH57" i="9"/>
  <c r="AH58" i="9" s="1"/>
  <c r="AM45" i="4"/>
  <c r="FW48" i="4"/>
  <c r="AM197" i="4"/>
  <c r="N57" i="9"/>
  <c r="N58" i="9" s="1"/>
  <c r="S45" i="4"/>
  <c r="FC48" i="4"/>
  <c r="AR57" i="9"/>
  <c r="AW45" i="4"/>
  <c r="GG48" i="4"/>
  <c r="AW197" i="4"/>
  <c r="I57" i="9"/>
  <c r="I58" i="9" s="1"/>
  <c r="N45" i="4"/>
  <c r="EX48" i="4"/>
  <c r="N197" i="4"/>
  <c r="FI48" i="4"/>
  <c r="T57" i="9"/>
  <c r="Y197" i="4"/>
  <c r="Y45" i="4"/>
  <c r="V57" i="9"/>
  <c r="V58" i="9" s="1"/>
  <c r="FK48" i="4"/>
  <c r="AA45" i="4"/>
  <c r="AA197" i="4"/>
  <c r="U45" i="4"/>
  <c r="P57" i="9"/>
  <c r="P58" i="9" s="1"/>
  <c r="FE48" i="4"/>
  <c r="AZ57" i="9"/>
  <c r="AZ58" i="9" s="1"/>
  <c r="BE45" i="4"/>
  <c r="GO48" i="4"/>
  <c r="BE197" i="4"/>
  <c r="DV45" i="4"/>
  <c r="JF48" i="4"/>
  <c r="DQ45" i="4"/>
  <c r="JA48" i="4"/>
  <c r="AB57" i="9"/>
  <c r="AB58" i="9" s="1"/>
  <c r="AG45" i="4"/>
  <c r="AG197" i="4"/>
  <c r="FQ48" i="4"/>
  <c r="AW95" i="9"/>
  <c r="BB212" i="4"/>
  <c r="AW106" i="9" s="1"/>
  <c r="FR48" i="4"/>
  <c r="AC57" i="9"/>
  <c r="AC58" i="9" s="1"/>
  <c r="AH45" i="4"/>
  <c r="AH197" i="4"/>
  <c r="P45" i="4"/>
  <c r="K57" i="9"/>
  <c r="K58" i="9" s="1"/>
  <c r="EZ48" i="4"/>
  <c r="P197" i="4"/>
  <c r="HD48" i="4"/>
  <c r="Z95" i="9"/>
  <c r="AV57" i="9"/>
  <c r="AV58" i="9" s="1"/>
  <c r="BA45" i="4"/>
  <c r="GK48" i="4"/>
  <c r="BA197" i="4"/>
  <c r="AB212" i="4"/>
  <c r="W106" i="9" s="1"/>
  <c r="W95" i="9"/>
  <c r="HB48" i="4"/>
  <c r="AD212" i="4"/>
  <c r="Y106" i="9" s="1"/>
  <c r="Y95" i="9"/>
  <c r="FA48" i="4"/>
  <c r="Q197" i="4"/>
  <c r="FO48" i="4"/>
  <c r="Z57" i="9"/>
  <c r="Z58" i="9" s="1"/>
  <c r="AE45" i="4"/>
  <c r="W57" i="9"/>
  <c r="W58" i="9" s="1"/>
  <c r="AB45" i="4"/>
  <c r="FL48" i="4"/>
  <c r="AE212" i="4"/>
  <c r="Z106" i="9" s="1"/>
  <c r="AW57" i="9"/>
  <c r="AW58" i="9" s="1"/>
  <c r="BB45" i="4"/>
  <c r="GL48" i="4"/>
  <c r="CL45" i="4"/>
  <c r="HV48" i="4"/>
  <c r="HU48" i="4"/>
  <c r="BD212" i="4"/>
  <c r="AY106" i="9" s="1"/>
  <c r="H57" i="9"/>
  <c r="M45" i="4"/>
  <c r="EW48" i="4"/>
  <c r="M197" i="4"/>
  <c r="R57" i="9"/>
  <c r="R58" i="9" s="1"/>
  <c r="W45" i="4"/>
  <c r="FG48" i="4"/>
  <c r="W197" i="4"/>
  <c r="AF57" i="9"/>
  <c r="AK45" i="4"/>
  <c r="FU48" i="4"/>
  <c r="AK197" i="4"/>
  <c r="AY57" i="9"/>
  <c r="AY58" i="9" s="1"/>
  <c r="BD45" i="4"/>
  <c r="GN48" i="4"/>
  <c r="AJ57" i="9"/>
  <c r="AJ58" i="9" s="1"/>
  <c r="AO45" i="4"/>
  <c r="FY48" i="4"/>
  <c r="AO197" i="4"/>
  <c r="CO45" i="4"/>
  <c r="HY48" i="4"/>
  <c r="FN48" i="4"/>
  <c r="S57" i="9"/>
  <c r="S58" i="9" s="1"/>
  <c r="X45" i="4"/>
  <c r="FH48" i="4"/>
  <c r="X197" i="4"/>
  <c r="AM95" i="9"/>
  <c r="AR212" i="4"/>
  <c r="AM106" i="9" s="1"/>
  <c r="CS45" i="4"/>
  <c r="IC48" i="4"/>
  <c r="EE45" i="4"/>
  <c r="JO48" i="4"/>
  <c r="Y57" i="9"/>
  <c r="Y58" i="9" s="1"/>
  <c r="AD45" i="4"/>
  <c r="AM57" i="9"/>
  <c r="AM58" i="9" s="1"/>
  <c r="AR45" i="4"/>
  <c r="GB48" i="4"/>
  <c r="AE57" i="9"/>
  <c r="AE58" i="9" s="1"/>
  <c r="AJ45" i="4"/>
  <c r="FT48" i="4"/>
  <c r="AJ212" i="4"/>
  <c r="AE106" i="9" s="1"/>
  <c r="AG57" i="9"/>
  <c r="AG58" i="9" s="1"/>
  <c r="AL45" i="4"/>
  <c r="FV48" i="4"/>
  <c r="AL197" i="4"/>
  <c r="BS45" i="4"/>
  <c r="HC48" i="4"/>
  <c r="CC45" i="4"/>
  <c r="HM48" i="4"/>
  <c r="DE45" i="4"/>
  <c r="IO48" i="4"/>
  <c r="DU45" i="4"/>
  <c r="JE48" i="4"/>
  <c r="DN45" i="4"/>
  <c r="IX48" i="4"/>
  <c r="DP45" i="4"/>
  <c r="IZ48" i="4"/>
  <c r="JS48" i="4"/>
  <c r="HO48" i="4"/>
  <c r="CE45" i="4"/>
  <c r="BJ45" i="4"/>
  <c r="GT48" i="4"/>
  <c r="BI45" i="4"/>
  <c r="GS48" i="4"/>
  <c r="DB45" i="4"/>
  <c r="IL48" i="4"/>
  <c r="DC45" i="4"/>
  <c r="IM48" i="4"/>
  <c r="DH45" i="4"/>
  <c r="IR48" i="4"/>
  <c r="BZ45" i="4"/>
  <c r="HJ48" i="4"/>
  <c r="JC48" i="4"/>
  <c r="DT45" i="4"/>
  <c r="JD48" i="4"/>
  <c r="BW45" i="4"/>
  <c r="HG48" i="4"/>
  <c r="CW45" i="4"/>
  <c r="IG48" i="4"/>
  <c r="JM48" i="4"/>
  <c r="CG45" i="4"/>
  <c r="HQ48" i="4"/>
  <c r="EA45" i="4"/>
  <c r="JK48" i="4"/>
  <c r="DD45" i="4"/>
  <c r="IN48" i="4"/>
  <c r="HL48" i="4"/>
  <c r="CI45" i="4"/>
  <c r="HS48" i="4"/>
  <c r="CJ45" i="4"/>
  <c r="HT48" i="4"/>
  <c r="DR45" i="4"/>
  <c r="JB48" i="4"/>
  <c r="CF45" i="4"/>
  <c r="HP48" i="4"/>
  <c r="JJ48" i="4"/>
  <c r="DZ45" i="4"/>
  <c r="CR45" i="4"/>
  <c r="GR48" i="4"/>
  <c r="BH45" i="4"/>
  <c r="DW45" i="4"/>
  <c r="JG48" i="4"/>
  <c r="GV48" i="4"/>
  <c r="BL45" i="4"/>
  <c r="IF48" i="4"/>
  <c r="GP48" i="4"/>
  <c r="BF45" i="4"/>
  <c r="ED45" i="4"/>
  <c r="JN48" i="4"/>
  <c r="EG45" i="4"/>
  <c r="JQ48" i="4"/>
  <c r="DA45" i="4"/>
  <c r="IK48" i="4"/>
  <c r="JX48" i="4"/>
  <c r="EK45" i="4"/>
  <c r="JU48" i="4"/>
  <c r="ID41" i="4"/>
  <c r="GD41" i="4"/>
  <c r="GH41" i="4"/>
  <c r="EX41" i="4"/>
  <c r="FT41" i="4"/>
  <c r="GV41" i="4"/>
  <c r="HP41" i="4"/>
  <c r="HO41" i="4"/>
  <c r="IR41" i="4"/>
  <c r="FK41" i="4"/>
  <c r="GS41" i="4"/>
  <c r="FR41" i="4"/>
  <c r="JN41" i="4"/>
  <c r="HY41" i="4"/>
  <c r="JF41" i="4"/>
  <c r="EF45" i="4"/>
  <c r="JP48" i="4"/>
  <c r="BK45" i="4"/>
  <c r="GU48" i="4"/>
  <c r="GX41" i="4"/>
  <c r="IN41" i="4"/>
  <c r="FD41" i="4"/>
  <c r="HK41" i="4"/>
  <c r="FG41" i="4"/>
  <c r="JH41" i="4"/>
  <c r="FL41" i="4"/>
  <c r="FV41" i="4"/>
  <c r="GL41" i="4"/>
  <c r="IL41" i="4"/>
  <c r="FB41" i="4"/>
  <c r="GA41" i="4"/>
  <c r="HE41" i="4"/>
  <c r="HW41" i="4"/>
  <c r="EM45" i="4"/>
  <c r="JW48" i="4"/>
  <c r="IG41" i="4"/>
  <c r="JJ41" i="4"/>
  <c r="FQ41" i="4"/>
  <c r="HR41" i="4"/>
  <c r="HS41" i="4"/>
  <c r="JS41" i="4"/>
  <c r="HJ41" i="4"/>
  <c r="HG41" i="4"/>
  <c r="IU41" i="4"/>
  <c r="IV41" i="4"/>
  <c r="FY41" i="4"/>
  <c r="IS41" i="4"/>
  <c r="JO41" i="4"/>
  <c r="IE41" i="4"/>
  <c r="IM41" i="4"/>
  <c r="HV41" i="4"/>
  <c r="CH45" i="4"/>
  <c r="HR48" i="4"/>
  <c r="GK41" i="4"/>
  <c r="GN41" i="4"/>
  <c r="HX41" i="4"/>
  <c r="GM41" i="4"/>
  <c r="EW41" i="4"/>
  <c r="FH41" i="4"/>
  <c r="HU41" i="4"/>
  <c r="GU41" i="4"/>
  <c r="II41" i="4"/>
  <c r="JQ41" i="4"/>
  <c r="FF41" i="4"/>
  <c r="IA41" i="4"/>
  <c r="GG41" i="4"/>
  <c r="JI41" i="4"/>
  <c r="JW41" i="4"/>
  <c r="IC41" i="4"/>
  <c r="DJ45" i="4"/>
  <c r="IT48" i="4"/>
  <c r="HN48" i="4"/>
  <c r="CD45" i="4"/>
  <c r="HF48" i="4"/>
  <c r="JV48" i="4"/>
  <c r="FJ41" i="4"/>
  <c r="FC41" i="4"/>
  <c r="IX41" i="4"/>
  <c r="HL41" i="4"/>
  <c r="JU41" i="4"/>
  <c r="IP41" i="4"/>
  <c r="HC41" i="4"/>
  <c r="IT41" i="4"/>
  <c r="GP41" i="4"/>
  <c r="GR41" i="4"/>
  <c r="HN41" i="4"/>
  <c r="GJ41" i="4"/>
  <c r="HZ41" i="4"/>
  <c r="GZ41" i="4"/>
  <c r="IB41" i="4"/>
  <c r="JP41" i="4"/>
  <c r="HT41" i="4"/>
  <c r="FM41" i="4"/>
  <c r="JC41" i="4"/>
  <c r="FE41" i="4"/>
  <c r="IO41" i="4"/>
  <c r="IZ41" i="4"/>
  <c r="HI41" i="4"/>
  <c r="JE41" i="4"/>
  <c r="GC41" i="4"/>
  <c r="EY41" i="4"/>
  <c r="GI41" i="4"/>
  <c r="IJ41" i="4"/>
  <c r="IK41" i="4"/>
  <c r="FW41" i="4"/>
  <c r="EB45" i="4"/>
  <c r="JL48" i="4"/>
  <c r="JL41" i="4"/>
  <c r="GF41" i="4"/>
  <c r="FN41" i="4"/>
  <c r="GY41" i="4"/>
  <c r="FX41" i="4"/>
  <c r="HM41" i="4"/>
  <c r="FO41" i="4"/>
  <c r="JM41" i="4"/>
  <c r="JK41" i="4"/>
  <c r="JT41" i="4"/>
  <c r="IH41" i="4"/>
  <c r="JA41" i="4"/>
  <c r="IQ41" i="4"/>
  <c r="JX41" i="4"/>
  <c r="HD41" i="4"/>
  <c r="GE41" i="4"/>
  <c r="HZ48" i="4"/>
  <c r="CP45" i="4"/>
  <c r="BO45" i="4"/>
  <c r="GY48" i="4"/>
  <c r="BM45" i="4"/>
  <c r="GW48" i="4"/>
  <c r="GT41" i="4"/>
  <c r="HB41" i="4"/>
  <c r="GB41" i="4"/>
  <c r="GO41" i="4"/>
  <c r="GQ41" i="4"/>
  <c r="JG41" i="4"/>
  <c r="HA41" i="4"/>
  <c r="EV41" i="4"/>
  <c r="FZ41" i="4"/>
  <c r="JV41" i="4"/>
  <c r="HF41" i="4"/>
  <c r="FP41" i="4"/>
  <c r="IF41" i="4"/>
  <c r="IY41" i="4"/>
  <c r="CT45" i="4"/>
  <c r="ID48" i="4"/>
  <c r="BP45" i="4"/>
  <c r="GZ48" i="4"/>
  <c r="HW48" i="4"/>
  <c r="HE48" i="4"/>
  <c r="HX48" i="4"/>
  <c r="CA45" i="4"/>
  <c r="HK48" i="4"/>
  <c r="DX45" i="4"/>
  <c r="JH48" i="4"/>
  <c r="EJ45" i="4"/>
  <c r="JT48" i="4"/>
  <c r="IW48" i="4"/>
  <c r="BN45" i="4"/>
  <c r="GX48" i="4"/>
  <c r="CU45" i="4"/>
  <c r="IE48" i="4"/>
  <c r="DL45" i="4"/>
  <c r="IV48" i="4"/>
  <c r="DG45" i="4"/>
  <c r="DO45" i="4"/>
  <c r="IY48" i="4"/>
  <c r="EH45" i="4"/>
  <c r="JR48" i="4"/>
  <c r="AL212" i="4" l="1"/>
  <c r="AG106" i="9" s="1"/>
  <c r="AG95" i="9"/>
  <c r="T212" i="4"/>
  <c r="O106" i="9" s="1"/>
  <c r="O95" i="9"/>
  <c r="AP95" i="9"/>
  <c r="AU212" i="4"/>
  <c r="AP106" i="9" s="1"/>
  <c r="AS212" i="4"/>
  <c r="AN106" i="9" s="1"/>
  <c r="AN95" i="9"/>
  <c r="AI212" i="4"/>
  <c r="AD106" i="9" s="1"/>
  <c r="AD95" i="9"/>
  <c r="AM212" i="4"/>
  <c r="AH106" i="9" s="1"/>
  <c r="AH95" i="9"/>
  <c r="AK212" i="4"/>
  <c r="AF106" i="9" s="1"/>
  <c r="AF95" i="9"/>
  <c r="H95" i="9"/>
  <c r="M212" i="4"/>
  <c r="H106" i="9" s="1"/>
  <c r="AR95" i="9"/>
  <c r="AW212" i="4"/>
  <c r="AR106" i="9" s="1"/>
  <c r="AX95" i="9"/>
  <c r="BC212" i="4"/>
  <c r="AX106" i="9" s="1"/>
  <c r="S95" i="9"/>
  <c r="X212" i="4"/>
  <c r="S106" i="9" s="1"/>
  <c r="AO212" i="4"/>
  <c r="AJ106" i="9" s="1"/>
  <c r="AJ95" i="9"/>
  <c r="P212" i="4"/>
  <c r="K106" i="9" s="1"/>
  <c r="K95" i="9"/>
  <c r="Y212" i="4"/>
  <c r="T106" i="9" s="1"/>
  <c r="T95" i="9"/>
  <c r="AV212" i="4"/>
  <c r="AQ106" i="9" s="1"/>
  <c r="AQ95" i="9"/>
  <c r="AN212" i="4"/>
  <c r="AI106" i="9" s="1"/>
  <c r="AI95" i="9"/>
  <c r="I34" i="1"/>
  <c r="J34" i="1"/>
  <c r="Q212" i="4"/>
  <c r="L106" i="9" s="1"/>
  <c r="L95" i="9"/>
  <c r="BA212" i="4"/>
  <c r="AV106" i="9" s="1"/>
  <c r="AV95" i="9"/>
  <c r="T58" i="9"/>
  <c r="I11" i="9" s="1"/>
  <c r="I10" i="9"/>
  <c r="AZ212" i="4"/>
  <c r="AU106" i="9" s="1"/>
  <c r="AU95" i="9"/>
  <c r="AY212" i="4"/>
  <c r="AT106" i="9" s="1"/>
  <c r="AT95" i="9"/>
  <c r="U95" i="9"/>
  <c r="Z212" i="4"/>
  <c r="U106" i="9" s="1"/>
  <c r="AT212" i="4"/>
  <c r="AO106" i="9" s="1"/>
  <c r="AO95" i="9"/>
  <c r="AF58" i="9"/>
  <c r="J11" i="9" s="1"/>
  <c r="J10" i="9"/>
  <c r="H10" i="9"/>
  <c r="H58" i="9"/>
  <c r="H11" i="9" s="1"/>
  <c r="K10" i="9"/>
  <c r="AR58" i="9"/>
  <c r="K11" i="9" s="1"/>
  <c r="O212" i="4"/>
  <c r="J106" i="9" s="1"/>
  <c r="J95" i="9"/>
  <c r="W212" i="4"/>
  <c r="R106" i="9" s="1"/>
  <c r="R95" i="9"/>
  <c r="V95" i="9"/>
  <c r="AA212" i="4"/>
  <c r="V106" i="9" s="1"/>
  <c r="N212" i="4"/>
  <c r="I106" i="9" s="1"/>
  <c r="I95" i="9"/>
  <c r="AK95" i="9"/>
  <c r="AP212" i="4"/>
  <c r="AK106" i="9" s="1"/>
  <c r="AX212" i="4"/>
  <c r="AS106" i="9" s="1"/>
  <c r="AS95" i="9"/>
  <c r="X95" i="9"/>
  <c r="AC212" i="4"/>
  <c r="X106" i="9" s="1"/>
  <c r="M95" i="9"/>
  <c r="R212" i="4"/>
  <c r="M106" i="9" s="1"/>
  <c r="AC95" i="9"/>
  <c r="AH212" i="4"/>
  <c r="AC106" i="9" s="1"/>
  <c r="AB95" i="9"/>
  <c r="AG212" i="4"/>
  <c r="AB106" i="9" s="1"/>
  <c r="BE212" i="4"/>
  <c r="AZ106" i="9" s="1"/>
  <c r="AZ95" i="9"/>
  <c r="L45" i="4"/>
  <c r="K43" i="4"/>
  <c r="G57" i="9"/>
  <c r="L53" i="4"/>
  <c r="L197" i="4"/>
  <c r="EV48" i="4"/>
  <c r="AF212" i="4"/>
  <c r="AA106" i="9" s="1"/>
  <c r="AA95" i="9"/>
  <c r="G58" i="9" l="1"/>
  <c r="G10" i="9"/>
  <c r="I49" i="9"/>
  <c r="J49" i="9"/>
  <c r="G95" i="9"/>
  <c r="I197" i="4"/>
  <c r="L212" i="4"/>
  <c r="H212" i="4" s="1"/>
  <c r="P25" i="1" s="1"/>
  <c r="EU48" i="4"/>
  <c r="EV52" i="4"/>
  <c r="K49" i="9"/>
  <c r="EV50" i="4"/>
  <c r="G64" i="9"/>
  <c r="G17" i="9" s="1"/>
  <c r="H49" i="9"/>
  <c r="EV65" i="4" l="1"/>
  <c r="L65" i="4"/>
  <c r="G212" i="4"/>
  <c r="O25" i="1" s="1"/>
  <c r="I212" i="4"/>
  <c r="N25" i="1" s="1"/>
  <c r="G106" i="9"/>
  <c r="G49" i="9" s="1"/>
  <c r="G11" i="9"/>
  <c r="G62" i="9"/>
  <c r="G15" i="9" s="1"/>
  <c r="EW52" i="4" l="1"/>
  <c r="EW65" i="4" s="1"/>
  <c r="EX52" i="4" l="1"/>
  <c r="M65" i="4"/>
  <c r="N65" i="4" l="1"/>
  <c r="EX65" i="4"/>
  <c r="EY52" i="4" l="1"/>
  <c r="O65" i="4" l="1"/>
  <c r="EY65" i="4"/>
  <c r="EZ52" i="4" l="1"/>
  <c r="P65" i="4" l="1"/>
  <c r="EZ65" i="4"/>
  <c r="FA52" i="4" l="1"/>
  <c r="Q65" i="4" l="1"/>
  <c r="FA65" i="4"/>
  <c r="FB52" i="4" l="1"/>
  <c r="R65" i="4" l="1"/>
  <c r="FB65" i="4"/>
  <c r="FC52" i="4" l="1"/>
  <c r="S65" i="4" l="1"/>
  <c r="FC65" i="4"/>
  <c r="FD52" i="4" l="1"/>
  <c r="T65" i="4" l="1"/>
  <c r="FD65" i="4"/>
  <c r="FE52" i="4" l="1"/>
  <c r="U65" i="4" l="1"/>
  <c r="FE65" i="4"/>
  <c r="FF52" i="4" l="1"/>
  <c r="V65" i="4" l="1"/>
  <c r="FF65" i="4"/>
  <c r="FG52" i="4" l="1"/>
  <c r="W65" i="4" l="1"/>
  <c r="FG65" i="4"/>
  <c r="FH52" i="4" l="1"/>
  <c r="X65" i="4" l="1"/>
  <c r="FH65" i="4"/>
  <c r="FI52" i="4" l="1"/>
  <c r="Y65" i="4" l="1"/>
  <c r="FI65" i="4"/>
  <c r="FJ52" i="4" l="1"/>
  <c r="Z65" i="4" l="1"/>
  <c r="FJ65" i="4"/>
  <c r="FK52" i="4" l="1"/>
  <c r="AA65" i="4" l="1"/>
  <c r="FK65" i="4"/>
  <c r="FL52" i="4" l="1"/>
  <c r="AB65" i="4" l="1"/>
  <c r="FL65" i="4"/>
  <c r="FM52" i="4" l="1"/>
  <c r="AC65" i="4" l="1"/>
  <c r="FM65" i="4"/>
  <c r="FN52" i="4" l="1"/>
  <c r="AD65" i="4" l="1"/>
  <c r="FN65" i="4"/>
  <c r="FO52" i="4" l="1"/>
  <c r="AE65" i="4" l="1"/>
  <c r="FO65" i="4"/>
  <c r="FP52" i="4" l="1"/>
  <c r="AF65" i="4" l="1"/>
  <c r="FP65" i="4"/>
  <c r="FQ52" i="4" l="1"/>
  <c r="AG65" i="4" l="1"/>
  <c r="FQ65" i="4"/>
  <c r="FR52" i="4" l="1"/>
  <c r="AH65" i="4" l="1"/>
  <c r="FR65" i="4"/>
  <c r="FS52" i="4" l="1"/>
  <c r="AI65" i="4" l="1"/>
  <c r="FS65" i="4"/>
  <c r="FT52" i="4" l="1"/>
  <c r="AJ65" i="4" l="1"/>
  <c r="FT65" i="4"/>
  <c r="FU52" i="4" l="1"/>
  <c r="AK65" i="4" l="1"/>
  <c r="FU65" i="4"/>
  <c r="FV52" i="4" l="1"/>
  <c r="AL65" i="4" l="1"/>
  <c r="FV65" i="4"/>
  <c r="FW52" i="4" l="1"/>
  <c r="AM65" i="4" l="1"/>
  <c r="FW65" i="4"/>
  <c r="FX52" i="4" l="1"/>
  <c r="AN65" i="4" l="1"/>
  <c r="FX65" i="4"/>
  <c r="FY52" i="4" l="1"/>
  <c r="AO65" i="4" l="1"/>
  <c r="FY65" i="4"/>
  <c r="FZ52" i="4" l="1"/>
  <c r="AP65" i="4" l="1"/>
  <c r="FZ65" i="4"/>
  <c r="GA52" i="4" l="1"/>
  <c r="AQ65" i="4" l="1"/>
  <c r="GA65" i="4"/>
  <c r="GB52" i="4" l="1"/>
  <c r="AR65" i="4" l="1"/>
  <c r="GB65" i="4"/>
  <c r="GC52" i="4" l="1"/>
  <c r="AS65" i="4" l="1"/>
  <c r="GC65" i="4"/>
  <c r="GD52" i="4" l="1"/>
  <c r="AT65" i="4" l="1"/>
  <c r="GD65" i="4"/>
  <c r="GE52" i="4" l="1"/>
  <c r="AU65" i="4" l="1"/>
  <c r="GE65" i="4"/>
  <c r="GF52" i="4" l="1"/>
  <c r="AV65" i="4" l="1"/>
  <c r="GF65" i="4"/>
  <c r="GG52" i="4" l="1"/>
  <c r="AW65" i="4" l="1"/>
  <c r="GG65" i="4"/>
  <c r="GH52" i="4" l="1"/>
  <c r="AX65" i="4" l="1"/>
  <c r="GH65" i="4"/>
  <c r="GI52" i="4" l="1"/>
  <c r="AY65" i="4" l="1"/>
  <c r="GI65" i="4"/>
  <c r="GJ52" i="4" l="1"/>
  <c r="AZ65" i="4" l="1"/>
  <c r="GJ65" i="4"/>
  <c r="GK52" i="4" l="1"/>
  <c r="BA65" i="4" l="1"/>
  <c r="GK65" i="4"/>
  <c r="GL52" i="4" l="1"/>
  <c r="BB65" i="4" l="1"/>
  <c r="GL65" i="4"/>
  <c r="GM52" i="4" l="1"/>
  <c r="BC65" i="4" l="1"/>
  <c r="GM65" i="4"/>
  <c r="GN52" i="4" l="1"/>
  <c r="BD65" i="4" l="1"/>
  <c r="GN65" i="4"/>
  <c r="GO52" i="4" l="1"/>
  <c r="BE65" i="4" l="1"/>
  <c r="GO65" i="4"/>
  <c r="GP52" i="4" l="1"/>
  <c r="BF65" i="4" l="1"/>
  <c r="GP65" i="4"/>
  <c r="GQ52" i="4" l="1"/>
  <c r="BG65" i="4" l="1"/>
  <c r="GQ65" i="4"/>
  <c r="GR52" i="4" l="1"/>
  <c r="BH65" i="4" l="1"/>
  <c r="GR65" i="4"/>
  <c r="GS52" i="4" l="1"/>
  <c r="BI65" i="4" l="1"/>
  <c r="GS65" i="4"/>
  <c r="GT52" i="4" l="1"/>
  <c r="BJ65" i="4" l="1"/>
  <c r="GT65" i="4"/>
  <c r="GU52" i="4" l="1"/>
  <c r="BK65" i="4" l="1"/>
  <c r="GU65" i="4"/>
  <c r="GV52" i="4" l="1"/>
  <c r="BL65" i="4" l="1"/>
  <c r="GV65" i="4"/>
  <c r="GW52" i="4" l="1"/>
  <c r="BM65" i="4" l="1"/>
  <c r="GW65" i="4"/>
  <c r="GX52" i="4" l="1"/>
  <c r="BN65" i="4" l="1"/>
  <c r="GX65" i="4"/>
  <c r="GY52" i="4" l="1"/>
  <c r="BO65" i="4" l="1"/>
  <c r="GY65" i="4"/>
  <c r="GZ52" i="4" l="1"/>
  <c r="BP65" i="4" l="1"/>
  <c r="GZ65" i="4"/>
  <c r="HA52" i="4" l="1"/>
  <c r="BQ65" i="4" l="1"/>
  <c r="HA65" i="4"/>
  <c r="HB52" i="4" l="1"/>
  <c r="BR65" i="4" l="1"/>
  <c r="HB65" i="4"/>
  <c r="HC52" i="4" l="1"/>
  <c r="BS65" i="4" l="1"/>
  <c r="HC65" i="4"/>
  <c r="HD52" i="4" l="1"/>
  <c r="BT65" i="4" l="1"/>
  <c r="HD65" i="4"/>
  <c r="HE52" i="4" l="1"/>
  <c r="BU65" i="4" l="1"/>
  <c r="HE65" i="4"/>
  <c r="HF52" i="4" l="1"/>
  <c r="BV65" i="4" l="1"/>
  <c r="HF65" i="4"/>
  <c r="HG52" i="4" l="1"/>
  <c r="BW65" i="4" l="1"/>
  <c r="HG65" i="4"/>
  <c r="HH52" i="4" l="1"/>
  <c r="BX65" i="4" l="1"/>
  <c r="HH65" i="4"/>
  <c r="HI52" i="4" l="1"/>
  <c r="BY65" i="4" l="1"/>
  <c r="HI65" i="4"/>
  <c r="HJ52" i="4" l="1"/>
  <c r="BZ65" i="4" l="1"/>
  <c r="HJ65" i="4"/>
  <c r="HK52" i="4" l="1"/>
  <c r="CA65" i="4" l="1"/>
  <c r="HK65" i="4"/>
  <c r="HL52" i="4" l="1"/>
  <c r="CB65" i="4" l="1"/>
  <c r="HL65" i="4"/>
  <c r="HM52" i="4" l="1"/>
  <c r="CC65" i="4" l="1"/>
  <c r="HM65" i="4"/>
  <c r="HN52" i="4" l="1"/>
  <c r="CD65" i="4" l="1"/>
  <c r="HN65" i="4"/>
  <c r="HO52" i="4" l="1"/>
  <c r="CE65" i="4" l="1"/>
  <c r="HO65" i="4"/>
  <c r="HP52" i="4" l="1"/>
  <c r="CF65" i="4" l="1"/>
  <c r="HP65" i="4"/>
  <c r="HQ52" i="4" l="1"/>
  <c r="CG65" i="4" l="1"/>
  <c r="HQ65" i="4"/>
  <c r="HR52" i="4" l="1"/>
  <c r="CH65" i="4" l="1"/>
  <c r="HR65" i="4"/>
  <c r="HS52" i="4" l="1"/>
  <c r="CI65" i="4" l="1"/>
  <c r="HS65" i="4"/>
  <c r="HT52" i="4" l="1"/>
  <c r="CJ65" i="4" l="1"/>
  <c r="HT65" i="4"/>
  <c r="HU52" i="4" l="1"/>
  <c r="CK65" i="4" l="1"/>
  <c r="HU65" i="4"/>
  <c r="HV52" i="4" l="1"/>
  <c r="CL65" i="4" l="1"/>
  <c r="HV65" i="4"/>
  <c r="HW52" i="4" l="1"/>
  <c r="CM65" i="4" l="1"/>
  <c r="HW65" i="4"/>
  <c r="HX52" i="4" l="1"/>
  <c r="CN65" i="4" l="1"/>
  <c r="HX65" i="4"/>
  <c r="HY52" i="4" l="1"/>
  <c r="CO65" i="4" l="1"/>
  <c r="HY65" i="4"/>
  <c r="HZ52" i="4" l="1"/>
  <c r="CP65" i="4" l="1"/>
  <c r="HZ65" i="4"/>
  <c r="IA52" i="4" l="1"/>
  <c r="CQ65" i="4" l="1"/>
  <c r="IA65" i="4"/>
  <c r="IB52" i="4" l="1"/>
  <c r="CR65" i="4" l="1"/>
  <c r="IB65" i="4"/>
  <c r="IC52" i="4" l="1"/>
  <c r="CS65" i="4" l="1"/>
  <c r="IC65" i="4"/>
  <c r="ID52" i="4" l="1"/>
  <c r="CT65" i="4" l="1"/>
  <c r="ID65" i="4"/>
  <c r="IE52" i="4" l="1"/>
  <c r="CU65" i="4" l="1"/>
  <c r="IE65" i="4"/>
  <c r="IF52" i="4" l="1"/>
  <c r="CV65" i="4" l="1"/>
  <c r="IF65" i="4"/>
  <c r="IG52" i="4" l="1"/>
  <c r="CW65" i="4" l="1"/>
  <c r="IG65" i="4"/>
  <c r="IH52" i="4" l="1"/>
  <c r="CX65" i="4" l="1"/>
  <c r="IH65" i="4"/>
  <c r="II52" i="4" l="1"/>
  <c r="CY65" i="4" l="1"/>
  <c r="II65" i="4"/>
  <c r="IJ52" i="4" l="1"/>
  <c r="CZ65" i="4" l="1"/>
  <c r="IJ65" i="4"/>
  <c r="IK52" i="4" l="1"/>
  <c r="DA65" i="4" l="1"/>
  <c r="IK65" i="4"/>
  <c r="IL52" i="4" l="1"/>
  <c r="DB65" i="4" l="1"/>
  <c r="IL65" i="4"/>
  <c r="IM52" i="4" l="1"/>
  <c r="DC65" i="4" l="1"/>
  <c r="IM65" i="4"/>
  <c r="IN52" i="4" l="1"/>
  <c r="DD65" i="4" l="1"/>
  <c r="IN65" i="4"/>
  <c r="IO52" i="4" l="1"/>
  <c r="DE65" i="4" l="1"/>
  <c r="IO65" i="4"/>
  <c r="IP52" i="4" l="1"/>
  <c r="DF65" i="4" l="1"/>
  <c r="IP65" i="4"/>
  <c r="IQ52" i="4" l="1"/>
  <c r="DG65" i="4" l="1"/>
  <c r="IQ65" i="4"/>
  <c r="IR52" i="4" l="1"/>
  <c r="DH65" i="4" l="1"/>
  <c r="IR65" i="4"/>
  <c r="IS52" i="4" l="1"/>
  <c r="DI65" i="4" l="1"/>
  <c r="IS65" i="4"/>
  <c r="IT52" i="4" l="1"/>
  <c r="DJ65" i="4" l="1"/>
  <c r="IT65" i="4"/>
  <c r="IU52" i="4" l="1"/>
  <c r="DK65" i="4" l="1"/>
  <c r="IU65" i="4"/>
  <c r="IV52" i="4" l="1"/>
  <c r="DL65" i="4" l="1"/>
  <c r="IV65" i="4"/>
  <c r="IW52" i="4" l="1"/>
  <c r="DM65" i="4" l="1"/>
  <c r="IW65" i="4"/>
  <c r="IX52" i="4" l="1"/>
  <c r="DN65" i="4" l="1"/>
  <c r="IX65" i="4"/>
  <c r="IY52" i="4" l="1"/>
  <c r="DO65" i="4" l="1"/>
  <c r="IY65" i="4"/>
  <c r="IZ52" i="4" l="1"/>
  <c r="DP65" i="4" l="1"/>
  <c r="IZ65" i="4"/>
  <c r="JA52" i="4" l="1"/>
  <c r="DQ65" i="4" l="1"/>
  <c r="JA65" i="4"/>
  <c r="JB52" i="4" l="1"/>
  <c r="DR65" i="4" l="1"/>
  <c r="JB65" i="4"/>
  <c r="JC52" i="4" l="1"/>
  <c r="DS65" i="4" l="1"/>
  <c r="JC65" i="4"/>
  <c r="JD52" i="4" l="1"/>
  <c r="DT65" i="4" l="1"/>
  <c r="JD65" i="4"/>
  <c r="JE52" i="4" l="1"/>
  <c r="DU65" i="4" l="1"/>
  <c r="JE65" i="4"/>
  <c r="JF52" i="4" l="1"/>
  <c r="DV65" i="4" l="1"/>
  <c r="JF65" i="4"/>
  <c r="JG52" i="4" l="1"/>
  <c r="DW65" i="4" l="1"/>
  <c r="JG65" i="4"/>
  <c r="JH52" i="4" l="1"/>
  <c r="DX65" i="4" l="1"/>
  <c r="JH65" i="4"/>
  <c r="JI52" i="4" l="1"/>
  <c r="DY65" i="4" l="1"/>
  <c r="JI65" i="4"/>
  <c r="JJ52" i="4" l="1"/>
  <c r="DZ65" i="4" l="1"/>
  <c r="JJ65" i="4"/>
  <c r="JK52" i="4" l="1"/>
  <c r="EA65" i="4" l="1"/>
  <c r="JK65" i="4"/>
  <c r="JL52" i="4" l="1"/>
  <c r="EB65" i="4" l="1"/>
  <c r="JL65" i="4"/>
  <c r="JM52" i="4" l="1"/>
  <c r="EC65" i="4" l="1"/>
  <c r="JM65" i="4"/>
  <c r="JN52" i="4" l="1"/>
  <c r="ED65" i="4" l="1"/>
  <c r="JN65" i="4"/>
  <c r="JO52" i="4" l="1"/>
  <c r="EE65" i="4" l="1"/>
  <c r="JO65" i="4"/>
  <c r="JP52" i="4" l="1"/>
  <c r="EF65" i="4" l="1"/>
  <c r="JP65" i="4"/>
  <c r="JQ52" i="4" l="1"/>
  <c r="EG65" i="4" l="1"/>
  <c r="JQ65" i="4"/>
  <c r="JR52" i="4" l="1"/>
  <c r="EH65" i="4" l="1"/>
  <c r="JR65" i="4"/>
  <c r="JS52" i="4" l="1"/>
  <c r="EI65" i="4" l="1"/>
  <c r="JS65" i="4"/>
  <c r="JT52" i="4" l="1"/>
  <c r="EJ65" i="4" l="1"/>
  <c r="JT65" i="4"/>
  <c r="JU52" i="4" l="1"/>
  <c r="EK65" i="4" l="1"/>
  <c r="JU65" i="4"/>
  <c r="JV52" i="4" l="1"/>
  <c r="EL65" i="4" l="1"/>
  <c r="JV65" i="4"/>
  <c r="JW52" i="4" l="1"/>
  <c r="EM65" i="4" l="1"/>
  <c r="JW65" i="4"/>
  <c r="JX52" i="4" l="1"/>
  <c r="EN65" i="4" l="1"/>
  <c r="I65" i="4" s="1"/>
  <c r="EU52" i="4"/>
  <c r="JX65" i="4"/>
  <c r="EU66" i="4" l="1"/>
  <c r="H65" i="4"/>
  <c r="G65" i="4"/>
  <c r="F34" i="1"/>
  <c r="E34" i="1" l="1"/>
  <c r="EU53" i="4"/>
  <c r="EV53" i="4"/>
  <c r="EV69" i="4" l="1"/>
  <c r="L68" i="4"/>
  <c r="EV56" i="4"/>
  <c r="EV66" i="4"/>
  <c r="EW53" i="4" l="1"/>
  <c r="L71" i="4"/>
  <c r="EV73" i="4"/>
  <c r="EW69" i="4"/>
  <c r="EW73" i="4" l="1"/>
  <c r="L73" i="4"/>
  <c r="G65" i="9" s="1"/>
  <c r="G18" i="9" s="1"/>
  <c r="L200" i="4"/>
  <c r="M68" i="4"/>
  <c r="EW66" i="4"/>
  <c r="EX53" i="4" l="1"/>
  <c r="EX66" i="4" s="1"/>
  <c r="G98" i="9"/>
  <c r="EY53" i="4" l="1"/>
  <c r="N68" i="4"/>
  <c r="EX69" i="4"/>
  <c r="EX73" i="4" l="1"/>
  <c r="EY69" i="4"/>
  <c r="O68" i="4"/>
  <c r="EY66" i="4"/>
  <c r="EZ53" i="4" l="1"/>
  <c r="EY73" i="4"/>
  <c r="EZ69" i="4"/>
  <c r="EZ73" i="4" l="1"/>
  <c r="P68" i="4"/>
  <c r="EZ66" i="4"/>
  <c r="FA53" i="4" l="1"/>
  <c r="Q68" i="4" l="1"/>
  <c r="FA69" i="4"/>
  <c r="FA66" i="4"/>
  <c r="FA73" i="4" l="1"/>
  <c r="FB53" i="4"/>
  <c r="FB69" i="4" s="1"/>
  <c r="R68" i="4" l="1"/>
  <c r="FB66" i="4"/>
  <c r="FB73" i="4"/>
  <c r="FC53" i="4" l="1"/>
  <c r="S68" i="4" l="1"/>
  <c r="FC69" i="4"/>
  <c r="FC66" i="4"/>
  <c r="FD53" i="4" l="1"/>
  <c r="FC73" i="4"/>
  <c r="FD69" i="4"/>
  <c r="FD73" i="4" l="1"/>
  <c r="T68" i="4"/>
  <c r="FD66" i="4"/>
  <c r="FE53" i="4" l="1"/>
  <c r="U68" i="4" l="1"/>
  <c r="FE69" i="4"/>
  <c r="FE66" i="4"/>
  <c r="FF53" i="4" l="1"/>
  <c r="FE73" i="4"/>
  <c r="FF69" i="4"/>
  <c r="FF73" i="4" l="1"/>
  <c r="V68" i="4"/>
  <c r="FF66" i="4"/>
  <c r="FG53" i="4" l="1"/>
  <c r="W68" i="4" l="1"/>
  <c r="FG69" i="4"/>
  <c r="FG66" i="4"/>
  <c r="FH53" i="4" l="1"/>
  <c r="FG73" i="4"/>
  <c r="FH69" i="4"/>
  <c r="FH73" i="4" l="1"/>
  <c r="X68" i="4"/>
  <c r="FH66" i="4"/>
  <c r="FI53" i="4" l="1"/>
  <c r="Y68" i="4" l="1"/>
  <c r="FI69" i="4"/>
  <c r="FI66" i="4"/>
  <c r="FJ53" i="4" l="1"/>
  <c r="FI73" i="4"/>
  <c r="FJ69" i="4"/>
  <c r="FJ73" i="4" l="1"/>
  <c r="Z68" i="4"/>
  <c r="FJ66" i="4"/>
  <c r="FK53" i="4" l="1"/>
  <c r="AA68" i="4" l="1"/>
  <c r="FK69" i="4"/>
  <c r="FK66" i="4"/>
  <c r="FK73" i="4" l="1"/>
  <c r="FL53" i="4"/>
  <c r="FL69" i="4" s="1"/>
  <c r="FL73" i="4" l="1"/>
  <c r="AB68" i="4"/>
  <c r="FL66" i="4"/>
  <c r="FM53" i="4" l="1"/>
  <c r="AC68" i="4" l="1"/>
  <c r="FM69" i="4"/>
  <c r="FM66" i="4"/>
  <c r="FM73" i="4" l="1"/>
  <c r="FN53" i="4"/>
  <c r="AD68" i="4" l="1"/>
  <c r="FN66" i="4"/>
  <c r="FN69" i="4"/>
  <c r="FO53" i="4" l="1"/>
  <c r="FN73" i="4"/>
  <c r="FO69" i="4"/>
  <c r="FO73" i="4" l="1"/>
  <c r="AE68" i="4"/>
  <c r="FO66" i="4"/>
  <c r="FP53" i="4" l="1"/>
  <c r="AF68" i="4" l="1"/>
  <c r="FP69" i="4"/>
  <c r="FP66" i="4"/>
  <c r="FP73" i="4" l="1"/>
  <c r="FQ53" i="4"/>
  <c r="AG68" i="4" l="1"/>
  <c r="FQ66" i="4"/>
  <c r="FQ69" i="4"/>
  <c r="FR53" i="4" l="1"/>
  <c r="FQ73" i="4"/>
  <c r="FR69" i="4"/>
  <c r="FR73" i="4" l="1"/>
  <c r="AH68" i="4"/>
  <c r="FR66" i="4"/>
  <c r="FS53" i="4" l="1"/>
  <c r="AI68" i="4" l="1"/>
  <c r="FS69" i="4"/>
  <c r="FS66" i="4"/>
  <c r="FT53" i="4" l="1"/>
  <c r="FS73" i="4"/>
  <c r="FT69" i="4"/>
  <c r="FT73" i="4" l="1"/>
  <c r="AJ68" i="4"/>
  <c r="FT66" i="4"/>
  <c r="FU53" i="4" l="1"/>
  <c r="AK68" i="4" l="1"/>
  <c r="FU69" i="4"/>
  <c r="FU66" i="4"/>
  <c r="FU73" i="4" l="1"/>
  <c r="FV53" i="4"/>
  <c r="FV69" i="4" s="1"/>
  <c r="FV73" i="4" l="1"/>
  <c r="AL68" i="4"/>
  <c r="FV66" i="4"/>
  <c r="FW53" i="4" l="1"/>
  <c r="AM68" i="4" l="1"/>
  <c r="FW69" i="4"/>
  <c r="FW66" i="4"/>
  <c r="FW73" i="4" l="1"/>
  <c r="FX53" i="4"/>
  <c r="FX69" i="4" s="1"/>
  <c r="FX73" i="4" l="1"/>
  <c r="AN68" i="4"/>
  <c r="FX66" i="4"/>
  <c r="FY53" i="4" l="1"/>
  <c r="AO68" i="4" l="1"/>
  <c r="FY69" i="4"/>
  <c r="FY66" i="4"/>
  <c r="FY73" i="4" l="1"/>
  <c r="FZ53" i="4"/>
  <c r="FZ69" i="4" s="1"/>
  <c r="FZ73" i="4" l="1"/>
  <c r="AP68" i="4"/>
  <c r="FZ66" i="4"/>
  <c r="GA53" i="4" l="1"/>
  <c r="AQ68" i="4" l="1"/>
  <c r="GA69" i="4"/>
  <c r="GA66" i="4"/>
  <c r="GA73" i="4" l="1"/>
  <c r="GB53" i="4"/>
  <c r="GB69" i="4" s="1"/>
  <c r="GB73" i="4" l="1"/>
  <c r="AR68" i="4"/>
  <c r="GB66" i="4"/>
  <c r="GC53" i="4" l="1"/>
  <c r="GC66" i="4" s="1"/>
  <c r="GD53" i="4" l="1"/>
  <c r="AS68" i="4"/>
  <c r="GC69" i="4"/>
  <c r="GC73" i="4" l="1"/>
  <c r="GD69" i="4"/>
  <c r="AT68" i="4"/>
  <c r="GD66" i="4"/>
  <c r="GD73" i="4" l="1"/>
  <c r="GE53" i="4"/>
  <c r="GE69" i="4" s="1"/>
  <c r="GE66" i="4" l="1"/>
  <c r="GE73" i="4"/>
  <c r="GF53" i="4"/>
  <c r="GF69" i="4" s="1"/>
  <c r="AU68" i="4"/>
  <c r="AV68" i="4" l="1"/>
  <c r="GF66" i="4"/>
  <c r="GF73" i="4"/>
  <c r="GG53" i="4" l="1"/>
  <c r="AW68" i="4" l="1"/>
  <c r="GG69" i="4"/>
  <c r="GG66" i="4"/>
  <c r="GG73" i="4" l="1"/>
  <c r="GH53" i="4"/>
  <c r="GH69" i="4" s="1"/>
  <c r="AX68" i="4" l="1"/>
  <c r="GH66" i="4"/>
  <c r="GH73" i="4"/>
  <c r="GI53" i="4" l="1"/>
  <c r="AY68" i="4" l="1"/>
  <c r="GI69" i="4"/>
  <c r="GI66" i="4"/>
  <c r="GI73" i="4" l="1"/>
  <c r="GJ53" i="4"/>
  <c r="GJ69" i="4" s="1"/>
  <c r="GJ73" i="4" l="1"/>
  <c r="AZ68" i="4"/>
  <c r="GJ66" i="4"/>
  <c r="GK53" i="4" l="1"/>
  <c r="BA68" i="4" l="1"/>
  <c r="GK69" i="4"/>
  <c r="GK66" i="4"/>
  <c r="GK73" i="4" l="1"/>
  <c r="GL53" i="4"/>
  <c r="BB68" i="4" l="1"/>
  <c r="GL66" i="4"/>
  <c r="GL69" i="4"/>
  <c r="GM53" i="4" l="1"/>
  <c r="GL73" i="4"/>
  <c r="GM69" i="4"/>
  <c r="GM73" i="4" l="1"/>
  <c r="BC68" i="4"/>
  <c r="GM66" i="4"/>
  <c r="GN53" i="4" l="1"/>
  <c r="BD68" i="4" l="1"/>
  <c r="GN69" i="4"/>
  <c r="GN66" i="4"/>
  <c r="GN73" i="4" l="1"/>
  <c r="GO53" i="4"/>
  <c r="GO69" i="4" s="1"/>
  <c r="GO73" i="4" l="1"/>
  <c r="BE68" i="4"/>
  <c r="GO66" i="4"/>
  <c r="GP53" i="4" l="1"/>
  <c r="BF68" i="4" l="1"/>
  <c r="GP69" i="4"/>
  <c r="GP66" i="4"/>
  <c r="GP73" i="4" l="1"/>
  <c r="GQ53" i="4"/>
  <c r="BG68" i="4" l="1"/>
  <c r="GQ69" i="4"/>
  <c r="GQ66" i="4"/>
  <c r="GQ73" i="4" l="1"/>
  <c r="GR53" i="4"/>
  <c r="GR69" i="4" s="1"/>
  <c r="GR73" i="4" l="1"/>
  <c r="BH68" i="4"/>
  <c r="GR66" i="4"/>
  <c r="GS53" i="4" l="1"/>
  <c r="BI68" i="4" l="1"/>
  <c r="GS69" i="4"/>
  <c r="GS66" i="4"/>
  <c r="GS73" i="4" l="1"/>
  <c r="GT53" i="4"/>
  <c r="GT69" i="4" s="1"/>
  <c r="GT73" i="4" l="1"/>
  <c r="BJ68" i="4"/>
  <c r="GT66" i="4"/>
  <c r="GU53" i="4" l="1"/>
  <c r="BK68" i="4" l="1"/>
  <c r="GU69" i="4"/>
  <c r="GU66" i="4"/>
  <c r="GU73" i="4" l="1"/>
  <c r="GV53" i="4"/>
  <c r="GV69" i="4" s="1"/>
  <c r="GV73" i="4" l="1"/>
  <c r="BL68" i="4"/>
  <c r="GV66" i="4"/>
  <c r="GW53" i="4" l="1"/>
  <c r="BM68" i="4" l="1"/>
  <c r="GW69" i="4"/>
  <c r="GW66" i="4"/>
  <c r="GW73" i="4" l="1"/>
  <c r="GX53" i="4"/>
  <c r="GX66" i="4" s="1"/>
  <c r="GY53" i="4" l="1"/>
  <c r="BN68" i="4"/>
  <c r="GX69" i="4"/>
  <c r="GX73" i="4" l="1"/>
  <c r="GY69" i="4"/>
  <c r="BO68" i="4"/>
  <c r="GY66" i="4"/>
  <c r="GY73" i="4" l="1"/>
  <c r="GZ53" i="4"/>
  <c r="GZ69" i="4" s="1"/>
  <c r="GZ66" i="4" l="1"/>
  <c r="GZ73" i="4"/>
  <c r="HA53" i="4"/>
  <c r="BP68" i="4"/>
  <c r="BQ68" i="4" l="1"/>
  <c r="HA66" i="4"/>
  <c r="HA69" i="4"/>
  <c r="HB53" i="4" l="1"/>
  <c r="HA73" i="4"/>
  <c r="HB69" i="4"/>
  <c r="BR68" i="4" l="1"/>
  <c r="HB73" i="4"/>
  <c r="HB66" i="4"/>
  <c r="HC53" i="4" l="1"/>
  <c r="BS68" i="4" l="1"/>
  <c r="HC69" i="4"/>
  <c r="HC66" i="4"/>
  <c r="HC73" i="4" l="1"/>
  <c r="HD53" i="4"/>
  <c r="BT68" i="4" l="1"/>
  <c r="HD66" i="4"/>
  <c r="HD69" i="4"/>
  <c r="HE53" i="4" l="1"/>
  <c r="HD73" i="4"/>
  <c r="HE69" i="4"/>
  <c r="HE73" i="4" l="1"/>
  <c r="BU68" i="4"/>
  <c r="HE66" i="4"/>
  <c r="HF53" i="4" l="1"/>
  <c r="BV68" i="4" l="1"/>
  <c r="HF69" i="4"/>
  <c r="HF66" i="4"/>
  <c r="HF73" i="4" l="1"/>
  <c r="HG53" i="4"/>
  <c r="BW68" i="4" l="1"/>
  <c r="HG66" i="4"/>
  <c r="HG69" i="4"/>
  <c r="HG73" i="4" l="1"/>
  <c r="HH53" i="4"/>
  <c r="BX68" i="4" l="1"/>
  <c r="HH66" i="4"/>
  <c r="HH69" i="4"/>
  <c r="HI53" i="4" l="1"/>
  <c r="HI69" i="4" s="1"/>
  <c r="HH73" i="4"/>
  <c r="HI73" i="4" l="1"/>
  <c r="BY68" i="4"/>
  <c r="HI66" i="4"/>
  <c r="HJ53" i="4" l="1"/>
  <c r="BZ68" i="4" l="1"/>
  <c r="HJ69" i="4"/>
  <c r="HJ66" i="4"/>
  <c r="HJ73" i="4" l="1"/>
  <c r="HK53" i="4"/>
  <c r="HK69" i="4" s="1"/>
  <c r="HK73" i="4" l="1"/>
  <c r="CA68" i="4"/>
  <c r="HK66" i="4"/>
  <c r="HL53" i="4" l="1"/>
  <c r="CB68" i="4" l="1"/>
  <c r="HL69" i="4"/>
  <c r="HL66" i="4"/>
  <c r="HL73" i="4" l="1"/>
  <c r="HM53" i="4"/>
  <c r="HM69" i="4" s="1"/>
  <c r="HM73" i="4" l="1"/>
  <c r="CC68" i="4"/>
  <c r="HM66" i="4"/>
  <c r="HN53" i="4" l="1"/>
  <c r="CD68" i="4" l="1"/>
  <c r="HN69" i="4"/>
  <c r="HN66" i="4"/>
  <c r="HN73" i="4" l="1"/>
  <c r="HO53" i="4"/>
  <c r="HO69" i="4" s="1"/>
  <c r="HO73" i="4" l="1"/>
  <c r="CE68" i="4"/>
  <c r="HO66" i="4"/>
  <c r="HP53" i="4" l="1"/>
  <c r="CF68" i="4" l="1"/>
  <c r="HP69" i="4"/>
  <c r="HP66" i="4"/>
  <c r="HP73" i="4" l="1"/>
  <c r="HQ53" i="4"/>
  <c r="CG68" i="4" l="1"/>
  <c r="HQ66" i="4"/>
  <c r="HQ69" i="4"/>
  <c r="HR53" i="4" l="1"/>
  <c r="HQ73" i="4"/>
  <c r="HR69" i="4"/>
  <c r="HR73" i="4" l="1"/>
  <c r="CH68" i="4"/>
  <c r="HR66" i="4"/>
  <c r="HS53" i="4" l="1"/>
  <c r="CI68" i="4" l="1"/>
  <c r="HS69" i="4"/>
  <c r="HS66" i="4"/>
  <c r="HS73" i="4" l="1"/>
  <c r="HT53" i="4"/>
  <c r="HT69" i="4" s="1"/>
  <c r="HT73" i="4" l="1"/>
  <c r="CJ68" i="4"/>
  <c r="HT66" i="4"/>
  <c r="HU53" i="4" l="1"/>
  <c r="HU66" i="4" s="1"/>
  <c r="HV53" i="4" l="1"/>
  <c r="CK68" i="4"/>
  <c r="HU69" i="4"/>
  <c r="HU73" i="4" l="1"/>
  <c r="HV69" i="4"/>
  <c r="CL68" i="4"/>
  <c r="HV66" i="4"/>
  <c r="HV73" i="4" l="1"/>
  <c r="HW53" i="4"/>
  <c r="HW69" i="4" s="1"/>
  <c r="HW66" i="4" l="1"/>
  <c r="HX53" i="4" s="1"/>
  <c r="HX69" i="4" s="1"/>
  <c r="HW73" i="4"/>
  <c r="CM68" i="4"/>
  <c r="HX73" i="4" l="1"/>
  <c r="CN68" i="4"/>
  <c r="HX66" i="4"/>
  <c r="HY53" i="4" l="1"/>
  <c r="CO68" i="4" l="1"/>
  <c r="HY69" i="4"/>
  <c r="HY66" i="4"/>
  <c r="HZ53" i="4" l="1"/>
  <c r="HY73" i="4"/>
  <c r="HZ69" i="4"/>
  <c r="HZ73" i="4" l="1"/>
  <c r="CP68" i="4"/>
  <c r="HZ66" i="4"/>
  <c r="IA53" i="4" l="1"/>
  <c r="CQ68" i="4" l="1"/>
  <c r="IA69" i="4"/>
  <c r="IA66" i="4"/>
  <c r="IA73" i="4" l="1"/>
  <c r="IB53" i="4"/>
  <c r="IB69" i="4" s="1"/>
  <c r="IB73" i="4" l="1"/>
  <c r="CR68" i="4"/>
  <c r="IB66" i="4"/>
  <c r="IC53" i="4" l="1"/>
  <c r="CS68" i="4" l="1"/>
  <c r="IC69" i="4"/>
  <c r="IC66" i="4"/>
  <c r="IC73" i="4" l="1"/>
  <c r="ID53" i="4"/>
  <c r="ID66" i="4" s="1"/>
  <c r="IE53" i="4" l="1"/>
  <c r="CT68" i="4"/>
  <c r="ID69" i="4"/>
  <c r="ID73" i="4" l="1"/>
  <c r="IE69" i="4"/>
  <c r="CU68" i="4"/>
  <c r="IE66" i="4"/>
  <c r="IE73" i="4" l="1"/>
  <c r="IF53" i="4"/>
  <c r="IF69" i="4" s="1"/>
  <c r="IF66" i="4" l="1"/>
  <c r="IG53" i="4"/>
  <c r="IF73" i="4"/>
  <c r="IG69" i="4"/>
  <c r="CV68" i="4"/>
  <c r="IG73" i="4" l="1"/>
  <c r="CW68" i="4"/>
  <c r="IG66" i="4"/>
  <c r="IH53" i="4" l="1"/>
  <c r="IH66" i="4" s="1"/>
  <c r="II53" i="4" l="1"/>
  <c r="CX68" i="4"/>
  <c r="IH69" i="4"/>
  <c r="IH73" i="4" l="1"/>
  <c r="II69" i="4"/>
  <c r="CY68" i="4"/>
  <c r="II66" i="4"/>
  <c r="II73" i="4" l="1"/>
  <c r="IJ53" i="4"/>
  <c r="IJ69" i="4" s="1"/>
  <c r="IJ73" i="4" l="1"/>
  <c r="IJ66" i="4"/>
  <c r="CZ68" i="4"/>
  <c r="IK53" i="4" l="1"/>
  <c r="DA68" i="4" l="1"/>
  <c r="IK69" i="4"/>
  <c r="IK66" i="4"/>
  <c r="IK73" i="4" l="1"/>
  <c r="IL53" i="4"/>
  <c r="DB68" i="4" l="1"/>
  <c r="IL66" i="4"/>
  <c r="IL69" i="4"/>
  <c r="IM53" i="4" l="1"/>
  <c r="IM69" i="4" s="1"/>
  <c r="IL73" i="4"/>
  <c r="IM73" i="4" l="1"/>
  <c r="DC68" i="4"/>
  <c r="IM66" i="4"/>
  <c r="IN53" i="4" l="1"/>
  <c r="DD68" i="4" l="1"/>
  <c r="IN69" i="4"/>
  <c r="IN66" i="4"/>
  <c r="IN73" i="4" l="1"/>
  <c r="IO53" i="4"/>
  <c r="IO69" i="4" s="1"/>
  <c r="IO73" i="4" l="1"/>
  <c r="DE68" i="4"/>
  <c r="IO66" i="4"/>
  <c r="IP53" i="4" l="1"/>
  <c r="DF68" i="4" l="1"/>
  <c r="IP69" i="4"/>
  <c r="IP66" i="4"/>
  <c r="IQ53" i="4" l="1"/>
  <c r="IP73" i="4"/>
  <c r="IQ69" i="4"/>
  <c r="IQ73" i="4" l="1"/>
  <c r="DG68" i="4"/>
  <c r="IQ66" i="4"/>
  <c r="IR53" i="4" l="1"/>
  <c r="DH68" i="4" l="1"/>
  <c r="IR69" i="4"/>
  <c r="IR66" i="4"/>
  <c r="IR73" i="4" l="1"/>
  <c r="IS53" i="4"/>
  <c r="DI68" i="4" l="1"/>
  <c r="IS66" i="4"/>
  <c r="IS69" i="4"/>
  <c r="IT53" i="4" l="1"/>
  <c r="IS73" i="4"/>
  <c r="IT69" i="4"/>
  <c r="DJ68" i="4" l="1"/>
  <c r="IT73" i="4"/>
  <c r="IT66" i="4"/>
  <c r="IU53" i="4" l="1"/>
  <c r="DK68" i="4" l="1"/>
  <c r="IU69" i="4"/>
  <c r="IU66" i="4"/>
  <c r="IU73" i="4" l="1"/>
  <c r="IV53" i="4"/>
  <c r="IV69" i="4" s="1"/>
  <c r="IV73" i="4" l="1"/>
  <c r="DL68" i="4"/>
  <c r="IV66" i="4"/>
  <c r="IW53" i="4" l="1"/>
  <c r="IW66" i="4" s="1"/>
  <c r="IX53" i="4" l="1"/>
  <c r="DM68" i="4"/>
  <c r="IW69" i="4"/>
  <c r="IW73" i="4" l="1"/>
  <c r="IX69" i="4"/>
  <c r="DN68" i="4"/>
  <c r="IX66" i="4"/>
  <c r="IX73" i="4" l="1"/>
  <c r="IY53" i="4"/>
  <c r="IY69" i="4" s="1"/>
  <c r="IY66" i="4" l="1"/>
  <c r="IZ53" i="4" s="1"/>
  <c r="IZ69" i="4" s="1"/>
  <c r="IY73" i="4"/>
  <c r="DO68" i="4"/>
  <c r="IZ73" i="4" l="1"/>
  <c r="DP68" i="4"/>
  <c r="IZ66" i="4"/>
  <c r="JA53" i="4" l="1"/>
  <c r="DQ68" i="4" l="1"/>
  <c r="JA69" i="4"/>
  <c r="JA66" i="4"/>
  <c r="JB53" i="4" l="1"/>
  <c r="JA73" i="4"/>
  <c r="DR68" i="4" l="1"/>
  <c r="JB69" i="4"/>
  <c r="JB66" i="4"/>
  <c r="JB73" i="4" l="1"/>
  <c r="JC53" i="4"/>
  <c r="DS68" i="4" l="1"/>
  <c r="JC66" i="4"/>
  <c r="JC69" i="4"/>
  <c r="JD53" i="4" l="1"/>
  <c r="JD69" i="4" s="1"/>
  <c r="JC73" i="4"/>
  <c r="JD73" i="4" l="1"/>
  <c r="DT68" i="4"/>
  <c r="JD66" i="4"/>
  <c r="JE53" i="4" l="1"/>
  <c r="DU68" i="4" l="1"/>
  <c r="JE69" i="4"/>
  <c r="JE66" i="4"/>
  <c r="JE73" i="4" l="1"/>
  <c r="JF53" i="4"/>
  <c r="JF66" i="4" s="1"/>
  <c r="JG53" i="4" l="1"/>
  <c r="DV68" i="4"/>
  <c r="JF69" i="4"/>
  <c r="JF73" i="4" l="1"/>
  <c r="JG69" i="4"/>
  <c r="DW68" i="4"/>
  <c r="JG66" i="4"/>
  <c r="JG73" i="4" l="1"/>
  <c r="JH53" i="4"/>
  <c r="JH69" i="4" s="1"/>
  <c r="JH66" i="4" l="1"/>
  <c r="JI53" i="4"/>
  <c r="JI69" i="4" s="1"/>
  <c r="JH73" i="4"/>
  <c r="DX68" i="4"/>
  <c r="JI73" i="4" l="1"/>
  <c r="DY68" i="4"/>
  <c r="JI66" i="4"/>
  <c r="JJ53" i="4" l="1"/>
  <c r="JJ66" i="4" s="1"/>
  <c r="JK53" i="4" l="1"/>
  <c r="DZ68" i="4"/>
  <c r="JJ69" i="4"/>
  <c r="JJ73" i="4" l="1"/>
  <c r="JK69" i="4"/>
  <c r="EA68" i="4"/>
  <c r="JK66" i="4"/>
  <c r="JK73" i="4" l="1"/>
  <c r="JL53" i="4"/>
  <c r="JL69" i="4" s="1"/>
  <c r="JL66" i="4" l="1"/>
  <c r="JM53" i="4"/>
  <c r="JM69" i="4" s="1"/>
  <c r="JL73" i="4"/>
  <c r="EB68" i="4"/>
  <c r="JM73" i="4" l="1"/>
  <c r="EC68" i="4"/>
  <c r="JM66" i="4"/>
  <c r="JN53" i="4" l="1"/>
  <c r="ED68" i="4" l="1"/>
  <c r="JN69" i="4"/>
  <c r="JN66" i="4"/>
  <c r="JO53" i="4" l="1"/>
  <c r="JN73" i="4"/>
  <c r="JO69" i="4"/>
  <c r="EE68" i="4" l="1"/>
  <c r="JO73" i="4"/>
  <c r="JO66" i="4"/>
  <c r="JP53" i="4" l="1"/>
  <c r="EF68" i="4" l="1"/>
  <c r="JP69" i="4"/>
  <c r="JP66" i="4"/>
  <c r="JQ53" i="4" l="1"/>
  <c r="JP73" i="4"/>
  <c r="JQ69" i="4"/>
  <c r="EG68" i="4" l="1"/>
  <c r="JQ73" i="4"/>
  <c r="JQ66" i="4"/>
  <c r="JR53" i="4" l="1"/>
  <c r="EH68" i="4" l="1"/>
  <c r="JR69" i="4"/>
  <c r="JR66" i="4"/>
  <c r="JR73" i="4" l="1"/>
  <c r="JS53" i="4"/>
  <c r="JS69" i="4" s="1"/>
  <c r="JS73" i="4" l="1"/>
  <c r="EI68" i="4"/>
  <c r="JS66" i="4"/>
  <c r="JT53" i="4" l="1"/>
  <c r="EJ68" i="4" l="1"/>
  <c r="JT69" i="4"/>
  <c r="JT66" i="4"/>
  <c r="JT73" i="4" l="1"/>
  <c r="JU53" i="4"/>
  <c r="JU69" i="4" s="1"/>
  <c r="JU73" i="4" l="1"/>
  <c r="EK68" i="4"/>
  <c r="JU66" i="4"/>
  <c r="JV53" i="4" l="1"/>
  <c r="EL68" i="4" l="1"/>
  <c r="JV69" i="4"/>
  <c r="JV66" i="4"/>
  <c r="JV73" i="4" l="1"/>
  <c r="JW53" i="4"/>
  <c r="EM68" i="4" l="1"/>
  <c r="JW66" i="4"/>
  <c r="JW69" i="4"/>
  <c r="JX53" i="4" l="1"/>
  <c r="JW73" i="4"/>
  <c r="EN68" i="4" l="1"/>
  <c r="JX69" i="4"/>
  <c r="JX66" i="4"/>
  <c r="JX73" i="4" l="1"/>
  <c r="EQ73" i="4" s="1"/>
  <c r="ES69" i="4"/>
  <c r="I68" i="4"/>
  <c r="H68" i="4" l="1"/>
  <c r="EU75" i="4"/>
  <c r="G68" i="4"/>
  <c r="EU76" i="4"/>
  <c r="EV75" i="4" l="1"/>
  <c r="EW75" i="4"/>
  <c r="EX75" i="4"/>
  <c r="EY75" i="4"/>
  <c r="EZ75" i="4"/>
  <c r="FA75" i="4"/>
  <c r="FB75" i="4"/>
  <c r="FC75" i="4"/>
  <c r="FD75" i="4"/>
  <c r="FE75" i="4"/>
  <c r="FF75" i="4"/>
  <c r="FG75" i="4"/>
  <c r="FH75" i="4"/>
  <c r="FI75" i="4"/>
  <c r="FJ75" i="4"/>
  <c r="FK75" i="4"/>
  <c r="FL75" i="4"/>
  <c r="FM75" i="4"/>
  <c r="FN75" i="4"/>
  <c r="FO75" i="4"/>
  <c r="FP75" i="4"/>
  <c r="FQ75" i="4"/>
  <c r="FR75" i="4"/>
  <c r="FS75" i="4"/>
  <c r="FT75" i="4"/>
  <c r="FU75" i="4"/>
  <c r="FV75" i="4"/>
  <c r="FW75" i="4"/>
  <c r="FX75" i="4"/>
  <c r="FY75" i="4"/>
  <c r="FZ75" i="4"/>
  <c r="GA75" i="4"/>
  <c r="GB75" i="4"/>
  <c r="GC75" i="4"/>
  <c r="GD75" i="4"/>
  <c r="GE75" i="4"/>
  <c r="GF75" i="4"/>
  <c r="GG75" i="4"/>
  <c r="GH75" i="4"/>
  <c r="GI75" i="4"/>
  <c r="GJ75" i="4"/>
  <c r="GK75" i="4"/>
  <c r="GL75" i="4"/>
  <c r="GM75" i="4"/>
  <c r="GN75" i="4"/>
  <c r="GO75" i="4"/>
  <c r="GP75" i="4"/>
  <c r="GQ75" i="4"/>
  <c r="GR75" i="4"/>
  <c r="GS75" i="4"/>
  <c r="GT75" i="4"/>
  <c r="GU75" i="4"/>
  <c r="GV75" i="4"/>
  <c r="GW75" i="4"/>
  <c r="GX75" i="4"/>
  <c r="GY75" i="4"/>
  <c r="GZ75" i="4"/>
  <c r="HA75" i="4"/>
  <c r="HB75" i="4"/>
  <c r="HC75" i="4"/>
  <c r="HD75" i="4"/>
  <c r="HE75" i="4"/>
  <c r="HF75" i="4"/>
  <c r="HG75" i="4"/>
  <c r="HH75" i="4"/>
  <c r="HI75" i="4"/>
  <c r="HJ75" i="4"/>
  <c r="HK75" i="4"/>
  <c r="HL75" i="4"/>
  <c r="HM75" i="4"/>
  <c r="HN75" i="4"/>
  <c r="HO75" i="4"/>
  <c r="HP75" i="4"/>
  <c r="HQ75" i="4"/>
  <c r="HR75" i="4"/>
  <c r="HS75" i="4"/>
  <c r="HT75" i="4"/>
  <c r="HU75" i="4"/>
  <c r="HV75" i="4"/>
  <c r="HW75" i="4"/>
  <c r="HX75" i="4"/>
  <c r="HY75" i="4"/>
  <c r="HZ75" i="4"/>
  <c r="IA75" i="4"/>
  <c r="IB75" i="4"/>
  <c r="IC75" i="4"/>
  <c r="ID75" i="4"/>
  <c r="IE75" i="4"/>
  <c r="IF75" i="4"/>
  <c r="IG75" i="4"/>
  <c r="IH75" i="4"/>
  <c r="II75" i="4"/>
  <c r="IJ75" i="4"/>
  <c r="IK75" i="4"/>
  <c r="IL75" i="4"/>
  <c r="IM75" i="4"/>
  <c r="IN75" i="4"/>
  <c r="IO75" i="4"/>
  <c r="IP75" i="4"/>
  <c r="IQ75" i="4"/>
  <c r="IR75" i="4"/>
  <c r="IS75" i="4"/>
  <c r="IT75" i="4"/>
  <c r="IU75" i="4"/>
  <c r="IV75" i="4"/>
  <c r="IW75" i="4"/>
  <c r="IX75" i="4"/>
  <c r="IY75" i="4"/>
  <c r="IZ75" i="4"/>
  <c r="JA75" i="4"/>
  <c r="JB75" i="4"/>
  <c r="JC75" i="4"/>
  <c r="JD75" i="4"/>
  <c r="JE75" i="4"/>
  <c r="JF75" i="4"/>
  <c r="JG75" i="4"/>
  <c r="JH75" i="4"/>
  <c r="JI75" i="4"/>
  <c r="JJ75" i="4"/>
  <c r="JK75" i="4"/>
  <c r="JL75" i="4"/>
  <c r="JM75" i="4"/>
  <c r="JN75" i="4"/>
  <c r="JO75" i="4"/>
  <c r="JP75" i="4"/>
  <c r="JQ75" i="4"/>
  <c r="JR75" i="4"/>
  <c r="JS75" i="4"/>
  <c r="JT75" i="4"/>
  <c r="JU75" i="4"/>
  <c r="JV75" i="4"/>
  <c r="JW75" i="4"/>
  <c r="JX75" i="4"/>
  <c r="JJ77" i="4" l="1"/>
  <c r="JJ76" i="4"/>
  <c r="JJ62" i="4" s="1"/>
  <c r="ID77" i="4"/>
  <c r="ID76" i="4"/>
  <c r="ID62" i="4" s="1"/>
  <c r="HV77" i="4"/>
  <c r="HV76" i="4"/>
  <c r="HV62" i="4" s="1"/>
  <c r="HN77" i="4"/>
  <c r="HN76" i="4"/>
  <c r="HN62" i="4" s="1"/>
  <c r="HF77" i="4"/>
  <c r="HF76" i="4"/>
  <c r="HF62" i="4" s="1"/>
  <c r="GX77" i="4"/>
  <c r="GX76" i="4"/>
  <c r="GX62" i="4" s="1"/>
  <c r="GP77" i="4"/>
  <c r="GP76" i="4"/>
  <c r="GP62" i="4" s="1"/>
  <c r="GH77" i="4"/>
  <c r="GH76" i="4"/>
  <c r="GH62" i="4" s="1"/>
  <c r="FZ77" i="4"/>
  <c r="FZ76" i="4"/>
  <c r="FZ62" i="4" s="1"/>
  <c r="FR77" i="4"/>
  <c r="FR76" i="4"/>
  <c r="FR62" i="4" s="1"/>
  <c r="FJ77" i="4"/>
  <c r="FJ76" i="4"/>
  <c r="FJ62" i="4" s="1"/>
  <c r="FB77" i="4"/>
  <c r="FB76" i="4"/>
  <c r="FB62" i="4" s="1"/>
  <c r="JR77" i="4"/>
  <c r="JR76" i="4"/>
  <c r="JR62" i="4" s="1"/>
  <c r="IK77" i="4"/>
  <c r="IK76" i="4"/>
  <c r="IK62" i="4" s="1"/>
  <c r="HE77" i="4"/>
  <c r="HE76" i="4"/>
  <c r="HE62" i="4" s="1"/>
  <c r="GW77" i="4"/>
  <c r="GW76" i="4"/>
  <c r="GW62" i="4" s="1"/>
  <c r="GO77" i="4"/>
  <c r="GO76" i="4"/>
  <c r="GO62" i="4" s="1"/>
  <c r="GG77" i="4"/>
  <c r="GG76" i="4"/>
  <c r="GG62" i="4" s="1"/>
  <c r="FY77" i="4"/>
  <c r="FY76" i="4"/>
  <c r="FY62" i="4" s="1"/>
  <c r="FQ77" i="4"/>
  <c r="FQ76" i="4"/>
  <c r="FQ62" i="4" s="1"/>
  <c r="FI77" i="4"/>
  <c r="FI76" i="4"/>
  <c r="FI62" i="4" s="1"/>
  <c r="FA77" i="4"/>
  <c r="FA76" i="4"/>
  <c r="FA62" i="4" s="1"/>
  <c r="IC77" i="4"/>
  <c r="IC76" i="4"/>
  <c r="IC62" i="4" s="1"/>
  <c r="IZ77" i="4"/>
  <c r="IZ76" i="4"/>
  <c r="IZ62" i="4" s="1"/>
  <c r="IR77" i="4"/>
  <c r="IR76" i="4"/>
  <c r="IR62" i="4" s="1"/>
  <c r="IJ77" i="4"/>
  <c r="IJ76" i="4"/>
  <c r="IJ62" i="4" s="1"/>
  <c r="IB77" i="4"/>
  <c r="IB76" i="4"/>
  <c r="IB62" i="4" s="1"/>
  <c r="HT77" i="4"/>
  <c r="HT76" i="4"/>
  <c r="HT62" i="4" s="1"/>
  <c r="HL77" i="4"/>
  <c r="HL76" i="4"/>
  <c r="HL62" i="4" s="1"/>
  <c r="HD77" i="4"/>
  <c r="HD76" i="4"/>
  <c r="HD62" i="4" s="1"/>
  <c r="GV77" i="4"/>
  <c r="GV76" i="4"/>
  <c r="GV62" i="4" s="1"/>
  <c r="GN77" i="4"/>
  <c r="GN76" i="4"/>
  <c r="GN62" i="4" s="1"/>
  <c r="GF77" i="4"/>
  <c r="GF76" i="4"/>
  <c r="GF62" i="4" s="1"/>
  <c r="FX77" i="4"/>
  <c r="FX76" i="4"/>
  <c r="FX62" i="4" s="1"/>
  <c r="FP77" i="4"/>
  <c r="FP76" i="4"/>
  <c r="FP62" i="4" s="1"/>
  <c r="FH77" i="4"/>
  <c r="FH76" i="4"/>
  <c r="FH62" i="4" s="1"/>
  <c r="EZ77" i="4"/>
  <c r="EZ76" i="4"/>
  <c r="EZ62" i="4" s="1"/>
  <c r="JQ77" i="4"/>
  <c r="JQ76" i="4"/>
  <c r="JQ62" i="4" s="1"/>
  <c r="HM77" i="4"/>
  <c r="HM76" i="4"/>
  <c r="HM62" i="4" s="1"/>
  <c r="JW77" i="4"/>
  <c r="JW76" i="4"/>
  <c r="JW62" i="4" s="1"/>
  <c r="JO77" i="4"/>
  <c r="JO76" i="4"/>
  <c r="JO62" i="4" s="1"/>
  <c r="JG77" i="4"/>
  <c r="JG76" i="4"/>
  <c r="JG62" i="4" s="1"/>
  <c r="IY77" i="4"/>
  <c r="IY76" i="4"/>
  <c r="IY62" i="4" s="1"/>
  <c r="IQ77" i="4"/>
  <c r="IQ76" i="4"/>
  <c r="IQ62" i="4" s="1"/>
  <c r="II77" i="4"/>
  <c r="II76" i="4"/>
  <c r="II62" i="4" s="1"/>
  <c r="IA77" i="4"/>
  <c r="IA76" i="4"/>
  <c r="IA62" i="4" s="1"/>
  <c r="HS77" i="4"/>
  <c r="HS76" i="4"/>
  <c r="HS62" i="4" s="1"/>
  <c r="HK77" i="4"/>
  <c r="HK76" i="4"/>
  <c r="HK62" i="4" s="1"/>
  <c r="HC77" i="4"/>
  <c r="HC76" i="4"/>
  <c r="HC62" i="4" s="1"/>
  <c r="GU77" i="4"/>
  <c r="GU76" i="4"/>
  <c r="GU62" i="4" s="1"/>
  <c r="GM77" i="4"/>
  <c r="GM76" i="4"/>
  <c r="GM62" i="4" s="1"/>
  <c r="GE77" i="4"/>
  <c r="GE76" i="4"/>
  <c r="GE62" i="4" s="1"/>
  <c r="FW77" i="4"/>
  <c r="FW76" i="4"/>
  <c r="FW62" i="4" s="1"/>
  <c r="FO77" i="4"/>
  <c r="FO76" i="4"/>
  <c r="FO62" i="4" s="1"/>
  <c r="FG77" i="4"/>
  <c r="FG76" i="4"/>
  <c r="FG62" i="4" s="1"/>
  <c r="EY77" i="4"/>
  <c r="EY76" i="4"/>
  <c r="EY62" i="4" s="1"/>
  <c r="IT77" i="4"/>
  <c r="IT76" i="4"/>
  <c r="IT62" i="4" s="1"/>
  <c r="JA77" i="4"/>
  <c r="JA76" i="4"/>
  <c r="JA62" i="4" s="1"/>
  <c r="JP77" i="4"/>
  <c r="JP76" i="4"/>
  <c r="JP62" i="4" s="1"/>
  <c r="JF77" i="4"/>
  <c r="JF76" i="4"/>
  <c r="JF62" i="4" s="1"/>
  <c r="HZ77" i="4"/>
  <c r="HZ76" i="4"/>
  <c r="HZ62" i="4" s="1"/>
  <c r="HR77" i="4"/>
  <c r="HR76" i="4"/>
  <c r="HR62" i="4" s="1"/>
  <c r="HJ77" i="4"/>
  <c r="HJ76" i="4"/>
  <c r="HJ62" i="4" s="1"/>
  <c r="HB77" i="4"/>
  <c r="HB62" i="4"/>
  <c r="HB76" i="4"/>
  <c r="GT77" i="4"/>
  <c r="GT76" i="4"/>
  <c r="GT62" i="4" s="1"/>
  <c r="GL77" i="4"/>
  <c r="GL76" i="4"/>
  <c r="GL62" i="4" s="1"/>
  <c r="GD77" i="4"/>
  <c r="GD76" i="4"/>
  <c r="GD62" i="4" s="1"/>
  <c r="FV77" i="4"/>
  <c r="FV76" i="4"/>
  <c r="FV62" i="4" s="1"/>
  <c r="FN77" i="4"/>
  <c r="FN76" i="4"/>
  <c r="FN62" i="4" s="1"/>
  <c r="FF77" i="4"/>
  <c r="FF76" i="4"/>
  <c r="FF62" i="4" s="1"/>
  <c r="EX77" i="4"/>
  <c r="EX76" i="4"/>
  <c r="EX62" i="4" s="1"/>
  <c r="JB77" i="4"/>
  <c r="JB76" i="4"/>
  <c r="JB62" i="4" s="1"/>
  <c r="IS77" i="4"/>
  <c r="IS76" i="4"/>
  <c r="IS62" i="4" s="1"/>
  <c r="JX77" i="4"/>
  <c r="JX76" i="4"/>
  <c r="JX62" i="4" s="1"/>
  <c r="JN77" i="4"/>
  <c r="JN76" i="4"/>
  <c r="JN62" i="4" s="1"/>
  <c r="IP77" i="4"/>
  <c r="IP76" i="4"/>
  <c r="IP62" i="4" s="1"/>
  <c r="JU77" i="4"/>
  <c r="JU76" i="4"/>
  <c r="JU62" i="4" s="1"/>
  <c r="JM77" i="4"/>
  <c r="JM76" i="4"/>
  <c r="JM62" i="4" s="1"/>
  <c r="JE77" i="4"/>
  <c r="JE76" i="4"/>
  <c r="JE62" i="4" s="1"/>
  <c r="IW77" i="4"/>
  <c r="IW76" i="4"/>
  <c r="IW62" i="4" s="1"/>
  <c r="IO77" i="4"/>
  <c r="IO76" i="4"/>
  <c r="IO62" i="4" s="1"/>
  <c r="IG77" i="4"/>
  <c r="IG76" i="4"/>
  <c r="IG62" i="4" s="1"/>
  <c r="HY77" i="4"/>
  <c r="HY76" i="4"/>
  <c r="HY62" i="4" s="1"/>
  <c r="HQ77" i="4"/>
  <c r="HQ76" i="4"/>
  <c r="HQ62" i="4" s="1"/>
  <c r="HI77" i="4"/>
  <c r="HI76" i="4"/>
  <c r="HI62" i="4" s="1"/>
  <c r="HA77" i="4"/>
  <c r="HA76" i="4"/>
  <c r="HA62" i="4" s="1"/>
  <c r="GS77" i="4"/>
  <c r="GS76" i="4"/>
  <c r="GS62" i="4" s="1"/>
  <c r="GK77" i="4"/>
  <c r="GK76" i="4"/>
  <c r="GK62" i="4" s="1"/>
  <c r="GC77" i="4"/>
  <c r="GC76" i="4"/>
  <c r="GC62" i="4" s="1"/>
  <c r="FU77" i="4"/>
  <c r="FU76" i="4"/>
  <c r="FU62" i="4" s="1"/>
  <c r="FM77" i="4"/>
  <c r="FM76" i="4"/>
  <c r="FM62" i="4" s="1"/>
  <c r="FE77" i="4"/>
  <c r="FE76" i="4"/>
  <c r="FE62" i="4" s="1"/>
  <c r="EW77" i="4"/>
  <c r="EW76" i="4"/>
  <c r="EW62" i="4" s="1"/>
  <c r="EW57" i="4" s="1"/>
  <c r="HU77" i="4"/>
  <c r="HU76" i="4"/>
  <c r="HU62" i="4" s="1"/>
  <c r="JV77" i="4"/>
  <c r="JV76" i="4"/>
  <c r="JV62" i="4" s="1"/>
  <c r="IH77" i="4"/>
  <c r="IH76" i="4"/>
  <c r="IH62" i="4" s="1"/>
  <c r="JL77" i="4"/>
  <c r="JL76" i="4"/>
  <c r="JL62" i="4" s="1"/>
  <c r="JD77" i="4"/>
  <c r="JD76" i="4"/>
  <c r="JD62" i="4" s="1"/>
  <c r="IV77" i="4"/>
  <c r="IV76" i="4"/>
  <c r="IV62" i="4" s="1"/>
  <c r="IN77" i="4"/>
  <c r="IN76" i="4"/>
  <c r="IN62" i="4" s="1"/>
  <c r="IF77" i="4"/>
  <c r="IF76" i="4"/>
  <c r="IF62" i="4" s="1"/>
  <c r="HX77" i="4"/>
  <c r="HX76" i="4"/>
  <c r="HX62" i="4" s="1"/>
  <c r="HP77" i="4"/>
  <c r="HP76" i="4"/>
  <c r="HP62" i="4" s="1"/>
  <c r="HH77" i="4"/>
  <c r="HH76" i="4"/>
  <c r="HH62" i="4" s="1"/>
  <c r="GZ77" i="4"/>
  <c r="GZ76" i="4"/>
  <c r="GZ62" i="4" s="1"/>
  <c r="GR77" i="4"/>
  <c r="GR76" i="4"/>
  <c r="GR62" i="4" s="1"/>
  <c r="GJ77" i="4"/>
  <c r="GJ76" i="4"/>
  <c r="GJ62" i="4" s="1"/>
  <c r="GB77" i="4"/>
  <c r="GB76" i="4"/>
  <c r="GB62" i="4" s="1"/>
  <c r="FT77" i="4"/>
  <c r="FT76" i="4"/>
  <c r="FT62" i="4" s="1"/>
  <c r="FL77" i="4"/>
  <c r="FL76" i="4"/>
  <c r="FL62" i="4" s="1"/>
  <c r="FD77" i="4"/>
  <c r="FD76" i="4"/>
  <c r="FD62" i="4" s="1"/>
  <c r="EV77" i="4"/>
  <c r="L57" i="4" s="1"/>
  <c r="L58" i="4" s="1"/>
  <c r="ES75" i="4"/>
  <c r="EV76" i="4"/>
  <c r="EV62" i="4" s="1"/>
  <c r="IL77" i="4"/>
  <c r="IL76" i="4"/>
  <c r="IL62" i="4" s="1"/>
  <c r="JI77" i="4"/>
  <c r="JI76" i="4"/>
  <c r="JI62" i="4" s="1"/>
  <c r="JH77" i="4"/>
  <c r="JH76" i="4"/>
  <c r="JH62" i="4" s="1"/>
  <c r="IX77" i="4"/>
  <c r="IX76" i="4"/>
  <c r="IX62" i="4" s="1"/>
  <c r="JT77" i="4"/>
  <c r="JT76" i="4"/>
  <c r="JT62" i="4" s="1"/>
  <c r="JS77" i="4"/>
  <c r="JS76" i="4"/>
  <c r="JS62" i="4" s="1"/>
  <c r="JK77" i="4"/>
  <c r="JK76" i="4"/>
  <c r="JK62" i="4" s="1"/>
  <c r="JC77" i="4"/>
  <c r="JC76" i="4"/>
  <c r="JC62" i="4" s="1"/>
  <c r="IU77" i="4"/>
  <c r="IU76" i="4"/>
  <c r="IU62" i="4" s="1"/>
  <c r="IM77" i="4"/>
  <c r="IM76" i="4"/>
  <c r="IM62" i="4" s="1"/>
  <c r="IE77" i="4"/>
  <c r="IE76" i="4"/>
  <c r="IE62" i="4" s="1"/>
  <c r="HW77" i="4"/>
  <c r="HW76" i="4"/>
  <c r="HW62" i="4" s="1"/>
  <c r="HO77" i="4"/>
  <c r="HO76" i="4"/>
  <c r="HO62" i="4" s="1"/>
  <c r="HG77" i="4"/>
  <c r="HG76" i="4"/>
  <c r="HG62" i="4" s="1"/>
  <c r="GY77" i="4"/>
  <c r="GY76" i="4"/>
  <c r="GY62" i="4" s="1"/>
  <c r="GQ77" i="4"/>
  <c r="GQ76" i="4"/>
  <c r="GQ62" i="4" s="1"/>
  <c r="GI77" i="4"/>
  <c r="GI76" i="4"/>
  <c r="GI62" i="4" s="1"/>
  <c r="GA77" i="4"/>
  <c r="GA76" i="4"/>
  <c r="GA62" i="4" s="1"/>
  <c r="FS77" i="4"/>
  <c r="FS76" i="4"/>
  <c r="FS62" i="4" s="1"/>
  <c r="FK77" i="4"/>
  <c r="FK76" i="4"/>
  <c r="FK62" i="4" s="1"/>
  <c r="FC77" i="4"/>
  <c r="FC76" i="4"/>
  <c r="FC62" i="4" s="1"/>
  <c r="EW58" i="4" l="1"/>
  <c r="EW54" i="4" s="1"/>
  <c r="M198" i="4"/>
  <c r="E57" i="4"/>
  <c r="ES76" i="4"/>
  <c r="H96" i="9" l="1"/>
  <c r="EW70" i="4"/>
  <c r="M69" i="4"/>
  <c r="M57" i="4" s="1"/>
  <c r="M58" i="4" s="1"/>
  <c r="M48" i="4"/>
  <c r="EX57" i="4"/>
  <c r="EW56" i="4"/>
  <c r="M51" i="4" l="1"/>
  <c r="EW49" i="4"/>
  <c r="N198" i="4"/>
  <c r="EX58" i="4"/>
  <c r="M71" i="4"/>
  <c r="I96" i="9" l="1"/>
  <c r="H60" i="9"/>
  <c r="M53" i="4"/>
  <c r="M73" i="4"/>
  <c r="H65" i="9" s="1"/>
  <c r="M200" i="4"/>
  <c r="EX54" i="4"/>
  <c r="EW50" i="4" l="1"/>
  <c r="H64" i="9"/>
  <c r="N48" i="4"/>
  <c r="N69" i="4"/>
  <c r="N57" i="4" s="1"/>
  <c r="N58" i="4" s="1"/>
  <c r="EX56" i="4"/>
  <c r="EY57" i="4"/>
  <c r="EX70" i="4"/>
  <c r="H62" i="9"/>
  <c r="H98" i="9"/>
  <c r="EX49" i="4" l="1"/>
  <c r="N51" i="4"/>
  <c r="O198" i="4"/>
  <c r="EY58" i="4"/>
  <c r="EY54" i="4" s="1"/>
  <c r="N71" i="4"/>
  <c r="O48" i="4" l="1"/>
  <c r="O69" i="4"/>
  <c r="O57" i="4" s="1"/>
  <c r="O58" i="4" s="1"/>
  <c r="EY56" i="4"/>
  <c r="EZ57" i="4"/>
  <c r="EY70" i="4"/>
  <c r="N200" i="4"/>
  <c r="N73" i="4"/>
  <c r="I65" i="9" s="1"/>
  <c r="J96" i="9"/>
  <c r="I60" i="9"/>
  <c r="N53" i="4"/>
  <c r="I64" i="9" l="1"/>
  <c r="EX50" i="4"/>
  <c r="I98" i="9"/>
  <c r="EZ58" i="4"/>
  <c r="EZ54" i="4" s="1"/>
  <c r="P198" i="4"/>
  <c r="I62" i="9"/>
  <c r="O71" i="4"/>
  <c r="O51" i="4"/>
  <c r="EY49" i="4"/>
  <c r="P69" i="4" l="1"/>
  <c r="P57" i="4" s="1"/>
  <c r="P58" i="4" s="1"/>
  <c r="P48" i="4"/>
  <c r="EZ56" i="4"/>
  <c r="FA57" i="4"/>
  <c r="EZ70" i="4"/>
  <c r="O53" i="4"/>
  <c r="J60" i="9"/>
  <c r="K96" i="9"/>
  <c r="O200" i="4"/>
  <c r="O73" i="4"/>
  <c r="J65" i="9" s="1"/>
  <c r="J64" i="9" l="1"/>
  <c r="EY50" i="4"/>
  <c r="Q198" i="4"/>
  <c r="FA58" i="4"/>
  <c r="FA54" i="4" s="1"/>
  <c r="P51" i="4"/>
  <c r="EZ49" i="4"/>
  <c r="J98" i="9"/>
  <c r="J62" i="9"/>
  <c r="P71" i="4"/>
  <c r="Q48" i="4" l="1"/>
  <c r="Q69" i="4"/>
  <c r="Q57" i="4" s="1"/>
  <c r="Q58" i="4" s="1"/>
  <c r="FA56" i="4"/>
  <c r="FB57" i="4"/>
  <c r="FA70" i="4"/>
  <c r="P200" i="4"/>
  <c r="P73" i="4"/>
  <c r="K65" i="9" s="1"/>
  <c r="L96" i="9"/>
  <c r="P53" i="4"/>
  <c r="K60" i="9"/>
  <c r="K62" i="9" l="1"/>
  <c r="K98" i="9"/>
  <c r="K64" i="9"/>
  <c r="EZ50" i="4"/>
  <c r="R198" i="4"/>
  <c r="FB58" i="4"/>
  <c r="FB54" i="4" s="1"/>
  <c r="Q71" i="4"/>
  <c r="FA49" i="4"/>
  <c r="Q51" i="4"/>
  <c r="R69" i="4" l="1"/>
  <c r="R57" i="4" s="1"/>
  <c r="R58" i="4" s="1"/>
  <c r="R48" i="4"/>
  <c r="FC57" i="4"/>
  <c r="FB56" i="4"/>
  <c r="FB70" i="4"/>
  <c r="L60" i="9"/>
  <c r="Q53" i="4"/>
  <c r="Q73" i="4"/>
  <c r="L65" i="9" s="1"/>
  <c r="Q200" i="4"/>
  <c r="M96" i="9"/>
  <c r="L62" i="9" l="1"/>
  <c r="S198" i="4"/>
  <c r="FC58" i="4"/>
  <c r="FC54" i="4" s="1"/>
  <c r="L98" i="9"/>
  <c r="FB49" i="4"/>
  <c r="R51" i="4"/>
  <c r="L64" i="9"/>
  <c r="FA50" i="4"/>
  <c r="R71" i="4"/>
  <c r="S48" i="4" l="1"/>
  <c r="S69" i="4"/>
  <c r="S57" i="4" s="1"/>
  <c r="S58" i="4" s="1"/>
  <c r="FD57" i="4"/>
  <c r="FC56" i="4"/>
  <c r="FC70" i="4"/>
  <c r="R200" i="4"/>
  <c r="R73" i="4"/>
  <c r="M65" i="9" s="1"/>
  <c r="N96" i="9"/>
  <c r="M60" i="9"/>
  <c r="M62" i="9" s="1"/>
  <c r="R53" i="4"/>
  <c r="M64" i="9" l="1"/>
  <c r="FB50" i="4"/>
  <c r="M98" i="9"/>
  <c r="S71" i="4"/>
  <c r="T198" i="4"/>
  <c r="FD58" i="4"/>
  <c r="FD54" i="4" s="1"/>
  <c r="FC49" i="4"/>
  <c r="S51" i="4"/>
  <c r="S73" i="4" l="1"/>
  <c r="N65" i="9" s="1"/>
  <c r="S200" i="4"/>
  <c r="N60" i="9"/>
  <c r="N62" i="9" s="1"/>
  <c r="S53" i="4"/>
  <c r="T69" i="4"/>
  <c r="T57" i="4" s="1"/>
  <c r="T58" i="4" s="1"/>
  <c r="T48" i="4"/>
  <c r="FE57" i="4"/>
  <c r="FD56" i="4"/>
  <c r="O96" i="9"/>
  <c r="FD70" i="4"/>
  <c r="T51" i="4" l="1"/>
  <c r="FD49" i="4"/>
  <c r="T71" i="4"/>
  <c r="FC50" i="4"/>
  <c r="N64" i="9"/>
  <c r="N98" i="9"/>
  <c r="U198" i="4"/>
  <c r="FE58" i="4"/>
  <c r="FE54" i="4" s="1"/>
  <c r="U69" i="4" l="1"/>
  <c r="U57" i="4" s="1"/>
  <c r="U58" i="4" s="1"/>
  <c r="U48" i="4"/>
  <c r="FF57" i="4"/>
  <c r="FE56" i="4"/>
  <c r="FE70" i="4"/>
  <c r="P96" i="9"/>
  <c r="T73" i="4"/>
  <c r="O65" i="9" s="1"/>
  <c r="T200" i="4"/>
  <c r="T53" i="4"/>
  <c r="O60" i="9"/>
  <c r="O62" i="9" s="1"/>
  <c r="FD50" i="4" l="1"/>
  <c r="O64" i="9"/>
  <c r="FE49" i="4"/>
  <c r="U51" i="4"/>
  <c r="V198" i="4"/>
  <c r="FF58" i="4"/>
  <c r="FF54" i="4" s="1"/>
  <c r="O98" i="9"/>
  <c r="U71" i="4"/>
  <c r="V69" i="4" l="1"/>
  <c r="V57" i="4" s="1"/>
  <c r="V58" i="4" s="1"/>
  <c r="V48" i="4"/>
  <c r="FG57" i="4"/>
  <c r="FF56" i="4"/>
  <c r="FF70" i="4"/>
  <c r="Q96" i="9"/>
  <c r="P60" i="9"/>
  <c r="P62" i="9" s="1"/>
  <c r="U53" i="4"/>
  <c r="U200" i="4"/>
  <c r="U73" i="4"/>
  <c r="P65" i="9" s="1"/>
  <c r="FG58" i="4" l="1"/>
  <c r="FG54" i="4" s="1"/>
  <c r="FG70" i="4" s="1"/>
  <c r="W198" i="4"/>
  <c r="FF49" i="4"/>
  <c r="V51" i="4"/>
  <c r="P98" i="9"/>
  <c r="FE50" i="4"/>
  <c r="P64" i="9"/>
  <c r="V71" i="4"/>
  <c r="V73" i="4" l="1"/>
  <c r="Q65" i="9" s="1"/>
  <c r="V200" i="4"/>
  <c r="Q60" i="9"/>
  <c r="Q62" i="9" s="1"/>
  <c r="V53" i="4"/>
  <c r="W69" i="4"/>
  <c r="W57" i="4" s="1"/>
  <c r="W58" i="4" s="1"/>
  <c r="W48" i="4"/>
  <c r="FH57" i="4"/>
  <c r="FG56" i="4"/>
  <c r="R96" i="9"/>
  <c r="FG49" i="4" l="1"/>
  <c r="W51" i="4"/>
  <c r="W71" i="4"/>
  <c r="FF50" i="4"/>
  <c r="Q64" i="9"/>
  <c r="Q98" i="9"/>
  <c r="X198" i="4"/>
  <c r="FH58" i="4"/>
  <c r="FH54" i="4" s="1"/>
  <c r="X69" i="4" l="1"/>
  <c r="X57" i="4" s="1"/>
  <c r="X58" i="4" s="1"/>
  <c r="X48" i="4"/>
  <c r="FI57" i="4"/>
  <c r="FH56" i="4"/>
  <c r="FH70" i="4"/>
  <c r="W73" i="4"/>
  <c r="R65" i="9" s="1"/>
  <c r="W200" i="4"/>
  <c r="R60" i="9"/>
  <c r="R62" i="9" s="1"/>
  <c r="W53" i="4"/>
  <c r="S96" i="9"/>
  <c r="R98" i="9" l="1"/>
  <c r="Y198" i="4"/>
  <c r="FI58" i="4"/>
  <c r="FI54" i="4" s="1"/>
  <c r="FH49" i="4"/>
  <c r="X51" i="4"/>
  <c r="FG50" i="4"/>
  <c r="R64" i="9"/>
  <c r="X71" i="4"/>
  <c r="Y69" i="4" l="1"/>
  <c r="Y57" i="4" s="1"/>
  <c r="Y58" i="4" s="1"/>
  <c r="Y48" i="4"/>
  <c r="FJ57" i="4"/>
  <c r="FI56" i="4"/>
  <c r="FI70" i="4"/>
  <c r="S60" i="9"/>
  <c r="S62" i="9" s="1"/>
  <c r="X53" i="4"/>
  <c r="X73" i="4"/>
  <c r="S65" i="9" s="1"/>
  <c r="X200" i="4"/>
  <c r="T96" i="9"/>
  <c r="Z198" i="4" l="1"/>
  <c r="FJ58" i="4"/>
  <c r="FJ54" i="4" s="1"/>
  <c r="Y51" i="4"/>
  <c r="FI49" i="4"/>
  <c r="S64" i="9"/>
  <c r="FH50" i="4"/>
  <c r="S98" i="9"/>
  <c r="Y71" i="4"/>
  <c r="T60" i="9" l="1"/>
  <c r="Y53" i="4"/>
  <c r="Z69" i="4"/>
  <c r="Z57" i="4" s="1"/>
  <c r="Z58" i="4" s="1"/>
  <c r="Z48" i="4"/>
  <c r="FK57" i="4"/>
  <c r="FJ56" i="4"/>
  <c r="Y73" i="4"/>
  <c r="T65" i="9" s="1"/>
  <c r="Y200" i="4"/>
  <c r="U96" i="9"/>
  <c r="FJ70" i="4"/>
  <c r="AA198" i="4" l="1"/>
  <c r="FK58" i="4"/>
  <c r="FK54" i="4" s="1"/>
  <c r="FJ49" i="4"/>
  <c r="Z51" i="4"/>
  <c r="Z71" i="4"/>
  <c r="FI50" i="4"/>
  <c r="T64" i="9"/>
  <c r="T98" i="9"/>
  <c r="T62" i="9"/>
  <c r="AA69" i="4" l="1"/>
  <c r="AA57" i="4" s="1"/>
  <c r="AA58" i="4" s="1"/>
  <c r="AA48" i="4"/>
  <c r="FL57" i="4"/>
  <c r="FK56" i="4"/>
  <c r="FK70" i="4"/>
  <c r="Z200" i="4"/>
  <c r="Z73" i="4"/>
  <c r="U65" i="9" s="1"/>
  <c r="U60" i="9"/>
  <c r="Z53" i="4"/>
  <c r="V96" i="9"/>
  <c r="U62" i="9" l="1"/>
  <c r="U98" i="9"/>
  <c r="AB198" i="4"/>
  <c r="FL58" i="4"/>
  <c r="FL54" i="4" s="1"/>
  <c r="FK49" i="4"/>
  <c r="AA51" i="4"/>
  <c r="U64" i="9"/>
  <c r="FJ50" i="4"/>
  <c r="AA71" i="4"/>
  <c r="AB69" i="4" l="1"/>
  <c r="AB57" i="4" s="1"/>
  <c r="AB58" i="4" s="1"/>
  <c r="AB48" i="4"/>
  <c r="FM57" i="4"/>
  <c r="FL56" i="4"/>
  <c r="FL70" i="4"/>
  <c r="V60" i="9"/>
  <c r="AA53" i="4"/>
  <c r="W96" i="9"/>
  <c r="AA73" i="4"/>
  <c r="V65" i="9" s="1"/>
  <c r="AA200" i="4"/>
  <c r="FK50" i="4" l="1"/>
  <c r="V64" i="9"/>
  <c r="AC198" i="4"/>
  <c r="FM58" i="4"/>
  <c r="FM54" i="4" s="1"/>
  <c r="V62" i="9"/>
  <c r="V98" i="9"/>
  <c r="FL49" i="4"/>
  <c r="AB51" i="4"/>
  <c r="AB71" i="4"/>
  <c r="AC69" i="4" l="1"/>
  <c r="AC57" i="4" s="1"/>
  <c r="AC58" i="4" s="1"/>
  <c r="AC48" i="4"/>
  <c r="FN57" i="4"/>
  <c r="FM56" i="4"/>
  <c r="FM70" i="4"/>
  <c r="X96" i="9"/>
  <c r="W60" i="9"/>
  <c r="AB53" i="4"/>
  <c r="AB73" i="4"/>
  <c r="W65" i="9" s="1"/>
  <c r="AB200" i="4"/>
  <c r="W98" i="9" l="1"/>
  <c r="AD198" i="4"/>
  <c r="FN58" i="4"/>
  <c r="FN54" i="4" s="1"/>
  <c r="W64" i="9"/>
  <c r="FL50" i="4"/>
  <c r="FM49" i="4"/>
  <c r="AC51" i="4"/>
  <c r="W62" i="9"/>
  <c r="AC71" i="4"/>
  <c r="AD69" i="4" l="1"/>
  <c r="AD57" i="4" s="1"/>
  <c r="AD58" i="4" s="1"/>
  <c r="AD48" i="4"/>
  <c r="FO57" i="4"/>
  <c r="FN56" i="4"/>
  <c r="FN70" i="4"/>
  <c r="AC73" i="4"/>
  <c r="X65" i="9" s="1"/>
  <c r="AC200" i="4"/>
  <c r="Y96" i="9"/>
  <c r="X60" i="9"/>
  <c r="AC53" i="4"/>
  <c r="AE198" i="4" l="1"/>
  <c r="FO58" i="4"/>
  <c r="FO54" i="4" s="1"/>
  <c r="X98" i="9"/>
  <c r="X62" i="9"/>
  <c r="FN49" i="4"/>
  <c r="AD51" i="4"/>
  <c r="X64" i="9"/>
  <c r="FM50" i="4"/>
  <c r="AD71" i="4"/>
  <c r="AE48" i="4" l="1"/>
  <c r="AE69" i="4"/>
  <c r="AE57" i="4" s="1"/>
  <c r="AE58" i="4" s="1"/>
  <c r="FP57" i="4"/>
  <c r="FO56" i="4"/>
  <c r="FO70" i="4"/>
  <c r="AD73" i="4"/>
  <c r="Y65" i="9" s="1"/>
  <c r="AD200" i="4"/>
  <c r="Y60" i="9"/>
  <c r="Y62" i="9" s="1"/>
  <c r="AD53" i="4"/>
  <c r="Z96" i="9"/>
  <c r="Y98" i="9" l="1"/>
  <c r="FP58" i="4"/>
  <c r="FP54" i="4" s="1"/>
  <c r="AF198" i="4"/>
  <c r="AE71" i="4"/>
  <c r="Y64" i="9"/>
  <c r="FN50" i="4"/>
  <c r="FO49" i="4"/>
  <c r="AE51" i="4"/>
  <c r="AF69" i="4" l="1"/>
  <c r="AF57" i="4" s="1"/>
  <c r="AF58" i="4" s="1"/>
  <c r="AF48" i="4"/>
  <c r="FQ57" i="4"/>
  <c r="FP56" i="4"/>
  <c r="FP70" i="4"/>
  <c r="Z60" i="9"/>
  <c r="Z62" i="9" s="1"/>
  <c r="AE53" i="4"/>
  <c r="AA96" i="9"/>
  <c r="AE200" i="4"/>
  <c r="AE73" i="4"/>
  <c r="Z65" i="9" s="1"/>
  <c r="Z64" i="9" l="1"/>
  <c r="FO50" i="4"/>
  <c r="FQ58" i="4"/>
  <c r="FQ54" i="4" s="1"/>
  <c r="AG198" i="4"/>
  <c r="Z98" i="9"/>
  <c r="FP49" i="4"/>
  <c r="AF51" i="4"/>
  <c r="AF71" i="4"/>
  <c r="AG69" i="4" l="1"/>
  <c r="AG57" i="4" s="1"/>
  <c r="AG58" i="4" s="1"/>
  <c r="AG48" i="4"/>
  <c r="FR57" i="4"/>
  <c r="FQ56" i="4"/>
  <c r="FQ70" i="4"/>
  <c r="AB96" i="9"/>
  <c r="AF73" i="4"/>
  <c r="AA65" i="9" s="1"/>
  <c r="AF200" i="4"/>
  <c r="AA60" i="9"/>
  <c r="AA62" i="9" s="1"/>
  <c r="AF53" i="4"/>
  <c r="AA64" i="9" l="1"/>
  <c r="FP50" i="4"/>
  <c r="AG51" i="4"/>
  <c r="FQ49" i="4"/>
  <c r="FR58" i="4"/>
  <c r="FR54" i="4" s="1"/>
  <c r="AH198" i="4"/>
  <c r="AA98" i="9"/>
  <c r="AG71" i="4"/>
  <c r="AH69" i="4" l="1"/>
  <c r="AH57" i="4" s="1"/>
  <c r="AH58" i="4" s="1"/>
  <c r="AH48" i="4"/>
  <c r="FS57" i="4"/>
  <c r="FR56" i="4"/>
  <c r="FR70" i="4"/>
  <c r="AC96" i="9"/>
  <c r="AB60" i="9"/>
  <c r="AB62" i="9" s="1"/>
  <c r="AG53" i="4"/>
  <c r="AG73" i="4"/>
  <c r="AB65" i="9" s="1"/>
  <c r="AG200" i="4"/>
  <c r="AB98" i="9" l="1"/>
  <c r="FS58" i="4"/>
  <c r="FS54" i="4" s="1"/>
  <c r="AI198" i="4"/>
  <c r="FR49" i="4"/>
  <c r="AH51" i="4"/>
  <c r="AB64" i="9"/>
  <c r="FQ50" i="4"/>
  <c r="AH71" i="4"/>
  <c r="AI69" i="4" l="1"/>
  <c r="AI57" i="4" s="1"/>
  <c r="AI58" i="4" s="1"/>
  <c r="AI48" i="4"/>
  <c r="FT57" i="4"/>
  <c r="FS56" i="4"/>
  <c r="FS70" i="4"/>
  <c r="AD96" i="9"/>
  <c r="AH200" i="4"/>
  <c r="AH73" i="4"/>
  <c r="AC65" i="9" s="1"/>
  <c r="AC60" i="9"/>
  <c r="AC62" i="9" s="1"/>
  <c r="AH53" i="4"/>
  <c r="AC98" i="9" l="1"/>
  <c r="FT58" i="4"/>
  <c r="FT54" i="4" s="1"/>
  <c r="AJ198" i="4"/>
  <c r="FS49" i="4"/>
  <c r="AI51" i="4"/>
  <c r="FR50" i="4"/>
  <c r="AC64" i="9"/>
  <c r="AI71" i="4"/>
  <c r="AJ69" i="4" l="1"/>
  <c r="AJ57" i="4" s="1"/>
  <c r="AJ58" i="4" s="1"/>
  <c r="AJ48" i="4"/>
  <c r="FU57" i="4"/>
  <c r="FT56" i="4"/>
  <c r="FT70" i="4"/>
  <c r="AD60" i="9"/>
  <c r="AD62" i="9" s="1"/>
  <c r="AI53" i="4"/>
  <c r="AE96" i="9"/>
  <c r="AI73" i="4"/>
  <c r="AD65" i="9" s="1"/>
  <c r="AI200" i="4"/>
  <c r="AK198" i="4" l="1"/>
  <c r="FU58" i="4"/>
  <c r="FU54" i="4" s="1"/>
  <c r="AD98" i="9"/>
  <c r="FT49" i="4"/>
  <c r="AJ51" i="4"/>
  <c r="FS50" i="4"/>
  <c r="AD64" i="9"/>
  <c r="AJ71" i="4"/>
  <c r="AK69" i="4" l="1"/>
  <c r="AK57" i="4" s="1"/>
  <c r="AK58" i="4" s="1"/>
  <c r="AK48" i="4"/>
  <c r="FV57" i="4"/>
  <c r="FU56" i="4"/>
  <c r="FU70" i="4"/>
  <c r="AJ53" i="4"/>
  <c r="AE60" i="9"/>
  <c r="AE62" i="9" s="1"/>
  <c r="AJ200" i="4"/>
  <c r="AJ73" i="4"/>
  <c r="AE65" i="9" s="1"/>
  <c r="AF96" i="9"/>
  <c r="AE98" i="9" l="1"/>
  <c r="AE64" i="9"/>
  <c r="FT50" i="4"/>
  <c r="AL198" i="4"/>
  <c r="FV58" i="4"/>
  <c r="FV54" i="4" s="1"/>
  <c r="FU49" i="4"/>
  <c r="AK51" i="4"/>
  <c r="AK71" i="4"/>
  <c r="AL69" i="4" l="1"/>
  <c r="AL57" i="4" s="1"/>
  <c r="AL58" i="4" s="1"/>
  <c r="AL48" i="4"/>
  <c r="FW57" i="4"/>
  <c r="FV56" i="4"/>
  <c r="FV70" i="4"/>
  <c r="AK73" i="4"/>
  <c r="AF65" i="9" s="1"/>
  <c r="AK200" i="4"/>
  <c r="AK53" i="4"/>
  <c r="AF60" i="9"/>
  <c r="AG96" i="9"/>
  <c r="AF98" i="9" l="1"/>
  <c r="FW58" i="4"/>
  <c r="FW54" i="4" s="1"/>
  <c r="FW70" i="4" s="1"/>
  <c r="AM198" i="4"/>
  <c r="FV49" i="4"/>
  <c r="AL51" i="4"/>
  <c r="AF64" i="9"/>
  <c r="FU50" i="4"/>
  <c r="AF62" i="9"/>
  <c r="AL71" i="4"/>
  <c r="AM48" i="4" l="1"/>
  <c r="AM69" i="4"/>
  <c r="AM57" i="4" s="1"/>
  <c r="AM58" i="4" s="1"/>
  <c r="FX57" i="4"/>
  <c r="FW56" i="4"/>
  <c r="AH96" i="9"/>
  <c r="AL200" i="4"/>
  <c r="AL73" i="4"/>
  <c r="AG65" i="9" s="1"/>
  <c r="AG60" i="9"/>
  <c r="AL53" i="4"/>
  <c r="FV50" i="4" l="1"/>
  <c r="AG64" i="9"/>
  <c r="AG62" i="9"/>
  <c r="FX58" i="4"/>
  <c r="FX54" i="4" s="1"/>
  <c r="AN198" i="4"/>
  <c r="AG98" i="9"/>
  <c r="AM71" i="4"/>
  <c r="FW49" i="4"/>
  <c r="AM51" i="4"/>
  <c r="AN69" i="4" l="1"/>
  <c r="AN57" i="4" s="1"/>
  <c r="AN58" i="4" s="1"/>
  <c r="AN48" i="4"/>
  <c r="FY57" i="4"/>
  <c r="FX56" i="4"/>
  <c r="FX70" i="4"/>
  <c r="AH60" i="9"/>
  <c r="AM53" i="4"/>
  <c r="AI96" i="9"/>
  <c r="AM200" i="4"/>
  <c r="AM73" i="4"/>
  <c r="AH65" i="9" s="1"/>
  <c r="AH62" i="9" l="1"/>
  <c r="FW50" i="4"/>
  <c r="AH64" i="9"/>
  <c r="AO198" i="4"/>
  <c r="FY58" i="4"/>
  <c r="FY54" i="4" s="1"/>
  <c r="FX49" i="4"/>
  <c r="AN51" i="4"/>
  <c r="AH98" i="9"/>
  <c r="AN71" i="4"/>
  <c r="AO48" i="4" l="1"/>
  <c r="AO69" i="4"/>
  <c r="AO57" i="4" s="1"/>
  <c r="AO58" i="4" s="1"/>
  <c r="FZ57" i="4"/>
  <c r="FY56" i="4"/>
  <c r="FY70" i="4"/>
  <c r="AJ96" i="9"/>
  <c r="AN200" i="4"/>
  <c r="AN73" i="4"/>
  <c r="AI65" i="9" s="1"/>
  <c r="AI60" i="9"/>
  <c r="AN53" i="4"/>
  <c r="AI62" i="9" l="1"/>
  <c r="FX50" i="4"/>
  <c r="AI64" i="9"/>
  <c r="AO71" i="4"/>
  <c r="AP198" i="4"/>
  <c r="FZ58" i="4"/>
  <c r="FZ54" i="4" s="1"/>
  <c r="AI98" i="9"/>
  <c r="FY49" i="4"/>
  <c r="AO51" i="4"/>
  <c r="AO53" i="4" l="1"/>
  <c r="AJ60" i="9"/>
  <c r="AP48" i="4"/>
  <c r="AP69" i="4"/>
  <c r="AP57" i="4" s="1"/>
  <c r="AP58" i="4" s="1"/>
  <c r="GA57" i="4"/>
  <c r="FZ56" i="4"/>
  <c r="AK96" i="9"/>
  <c r="AO73" i="4"/>
  <c r="AJ65" i="9" s="1"/>
  <c r="AO200" i="4"/>
  <c r="FZ70" i="4"/>
  <c r="FZ49" i="4" l="1"/>
  <c r="AP51" i="4"/>
  <c r="AQ198" i="4"/>
  <c r="GA58" i="4"/>
  <c r="GA54" i="4" s="1"/>
  <c r="AJ62" i="9"/>
  <c r="AP71" i="4"/>
  <c r="AJ98" i="9"/>
  <c r="FY50" i="4"/>
  <c r="AJ64" i="9"/>
  <c r="AQ69" i="4" l="1"/>
  <c r="AQ57" i="4" s="1"/>
  <c r="AQ58" i="4" s="1"/>
  <c r="AQ48" i="4"/>
  <c r="GB57" i="4"/>
  <c r="GA56" i="4"/>
  <c r="AP53" i="4"/>
  <c r="AK60" i="9"/>
  <c r="AK62" i="9" s="1"/>
  <c r="AL96" i="9"/>
  <c r="AP73" i="4"/>
  <c r="AK65" i="9" s="1"/>
  <c r="AP200" i="4"/>
  <c r="GA70" i="4"/>
  <c r="GB58" i="4" l="1"/>
  <c r="GB54" i="4" s="1"/>
  <c r="GB70" i="4" s="1"/>
  <c r="AR198" i="4"/>
  <c r="AK64" i="9"/>
  <c r="FZ50" i="4"/>
  <c r="AK98" i="9"/>
  <c r="GA49" i="4"/>
  <c r="AQ51" i="4"/>
  <c r="AQ71" i="4"/>
  <c r="AR48" i="4" l="1"/>
  <c r="AR69" i="4"/>
  <c r="AR57" i="4" s="1"/>
  <c r="AR58" i="4" s="1"/>
  <c r="GC57" i="4"/>
  <c r="GB56" i="4"/>
  <c r="AQ200" i="4"/>
  <c r="AQ73" i="4"/>
  <c r="AL65" i="9" s="1"/>
  <c r="AM96" i="9"/>
  <c r="AQ53" i="4"/>
  <c r="AL60" i="9"/>
  <c r="AL62" i="9" s="1"/>
  <c r="AR71" i="4" l="1"/>
  <c r="AS198" i="4"/>
  <c r="GC58" i="4"/>
  <c r="GC54" i="4" s="1"/>
  <c r="GA50" i="4"/>
  <c r="AL64" i="9"/>
  <c r="AR51" i="4"/>
  <c r="GB49" i="4"/>
  <c r="AL98" i="9"/>
  <c r="AS69" i="4" l="1"/>
  <c r="AS57" i="4" s="1"/>
  <c r="AS58" i="4" s="1"/>
  <c r="AS48" i="4"/>
  <c r="GD57" i="4"/>
  <c r="GC56" i="4"/>
  <c r="GC70" i="4"/>
  <c r="AR73" i="4"/>
  <c r="AM65" i="9" s="1"/>
  <c r="AR200" i="4"/>
  <c r="AM60" i="9"/>
  <c r="AM62" i="9" s="1"/>
  <c r="AR53" i="4"/>
  <c r="AN96" i="9"/>
  <c r="AM98" i="9" l="1"/>
  <c r="AT198" i="4"/>
  <c r="GD58" i="4"/>
  <c r="GD54" i="4" s="1"/>
  <c r="GC49" i="4"/>
  <c r="AS51" i="4"/>
  <c r="GB50" i="4"/>
  <c r="AM64" i="9"/>
  <c r="AS71" i="4"/>
  <c r="AT69" i="4" l="1"/>
  <c r="AT57" i="4" s="1"/>
  <c r="AT58" i="4" s="1"/>
  <c r="AT48" i="4"/>
  <c r="GE57" i="4"/>
  <c r="GD56" i="4"/>
  <c r="GD70" i="4"/>
  <c r="AN60" i="9"/>
  <c r="AN62" i="9" s="1"/>
  <c r="AS53" i="4"/>
  <c r="AS200" i="4"/>
  <c r="AS73" i="4"/>
  <c r="AN65" i="9" s="1"/>
  <c r="AO96" i="9"/>
  <c r="AN98" i="9" l="1"/>
  <c r="GC50" i="4"/>
  <c r="AN64" i="9"/>
  <c r="AU198" i="4"/>
  <c r="GE58" i="4"/>
  <c r="GE54" i="4" s="1"/>
  <c r="GD49" i="4"/>
  <c r="AT51" i="4"/>
  <c r="AT71" i="4"/>
  <c r="AU69" i="4" l="1"/>
  <c r="AU57" i="4" s="1"/>
  <c r="AU58" i="4" s="1"/>
  <c r="AU48" i="4"/>
  <c r="GF57" i="4"/>
  <c r="GE56" i="4"/>
  <c r="GE70" i="4"/>
  <c r="AT73" i="4"/>
  <c r="AO65" i="9" s="1"/>
  <c r="AT200" i="4"/>
  <c r="AP96" i="9"/>
  <c r="AT53" i="4"/>
  <c r="AO60" i="9"/>
  <c r="AO62" i="9" s="1"/>
  <c r="AO98" i="9" l="1"/>
  <c r="AV198" i="4"/>
  <c r="GF58" i="4"/>
  <c r="GF54" i="4" s="1"/>
  <c r="GE49" i="4"/>
  <c r="AU51" i="4"/>
  <c r="GD50" i="4"/>
  <c r="AO64" i="9"/>
  <c r="AU71" i="4"/>
  <c r="AV69" i="4" l="1"/>
  <c r="AV57" i="4" s="1"/>
  <c r="AV58" i="4" s="1"/>
  <c r="AV48" i="4"/>
  <c r="GG57" i="4"/>
  <c r="GF56" i="4"/>
  <c r="GF70" i="4"/>
  <c r="AP60" i="9"/>
  <c r="AP62" i="9" s="1"/>
  <c r="AU53" i="4"/>
  <c r="AU73" i="4"/>
  <c r="AP65" i="9" s="1"/>
  <c r="AU200" i="4"/>
  <c r="AQ96" i="9"/>
  <c r="GE50" i="4" l="1"/>
  <c r="AP64" i="9"/>
  <c r="GF49" i="4"/>
  <c r="AV51" i="4"/>
  <c r="GG58" i="4"/>
  <c r="GG54" i="4" s="1"/>
  <c r="AW198" i="4"/>
  <c r="AP98" i="9"/>
  <c r="AV71" i="4"/>
  <c r="AW69" i="4" l="1"/>
  <c r="AW57" i="4" s="1"/>
  <c r="AW58" i="4" s="1"/>
  <c r="AW48" i="4"/>
  <c r="GH57" i="4"/>
  <c r="GG56" i="4"/>
  <c r="GG70" i="4"/>
  <c r="AR96" i="9"/>
  <c r="AQ60" i="9"/>
  <c r="AQ62" i="9" s="1"/>
  <c r="AV53" i="4"/>
  <c r="AV73" i="4"/>
  <c r="AQ65" i="9" s="1"/>
  <c r="AV200" i="4"/>
  <c r="AQ98" i="9" l="1"/>
  <c r="AX198" i="4"/>
  <c r="GH58" i="4"/>
  <c r="GH54" i="4" s="1"/>
  <c r="AW51" i="4"/>
  <c r="GG49" i="4"/>
  <c r="GF50" i="4"/>
  <c r="AQ64" i="9"/>
  <c r="AW71" i="4"/>
  <c r="AX48" i="4" l="1"/>
  <c r="AX69" i="4"/>
  <c r="AX57" i="4" s="1"/>
  <c r="AX58" i="4" s="1"/>
  <c r="GI57" i="4"/>
  <c r="GH56" i="4"/>
  <c r="GH70" i="4"/>
  <c r="AW73" i="4"/>
  <c r="AR65" i="9" s="1"/>
  <c r="AW200" i="4"/>
  <c r="AS96" i="9"/>
  <c r="AW53" i="4"/>
  <c r="AR60" i="9"/>
  <c r="AR98" i="9" l="1"/>
  <c r="AY198" i="4"/>
  <c r="GI58" i="4"/>
  <c r="GI54" i="4" s="1"/>
  <c r="GG50" i="4"/>
  <c r="AR64" i="9"/>
  <c r="AX71" i="4"/>
  <c r="AR62" i="9"/>
  <c r="GH49" i="4"/>
  <c r="AX51" i="4"/>
  <c r="AY69" i="4" l="1"/>
  <c r="AY57" i="4" s="1"/>
  <c r="AY58" i="4" s="1"/>
  <c r="AY48" i="4"/>
  <c r="GJ57" i="4"/>
  <c r="GI56" i="4"/>
  <c r="GI70" i="4"/>
  <c r="AS60" i="9"/>
  <c r="AX53" i="4"/>
  <c r="AX73" i="4"/>
  <c r="AS65" i="9" s="1"/>
  <c r="AX200" i="4"/>
  <c r="AT96" i="9"/>
  <c r="AS62" i="9" l="1"/>
  <c r="AS64" i="9"/>
  <c r="GH50" i="4"/>
  <c r="AZ198" i="4"/>
  <c r="GJ58" i="4"/>
  <c r="GJ54" i="4" s="1"/>
  <c r="AS98" i="9"/>
  <c r="GI49" i="4"/>
  <c r="AY51" i="4"/>
  <c r="AY71" i="4"/>
  <c r="AZ69" i="4" l="1"/>
  <c r="AZ57" i="4" s="1"/>
  <c r="AZ58" i="4" s="1"/>
  <c r="AZ48" i="4"/>
  <c r="GK57" i="4"/>
  <c r="GJ56" i="4"/>
  <c r="GJ70" i="4"/>
  <c r="AY73" i="4"/>
  <c r="AT65" i="9" s="1"/>
  <c r="AY200" i="4"/>
  <c r="AU96" i="9"/>
  <c r="AT60" i="9"/>
  <c r="AY53" i="4"/>
  <c r="AT98" i="9" l="1"/>
  <c r="GI50" i="4"/>
  <c r="AT64" i="9"/>
  <c r="AT62" i="9"/>
  <c r="GJ49" i="4"/>
  <c r="AZ51" i="4"/>
  <c r="BA198" i="4"/>
  <c r="GK58" i="4"/>
  <c r="GK54" i="4" s="1"/>
  <c r="AZ71" i="4"/>
  <c r="BA69" i="4" l="1"/>
  <c r="BA57" i="4" s="1"/>
  <c r="BA58" i="4" s="1"/>
  <c r="BA48" i="4"/>
  <c r="GL57" i="4"/>
  <c r="GK56" i="4"/>
  <c r="GK70" i="4"/>
  <c r="AV96" i="9"/>
  <c r="AZ53" i="4"/>
  <c r="AU60" i="9"/>
  <c r="AZ73" i="4"/>
  <c r="AU65" i="9" s="1"/>
  <c r="AZ200" i="4"/>
  <c r="AU98" i="9" l="1"/>
  <c r="BB198" i="4"/>
  <c r="GL58" i="4"/>
  <c r="GL54" i="4" s="1"/>
  <c r="AU62" i="9"/>
  <c r="GJ50" i="4"/>
  <c r="AU64" i="9"/>
  <c r="GK49" i="4"/>
  <c r="BA51" i="4"/>
  <c r="BA71" i="4"/>
  <c r="BB48" i="4" l="1"/>
  <c r="BB69" i="4"/>
  <c r="BB57" i="4" s="1"/>
  <c r="BB58" i="4" s="1"/>
  <c r="GM57" i="4"/>
  <c r="GL56" i="4"/>
  <c r="GL70" i="4"/>
  <c r="BA200" i="4"/>
  <c r="BA73" i="4"/>
  <c r="AV65" i="9" s="1"/>
  <c r="BA53" i="4"/>
  <c r="AV60" i="9"/>
  <c r="AW96" i="9"/>
  <c r="GK50" i="4" l="1"/>
  <c r="AV64" i="9"/>
  <c r="AV98" i="9"/>
  <c r="GM58" i="4"/>
  <c r="GM54" i="4" s="1"/>
  <c r="BC198" i="4"/>
  <c r="BB71" i="4"/>
  <c r="AV62" i="9"/>
  <c r="GL49" i="4"/>
  <c r="BB51" i="4"/>
  <c r="BC69" i="4" l="1"/>
  <c r="BC57" i="4" s="1"/>
  <c r="BC58" i="4" s="1"/>
  <c r="BC48" i="4"/>
  <c r="GN57" i="4"/>
  <c r="GM56" i="4"/>
  <c r="GM70" i="4"/>
  <c r="AX96" i="9"/>
  <c r="AW60" i="9"/>
  <c r="AW62" i="9" s="1"/>
  <c r="BB53" i="4"/>
  <c r="BB200" i="4"/>
  <c r="BB73" i="4"/>
  <c r="AW65" i="9" s="1"/>
  <c r="GN58" i="4" l="1"/>
  <c r="GN54" i="4" s="1"/>
  <c r="BD198" i="4"/>
  <c r="BC51" i="4"/>
  <c r="GM49" i="4"/>
  <c r="AW98" i="9"/>
  <c r="AW64" i="9"/>
  <c r="GL50" i="4"/>
  <c r="BC71" i="4"/>
  <c r="BD69" i="4" l="1"/>
  <c r="BD57" i="4" s="1"/>
  <c r="BD58" i="4" s="1"/>
  <c r="BD48" i="4"/>
  <c r="GO57" i="4"/>
  <c r="GN56" i="4"/>
  <c r="GN70" i="4"/>
  <c r="BC200" i="4"/>
  <c r="BC73" i="4"/>
  <c r="AX65" i="9" s="1"/>
  <c r="AX60" i="9"/>
  <c r="AX62" i="9" s="1"/>
  <c r="BC53" i="4"/>
  <c r="AY96" i="9"/>
  <c r="AX98" i="9" l="1"/>
  <c r="BE198" i="4"/>
  <c r="GO58" i="4"/>
  <c r="GO54" i="4" s="1"/>
  <c r="GN49" i="4"/>
  <c r="BD51" i="4"/>
  <c r="AX64" i="9"/>
  <c r="GM50" i="4"/>
  <c r="BD71" i="4"/>
  <c r="BE48" i="4" l="1"/>
  <c r="BE69" i="4"/>
  <c r="BE57" i="4" s="1"/>
  <c r="BE58" i="4" s="1"/>
  <c r="GP57" i="4"/>
  <c r="BF198" i="4" s="1"/>
  <c r="BA96" i="9" s="1"/>
  <c r="GO56" i="4"/>
  <c r="AY60" i="9"/>
  <c r="AY62" i="9" s="1"/>
  <c r="BD53" i="4"/>
  <c r="BD200" i="4"/>
  <c r="BD73" i="4"/>
  <c r="AY65" i="9" s="1"/>
  <c r="GO70" i="4"/>
  <c r="AZ96" i="9"/>
  <c r="AY98" i="9" l="1"/>
  <c r="GN50" i="4"/>
  <c r="AY64" i="9"/>
  <c r="BE71" i="4"/>
  <c r="GP58" i="4"/>
  <c r="GP54" i="4" s="1"/>
  <c r="BE51" i="4"/>
  <c r="GO49" i="4"/>
  <c r="BF48" i="4" l="1"/>
  <c r="BF69" i="4"/>
  <c r="BF57" i="4" s="1"/>
  <c r="BF58" i="4" s="1"/>
  <c r="GQ57" i="4"/>
  <c r="BG198" i="4" s="1"/>
  <c r="GP56" i="4"/>
  <c r="GP70" i="4"/>
  <c r="BE200" i="4"/>
  <c r="BE73" i="4"/>
  <c r="AZ65" i="9" s="1"/>
  <c r="BE53" i="4"/>
  <c r="AZ60" i="9"/>
  <c r="BB96" i="9" l="1"/>
  <c r="H18" i="9"/>
  <c r="I18" i="9"/>
  <c r="J18" i="9"/>
  <c r="GO50" i="4"/>
  <c r="AZ64" i="9"/>
  <c r="AZ98" i="9"/>
  <c r="BF71" i="4"/>
  <c r="GQ58" i="4"/>
  <c r="GQ54" i="4" s="1"/>
  <c r="AZ62" i="9"/>
  <c r="H13" i="9"/>
  <c r="I13" i="9"/>
  <c r="J13" i="9"/>
  <c r="BF51" i="4"/>
  <c r="GP49" i="4"/>
  <c r="BF53" i="4" l="1"/>
  <c r="BA64" i="9" s="1"/>
  <c r="BA60" i="9"/>
  <c r="BF73" i="4"/>
  <c r="BA65" i="9" s="1"/>
  <c r="BF200" i="4"/>
  <c r="BG69" i="4"/>
  <c r="BG57" i="4" s="1"/>
  <c r="BG58" i="4" s="1"/>
  <c r="BG48" i="4"/>
  <c r="GR57" i="4"/>
  <c r="BH198" i="4" s="1"/>
  <c r="GQ56" i="4"/>
  <c r="GQ70" i="4"/>
  <c r="H15" i="9"/>
  <c r="I15" i="9"/>
  <c r="J15" i="9"/>
  <c r="H17" i="9"/>
  <c r="I17" i="9"/>
  <c r="J17" i="9"/>
  <c r="GP50" i="4"/>
  <c r="BC96" i="9" l="1"/>
  <c r="BA98" i="9"/>
  <c r="BA62" i="9"/>
  <c r="GR58" i="4"/>
  <c r="GR54" i="4" s="1"/>
  <c r="GQ49" i="4"/>
  <c r="BG51" i="4"/>
  <c r="BG71" i="4"/>
  <c r="BG73" i="4" l="1"/>
  <c r="BB65" i="9" s="1"/>
  <c r="BG200" i="4"/>
  <c r="BG53" i="4"/>
  <c r="BB64" i="9" s="1"/>
  <c r="BB60" i="9"/>
  <c r="BH69" i="4"/>
  <c r="BH57" i="4" s="1"/>
  <c r="BH58" i="4" s="1"/>
  <c r="BH48" i="4"/>
  <c r="GS57" i="4"/>
  <c r="BI198" i="4" s="1"/>
  <c r="GR56" i="4"/>
  <c r="GR70" i="4"/>
  <c r="BD96" i="9" l="1"/>
  <c r="BB62" i="9"/>
  <c r="GQ50" i="4"/>
  <c r="BB98" i="9"/>
  <c r="GS58" i="4"/>
  <c r="GS54" i="4" s="1"/>
  <c r="BH51" i="4"/>
  <c r="GR49" i="4"/>
  <c r="BH71" i="4"/>
  <c r="BH73" i="4" l="1"/>
  <c r="BC65" i="9" s="1"/>
  <c r="K18" i="9" s="1"/>
  <c r="BH200" i="4"/>
  <c r="BH53" i="4"/>
  <c r="BC64" i="9" s="1"/>
  <c r="K17" i="9" s="1"/>
  <c r="BC60" i="9"/>
  <c r="BI48" i="4"/>
  <c r="BI69" i="4"/>
  <c r="BI57" i="4" s="1"/>
  <c r="BI58" i="4" s="1"/>
  <c r="GT57" i="4"/>
  <c r="BJ198" i="4" s="1"/>
  <c r="GS56" i="4"/>
  <c r="GS70" i="4"/>
  <c r="GR50" i="4" l="1"/>
  <c r="BC98" i="9"/>
  <c r="BE96" i="9"/>
  <c r="BC62" i="9"/>
  <c r="K15" i="9" s="1"/>
  <c r="K13" i="9"/>
  <c r="GT58" i="4"/>
  <c r="GT54" i="4" s="1"/>
  <c r="BI71" i="4"/>
  <c r="GS49" i="4"/>
  <c r="BI51" i="4"/>
  <c r="BI53" i="4" l="1"/>
  <c r="BD64" i="9" s="1"/>
  <c r="BD60" i="9"/>
  <c r="BI73" i="4"/>
  <c r="BD65" i="9" s="1"/>
  <c r="BI200" i="4"/>
  <c r="BJ69" i="4"/>
  <c r="BJ57" i="4" s="1"/>
  <c r="BJ58" i="4" s="1"/>
  <c r="BJ48" i="4"/>
  <c r="GU57" i="4"/>
  <c r="BK198" i="4" s="1"/>
  <c r="BF96" i="9" s="1"/>
  <c r="GT56" i="4"/>
  <c r="GT70" i="4"/>
  <c r="GS50" i="4"/>
  <c r="BD98" i="9" l="1"/>
  <c r="BD62" i="9"/>
  <c r="GU58" i="4"/>
  <c r="GU54" i="4" s="1"/>
  <c r="BJ51" i="4"/>
  <c r="GT49" i="4"/>
  <c r="BJ71" i="4"/>
  <c r="BJ53" i="4" l="1"/>
  <c r="BE64" i="9" s="1"/>
  <c r="BE60" i="9"/>
  <c r="BJ73" i="4"/>
  <c r="BE65" i="9" s="1"/>
  <c r="BJ200" i="4"/>
  <c r="BK69" i="4"/>
  <c r="BK57" i="4" s="1"/>
  <c r="BK58" i="4" s="1"/>
  <c r="BK48" i="4"/>
  <c r="GV57" i="4"/>
  <c r="BL198" i="4" s="1"/>
  <c r="BG96" i="9" s="1"/>
  <c r="GU56" i="4"/>
  <c r="GU70" i="4"/>
  <c r="GT50" i="4"/>
  <c r="BE98" i="9" l="1"/>
  <c r="BE62" i="9"/>
  <c r="GV58" i="4"/>
  <c r="GV54" i="4" s="1"/>
  <c r="BK51" i="4"/>
  <c r="GU49" i="4"/>
  <c r="BK71" i="4"/>
  <c r="BK53" i="4" l="1"/>
  <c r="BF64" i="9" s="1"/>
  <c r="BF60" i="9"/>
  <c r="BK73" i="4"/>
  <c r="BF65" i="9" s="1"/>
  <c r="BK200" i="4"/>
  <c r="BF98" i="9" s="1"/>
  <c r="BL48" i="4"/>
  <c r="BL69" i="4"/>
  <c r="BL57" i="4" s="1"/>
  <c r="BL58" i="4" s="1"/>
  <c r="GW57" i="4"/>
  <c r="BM198" i="4" s="1"/>
  <c r="BH96" i="9" s="1"/>
  <c r="GV56" i="4"/>
  <c r="GV70" i="4"/>
  <c r="GU50" i="4" l="1"/>
  <c r="BF62" i="9"/>
  <c r="GW58" i="4"/>
  <c r="GW54" i="4" s="1"/>
  <c r="BL71" i="4"/>
  <c r="BL51" i="4"/>
  <c r="GV49" i="4"/>
  <c r="BL53" i="4" l="1"/>
  <c r="BG64" i="9" s="1"/>
  <c r="BG60" i="9"/>
  <c r="BL73" i="4"/>
  <c r="BG65" i="9" s="1"/>
  <c r="BL200" i="4"/>
  <c r="BG98" i="9" s="1"/>
  <c r="BM69" i="4"/>
  <c r="BM57" i="4" s="1"/>
  <c r="BM58" i="4" s="1"/>
  <c r="BM48" i="4"/>
  <c r="GX57" i="4"/>
  <c r="BN198" i="4" s="1"/>
  <c r="BI96" i="9" s="1"/>
  <c r="GW56" i="4"/>
  <c r="GW70" i="4"/>
  <c r="GV50" i="4"/>
  <c r="BG62" i="9" l="1"/>
  <c r="GX58" i="4"/>
  <c r="GX54" i="4" s="1"/>
  <c r="GW49" i="4"/>
  <c r="BM51" i="4"/>
  <c r="BM71" i="4"/>
  <c r="BM53" i="4" l="1"/>
  <c r="BH64" i="9" s="1"/>
  <c r="BH60" i="9"/>
  <c r="BM73" i="4"/>
  <c r="BH65" i="9" s="1"/>
  <c r="BM200" i="4"/>
  <c r="BH98" i="9" s="1"/>
  <c r="BN69" i="4"/>
  <c r="BN57" i="4" s="1"/>
  <c r="BN58" i="4" s="1"/>
  <c r="BN48" i="4"/>
  <c r="GY57" i="4"/>
  <c r="BO198" i="4" s="1"/>
  <c r="BJ96" i="9" s="1"/>
  <c r="GX56" i="4"/>
  <c r="GX70" i="4"/>
  <c r="GW50" i="4"/>
  <c r="BH62" i="9" l="1"/>
  <c r="GY58" i="4"/>
  <c r="GY54" i="4" s="1"/>
  <c r="BN51" i="4"/>
  <c r="GX49" i="4"/>
  <c r="BN71" i="4"/>
  <c r="BN73" i="4" l="1"/>
  <c r="BI65" i="9" s="1"/>
  <c r="BN200" i="4"/>
  <c r="BI98" i="9" s="1"/>
  <c r="BN53" i="4"/>
  <c r="BI64" i="9" s="1"/>
  <c r="BI60" i="9"/>
  <c r="BI62" i="9" s="1"/>
  <c r="BO48" i="4"/>
  <c r="BO69" i="4"/>
  <c r="BO57" i="4" s="1"/>
  <c r="BO58" i="4" s="1"/>
  <c r="GZ57" i="4"/>
  <c r="BP198" i="4" s="1"/>
  <c r="BK96" i="9" s="1"/>
  <c r="GY56" i="4"/>
  <c r="GY70" i="4"/>
  <c r="GX50" i="4" l="1"/>
  <c r="GZ58" i="4"/>
  <c r="GZ54" i="4" s="1"/>
  <c r="BO71" i="4"/>
  <c r="GY49" i="4"/>
  <c r="BO51" i="4"/>
  <c r="BO73" i="4" l="1"/>
  <c r="BJ65" i="9" s="1"/>
  <c r="BO200" i="4"/>
  <c r="BJ98" i="9" s="1"/>
  <c r="BO53" i="4"/>
  <c r="BJ64" i="9" s="1"/>
  <c r="BJ60" i="9"/>
  <c r="BJ62" i="9" s="1"/>
  <c r="BP69" i="4"/>
  <c r="BP57" i="4" s="1"/>
  <c r="BP58" i="4" s="1"/>
  <c r="BP48" i="4"/>
  <c r="HA57" i="4"/>
  <c r="BQ198" i="4" s="1"/>
  <c r="BL96" i="9" s="1"/>
  <c r="GZ56" i="4"/>
  <c r="GZ70" i="4"/>
  <c r="GY50" i="4" l="1"/>
  <c r="HA58" i="4"/>
  <c r="HA54" i="4" s="1"/>
  <c r="BP51" i="4"/>
  <c r="GZ49" i="4"/>
  <c r="BP71" i="4"/>
  <c r="BP53" i="4" l="1"/>
  <c r="BK64" i="9" s="1"/>
  <c r="BK60" i="9"/>
  <c r="BK62" i="9" s="1"/>
  <c r="BP73" i="4"/>
  <c r="BK65" i="9" s="1"/>
  <c r="BP200" i="4"/>
  <c r="BK98" i="9" s="1"/>
  <c r="BQ69" i="4"/>
  <c r="BQ57" i="4" s="1"/>
  <c r="BQ58" i="4" s="1"/>
  <c r="BQ48" i="4"/>
  <c r="HB57" i="4"/>
  <c r="BR198" i="4" s="1"/>
  <c r="BM96" i="9" s="1"/>
  <c r="HA56" i="4"/>
  <c r="HA70" i="4"/>
  <c r="GZ50" i="4"/>
  <c r="HB58" i="4" l="1"/>
  <c r="HB54" i="4" s="1"/>
  <c r="BQ51" i="4"/>
  <c r="HA49" i="4"/>
  <c r="BQ71" i="4"/>
  <c r="BQ73" i="4" l="1"/>
  <c r="BL65" i="9" s="1"/>
  <c r="BQ200" i="4"/>
  <c r="BL98" i="9" s="1"/>
  <c r="BQ53" i="4"/>
  <c r="BL64" i="9" s="1"/>
  <c r="BL60" i="9"/>
  <c r="BL62" i="9" s="1"/>
  <c r="BR69" i="4"/>
  <c r="BR57" i="4" s="1"/>
  <c r="BR58" i="4" s="1"/>
  <c r="BR48" i="4"/>
  <c r="HC57" i="4"/>
  <c r="BS198" i="4" s="1"/>
  <c r="BN96" i="9" s="1"/>
  <c r="HB56" i="4"/>
  <c r="HB70" i="4"/>
  <c r="HA50" i="4" l="1"/>
  <c r="HC58" i="4"/>
  <c r="HC54" i="4" s="1"/>
  <c r="BR51" i="4"/>
  <c r="HB49" i="4"/>
  <c r="BR71" i="4"/>
  <c r="BR73" i="4" l="1"/>
  <c r="BM65" i="9" s="1"/>
  <c r="BR200" i="4"/>
  <c r="BM98" i="9" s="1"/>
  <c r="BR53" i="4"/>
  <c r="BM64" i="9" s="1"/>
  <c r="BM60" i="9"/>
  <c r="BM62" i="9" s="1"/>
  <c r="BS48" i="4"/>
  <c r="BS69" i="4"/>
  <c r="BS57" i="4" s="1"/>
  <c r="BS58" i="4" s="1"/>
  <c r="HD57" i="4"/>
  <c r="BT198" i="4" s="1"/>
  <c r="BO96" i="9" s="1"/>
  <c r="HC56" i="4"/>
  <c r="HC70" i="4"/>
  <c r="HB50" i="4" l="1"/>
  <c r="HD58" i="4"/>
  <c r="HD54" i="4" s="1"/>
  <c r="BS71" i="4"/>
  <c r="BS51" i="4"/>
  <c r="HC49" i="4"/>
  <c r="BS53" i="4" l="1"/>
  <c r="BN64" i="9" s="1"/>
  <c r="BN60" i="9"/>
  <c r="BN62" i="9" s="1"/>
  <c r="BS73" i="4"/>
  <c r="BN65" i="9" s="1"/>
  <c r="BS200" i="4"/>
  <c r="BN98" i="9" s="1"/>
  <c r="BT48" i="4"/>
  <c r="BT69" i="4"/>
  <c r="BT57" i="4" s="1"/>
  <c r="BT58" i="4" s="1"/>
  <c r="HE57" i="4"/>
  <c r="BU198" i="4" s="1"/>
  <c r="BP96" i="9" s="1"/>
  <c r="HD56" i="4"/>
  <c r="HD70" i="4"/>
  <c r="HC50" i="4"/>
  <c r="HE58" i="4" l="1"/>
  <c r="HE54" i="4" s="1"/>
  <c r="BT71" i="4"/>
  <c r="HD49" i="4"/>
  <c r="BT51" i="4"/>
  <c r="BT53" i="4" l="1"/>
  <c r="BO64" i="9" s="1"/>
  <c r="BO60" i="9"/>
  <c r="BO62" i="9" s="1"/>
  <c r="BT73" i="4"/>
  <c r="BO65" i="9" s="1"/>
  <c r="BT200" i="4"/>
  <c r="BO98" i="9" s="1"/>
  <c r="BU69" i="4"/>
  <c r="BU57" i="4" s="1"/>
  <c r="BU58" i="4" s="1"/>
  <c r="BU48" i="4"/>
  <c r="HF57" i="4"/>
  <c r="BV198" i="4" s="1"/>
  <c r="BQ96" i="9" s="1"/>
  <c r="HE56" i="4"/>
  <c r="HE70" i="4"/>
  <c r="HD50" i="4"/>
  <c r="HF58" i="4" l="1"/>
  <c r="HF54" i="4" s="1"/>
  <c r="BU51" i="4"/>
  <c r="HE49" i="4"/>
  <c r="BU71" i="4"/>
  <c r="BU73" i="4" l="1"/>
  <c r="BP65" i="9" s="1"/>
  <c r="BU200" i="4"/>
  <c r="BP98" i="9" s="1"/>
  <c r="BU53" i="4"/>
  <c r="BP64" i="9" s="1"/>
  <c r="BP60" i="9"/>
  <c r="BV48" i="4"/>
  <c r="BV69" i="4"/>
  <c r="BV57" i="4" s="1"/>
  <c r="BV58" i="4" s="1"/>
  <c r="HG57" i="4"/>
  <c r="BW198" i="4" s="1"/>
  <c r="BR96" i="9" s="1"/>
  <c r="HF56" i="4"/>
  <c r="HF70" i="4"/>
  <c r="HE50" i="4" l="1"/>
  <c r="BP62" i="9"/>
  <c r="HG58" i="4"/>
  <c r="HG54" i="4" s="1"/>
  <c r="BV71" i="4"/>
  <c r="HF49" i="4"/>
  <c r="BV51" i="4"/>
  <c r="BV53" i="4" l="1"/>
  <c r="BQ64" i="9" s="1"/>
  <c r="BQ60" i="9"/>
  <c r="BV73" i="4"/>
  <c r="BQ65" i="9" s="1"/>
  <c r="BV200" i="4"/>
  <c r="BQ98" i="9" s="1"/>
  <c r="BW69" i="4"/>
  <c r="BW57" i="4" s="1"/>
  <c r="BW58" i="4" s="1"/>
  <c r="BW48" i="4"/>
  <c r="HH57" i="4"/>
  <c r="BX198" i="4" s="1"/>
  <c r="BS96" i="9" s="1"/>
  <c r="HG56" i="4"/>
  <c r="HG70" i="4"/>
  <c r="HF50" i="4"/>
  <c r="BQ62" i="9" l="1"/>
  <c r="HH58" i="4"/>
  <c r="HH54" i="4" s="1"/>
  <c r="BW51" i="4"/>
  <c r="HG49" i="4"/>
  <c r="BW71" i="4"/>
  <c r="BW53" i="4" l="1"/>
  <c r="BR64" i="9" s="1"/>
  <c r="BR60" i="9"/>
  <c r="BW73" i="4"/>
  <c r="BR65" i="9" s="1"/>
  <c r="BW200" i="4"/>
  <c r="BR98" i="9" s="1"/>
  <c r="BX48" i="4"/>
  <c r="BX69" i="4"/>
  <c r="BX57" i="4" s="1"/>
  <c r="BX58" i="4" s="1"/>
  <c r="HI57" i="4"/>
  <c r="BY198" i="4" s="1"/>
  <c r="BT96" i="9" s="1"/>
  <c r="HH56" i="4"/>
  <c r="HH70" i="4"/>
  <c r="HG50" i="4"/>
  <c r="BR62" i="9" l="1"/>
  <c r="HI58" i="4"/>
  <c r="HI54" i="4" s="1"/>
  <c r="BX71" i="4"/>
  <c r="BX51" i="4"/>
  <c r="HH49" i="4"/>
  <c r="BX53" i="4" l="1"/>
  <c r="BS64" i="9" s="1"/>
  <c r="BS60" i="9"/>
  <c r="BX73" i="4"/>
  <c r="BS65" i="9" s="1"/>
  <c r="BX200" i="4"/>
  <c r="BS98" i="9" s="1"/>
  <c r="BY69" i="4"/>
  <c r="BY57" i="4" s="1"/>
  <c r="BY58" i="4" s="1"/>
  <c r="BY48" i="4"/>
  <c r="HJ57" i="4"/>
  <c r="BZ198" i="4" s="1"/>
  <c r="BU96" i="9" s="1"/>
  <c r="HI56" i="4"/>
  <c r="HI70" i="4"/>
  <c r="HH50" i="4"/>
  <c r="BS62" i="9" l="1"/>
  <c r="HJ58" i="4"/>
  <c r="HJ54" i="4" s="1"/>
  <c r="BY51" i="4"/>
  <c r="HI49" i="4"/>
  <c r="BY71" i="4"/>
  <c r="BY53" i="4" l="1"/>
  <c r="BT64" i="9" s="1"/>
  <c r="BT60" i="9"/>
  <c r="BY73" i="4"/>
  <c r="BT65" i="9" s="1"/>
  <c r="BY200" i="4"/>
  <c r="BT98" i="9" s="1"/>
  <c r="BZ69" i="4"/>
  <c r="BZ57" i="4" s="1"/>
  <c r="BZ58" i="4" s="1"/>
  <c r="BZ48" i="4"/>
  <c r="HK57" i="4"/>
  <c r="CA198" i="4" s="1"/>
  <c r="BV96" i="9" s="1"/>
  <c r="HJ56" i="4"/>
  <c r="HJ70" i="4"/>
  <c r="HI50" i="4"/>
  <c r="BT62" i="9" l="1"/>
  <c r="HK58" i="4"/>
  <c r="HK54" i="4" s="1"/>
  <c r="BZ51" i="4"/>
  <c r="HJ49" i="4"/>
  <c r="BZ71" i="4"/>
  <c r="BZ73" i="4" l="1"/>
  <c r="BU65" i="9" s="1"/>
  <c r="BZ200" i="4"/>
  <c r="BU98" i="9" s="1"/>
  <c r="BZ53" i="4"/>
  <c r="BU64" i="9" s="1"/>
  <c r="BU60" i="9"/>
  <c r="BU62" i="9" s="1"/>
  <c r="CA69" i="4"/>
  <c r="CA57" i="4" s="1"/>
  <c r="CA58" i="4" s="1"/>
  <c r="CA48" i="4"/>
  <c r="HL57" i="4"/>
  <c r="CB198" i="4" s="1"/>
  <c r="BW96" i="9" s="1"/>
  <c r="HK56" i="4"/>
  <c r="HK70" i="4"/>
  <c r="HJ50" i="4" l="1"/>
  <c r="HL58" i="4"/>
  <c r="HL54" i="4" s="1"/>
  <c r="CA51" i="4"/>
  <c r="HK49" i="4"/>
  <c r="CA71" i="4"/>
  <c r="CA73" i="4" l="1"/>
  <c r="BV65" i="9" s="1"/>
  <c r="CA200" i="4"/>
  <c r="BV98" i="9" s="1"/>
  <c r="CA53" i="4"/>
  <c r="BV64" i="9" s="1"/>
  <c r="BV60" i="9"/>
  <c r="BV62" i="9" s="1"/>
  <c r="CB69" i="4"/>
  <c r="CB57" i="4" s="1"/>
  <c r="CB58" i="4" s="1"/>
  <c r="CB48" i="4"/>
  <c r="HM57" i="4"/>
  <c r="CC198" i="4" s="1"/>
  <c r="BX96" i="9" s="1"/>
  <c r="HL56" i="4"/>
  <c r="HL70" i="4"/>
  <c r="HK50" i="4" l="1"/>
  <c r="HM58" i="4"/>
  <c r="HM54" i="4" s="1"/>
  <c r="CB51" i="4"/>
  <c r="HL49" i="4"/>
  <c r="CB71" i="4"/>
  <c r="CB53" i="4" l="1"/>
  <c r="BW64" i="9" s="1"/>
  <c r="BW60" i="9"/>
  <c r="BW62" i="9" s="1"/>
  <c r="CB73" i="4"/>
  <c r="BW65" i="9" s="1"/>
  <c r="CB200" i="4"/>
  <c r="BW98" i="9" s="1"/>
  <c r="CC48" i="4"/>
  <c r="CC69" i="4"/>
  <c r="CC57" i="4" s="1"/>
  <c r="CC58" i="4" s="1"/>
  <c r="HN57" i="4"/>
  <c r="CD198" i="4" s="1"/>
  <c r="BY96" i="9" s="1"/>
  <c r="HM56" i="4"/>
  <c r="HM70" i="4"/>
  <c r="HL50" i="4"/>
  <c r="HN58" i="4" l="1"/>
  <c r="HN54" i="4" s="1"/>
  <c r="CC71" i="4"/>
  <c r="CC51" i="4"/>
  <c r="HM49" i="4"/>
  <c r="CC53" i="4" l="1"/>
  <c r="BX64" i="9" s="1"/>
  <c r="BX60" i="9"/>
  <c r="BX62" i="9" s="1"/>
  <c r="CC73" i="4"/>
  <c r="BX65" i="9" s="1"/>
  <c r="CC200" i="4"/>
  <c r="BX98" i="9" s="1"/>
  <c r="CD48" i="4"/>
  <c r="CD69" i="4"/>
  <c r="CD57" i="4" s="1"/>
  <c r="CD58" i="4" s="1"/>
  <c r="HO57" i="4"/>
  <c r="CE198" i="4" s="1"/>
  <c r="BZ96" i="9" s="1"/>
  <c r="HN56" i="4"/>
  <c r="HN70" i="4"/>
  <c r="HM50" i="4"/>
  <c r="HO58" i="4" l="1"/>
  <c r="HO54" i="4" s="1"/>
  <c r="CD71" i="4"/>
  <c r="HN49" i="4"/>
  <c r="CD51" i="4"/>
  <c r="CD53" i="4" l="1"/>
  <c r="BY64" i="9" s="1"/>
  <c r="BY60" i="9"/>
  <c r="BY62" i="9" s="1"/>
  <c r="CD73" i="4"/>
  <c r="BY65" i="9" s="1"/>
  <c r="CD200" i="4"/>
  <c r="BY98" i="9" s="1"/>
  <c r="CE48" i="4"/>
  <c r="CE69" i="4"/>
  <c r="CE57" i="4" s="1"/>
  <c r="CE58" i="4" s="1"/>
  <c r="HP57" i="4"/>
  <c r="CF198" i="4" s="1"/>
  <c r="CA96" i="9" s="1"/>
  <c r="HO56" i="4"/>
  <c r="HO70" i="4"/>
  <c r="HN50" i="4"/>
  <c r="HP58" i="4" l="1"/>
  <c r="HP54" i="4" s="1"/>
  <c r="CE71" i="4"/>
  <c r="HO49" i="4"/>
  <c r="CE51" i="4"/>
  <c r="CE53" i="4" l="1"/>
  <c r="BZ64" i="9" s="1"/>
  <c r="BZ60" i="9"/>
  <c r="BZ62" i="9" s="1"/>
  <c r="CE73" i="4"/>
  <c r="BZ65" i="9" s="1"/>
  <c r="CE200" i="4"/>
  <c r="BZ98" i="9" s="1"/>
  <c r="CF69" i="4"/>
  <c r="CF57" i="4" s="1"/>
  <c r="CF58" i="4" s="1"/>
  <c r="CF48" i="4"/>
  <c r="HQ57" i="4"/>
  <c r="CG198" i="4" s="1"/>
  <c r="CB96" i="9" s="1"/>
  <c r="HP56" i="4"/>
  <c r="HP70" i="4"/>
  <c r="HO50" i="4"/>
  <c r="HQ58" i="4" l="1"/>
  <c r="HQ54" i="4" s="1"/>
  <c r="CF51" i="4"/>
  <c r="HP49" i="4"/>
  <c r="CF71" i="4"/>
  <c r="CF73" i="4" l="1"/>
  <c r="CA65" i="9" s="1"/>
  <c r="CF200" i="4"/>
  <c r="CA98" i="9" s="1"/>
  <c r="CF53" i="4"/>
  <c r="CA64" i="9" s="1"/>
  <c r="CA60" i="9"/>
  <c r="CA62" i="9" s="1"/>
  <c r="CG48" i="4"/>
  <c r="CG69" i="4"/>
  <c r="CG57" i="4" s="1"/>
  <c r="CG58" i="4" s="1"/>
  <c r="HR57" i="4"/>
  <c r="CH198" i="4" s="1"/>
  <c r="CC96" i="9" s="1"/>
  <c r="HQ56" i="4"/>
  <c r="HQ70" i="4"/>
  <c r="HP50" i="4" l="1"/>
  <c r="HR58" i="4"/>
  <c r="HR54" i="4" s="1"/>
  <c r="CG71" i="4"/>
  <c r="CG51" i="4"/>
  <c r="HQ49" i="4"/>
  <c r="CG53" i="4" l="1"/>
  <c r="CB64" i="9" s="1"/>
  <c r="CB60" i="9"/>
  <c r="CG73" i="4"/>
  <c r="CB65" i="9" s="1"/>
  <c r="CG200" i="4"/>
  <c r="CB98" i="9" s="1"/>
  <c r="CH48" i="4"/>
  <c r="CH69" i="4"/>
  <c r="CH57" i="4" s="1"/>
  <c r="CH58" i="4" s="1"/>
  <c r="HS57" i="4"/>
  <c r="CI198" i="4" s="1"/>
  <c r="CD96" i="9" s="1"/>
  <c r="HR56" i="4"/>
  <c r="HR70" i="4"/>
  <c r="HQ50" i="4"/>
  <c r="CB62" i="9" l="1"/>
  <c r="HS58" i="4"/>
  <c r="HS54" i="4" s="1"/>
  <c r="CH71" i="4"/>
  <c r="CH51" i="4"/>
  <c r="HR49" i="4"/>
  <c r="CH53" i="4" l="1"/>
  <c r="CC64" i="9" s="1"/>
  <c r="CC60" i="9"/>
  <c r="CH73" i="4"/>
  <c r="CC65" i="9" s="1"/>
  <c r="CH200" i="4"/>
  <c r="CC98" i="9" s="1"/>
  <c r="CI69" i="4"/>
  <c r="CI57" i="4" s="1"/>
  <c r="CI58" i="4" s="1"/>
  <c r="CI48" i="4"/>
  <c r="HT57" i="4"/>
  <c r="CJ198" i="4" s="1"/>
  <c r="CE96" i="9" s="1"/>
  <c r="HS56" i="4"/>
  <c r="HS70" i="4"/>
  <c r="HR50" i="4"/>
  <c r="CC62" i="9" l="1"/>
  <c r="HT58" i="4"/>
  <c r="HT54" i="4" s="1"/>
  <c r="HS49" i="4"/>
  <c r="CI51" i="4"/>
  <c r="CI71" i="4"/>
  <c r="CI73" i="4" l="1"/>
  <c r="CD65" i="9" s="1"/>
  <c r="CI200" i="4"/>
  <c r="CD98" i="9" s="1"/>
  <c r="CI53" i="4"/>
  <c r="CD64" i="9" s="1"/>
  <c r="CD60" i="9"/>
  <c r="CJ69" i="4"/>
  <c r="CJ57" i="4" s="1"/>
  <c r="CJ58" i="4" s="1"/>
  <c r="CJ48" i="4"/>
  <c r="HU57" i="4"/>
  <c r="CK198" i="4" s="1"/>
  <c r="CF96" i="9" s="1"/>
  <c r="HT56" i="4"/>
  <c r="HT70" i="4"/>
  <c r="HS50" i="4" l="1"/>
  <c r="CD62" i="9"/>
  <c r="HU58" i="4"/>
  <c r="HU54" i="4" s="1"/>
  <c r="HT49" i="4"/>
  <c r="CJ51" i="4"/>
  <c r="CJ71" i="4"/>
  <c r="CJ73" i="4" l="1"/>
  <c r="CE65" i="9" s="1"/>
  <c r="CJ200" i="4"/>
  <c r="CE98" i="9" s="1"/>
  <c r="CJ53" i="4"/>
  <c r="CE64" i="9" s="1"/>
  <c r="CE60" i="9"/>
  <c r="CK69" i="4"/>
  <c r="CK57" i="4" s="1"/>
  <c r="CK58" i="4" s="1"/>
  <c r="CK48" i="4"/>
  <c r="HV57" i="4"/>
  <c r="CL198" i="4" s="1"/>
  <c r="CG96" i="9" s="1"/>
  <c r="HU56" i="4"/>
  <c r="HU70" i="4"/>
  <c r="HT50" i="4" l="1"/>
  <c r="CE62" i="9"/>
  <c r="HV58" i="4"/>
  <c r="HV54" i="4" s="1"/>
  <c r="CK51" i="4"/>
  <c r="HU49" i="4"/>
  <c r="CK71" i="4"/>
  <c r="CK73" i="4" l="1"/>
  <c r="CF65" i="9" s="1"/>
  <c r="CK200" i="4"/>
  <c r="CF98" i="9" s="1"/>
  <c r="CK53" i="4"/>
  <c r="CF64" i="9" s="1"/>
  <c r="CF60" i="9"/>
  <c r="CL48" i="4"/>
  <c r="CL69" i="4"/>
  <c r="CL57" i="4" s="1"/>
  <c r="CL58" i="4" s="1"/>
  <c r="HW57" i="4"/>
  <c r="CM198" i="4" s="1"/>
  <c r="CH96" i="9" s="1"/>
  <c r="HV56" i="4"/>
  <c r="HV70" i="4"/>
  <c r="CF62" i="9" l="1"/>
  <c r="HU50" i="4"/>
  <c r="HW58" i="4"/>
  <c r="HW54" i="4" s="1"/>
  <c r="CL71" i="4"/>
  <c r="CL51" i="4"/>
  <c r="HV49" i="4"/>
  <c r="CL53" i="4" l="1"/>
  <c r="CG64" i="9" s="1"/>
  <c r="CG60" i="9"/>
  <c r="CG62" i="9" s="1"/>
  <c r="CL73" i="4"/>
  <c r="CG65" i="9" s="1"/>
  <c r="CL200" i="4"/>
  <c r="CG98" i="9" s="1"/>
  <c r="CM48" i="4"/>
  <c r="CM69" i="4"/>
  <c r="CM57" i="4" s="1"/>
  <c r="CM58" i="4" s="1"/>
  <c r="HX57" i="4"/>
  <c r="CN198" i="4" s="1"/>
  <c r="CI96" i="9" s="1"/>
  <c r="HW56" i="4"/>
  <c r="HW70" i="4"/>
  <c r="HV50" i="4" l="1"/>
  <c r="HX58" i="4"/>
  <c r="HX54" i="4" s="1"/>
  <c r="CM71" i="4"/>
  <c r="CM51" i="4"/>
  <c r="HW49" i="4"/>
  <c r="CM53" i="4" l="1"/>
  <c r="CH64" i="9" s="1"/>
  <c r="CH60" i="9"/>
  <c r="CH62" i="9" s="1"/>
  <c r="CM73" i="4"/>
  <c r="CH65" i="9" s="1"/>
  <c r="CM200" i="4"/>
  <c r="CH98" i="9" s="1"/>
  <c r="CN48" i="4"/>
  <c r="CN69" i="4"/>
  <c r="CN57" i="4" s="1"/>
  <c r="CN58" i="4" s="1"/>
  <c r="HY57" i="4"/>
  <c r="CO198" i="4" s="1"/>
  <c r="CJ96" i="9" s="1"/>
  <c r="HX56" i="4"/>
  <c r="HX70" i="4"/>
  <c r="HW50" i="4" l="1"/>
  <c r="HY58" i="4"/>
  <c r="HY54" i="4" s="1"/>
  <c r="CN71" i="4"/>
  <c r="CN51" i="4"/>
  <c r="HX49" i="4"/>
  <c r="CN53" i="4" l="1"/>
  <c r="CI64" i="9" s="1"/>
  <c r="CI60" i="9"/>
  <c r="CI62" i="9" s="1"/>
  <c r="CN73" i="4"/>
  <c r="CI65" i="9" s="1"/>
  <c r="CN200" i="4"/>
  <c r="CI98" i="9" s="1"/>
  <c r="CO69" i="4"/>
  <c r="CO57" i="4" s="1"/>
  <c r="CO58" i="4" s="1"/>
  <c r="CO48" i="4"/>
  <c r="HZ57" i="4"/>
  <c r="CP198" i="4" s="1"/>
  <c r="CK96" i="9" s="1"/>
  <c r="HY56" i="4"/>
  <c r="HY70" i="4"/>
  <c r="HX50" i="4"/>
  <c r="HZ58" i="4" l="1"/>
  <c r="HZ54" i="4" s="1"/>
  <c r="HY49" i="4"/>
  <c r="CO51" i="4"/>
  <c r="CO71" i="4"/>
  <c r="CO53" i="4" l="1"/>
  <c r="CJ64" i="9" s="1"/>
  <c r="CJ60" i="9"/>
  <c r="CJ62" i="9" s="1"/>
  <c r="CO73" i="4"/>
  <c r="CJ65" i="9" s="1"/>
  <c r="CO200" i="4"/>
  <c r="CJ98" i="9" s="1"/>
  <c r="CP69" i="4"/>
  <c r="CP57" i="4" s="1"/>
  <c r="CP58" i="4" s="1"/>
  <c r="CP48" i="4"/>
  <c r="IA57" i="4"/>
  <c r="CQ198" i="4" s="1"/>
  <c r="CL96" i="9" s="1"/>
  <c r="HZ56" i="4"/>
  <c r="HZ70" i="4"/>
  <c r="HY50" i="4"/>
  <c r="IA58" i="4" l="1"/>
  <c r="IA54" i="4" s="1"/>
  <c r="HZ49" i="4"/>
  <c r="CP51" i="4"/>
  <c r="CP71" i="4"/>
  <c r="CP73" i="4" l="1"/>
  <c r="CK65" i="9" s="1"/>
  <c r="CP200" i="4"/>
  <c r="CK98" i="9" s="1"/>
  <c r="CP53" i="4"/>
  <c r="CK64" i="9" s="1"/>
  <c r="CK60" i="9"/>
  <c r="CK62" i="9" s="1"/>
  <c r="CQ48" i="4"/>
  <c r="CQ69" i="4"/>
  <c r="CQ57" i="4" s="1"/>
  <c r="CQ58" i="4" s="1"/>
  <c r="IB57" i="4"/>
  <c r="CR198" i="4" s="1"/>
  <c r="CM96" i="9" s="1"/>
  <c r="IA56" i="4"/>
  <c r="IA70" i="4"/>
  <c r="HZ50" i="4" l="1"/>
  <c r="IB58" i="4"/>
  <c r="IB54" i="4" s="1"/>
  <c r="CQ71" i="4"/>
  <c r="IA49" i="4"/>
  <c r="CQ51" i="4"/>
  <c r="CQ53" i="4" l="1"/>
  <c r="CL64" i="9" s="1"/>
  <c r="CL60" i="9"/>
  <c r="CL62" i="9" s="1"/>
  <c r="CQ73" i="4"/>
  <c r="CL65" i="9" s="1"/>
  <c r="CQ200" i="4"/>
  <c r="CL98" i="9" s="1"/>
  <c r="CR69" i="4"/>
  <c r="CR57" i="4" s="1"/>
  <c r="CR58" i="4" s="1"/>
  <c r="CR48" i="4"/>
  <c r="IC57" i="4"/>
  <c r="CS198" i="4" s="1"/>
  <c r="CN96" i="9" s="1"/>
  <c r="IB56" i="4"/>
  <c r="IB70" i="4"/>
  <c r="IA50" i="4"/>
  <c r="IC58" i="4" l="1"/>
  <c r="IC54" i="4" s="1"/>
  <c r="CR51" i="4"/>
  <c r="IB49" i="4"/>
  <c r="CR71" i="4"/>
  <c r="CR73" i="4" l="1"/>
  <c r="CM65" i="9" s="1"/>
  <c r="CR200" i="4"/>
  <c r="CM98" i="9" s="1"/>
  <c r="CR53" i="4"/>
  <c r="CM64" i="9" s="1"/>
  <c r="CM60" i="9"/>
  <c r="CM62" i="9" s="1"/>
  <c r="CS48" i="4"/>
  <c r="CS69" i="4"/>
  <c r="CS57" i="4" s="1"/>
  <c r="CS58" i="4" s="1"/>
  <c r="ID57" i="4"/>
  <c r="CT198" i="4" s="1"/>
  <c r="CO96" i="9" s="1"/>
  <c r="IC56" i="4"/>
  <c r="IC70" i="4"/>
  <c r="IB50" i="4" l="1"/>
  <c r="CS71" i="4"/>
  <c r="ID58" i="4"/>
  <c r="ID54" i="4" s="1"/>
  <c r="CS51" i="4"/>
  <c r="IC49" i="4"/>
  <c r="CS53" i="4" l="1"/>
  <c r="CN64" i="9" s="1"/>
  <c r="CN60" i="9"/>
  <c r="CS73" i="4"/>
  <c r="CN65" i="9" s="1"/>
  <c r="CS200" i="4"/>
  <c r="CN98" i="9" s="1"/>
  <c r="CT48" i="4"/>
  <c r="CT69" i="4"/>
  <c r="CT57" i="4" s="1"/>
  <c r="CT58" i="4" s="1"/>
  <c r="IE57" i="4"/>
  <c r="CU198" i="4" s="1"/>
  <c r="CP96" i="9" s="1"/>
  <c r="ID56" i="4"/>
  <c r="ID70" i="4"/>
  <c r="IC50" i="4" l="1"/>
  <c r="CN62" i="9"/>
  <c r="IE58" i="4"/>
  <c r="IE54" i="4" s="1"/>
  <c r="CT71" i="4"/>
  <c r="CT51" i="4"/>
  <c r="ID49" i="4"/>
  <c r="CT73" i="4" l="1"/>
  <c r="CO65" i="9" s="1"/>
  <c r="CT200" i="4"/>
  <c r="CO98" i="9" s="1"/>
  <c r="CT53" i="4"/>
  <c r="CO64" i="9" s="1"/>
  <c r="CO60" i="9"/>
  <c r="CU48" i="4"/>
  <c r="CU69" i="4"/>
  <c r="CU57" i="4" s="1"/>
  <c r="CU58" i="4" s="1"/>
  <c r="IF57" i="4"/>
  <c r="CV198" i="4" s="1"/>
  <c r="CQ96" i="9" s="1"/>
  <c r="IE56" i="4"/>
  <c r="IE70" i="4"/>
  <c r="ID50" i="4" l="1"/>
  <c r="CO62" i="9"/>
  <c r="IF58" i="4"/>
  <c r="IF54" i="4" s="1"/>
  <c r="CU71" i="4"/>
  <c r="IE49" i="4"/>
  <c r="CU51" i="4"/>
  <c r="CU53" i="4" l="1"/>
  <c r="CP64" i="9" s="1"/>
  <c r="CP60" i="9"/>
  <c r="CU73" i="4"/>
  <c r="CP65" i="9" s="1"/>
  <c r="CU200" i="4"/>
  <c r="CP98" i="9" s="1"/>
  <c r="CV48" i="4"/>
  <c r="CV69" i="4"/>
  <c r="CV57" i="4" s="1"/>
  <c r="CV58" i="4" s="1"/>
  <c r="IG57" i="4"/>
  <c r="CW198" i="4" s="1"/>
  <c r="CR96" i="9" s="1"/>
  <c r="IF56" i="4"/>
  <c r="IF70" i="4"/>
  <c r="IE50" i="4" l="1"/>
  <c r="CP62" i="9"/>
  <c r="IG58" i="4"/>
  <c r="IG54" i="4" s="1"/>
  <c r="CV71" i="4"/>
  <c r="CV51" i="4"/>
  <c r="IF49" i="4"/>
  <c r="CV53" i="4" l="1"/>
  <c r="CQ64" i="9" s="1"/>
  <c r="CQ60" i="9"/>
  <c r="CV73" i="4"/>
  <c r="CQ65" i="9" s="1"/>
  <c r="CV200" i="4"/>
  <c r="CQ98" i="9" s="1"/>
  <c r="CW48" i="4"/>
  <c r="CW69" i="4"/>
  <c r="CW57" i="4" s="1"/>
  <c r="CW58" i="4" s="1"/>
  <c r="IH57" i="4"/>
  <c r="CX198" i="4" s="1"/>
  <c r="CS96" i="9" s="1"/>
  <c r="IG56" i="4"/>
  <c r="IG70" i="4"/>
  <c r="IF50" i="4"/>
  <c r="CQ62" i="9" l="1"/>
  <c r="CW71" i="4"/>
  <c r="IH58" i="4"/>
  <c r="IH54" i="4" s="1"/>
  <c r="CW51" i="4"/>
  <c r="IG49" i="4"/>
  <c r="CW53" i="4" l="1"/>
  <c r="CR64" i="9" s="1"/>
  <c r="CR60" i="9"/>
  <c r="CW73" i="4"/>
  <c r="CR65" i="9" s="1"/>
  <c r="CW200" i="4"/>
  <c r="CR98" i="9" s="1"/>
  <c r="CX69" i="4"/>
  <c r="CX57" i="4" s="1"/>
  <c r="CX58" i="4" s="1"/>
  <c r="CX48" i="4"/>
  <c r="II57" i="4"/>
  <c r="CY198" i="4" s="1"/>
  <c r="CT96" i="9" s="1"/>
  <c r="IH56" i="4"/>
  <c r="IH70" i="4"/>
  <c r="IG50" i="4"/>
  <c r="CR62" i="9" l="1"/>
  <c r="II58" i="4"/>
  <c r="II54" i="4" s="1"/>
  <c r="CX51" i="4"/>
  <c r="IH49" i="4"/>
  <c r="CX71" i="4"/>
  <c r="CX73" i="4" l="1"/>
  <c r="CS65" i="9" s="1"/>
  <c r="CX200" i="4"/>
  <c r="CS98" i="9" s="1"/>
  <c r="CX53" i="4"/>
  <c r="CS64" i="9" s="1"/>
  <c r="CS60" i="9"/>
  <c r="CS62" i="9" s="1"/>
  <c r="CY48" i="4"/>
  <c r="CY69" i="4"/>
  <c r="CY57" i="4" s="1"/>
  <c r="CY58" i="4" s="1"/>
  <c r="IJ57" i="4"/>
  <c r="CZ198" i="4" s="1"/>
  <c r="CU96" i="9" s="1"/>
  <c r="II56" i="4"/>
  <c r="II70" i="4"/>
  <c r="IH50" i="4" l="1"/>
  <c r="IJ58" i="4"/>
  <c r="IJ54" i="4" s="1"/>
  <c r="CY71" i="4"/>
  <c r="CY51" i="4"/>
  <c r="II49" i="4"/>
  <c r="CY73" i="4" l="1"/>
  <c r="CT65" i="9" s="1"/>
  <c r="CY200" i="4"/>
  <c r="CT98" i="9" s="1"/>
  <c r="CY53" i="4"/>
  <c r="CT64" i="9" s="1"/>
  <c r="CT60" i="9"/>
  <c r="CT62" i="9" s="1"/>
  <c r="CZ69" i="4"/>
  <c r="CZ57" i="4" s="1"/>
  <c r="CZ58" i="4" s="1"/>
  <c r="CZ48" i="4"/>
  <c r="IK57" i="4"/>
  <c r="DA198" i="4" s="1"/>
  <c r="CV96" i="9" s="1"/>
  <c r="IJ56" i="4"/>
  <c r="IJ70" i="4"/>
  <c r="II50" i="4" l="1"/>
  <c r="CZ51" i="4"/>
  <c r="IJ49" i="4"/>
  <c r="IK58" i="4"/>
  <c r="IK54" i="4" s="1"/>
  <c r="CZ71" i="4"/>
  <c r="CZ73" i="4" l="1"/>
  <c r="CU65" i="9" s="1"/>
  <c r="CZ200" i="4"/>
  <c r="CU98" i="9" s="1"/>
  <c r="CZ53" i="4"/>
  <c r="CU64" i="9" s="1"/>
  <c r="CU60" i="9"/>
  <c r="CU62" i="9" s="1"/>
  <c r="DA69" i="4"/>
  <c r="DA48" i="4"/>
  <c r="IL57" i="4"/>
  <c r="DB198" i="4" s="1"/>
  <c r="CW96" i="9" s="1"/>
  <c r="IK56" i="4"/>
  <c r="IK70" i="4"/>
  <c r="DA57" i="4" l="1"/>
  <c r="DA58" i="4" s="1"/>
  <c r="IJ50" i="4"/>
  <c r="IL58" i="4"/>
  <c r="IL54" i="4" s="1"/>
  <c r="DA51" i="4"/>
  <c r="IK49" i="4"/>
  <c r="DA71" i="4"/>
  <c r="DA73" i="4" l="1"/>
  <c r="CV65" i="9" s="1"/>
  <c r="DA200" i="4"/>
  <c r="CV98" i="9" s="1"/>
  <c r="DA53" i="4"/>
  <c r="CV64" i="9" s="1"/>
  <c r="CV60" i="9"/>
  <c r="CV62" i="9" s="1"/>
  <c r="DB69" i="4"/>
  <c r="DB57" i="4" s="1"/>
  <c r="DB58" i="4" s="1"/>
  <c r="DB48" i="4"/>
  <c r="IM57" i="4"/>
  <c r="DC198" i="4" s="1"/>
  <c r="CX96" i="9" s="1"/>
  <c r="IL56" i="4"/>
  <c r="IL70" i="4"/>
  <c r="IK50" i="4" l="1"/>
  <c r="IM58" i="4"/>
  <c r="IM54" i="4" s="1"/>
  <c r="IL49" i="4"/>
  <c r="DB51" i="4"/>
  <c r="DB71" i="4"/>
  <c r="DB73" i="4" l="1"/>
  <c r="CW65" i="9" s="1"/>
  <c r="DB200" i="4"/>
  <c r="CW98" i="9" s="1"/>
  <c r="DB53" i="4"/>
  <c r="CW64" i="9" s="1"/>
  <c r="CW60" i="9"/>
  <c r="CW62" i="9" s="1"/>
  <c r="DC69" i="4"/>
  <c r="DC57" i="4" s="1"/>
  <c r="DC58" i="4" s="1"/>
  <c r="DC48" i="4"/>
  <c r="IN57" i="4"/>
  <c r="DD198" i="4" s="1"/>
  <c r="CY96" i="9" s="1"/>
  <c r="IM56" i="4"/>
  <c r="IM70" i="4"/>
  <c r="IL50" i="4" l="1"/>
  <c r="IN58" i="4"/>
  <c r="IN54" i="4" s="1"/>
  <c r="DC51" i="4"/>
  <c r="IM49" i="4"/>
  <c r="DC71" i="4"/>
  <c r="DC73" i="4" l="1"/>
  <c r="CX65" i="9" s="1"/>
  <c r="DC200" i="4"/>
  <c r="CX98" i="9" s="1"/>
  <c r="DC53" i="4"/>
  <c r="CX64" i="9" s="1"/>
  <c r="CX60" i="9"/>
  <c r="CX62" i="9" s="1"/>
  <c r="DD69" i="4"/>
  <c r="DD57" i="4" s="1"/>
  <c r="DD58" i="4" s="1"/>
  <c r="DD48" i="4"/>
  <c r="IO57" i="4"/>
  <c r="DE198" i="4" s="1"/>
  <c r="CZ96" i="9" s="1"/>
  <c r="IN56" i="4"/>
  <c r="IN70" i="4"/>
  <c r="IM50" i="4" l="1"/>
  <c r="IO58" i="4"/>
  <c r="IO54" i="4" s="1"/>
  <c r="IN49" i="4"/>
  <c r="DD51" i="4"/>
  <c r="DD71" i="4"/>
  <c r="DD73" i="4" l="1"/>
  <c r="CY65" i="9" s="1"/>
  <c r="DD200" i="4"/>
  <c r="CY98" i="9" s="1"/>
  <c r="DD53" i="4"/>
  <c r="CY64" i="9" s="1"/>
  <c r="CY60" i="9"/>
  <c r="CY62" i="9" s="1"/>
  <c r="DE69" i="4"/>
  <c r="DE57" i="4" s="1"/>
  <c r="DE58" i="4" s="1"/>
  <c r="DE48" i="4"/>
  <c r="IP57" i="4"/>
  <c r="DF198" i="4" s="1"/>
  <c r="DA96" i="9" s="1"/>
  <c r="IO56" i="4"/>
  <c r="IO70" i="4"/>
  <c r="IN50" i="4" l="1"/>
  <c r="IP58" i="4"/>
  <c r="IP54" i="4" s="1"/>
  <c r="IO49" i="4"/>
  <c r="DE51" i="4"/>
  <c r="DE71" i="4"/>
  <c r="DE73" i="4" l="1"/>
  <c r="CZ65" i="9" s="1"/>
  <c r="DE200" i="4"/>
  <c r="CZ98" i="9" s="1"/>
  <c r="DE53" i="4"/>
  <c r="CZ64" i="9" s="1"/>
  <c r="CZ60" i="9"/>
  <c r="DF69" i="4"/>
  <c r="DF57" i="4" s="1"/>
  <c r="DF58" i="4" s="1"/>
  <c r="DF48" i="4"/>
  <c r="IQ57" i="4"/>
  <c r="DG198" i="4" s="1"/>
  <c r="DB96" i="9" s="1"/>
  <c r="IP56" i="4"/>
  <c r="IP70" i="4"/>
  <c r="IO50" i="4" l="1"/>
  <c r="CZ62" i="9"/>
  <c r="IQ58" i="4"/>
  <c r="IQ54" i="4" s="1"/>
  <c r="DF51" i="4"/>
  <c r="IP49" i="4"/>
  <c r="DF71" i="4"/>
  <c r="DF53" i="4" l="1"/>
  <c r="DA64" i="9" s="1"/>
  <c r="DA60" i="9"/>
  <c r="DF73" i="4"/>
  <c r="DA65" i="9" s="1"/>
  <c r="DF200" i="4"/>
  <c r="DA98" i="9" s="1"/>
  <c r="DG69" i="4"/>
  <c r="DG57" i="4" s="1"/>
  <c r="DG58" i="4" s="1"/>
  <c r="DG48" i="4"/>
  <c r="IR57" i="4"/>
  <c r="DH198" i="4" s="1"/>
  <c r="DC96" i="9" s="1"/>
  <c r="IQ56" i="4"/>
  <c r="IQ70" i="4"/>
  <c r="IP50" i="4"/>
  <c r="DA62" i="9" l="1"/>
  <c r="IR58" i="4"/>
  <c r="IR54" i="4" s="1"/>
  <c r="DG51" i="4"/>
  <c r="IQ49" i="4"/>
  <c r="DG71" i="4"/>
  <c r="DG53" i="4" l="1"/>
  <c r="DB64" i="9" s="1"/>
  <c r="DB60" i="9"/>
  <c r="DG73" i="4"/>
  <c r="DB65" i="9" s="1"/>
  <c r="DG200" i="4"/>
  <c r="DB98" i="9" s="1"/>
  <c r="DH69" i="4"/>
  <c r="DH57" i="4" s="1"/>
  <c r="DH58" i="4" s="1"/>
  <c r="DH48" i="4"/>
  <c r="IS57" i="4"/>
  <c r="DI198" i="4" s="1"/>
  <c r="DD96" i="9" s="1"/>
  <c r="IR56" i="4"/>
  <c r="IR70" i="4"/>
  <c r="IQ50" i="4"/>
  <c r="DB62" i="9" l="1"/>
  <c r="IS58" i="4"/>
  <c r="IS54" i="4" s="1"/>
  <c r="IR49" i="4"/>
  <c r="DH51" i="4"/>
  <c r="DH71" i="4"/>
  <c r="DH73" i="4" l="1"/>
  <c r="DC65" i="9" s="1"/>
  <c r="DH200" i="4"/>
  <c r="DC98" i="9" s="1"/>
  <c r="DH53" i="4"/>
  <c r="DC64" i="9" s="1"/>
  <c r="DC60" i="9"/>
  <c r="DI69" i="4"/>
  <c r="DI57" i="4" s="1"/>
  <c r="DI58" i="4" s="1"/>
  <c r="DI48" i="4"/>
  <c r="IT57" i="4"/>
  <c r="DJ198" i="4" s="1"/>
  <c r="DE96" i="9" s="1"/>
  <c r="IS56" i="4"/>
  <c r="IS70" i="4"/>
  <c r="IR50" i="4" l="1"/>
  <c r="DC62" i="9"/>
  <c r="IT58" i="4"/>
  <c r="IT54" i="4" s="1"/>
  <c r="IS49" i="4"/>
  <c r="DI51" i="4"/>
  <c r="DI71" i="4"/>
  <c r="DI73" i="4" l="1"/>
  <c r="DD65" i="9" s="1"/>
  <c r="DI200" i="4"/>
  <c r="DD98" i="9" s="1"/>
  <c r="DI53" i="4"/>
  <c r="DD64" i="9" s="1"/>
  <c r="DD60" i="9"/>
  <c r="DJ48" i="4"/>
  <c r="DJ69" i="4"/>
  <c r="DJ57" i="4" s="1"/>
  <c r="DJ58" i="4" s="1"/>
  <c r="IU57" i="4"/>
  <c r="DK198" i="4" s="1"/>
  <c r="DF96" i="9" s="1"/>
  <c r="IT56" i="4"/>
  <c r="IT70" i="4"/>
  <c r="IS50" i="4" l="1"/>
  <c r="DD62" i="9"/>
  <c r="IU58" i="4"/>
  <c r="IU54" i="4" s="1"/>
  <c r="DJ71" i="4"/>
  <c r="DJ51" i="4"/>
  <c r="IT49" i="4"/>
  <c r="DJ53" i="4" l="1"/>
  <c r="DE64" i="9" s="1"/>
  <c r="DE60" i="9"/>
  <c r="DE62" i="9" s="1"/>
  <c r="DJ73" i="4"/>
  <c r="DE65" i="9" s="1"/>
  <c r="DJ200" i="4"/>
  <c r="DE98" i="9" s="1"/>
  <c r="DK69" i="4"/>
  <c r="DK57" i="4" s="1"/>
  <c r="DK58" i="4" s="1"/>
  <c r="DK48" i="4"/>
  <c r="IV57" i="4"/>
  <c r="DL198" i="4" s="1"/>
  <c r="DG96" i="9" s="1"/>
  <c r="IU56" i="4"/>
  <c r="IU70" i="4"/>
  <c r="IT50" i="4"/>
  <c r="IV58" i="4" l="1"/>
  <c r="IV54" i="4" s="1"/>
  <c r="IU49" i="4"/>
  <c r="DK51" i="4"/>
  <c r="DK71" i="4"/>
  <c r="DK73" i="4" l="1"/>
  <c r="DF65" i="9" s="1"/>
  <c r="DK200" i="4"/>
  <c r="DF98" i="9" s="1"/>
  <c r="DK53" i="4"/>
  <c r="DF64" i="9" s="1"/>
  <c r="DF60" i="9"/>
  <c r="DF62" i="9" s="1"/>
  <c r="DL48" i="4"/>
  <c r="DL69" i="4"/>
  <c r="DL57" i="4" s="1"/>
  <c r="DL58" i="4" s="1"/>
  <c r="IW57" i="4"/>
  <c r="DM198" i="4" s="1"/>
  <c r="DH96" i="9" s="1"/>
  <c r="IV56" i="4"/>
  <c r="IV70" i="4"/>
  <c r="IU50" i="4" l="1"/>
  <c r="IW58" i="4"/>
  <c r="IW54" i="4" s="1"/>
  <c r="DL71" i="4"/>
  <c r="DL51" i="4"/>
  <c r="IV49" i="4"/>
  <c r="DL53" i="4" l="1"/>
  <c r="DG64" i="9" s="1"/>
  <c r="DG60" i="9"/>
  <c r="DG62" i="9" s="1"/>
  <c r="DL73" i="4"/>
  <c r="DG65" i="9" s="1"/>
  <c r="DL200" i="4"/>
  <c r="DG98" i="9" s="1"/>
  <c r="DM48" i="4"/>
  <c r="DM69" i="4"/>
  <c r="DM57" i="4" s="1"/>
  <c r="DM58" i="4" s="1"/>
  <c r="IX57" i="4"/>
  <c r="DN198" i="4" s="1"/>
  <c r="DI96" i="9" s="1"/>
  <c r="IW56" i="4"/>
  <c r="IW70" i="4"/>
  <c r="IV50" i="4"/>
  <c r="IX58" i="4" l="1"/>
  <c r="IX54" i="4" s="1"/>
  <c r="DM71" i="4"/>
  <c r="DM51" i="4"/>
  <c r="IW49" i="4"/>
  <c r="DM53" i="4" l="1"/>
  <c r="DH64" i="9" s="1"/>
  <c r="DH60" i="9"/>
  <c r="DH62" i="9" s="1"/>
  <c r="DM73" i="4"/>
  <c r="DH65" i="9" s="1"/>
  <c r="DM200" i="4"/>
  <c r="DH98" i="9" s="1"/>
  <c r="DN48" i="4"/>
  <c r="DN69" i="4"/>
  <c r="DN57" i="4" s="1"/>
  <c r="DN58" i="4" s="1"/>
  <c r="IY57" i="4"/>
  <c r="DO198" i="4" s="1"/>
  <c r="DJ96" i="9" s="1"/>
  <c r="IX56" i="4"/>
  <c r="IX70" i="4"/>
  <c r="IW50" i="4"/>
  <c r="IY58" i="4" l="1"/>
  <c r="IY54" i="4" s="1"/>
  <c r="DN71" i="4"/>
  <c r="DN51" i="4"/>
  <c r="IX49" i="4"/>
  <c r="DN73" i="4" l="1"/>
  <c r="DI65" i="9" s="1"/>
  <c r="DN200" i="4"/>
  <c r="DI98" i="9" s="1"/>
  <c r="DN53" i="4"/>
  <c r="DI64" i="9" s="1"/>
  <c r="DI60" i="9"/>
  <c r="DI62" i="9" s="1"/>
  <c r="DO69" i="4"/>
  <c r="DO57" i="4" s="1"/>
  <c r="DO58" i="4" s="1"/>
  <c r="DO48" i="4"/>
  <c r="IZ57" i="4"/>
  <c r="DP198" i="4" s="1"/>
  <c r="DK96" i="9" s="1"/>
  <c r="IY56" i="4"/>
  <c r="IY70" i="4"/>
  <c r="IX50" i="4" l="1"/>
  <c r="IZ58" i="4"/>
  <c r="IZ54" i="4" s="1"/>
  <c r="IZ70" i="4" s="1"/>
  <c r="DO51" i="4"/>
  <c r="IY49" i="4"/>
  <c r="DO71" i="4"/>
  <c r="DO73" i="4" l="1"/>
  <c r="DJ65" i="9" s="1"/>
  <c r="DO200" i="4"/>
  <c r="DJ98" i="9" s="1"/>
  <c r="DO53" i="4"/>
  <c r="DJ64" i="9" s="1"/>
  <c r="DJ60" i="9"/>
  <c r="DJ62" i="9" s="1"/>
  <c r="DP48" i="4"/>
  <c r="DP69" i="4"/>
  <c r="DP57" i="4" s="1"/>
  <c r="DP58" i="4" s="1"/>
  <c r="JA57" i="4"/>
  <c r="DQ198" i="4" s="1"/>
  <c r="DL96" i="9" s="1"/>
  <c r="IZ56" i="4"/>
  <c r="IY50" i="4" l="1"/>
  <c r="JA58" i="4"/>
  <c r="JA54" i="4" s="1"/>
  <c r="DP51" i="4"/>
  <c r="IZ49" i="4"/>
  <c r="DP71" i="4"/>
  <c r="DP53" i="4" l="1"/>
  <c r="DK64" i="9" s="1"/>
  <c r="DK60" i="9"/>
  <c r="DK62" i="9" s="1"/>
  <c r="DP73" i="4"/>
  <c r="DK65" i="9" s="1"/>
  <c r="DP200" i="4"/>
  <c r="DK98" i="9" s="1"/>
  <c r="DQ69" i="4"/>
  <c r="DQ57" i="4" s="1"/>
  <c r="DQ58" i="4" s="1"/>
  <c r="DQ48" i="4"/>
  <c r="JB57" i="4"/>
  <c r="DR198" i="4" s="1"/>
  <c r="DM96" i="9" s="1"/>
  <c r="JA56" i="4"/>
  <c r="JA70" i="4"/>
  <c r="IZ50" i="4" l="1"/>
  <c r="JB58" i="4"/>
  <c r="JB54" i="4" s="1"/>
  <c r="JA49" i="4"/>
  <c r="DQ51" i="4"/>
  <c r="DQ71" i="4"/>
  <c r="DQ73" i="4" l="1"/>
  <c r="DL65" i="9" s="1"/>
  <c r="DQ200" i="4"/>
  <c r="DL98" i="9" s="1"/>
  <c r="DQ53" i="4"/>
  <c r="DL64" i="9" s="1"/>
  <c r="DL60" i="9"/>
  <c r="DR48" i="4"/>
  <c r="DR69" i="4"/>
  <c r="DR57" i="4" s="1"/>
  <c r="DR58" i="4" s="1"/>
  <c r="JC57" i="4"/>
  <c r="DS198" i="4" s="1"/>
  <c r="DN96" i="9" s="1"/>
  <c r="JB56" i="4"/>
  <c r="JB70" i="4"/>
  <c r="JA50" i="4" l="1"/>
  <c r="DL62" i="9"/>
  <c r="JC58" i="4"/>
  <c r="JC54" i="4" s="1"/>
  <c r="DR71" i="4"/>
  <c r="DR51" i="4"/>
  <c r="JB49" i="4"/>
  <c r="DR53" i="4" l="1"/>
  <c r="DM64" i="9" s="1"/>
  <c r="DM60" i="9"/>
  <c r="DR73" i="4"/>
  <c r="DM65" i="9" s="1"/>
  <c r="DR200" i="4"/>
  <c r="DM98" i="9" s="1"/>
  <c r="DS48" i="4"/>
  <c r="DS69" i="4"/>
  <c r="DS57" i="4" s="1"/>
  <c r="DS58" i="4" s="1"/>
  <c r="JD57" i="4"/>
  <c r="DT198" i="4" s="1"/>
  <c r="DO96" i="9" s="1"/>
  <c r="JC56" i="4"/>
  <c r="JC70" i="4"/>
  <c r="JB50" i="4"/>
  <c r="DM62" i="9" l="1"/>
  <c r="JD58" i="4"/>
  <c r="JD54" i="4" s="1"/>
  <c r="DS71" i="4"/>
  <c r="DS51" i="4"/>
  <c r="JC49" i="4"/>
  <c r="DS53" i="4" l="1"/>
  <c r="DN64" i="9" s="1"/>
  <c r="DN60" i="9"/>
  <c r="DS73" i="4"/>
  <c r="DN65" i="9" s="1"/>
  <c r="DS200" i="4"/>
  <c r="DN98" i="9" s="1"/>
  <c r="DT69" i="4"/>
  <c r="DT57" i="4" s="1"/>
  <c r="DT58" i="4" s="1"/>
  <c r="DT48" i="4"/>
  <c r="JE57" i="4"/>
  <c r="DU198" i="4" s="1"/>
  <c r="DP96" i="9" s="1"/>
  <c r="JD56" i="4"/>
  <c r="JD70" i="4"/>
  <c r="JC50" i="4"/>
  <c r="DN62" i="9" l="1"/>
  <c r="JE58" i="4"/>
  <c r="JE54" i="4" s="1"/>
  <c r="DT51" i="4"/>
  <c r="JD49" i="4"/>
  <c r="DT71" i="4"/>
  <c r="DT73" i="4" l="1"/>
  <c r="DO65" i="9" s="1"/>
  <c r="DT200" i="4"/>
  <c r="DO98" i="9" s="1"/>
  <c r="DT53" i="4"/>
  <c r="DO64" i="9" s="1"/>
  <c r="DO60" i="9"/>
  <c r="DU69" i="4"/>
  <c r="DU57" i="4" s="1"/>
  <c r="DU58" i="4" s="1"/>
  <c r="DU48" i="4"/>
  <c r="JF57" i="4"/>
  <c r="DV198" i="4" s="1"/>
  <c r="DQ96" i="9" s="1"/>
  <c r="JE56" i="4"/>
  <c r="JE70" i="4"/>
  <c r="JD50" i="4" l="1"/>
  <c r="DO62" i="9"/>
  <c r="JF58" i="4"/>
  <c r="JF54" i="4" s="1"/>
  <c r="DU51" i="4"/>
  <c r="JE49" i="4"/>
  <c r="DU71" i="4"/>
  <c r="DU73" i="4" l="1"/>
  <c r="DP65" i="9" s="1"/>
  <c r="DU200" i="4"/>
  <c r="DP98" i="9" s="1"/>
  <c r="DU53" i="4"/>
  <c r="DP64" i="9" s="1"/>
  <c r="DP60" i="9"/>
  <c r="DV69" i="4"/>
  <c r="DV57" i="4" s="1"/>
  <c r="DV58" i="4" s="1"/>
  <c r="DV48" i="4"/>
  <c r="JG57" i="4"/>
  <c r="DW198" i="4" s="1"/>
  <c r="DR96" i="9" s="1"/>
  <c r="JF56" i="4"/>
  <c r="JF70" i="4"/>
  <c r="DP62" i="9" l="1"/>
  <c r="JE50" i="4"/>
  <c r="JG58" i="4"/>
  <c r="JG54" i="4" s="1"/>
  <c r="DV51" i="4"/>
  <c r="JF49" i="4"/>
  <c r="DV71" i="4"/>
  <c r="DV73" i="4" l="1"/>
  <c r="DQ65" i="9" s="1"/>
  <c r="DV200" i="4"/>
  <c r="DQ98" i="9" s="1"/>
  <c r="DV53" i="4"/>
  <c r="DQ64" i="9" s="1"/>
  <c r="DQ60" i="9"/>
  <c r="DQ62" i="9" s="1"/>
  <c r="DW69" i="4"/>
  <c r="DW57" i="4" s="1"/>
  <c r="DW58" i="4" s="1"/>
  <c r="DW48" i="4"/>
  <c r="JH57" i="4"/>
  <c r="DX198" i="4" s="1"/>
  <c r="DS96" i="9" s="1"/>
  <c r="JG56" i="4"/>
  <c r="JG70" i="4"/>
  <c r="JF50" i="4" l="1"/>
  <c r="JH58" i="4"/>
  <c r="JH54" i="4" s="1"/>
  <c r="JG49" i="4"/>
  <c r="DW51" i="4"/>
  <c r="DW71" i="4"/>
  <c r="DW53" i="4" l="1"/>
  <c r="DR64" i="9" s="1"/>
  <c r="DR60" i="9"/>
  <c r="DR62" i="9" s="1"/>
  <c r="DW73" i="4"/>
  <c r="DR65" i="9" s="1"/>
  <c r="DW200" i="4"/>
  <c r="DR98" i="9" s="1"/>
  <c r="DX48" i="4"/>
  <c r="DX69" i="4"/>
  <c r="DX57" i="4" s="1"/>
  <c r="DX58" i="4" s="1"/>
  <c r="JI57" i="4"/>
  <c r="DY198" i="4" s="1"/>
  <c r="DT96" i="9" s="1"/>
  <c r="JH56" i="4"/>
  <c r="JH70" i="4"/>
  <c r="JG50" i="4"/>
  <c r="JI58" i="4" l="1"/>
  <c r="JI54" i="4" s="1"/>
  <c r="DX71" i="4"/>
  <c r="JH49" i="4"/>
  <c r="DX51" i="4"/>
  <c r="DX73" i="4" l="1"/>
  <c r="DS65" i="9" s="1"/>
  <c r="DX200" i="4"/>
  <c r="DS98" i="9" s="1"/>
  <c r="DX53" i="4"/>
  <c r="DS64" i="9" s="1"/>
  <c r="DS60" i="9"/>
  <c r="DS62" i="9" s="1"/>
  <c r="DY69" i="4"/>
  <c r="DY57" i="4" s="1"/>
  <c r="DY58" i="4" s="1"/>
  <c r="DY48" i="4"/>
  <c r="JJ57" i="4"/>
  <c r="DZ198" i="4" s="1"/>
  <c r="DU96" i="9" s="1"/>
  <c r="JI56" i="4"/>
  <c r="JI70" i="4"/>
  <c r="JH50" i="4" l="1"/>
  <c r="JJ58" i="4"/>
  <c r="JJ54" i="4" s="1"/>
  <c r="DY51" i="4"/>
  <c r="JI49" i="4"/>
  <c r="DY71" i="4"/>
  <c r="DY73" i="4" l="1"/>
  <c r="DT65" i="9" s="1"/>
  <c r="DY200" i="4"/>
  <c r="DT98" i="9" s="1"/>
  <c r="DY53" i="4"/>
  <c r="DT64" i="9" s="1"/>
  <c r="DT60" i="9"/>
  <c r="DT62" i="9" s="1"/>
  <c r="DZ69" i="4"/>
  <c r="DZ57" i="4" s="1"/>
  <c r="DZ58" i="4" s="1"/>
  <c r="DZ48" i="4"/>
  <c r="JK57" i="4"/>
  <c r="EA198" i="4" s="1"/>
  <c r="DV96" i="9" s="1"/>
  <c r="JJ56" i="4"/>
  <c r="JJ70" i="4"/>
  <c r="JI50" i="4" l="1"/>
  <c r="JK58" i="4"/>
  <c r="JK54" i="4" s="1"/>
  <c r="DZ51" i="4"/>
  <c r="JJ49" i="4"/>
  <c r="DZ71" i="4"/>
  <c r="DZ73" i="4" l="1"/>
  <c r="DU65" i="9" s="1"/>
  <c r="DZ200" i="4"/>
  <c r="DU98" i="9" s="1"/>
  <c r="DZ53" i="4"/>
  <c r="DU64" i="9" s="1"/>
  <c r="DU60" i="9"/>
  <c r="DU62" i="9" s="1"/>
  <c r="EA69" i="4"/>
  <c r="EA57" i="4" s="1"/>
  <c r="EA58" i="4" s="1"/>
  <c r="EA48" i="4"/>
  <c r="JL57" i="4"/>
  <c r="EB198" i="4" s="1"/>
  <c r="JK56" i="4"/>
  <c r="JK70" i="4"/>
  <c r="DW96" i="9" l="1"/>
  <c r="I198" i="4"/>
  <c r="JJ50" i="4"/>
  <c r="JL58" i="4"/>
  <c r="JL54" i="4" s="1"/>
  <c r="EA51" i="4"/>
  <c r="JK49" i="4"/>
  <c r="EA71" i="4"/>
  <c r="EA73" i="4" l="1"/>
  <c r="DV65" i="9" s="1"/>
  <c r="EA200" i="4"/>
  <c r="DV98" i="9" s="1"/>
  <c r="EA53" i="4"/>
  <c r="DV64" i="9" s="1"/>
  <c r="DV60" i="9"/>
  <c r="DV62" i="9" s="1"/>
  <c r="EB69" i="4"/>
  <c r="EB57" i="4" s="1"/>
  <c r="EB58" i="4" s="1"/>
  <c r="EB48" i="4"/>
  <c r="JM57" i="4"/>
  <c r="JL56" i="4"/>
  <c r="JL70" i="4"/>
  <c r="JK50" i="4" l="1"/>
  <c r="JM58" i="4"/>
  <c r="JM54" i="4" s="1"/>
  <c r="JL49" i="4"/>
  <c r="EB51" i="4"/>
  <c r="EB71" i="4"/>
  <c r="EB53" i="4" l="1"/>
  <c r="DW64" i="9" s="1"/>
  <c r="DW60" i="9"/>
  <c r="EB73" i="4"/>
  <c r="DW65" i="9" s="1"/>
  <c r="EB200" i="4"/>
  <c r="EC69" i="4"/>
  <c r="EC57" i="4" s="1"/>
  <c r="EC58" i="4" s="1"/>
  <c r="EC48" i="4"/>
  <c r="JN57" i="4"/>
  <c r="JM56" i="4"/>
  <c r="JM70" i="4"/>
  <c r="JL50" i="4" l="1"/>
  <c r="DW98" i="9"/>
  <c r="I200" i="4"/>
  <c r="DW62" i="9"/>
  <c r="L13" i="9"/>
  <c r="M13" i="9"/>
  <c r="N13" i="9"/>
  <c r="O13" i="9"/>
  <c r="P13" i="9"/>
  <c r="Q13" i="9"/>
  <c r="L18" i="9"/>
  <c r="M18" i="9"/>
  <c r="N18" i="9"/>
  <c r="O18" i="9"/>
  <c r="P18" i="9"/>
  <c r="Q18" i="9"/>
  <c r="L17" i="9"/>
  <c r="M17" i="9"/>
  <c r="N17" i="9"/>
  <c r="O17" i="9"/>
  <c r="P17" i="9"/>
  <c r="Q17" i="9"/>
  <c r="JN58" i="4"/>
  <c r="JN54" i="4" s="1"/>
  <c r="JM49" i="4"/>
  <c r="EC51" i="4"/>
  <c r="EC53" i="4" s="1"/>
  <c r="EC71" i="4"/>
  <c r="EC73" i="4" s="1"/>
  <c r="L15" i="9" l="1"/>
  <c r="M15" i="9"/>
  <c r="N15" i="9"/>
  <c r="O15" i="9"/>
  <c r="P15" i="9"/>
  <c r="Q15" i="9"/>
  <c r="ED48" i="4"/>
  <c r="ED69" i="4"/>
  <c r="ED57" i="4" s="1"/>
  <c r="ED58" i="4" s="1"/>
  <c r="JO57" i="4"/>
  <c r="JN56" i="4"/>
  <c r="JN70" i="4"/>
  <c r="JM50" i="4"/>
  <c r="JO58" i="4" l="1"/>
  <c r="JO54" i="4" s="1"/>
  <c r="ED71" i="4"/>
  <c r="ED73" i="4" s="1"/>
  <c r="ED51" i="4"/>
  <c r="ED53" i="4" s="1"/>
  <c r="JN49" i="4"/>
  <c r="EE48" i="4" l="1"/>
  <c r="EE69" i="4"/>
  <c r="EE57" i="4" s="1"/>
  <c r="EE58" i="4" s="1"/>
  <c r="JP57" i="4"/>
  <c r="JO56" i="4"/>
  <c r="JO70" i="4"/>
  <c r="JN50" i="4"/>
  <c r="JP58" i="4" l="1"/>
  <c r="JP54" i="4" s="1"/>
  <c r="EE71" i="4"/>
  <c r="EE73" i="4" s="1"/>
  <c r="EE51" i="4"/>
  <c r="EE53" i="4" s="1"/>
  <c r="JO49" i="4"/>
  <c r="EF69" i="4" l="1"/>
  <c r="EF57" i="4" s="1"/>
  <c r="EF58" i="4" s="1"/>
  <c r="EF48" i="4"/>
  <c r="JQ57" i="4"/>
  <c r="JP56" i="4"/>
  <c r="JP70" i="4"/>
  <c r="JO50" i="4"/>
  <c r="JQ58" i="4" l="1"/>
  <c r="JQ54" i="4" s="1"/>
  <c r="EF51" i="4"/>
  <c r="EF53" i="4" s="1"/>
  <c r="JP49" i="4"/>
  <c r="EF71" i="4"/>
  <c r="EF73" i="4" s="1"/>
  <c r="EG69" i="4" l="1"/>
  <c r="EG57" i="4" s="1"/>
  <c r="EG58" i="4" s="1"/>
  <c r="EG48" i="4"/>
  <c r="JR57" i="4"/>
  <c r="JQ56" i="4"/>
  <c r="JQ70" i="4"/>
  <c r="JP50" i="4"/>
  <c r="JR58" i="4" l="1"/>
  <c r="JR54" i="4" s="1"/>
  <c r="JQ49" i="4"/>
  <c r="EG51" i="4"/>
  <c r="EG53" i="4" s="1"/>
  <c r="EG71" i="4"/>
  <c r="EG73" i="4" s="1"/>
  <c r="EH48" i="4" l="1"/>
  <c r="EH69" i="4"/>
  <c r="EH57" i="4" s="1"/>
  <c r="EH58" i="4" s="1"/>
  <c r="JS57" i="4"/>
  <c r="JR56" i="4"/>
  <c r="JR70" i="4"/>
  <c r="JQ50" i="4"/>
  <c r="JS58" i="4" l="1"/>
  <c r="JS54" i="4" s="1"/>
  <c r="EH71" i="4"/>
  <c r="EH73" i="4" s="1"/>
  <c r="EH51" i="4"/>
  <c r="EH53" i="4" s="1"/>
  <c r="JR49" i="4"/>
  <c r="EI48" i="4" l="1"/>
  <c r="EI69" i="4"/>
  <c r="EI57" i="4" s="1"/>
  <c r="EI58" i="4" s="1"/>
  <c r="JT57" i="4"/>
  <c r="JS56" i="4"/>
  <c r="JS70" i="4"/>
  <c r="JR50" i="4"/>
  <c r="JT58" i="4" l="1"/>
  <c r="JT54" i="4" s="1"/>
  <c r="EI71" i="4"/>
  <c r="EI73" i="4" s="1"/>
  <c r="JS49" i="4"/>
  <c r="EI51" i="4"/>
  <c r="EI53" i="4" s="1"/>
  <c r="EJ48" i="4" l="1"/>
  <c r="EJ69" i="4"/>
  <c r="EJ57" i="4" s="1"/>
  <c r="EJ58" i="4" s="1"/>
  <c r="JU57" i="4"/>
  <c r="JT56" i="4"/>
  <c r="JT70" i="4"/>
  <c r="JS50" i="4"/>
  <c r="JU58" i="4" l="1"/>
  <c r="JU54" i="4" s="1"/>
  <c r="EJ71" i="4"/>
  <c r="EJ73" i="4" s="1"/>
  <c r="EJ51" i="4"/>
  <c r="EJ53" i="4" s="1"/>
  <c r="JT49" i="4"/>
  <c r="EK69" i="4" l="1"/>
  <c r="EK57" i="4" s="1"/>
  <c r="EK58" i="4" s="1"/>
  <c r="EK48" i="4"/>
  <c r="JV57" i="4"/>
  <c r="JU56" i="4"/>
  <c r="JU70" i="4"/>
  <c r="JT50" i="4"/>
  <c r="JV58" i="4" l="1"/>
  <c r="JV54" i="4" s="1"/>
  <c r="JU49" i="4"/>
  <c r="EK51" i="4"/>
  <c r="EK53" i="4" s="1"/>
  <c r="EK71" i="4"/>
  <c r="EK73" i="4" s="1"/>
  <c r="EL69" i="4" l="1"/>
  <c r="EL57" i="4" s="1"/>
  <c r="EL58" i="4" s="1"/>
  <c r="EL48" i="4"/>
  <c r="JW57" i="4"/>
  <c r="JV56" i="4"/>
  <c r="JV70" i="4"/>
  <c r="JU50" i="4"/>
  <c r="JW58" i="4" l="1"/>
  <c r="JW54" i="4" s="1"/>
  <c r="JV49" i="4"/>
  <c r="EL51" i="4"/>
  <c r="EL53" i="4" s="1"/>
  <c r="EL71" i="4"/>
  <c r="EL73" i="4" s="1"/>
  <c r="EM69" i="4" l="1"/>
  <c r="EM57" i="4" s="1"/>
  <c r="EM58" i="4" s="1"/>
  <c r="EM48" i="4"/>
  <c r="JX57" i="4"/>
  <c r="JW56" i="4"/>
  <c r="JW70" i="4"/>
  <c r="JV50" i="4"/>
  <c r="JX58" i="4" l="1"/>
  <c r="EU58" i="4" s="1"/>
  <c r="EU57" i="4"/>
  <c r="JW49" i="4"/>
  <c r="EM51" i="4"/>
  <c r="EM53" i="4" s="1"/>
  <c r="EM71" i="4"/>
  <c r="EM73" i="4" s="1"/>
  <c r="JW50" i="4" l="1"/>
  <c r="JX54" i="4"/>
  <c r="EN48" i="4" l="1"/>
  <c r="EN69" i="4"/>
  <c r="EN57" i="4" s="1"/>
  <c r="EN58" i="4" s="1"/>
  <c r="JX56" i="4"/>
  <c r="EU54" i="4"/>
  <c r="JX70" i="4"/>
  <c r="ES70" i="4" s="1"/>
  <c r="EU67" i="4" l="1"/>
  <c r="EV67" i="4" s="1"/>
  <c r="EW67" i="4" s="1"/>
  <c r="EX67" i="4" s="1"/>
  <c r="EY67" i="4" s="1"/>
  <c r="EZ67" i="4" s="1"/>
  <c r="FA67" i="4" s="1"/>
  <c r="FB67" i="4" s="1"/>
  <c r="FC67" i="4" s="1"/>
  <c r="FD67" i="4" s="1"/>
  <c r="FE67" i="4" s="1"/>
  <c r="FF67" i="4" s="1"/>
  <c r="FG67" i="4" s="1"/>
  <c r="FH67" i="4" s="1"/>
  <c r="FI67" i="4" s="1"/>
  <c r="FJ67" i="4" s="1"/>
  <c r="FK67" i="4" s="1"/>
  <c r="FL67" i="4" s="1"/>
  <c r="FM67" i="4" s="1"/>
  <c r="FN67" i="4" s="1"/>
  <c r="FO67" i="4" s="1"/>
  <c r="FP67" i="4" s="1"/>
  <c r="FQ67" i="4" s="1"/>
  <c r="FR67" i="4" s="1"/>
  <c r="FS67" i="4" s="1"/>
  <c r="FT67" i="4" s="1"/>
  <c r="FU67" i="4" s="1"/>
  <c r="FV67" i="4" s="1"/>
  <c r="FW67" i="4" s="1"/>
  <c r="FX67" i="4" s="1"/>
  <c r="FY67" i="4" s="1"/>
  <c r="FZ67" i="4" s="1"/>
  <c r="GA67" i="4" s="1"/>
  <c r="GB67" i="4" s="1"/>
  <c r="GC67" i="4" s="1"/>
  <c r="GD67" i="4" s="1"/>
  <c r="GE67" i="4" s="1"/>
  <c r="GF67" i="4" s="1"/>
  <c r="GG67" i="4" s="1"/>
  <c r="GH67" i="4" s="1"/>
  <c r="GI67" i="4" s="1"/>
  <c r="GJ67" i="4" s="1"/>
  <c r="GK67" i="4" s="1"/>
  <c r="GL67" i="4" s="1"/>
  <c r="GM67" i="4" s="1"/>
  <c r="GN67" i="4" s="1"/>
  <c r="GO67" i="4" s="1"/>
  <c r="GP67" i="4" s="1"/>
  <c r="GQ67" i="4" s="1"/>
  <c r="GR67" i="4" s="1"/>
  <c r="GS67" i="4" s="1"/>
  <c r="GT67" i="4" s="1"/>
  <c r="GU67" i="4" s="1"/>
  <c r="GV67" i="4" s="1"/>
  <c r="GW67" i="4" s="1"/>
  <c r="GX67" i="4" s="1"/>
  <c r="GY67" i="4" s="1"/>
  <c r="GZ67" i="4" s="1"/>
  <c r="HA67" i="4" s="1"/>
  <c r="HB67" i="4" s="1"/>
  <c r="HC67" i="4" s="1"/>
  <c r="HD67" i="4" s="1"/>
  <c r="HE67" i="4" s="1"/>
  <c r="HF67" i="4" s="1"/>
  <c r="HG67" i="4" s="1"/>
  <c r="HH67" i="4" s="1"/>
  <c r="HI67" i="4" s="1"/>
  <c r="HJ67" i="4" s="1"/>
  <c r="HK67" i="4" s="1"/>
  <c r="HL67" i="4" s="1"/>
  <c r="HM67" i="4" s="1"/>
  <c r="HN67" i="4" s="1"/>
  <c r="HO67" i="4" s="1"/>
  <c r="HP67" i="4" s="1"/>
  <c r="HQ67" i="4" s="1"/>
  <c r="HR67" i="4" s="1"/>
  <c r="HS67" i="4" s="1"/>
  <c r="HT67" i="4" s="1"/>
  <c r="HU67" i="4" s="1"/>
  <c r="HV67" i="4" s="1"/>
  <c r="HW67" i="4" s="1"/>
  <c r="HX67" i="4" s="1"/>
  <c r="HY67" i="4" s="1"/>
  <c r="HZ67" i="4" s="1"/>
  <c r="IA67" i="4" s="1"/>
  <c r="IB67" i="4" s="1"/>
  <c r="IC67" i="4" s="1"/>
  <c r="ID67" i="4" s="1"/>
  <c r="IE67" i="4" s="1"/>
  <c r="IF67" i="4" s="1"/>
  <c r="IG67" i="4" s="1"/>
  <c r="IH67" i="4" s="1"/>
  <c r="II67" i="4" s="1"/>
  <c r="IJ67" i="4" s="1"/>
  <c r="IK67" i="4" s="1"/>
  <c r="IL67" i="4" s="1"/>
  <c r="IM67" i="4" s="1"/>
  <c r="IN67" i="4" s="1"/>
  <c r="IO67" i="4" s="1"/>
  <c r="IP67" i="4" s="1"/>
  <c r="IQ67" i="4" s="1"/>
  <c r="IR67" i="4" s="1"/>
  <c r="IS67" i="4" s="1"/>
  <c r="IT67" i="4" s="1"/>
  <c r="IU67" i="4" s="1"/>
  <c r="IV67" i="4" s="1"/>
  <c r="IW67" i="4" s="1"/>
  <c r="IX67" i="4" s="1"/>
  <c r="IY67" i="4" s="1"/>
  <c r="IZ67" i="4" s="1"/>
  <c r="JA67" i="4" s="1"/>
  <c r="JB67" i="4" s="1"/>
  <c r="JC67" i="4" s="1"/>
  <c r="JD67" i="4" s="1"/>
  <c r="JE67" i="4" s="1"/>
  <c r="JF67" i="4" s="1"/>
  <c r="JG67" i="4" s="1"/>
  <c r="JH67" i="4" s="1"/>
  <c r="JI67" i="4" s="1"/>
  <c r="JJ67" i="4" s="1"/>
  <c r="JK67" i="4" s="1"/>
  <c r="JL67" i="4" s="1"/>
  <c r="JM67" i="4" s="1"/>
  <c r="JN67" i="4" s="1"/>
  <c r="JO67" i="4" s="1"/>
  <c r="JP67" i="4" s="1"/>
  <c r="JQ67" i="4" s="1"/>
  <c r="JR67" i="4" s="1"/>
  <c r="JS67" i="4" s="1"/>
  <c r="JT67" i="4" s="1"/>
  <c r="JU67" i="4" s="1"/>
  <c r="JV67" i="4" s="1"/>
  <c r="JW67" i="4" s="1"/>
  <c r="JX67" i="4" s="1"/>
  <c r="EU56" i="4"/>
  <c r="EN71" i="4"/>
  <c r="I69" i="4"/>
  <c r="EN51" i="4"/>
  <c r="JX49" i="4"/>
  <c r="EU49" i="4" s="1"/>
  <c r="F24" i="1"/>
  <c r="I48" i="4"/>
  <c r="EN73" i="4" l="1"/>
  <c r="G48" i="4"/>
  <c r="G51" i="4" s="1"/>
  <c r="G53" i="4" s="1"/>
  <c r="H48" i="4"/>
  <c r="H51" i="4" s="1"/>
  <c r="H53" i="4" s="1"/>
  <c r="I51" i="4"/>
  <c r="EN53" i="4"/>
  <c r="K51" i="4"/>
  <c r="G69" i="4"/>
  <c r="G71" i="4" s="1"/>
  <c r="G73" i="4" s="1"/>
  <c r="H69" i="4"/>
  <c r="H71" i="4" s="1"/>
  <c r="H73" i="4" s="1"/>
  <c r="I71" i="4"/>
  <c r="CS207" i="4" l="1"/>
  <c r="BW207" i="4"/>
  <c r="CK207" i="4"/>
  <c r="CB207" i="4"/>
  <c r="BG207" i="4"/>
  <c r="DY207" i="4"/>
  <c r="DC207" i="4"/>
  <c r="BY207" i="4"/>
  <c r="EB207" i="4"/>
  <c r="EA207" i="4"/>
  <c r="CU207" i="4"/>
  <c r="DE207" i="4"/>
  <c r="DX207" i="4"/>
  <c r="DV207" i="4"/>
  <c r="DP207" i="4"/>
  <c r="CQ207" i="4"/>
  <c r="DZ207" i="4"/>
  <c r="BF207" i="4"/>
  <c r="BM207" i="4"/>
  <c r="CR207" i="4"/>
  <c r="CZ207" i="4"/>
  <c r="CI207" i="4"/>
  <c r="BH207" i="4"/>
  <c r="DK207" i="4"/>
  <c r="BV207" i="4"/>
  <c r="BK207" i="4"/>
  <c r="BT207" i="4"/>
  <c r="DD207" i="4"/>
  <c r="DF207" i="4"/>
  <c r="DG207" i="4"/>
  <c r="BP207" i="4"/>
  <c r="BO207" i="4"/>
  <c r="CM207" i="4"/>
  <c r="BX207" i="4"/>
  <c r="DM207" i="4"/>
  <c r="DO207" i="4"/>
  <c r="BQ207" i="4"/>
  <c r="DN207" i="4"/>
  <c r="DJ207" i="4"/>
  <c r="BZ207" i="4"/>
  <c r="DQ207" i="4"/>
  <c r="BR207" i="4"/>
  <c r="CE207" i="4"/>
  <c r="CW207" i="4"/>
  <c r="DH207" i="4"/>
  <c r="CF207" i="4"/>
  <c r="CG207" i="4"/>
  <c r="CV207" i="4"/>
  <c r="DR207" i="4"/>
  <c r="BS207" i="4"/>
  <c r="CX207" i="4"/>
  <c r="DT207" i="4"/>
  <c r="DB207" i="4"/>
  <c r="DU207" i="4"/>
  <c r="BJ207" i="4"/>
  <c r="DA207" i="4"/>
  <c r="CN207" i="4"/>
  <c r="CA207" i="4"/>
  <c r="BI207" i="4"/>
  <c r="CT207" i="4"/>
  <c r="CO207" i="4"/>
  <c r="CH207" i="4"/>
  <c r="CC207" i="4"/>
  <c r="DW207" i="4"/>
  <c r="DL207" i="4"/>
  <c r="CL207" i="4"/>
  <c r="CY207" i="4"/>
  <c r="CJ207" i="4"/>
  <c r="CD207" i="4"/>
  <c r="BN207" i="4"/>
  <c r="DS207" i="4"/>
  <c r="CP207" i="4"/>
  <c r="DI207" i="4"/>
  <c r="BU207" i="4"/>
  <c r="BL207" i="4"/>
  <c r="JX50" i="4"/>
  <c r="EU50" i="4" s="1"/>
  <c r="K35" i="1"/>
  <c r="I53" i="4"/>
  <c r="F71" i="4" s="1"/>
  <c r="R207" i="4"/>
  <c r="N207" i="4"/>
  <c r="I73" i="4"/>
  <c r="AL207" i="4"/>
  <c r="AP207" i="4"/>
  <c r="AQ207" i="4"/>
  <c r="U207" i="4"/>
  <c r="AI207" i="4"/>
  <c r="Y207" i="4"/>
  <c r="AE207" i="4"/>
  <c r="BE207" i="4"/>
  <c r="P207" i="4"/>
  <c r="AT207" i="4"/>
  <c r="AJ207" i="4"/>
  <c r="M207" i="4"/>
  <c r="AA207" i="4"/>
  <c r="AZ207" i="4"/>
  <c r="BB207" i="4"/>
  <c r="Q207" i="4"/>
  <c r="AB207" i="4"/>
  <c r="AS207" i="4"/>
  <c r="BA207" i="4"/>
  <c r="BD207" i="4"/>
  <c r="AR207" i="4"/>
  <c r="O207" i="4"/>
  <c r="AU207" i="4"/>
  <c r="AH207" i="4"/>
  <c r="AW207" i="4"/>
  <c r="S207" i="4"/>
  <c r="AF207" i="4"/>
  <c r="AD207" i="4"/>
  <c r="AV207" i="4"/>
  <c r="T207" i="4"/>
  <c r="AM207" i="4"/>
  <c r="AN207" i="4"/>
  <c r="X207" i="4"/>
  <c r="W207" i="4"/>
  <c r="AK207" i="4"/>
  <c r="AX207" i="4"/>
  <c r="AY207" i="4"/>
  <c r="AG207" i="4"/>
  <c r="AC207" i="4"/>
  <c r="BC207" i="4"/>
  <c r="AO207" i="4"/>
  <c r="L207" i="4"/>
  <c r="V207" i="4"/>
  <c r="Z207" i="4"/>
  <c r="I77" i="4"/>
  <c r="CK103" i="9" l="1"/>
  <c r="CK104" i="9" s="1"/>
  <c r="CP209" i="4"/>
  <c r="DR103" i="9"/>
  <c r="DR104" i="9" s="1"/>
  <c r="DW209" i="4"/>
  <c r="DA209" i="4"/>
  <c r="CV103" i="9"/>
  <c r="CV104" i="9" s="1"/>
  <c r="CQ103" i="9"/>
  <c r="CQ104" i="9" s="1"/>
  <c r="CV209" i="4"/>
  <c r="BU103" i="9"/>
  <c r="BU104" i="9" s="1"/>
  <c r="BZ209" i="4"/>
  <c r="BO209" i="4"/>
  <c r="BJ103" i="9"/>
  <c r="BJ104" i="9" s="1"/>
  <c r="DK209" i="4"/>
  <c r="DF103" i="9"/>
  <c r="DF104" i="9" s="1"/>
  <c r="CQ209" i="4"/>
  <c r="CL103" i="9"/>
  <c r="CL104" i="9" s="1"/>
  <c r="BY209" i="4"/>
  <c r="BT103" i="9"/>
  <c r="BT104" i="9" s="1"/>
  <c r="DN103" i="9"/>
  <c r="DN104" i="9" s="1"/>
  <c r="DS209" i="4"/>
  <c r="CC209" i="4"/>
  <c r="BX103" i="9"/>
  <c r="BX104" i="9" s="1"/>
  <c r="BE103" i="9"/>
  <c r="BE104" i="9" s="1"/>
  <c r="BJ209" i="4"/>
  <c r="CB103" i="9"/>
  <c r="CB104" i="9" s="1"/>
  <c r="CG209" i="4"/>
  <c r="DE103" i="9"/>
  <c r="DE104" i="9" s="1"/>
  <c r="DJ209" i="4"/>
  <c r="BK103" i="9"/>
  <c r="BK104" i="9" s="1"/>
  <c r="BP209" i="4"/>
  <c r="BC103" i="9"/>
  <c r="BC104" i="9" s="1"/>
  <c r="BH209" i="4"/>
  <c r="DP209" i="4"/>
  <c r="DK103" i="9"/>
  <c r="DK104" i="9" s="1"/>
  <c r="CX103" i="9"/>
  <c r="CX104" i="9" s="1"/>
  <c r="DC209" i="4"/>
  <c r="BN209" i="4"/>
  <c r="BI103" i="9"/>
  <c r="BI104" i="9" s="1"/>
  <c r="CC103" i="9"/>
  <c r="CC104" i="9" s="1"/>
  <c r="CH209" i="4"/>
  <c r="DP103" i="9"/>
  <c r="DP104" i="9" s="1"/>
  <c r="DU209" i="4"/>
  <c r="CA103" i="9"/>
  <c r="CA104" i="9" s="1"/>
  <c r="CF209" i="4"/>
  <c r="DN209" i="4"/>
  <c r="DI103" i="9"/>
  <c r="DI104" i="9" s="1"/>
  <c r="DB103" i="9"/>
  <c r="DB104" i="9" s="1"/>
  <c r="DG209" i="4"/>
  <c r="CD103" i="9"/>
  <c r="CD104" i="9" s="1"/>
  <c r="CI209" i="4"/>
  <c r="DV209" i="4"/>
  <c r="DQ103" i="9"/>
  <c r="DQ104" i="9" s="1"/>
  <c r="DT103" i="9"/>
  <c r="DT104" i="9" s="1"/>
  <c r="DY209" i="4"/>
  <c r="BY103" i="9"/>
  <c r="BY104" i="9" s="1"/>
  <c r="CD209" i="4"/>
  <c r="CJ103" i="9"/>
  <c r="CJ104" i="9" s="1"/>
  <c r="CO209" i="4"/>
  <c r="DB209" i="4"/>
  <c r="CW103" i="9"/>
  <c r="CW104" i="9" s="1"/>
  <c r="DH209" i="4"/>
  <c r="DC103" i="9"/>
  <c r="DC104" i="9" s="1"/>
  <c r="BL103" i="9"/>
  <c r="BL104" i="9" s="1"/>
  <c r="BQ209" i="4"/>
  <c r="DA103" i="9"/>
  <c r="DA104" i="9" s="1"/>
  <c r="DF209" i="4"/>
  <c r="CU103" i="9"/>
  <c r="CU104" i="9" s="1"/>
  <c r="CZ209" i="4"/>
  <c r="DX209" i="4"/>
  <c r="DS103" i="9"/>
  <c r="DS104" i="9" s="1"/>
  <c r="BB103" i="9"/>
  <c r="BB104" i="9" s="1"/>
  <c r="BG209" i="4"/>
  <c r="CE103" i="9"/>
  <c r="CE104" i="9" s="1"/>
  <c r="CJ209" i="4"/>
  <c r="CO103" i="9"/>
  <c r="CO104" i="9" s="1"/>
  <c r="CT209" i="4"/>
  <c r="DO103" i="9"/>
  <c r="DO104" i="9" s="1"/>
  <c r="DT209" i="4"/>
  <c r="CR103" i="9"/>
  <c r="CR104" i="9" s="1"/>
  <c r="CW209" i="4"/>
  <c r="DJ103" i="9"/>
  <c r="DJ104" i="9" s="1"/>
  <c r="DO209" i="4"/>
  <c r="CY103" i="9"/>
  <c r="CY104" i="9" s="1"/>
  <c r="DD209" i="4"/>
  <c r="CR209" i="4"/>
  <c r="CM103" i="9"/>
  <c r="CM104" i="9" s="1"/>
  <c r="CZ103" i="9"/>
  <c r="CZ104" i="9" s="1"/>
  <c r="DE209" i="4"/>
  <c r="CB209" i="4"/>
  <c r="BW103" i="9"/>
  <c r="BW104" i="9" s="1"/>
  <c r="BG103" i="9"/>
  <c r="BG104" i="9" s="1"/>
  <c r="BL209" i="4"/>
  <c r="CT103" i="9"/>
  <c r="CT104" i="9" s="1"/>
  <c r="CY209" i="4"/>
  <c r="BD103" i="9"/>
  <c r="BD104" i="9" s="1"/>
  <c r="BI209" i="4"/>
  <c r="CS103" i="9"/>
  <c r="CS104" i="9" s="1"/>
  <c r="CX209" i="4"/>
  <c r="BZ103" i="9"/>
  <c r="BZ104" i="9" s="1"/>
  <c r="CE209" i="4"/>
  <c r="DH103" i="9"/>
  <c r="DH104" i="9" s="1"/>
  <c r="DM209" i="4"/>
  <c r="BO103" i="9"/>
  <c r="BO104" i="9" s="1"/>
  <c r="BT209" i="4"/>
  <c r="BH103" i="9"/>
  <c r="BH104" i="9" s="1"/>
  <c r="BM209" i="4"/>
  <c r="CU209" i="4"/>
  <c r="CP103" i="9"/>
  <c r="CP104" i="9" s="1"/>
  <c r="CF103" i="9"/>
  <c r="CF104" i="9" s="1"/>
  <c r="CK209" i="4"/>
  <c r="BP103" i="9"/>
  <c r="BP104" i="9" s="1"/>
  <c r="BU209" i="4"/>
  <c r="CG103" i="9"/>
  <c r="CG104" i="9" s="1"/>
  <c r="CL209" i="4"/>
  <c r="BV103" i="9"/>
  <c r="BV104" i="9" s="1"/>
  <c r="CA209" i="4"/>
  <c r="BN103" i="9"/>
  <c r="BN104" i="9" s="1"/>
  <c r="BS209" i="4"/>
  <c r="BM103" i="9"/>
  <c r="BM104" i="9" s="1"/>
  <c r="BR209" i="4"/>
  <c r="BS103" i="9"/>
  <c r="BS104" i="9" s="1"/>
  <c r="BX209" i="4"/>
  <c r="BF103" i="9"/>
  <c r="BF104" i="9" s="1"/>
  <c r="BK209" i="4"/>
  <c r="BA103" i="9"/>
  <c r="BA104" i="9" s="1"/>
  <c r="BF209" i="4"/>
  <c r="DV103" i="9"/>
  <c r="DV104" i="9" s="1"/>
  <c r="EA209" i="4"/>
  <c r="BR103" i="9"/>
  <c r="BR104" i="9" s="1"/>
  <c r="BW209" i="4"/>
  <c r="F73" i="4"/>
  <c r="DD103" i="9"/>
  <c r="DD104" i="9" s="1"/>
  <c r="DI209" i="4"/>
  <c r="DG103" i="9"/>
  <c r="DG104" i="9" s="1"/>
  <c r="DL209" i="4"/>
  <c r="CN209" i="4"/>
  <c r="CI103" i="9"/>
  <c r="CI104" i="9" s="1"/>
  <c r="DM103" i="9"/>
  <c r="DM104" i="9" s="1"/>
  <c r="DR209" i="4"/>
  <c r="DL103" i="9"/>
  <c r="DL104" i="9" s="1"/>
  <c r="DQ209" i="4"/>
  <c r="CH103" i="9"/>
  <c r="CH104" i="9" s="1"/>
  <c r="CM209" i="4"/>
  <c r="BQ103" i="9"/>
  <c r="BQ104" i="9" s="1"/>
  <c r="BV209" i="4"/>
  <c r="DU103" i="9"/>
  <c r="DU104" i="9" s="1"/>
  <c r="DZ209" i="4"/>
  <c r="EB209" i="4"/>
  <c r="DW103" i="9"/>
  <c r="DW104" i="9" s="1"/>
  <c r="CN103" i="9"/>
  <c r="CN104" i="9" s="1"/>
  <c r="CS209" i="4"/>
  <c r="AH103" i="9"/>
  <c r="AH104" i="9" s="1"/>
  <c r="AM209" i="4"/>
  <c r="AU209" i="4"/>
  <c r="AP103" i="9"/>
  <c r="AP104" i="9" s="1"/>
  <c r="BB209" i="4"/>
  <c r="AW103" i="9"/>
  <c r="AW104" i="9" s="1"/>
  <c r="BE209" i="4"/>
  <c r="AZ103" i="9"/>
  <c r="AZ104" i="9" s="1"/>
  <c r="AZ209" i="4"/>
  <c r="AU103" i="9"/>
  <c r="AU104" i="9" s="1"/>
  <c r="AE209" i="4"/>
  <c r="Z103" i="9"/>
  <c r="Z104" i="9" s="1"/>
  <c r="I103" i="9"/>
  <c r="I104" i="9" s="1"/>
  <c r="N209" i="4"/>
  <c r="AH78" i="4"/>
  <c r="AH201" i="4" s="1"/>
  <c r="AK78" i="4"/>
  <c r="AK201" i="4" s="1"/>
  <c r="AW78" i="4"/>
  <c r="AW201" i="4" s="1"/>
  <c r="BA78" i="4"/>
  <c r="BA201" i="4" s="1"/>
  <c r="AG78" i="4"/>
  <c r="AG201" i="4" s="1"/>
  <c r="BD78" i="4"/>
  <c r="BD201" i="4" s="1"/>
  <c r="AS78" i="4"/>
  <c r="AS201" i="4" s="1"/>
  <c r="AI78" i="4"/>
  <c r="AI201" i="4" s="1"/>
  <c r="BE78" i="4"/>
  <c r="BE201" i="4" s="1"/>
  <c r="V78" i="4"/>
  <c r="V201" i="4" s="1"/>
  <c r="AZ78" i="4"/>
  <c r="AZ201" i="4" s="1"/>
  <c r="BB78" i="4"/>
  <c r="BB201" i="4" s="1"/>
  <c r="AM78" i="4"/>
  <c r="AM201" i="4" s="1"/>
  <c r="AF78" i="4"/>
  <c r="AF201" i="4" s="1"/>
  <c r="AJ78" i="4"/>
  <c r="AJ201" i="4" s="1"/>
  <c r="AQ78" i="4"/>
  <c r="AQ201" i="4" s="1"/>
  <c r="Z78" i="4"/>
  <c r="Z201" i="4" s="1"/>
  <c r="W78" i="4"/>
  <c r="W201" i="4" s="1"/>
  <c r="R78" i="4"/>
  <c r="R201" i="4" s="1"/>
  <c r="AA78" i="4"/>
  <c r="AA201" i="4" s="1"/>
  <c r="AN78" i="4"/>
  <c r="AN201" i="4" s="1"/>
  <c r="AU78" i="4"/>
  <c r="AU201" i="4" s="1"/>
  <c r="L78" i="4"/>
  <c r="L201" i="4" s="1"/>
  <c r="AP78" i="4"/>
  <c r="AP201" i="4" s="1"/>
  <c r="AT78" i="4"/>
  <c r="AT201" i="4" s="1"/>
  <c r="N78" i="4"/>
  <c r="N201" i="4" s="1"/>
  <c r="X78" i="4"/>
  <c r="X201" i="4" s="1"/>
  <c r="AY78" i="4"/>
  <c r="AY201" i="4" s="1"/>
  <c r="BC78" i="4"/>
  <c r="BC201" i="4" s="1"/>
  <c r="P78" i="4"/>
  <c r="P201" i="4" s="1"/>
  <c r="T78" i="4"/>
  <c r="T201" i="4" s="1"/>
  <c r="AC78" i="4"/>
  <c r="AC201" i="4" s="1"/>
  <c r="AL78" i="4"/>
  <c r="AL201" i="4" s="1"/>
  <c r="O78" i="4"/>
  <c r="O201" i="4" s="1"/>
  <c r="AR78" i="4"/>
  <c r="AR201" i="4" s="1"/>
  <c r="AB78" i="4"/>
  <c r="AB201" i="4" s="1"/>
  <c r="Q78" i="4"/>
  <c r="Q201" i="4" s="1"/>
  <c r="AV78" i="4"/>
  <c r="AV201" i="4" s="1"/>
  <c r="M78" i="4"/>
  <c r="M201" i="4" s="1"/>
  <c r="AX78" i="4"/>
  <c r="AX201" i="4" s="1"/>
  <c r="AD78" i="4"/>
  <c r="AD201" i="4" s="1"/>
  <c r="AO78" i="4"/>
  <c r="AO201" i="4" s="1"/>
  <c r="BR78" i="4"/>
  <c r="BR201" i="4" s="1"/>
  <c r="DP78" i="4"/>
  <c r="DP201" i="4" s="1"/>
  <c r="DC78" i="4"/>
  <c r="DC201" i="4" s="1"/>
  <c r="CP78" i="4"/>
  <c r="CP201" i="4" s="1"/>
  <c r="CK78" i="4"/>
  <c r="CK201" i="4" s="1"/>
  <c r="EE78" i="4"/>
  <c r="BK78" i="4"/>
  <c r="BK201" i="4" s="1"/>
  <c r="ED78" i="4"/>
  <c r="CV78" i="4"/>
  <c r="CV201" i="4" s="1"/>
  <c r="EJ78" i="4"/>
  <c r="CL78" i="4"/>
  <c r="CL201" i="4" s="1"/>
  <c r="BL78" i="4"/>
  <c r="BL201" i="4" s="1"/>
  <c r="CH78" i="4"/>
  <c r="CH201" i="4" s="1"/>
  <c r="DN78" i="4"/>
  <c r="DN201" i="4" s="1"/>
  <c r="C77" i="4"/>
  <c r="CD78" i="4"/>
  <c r="CD201" i="4" s="1"/>
  <c r="DR78" i="4"/>
  <c r="DR201" i="4" s="1"/>
  <c r="EG78" i="4"/>
  <c r="DH78" i="4"/>
  <c r="DH201" i="4" s="1"/>
  <c r="DE78" i="4"/>
  <c r="DE201" i="4" s="1"/>
  <c r="CX78" i="4"/>
  <c r="CX201" i="4" s="1"/>
  <c r="BY78" i="4"/>
  <c r="BY201" i="4" s="1"/>
  <c r="CF78" i="4"/>
  <c r="CF201" i="4" s="1"/>
  <c r="DF78" i="4"/>
  <c r="DF201" i="4" s="1"/>
  <c r="AE78" i="4"/>
  <c r="AE201" i="4" s="1"/>
  <c r="DV78" i="4"/>
  <c r="DV201" i="4" s="1"/>
  <c r="BT78" i="4"/>
  <c r="BT201" i="4" s="1"/>
  <c r="I78" i="4"/>
  <c r="BX78" i="4"/>
  <c r="BX201" i="4" s="1"/>
  <c r="DK78" i="4"/>
  <c r="DK201" i="4" s="1"/>
  <c r="BP78" i="4"/>
  <c r="BP201" i="4" s="1"/>
  <c r="CN78" i="4"/>
  <c r="CN201" i="4" s="1"/>
  <c r="CW78" i="4"/>
  <c r="CW201" i="4" s="1"/>
  <c r="BH78" i="4"/>
  <c r="BH201" i="4" s="1"/>
  <c r="DM78" i="4"/>
  <c r="DM201" i="4" s="1"/>
  <c r="EN78" i="4"/>
  <c r="BN78" i="4"/>
  <c r="BN201" i="4" s="1"/>
  <c r="EK78" i="4"/>
  <c r="CZ78" i="4"/>
  <c r="CZ201" i="4" s="1"/>
  <c r="DU78" i="4"/>
  <c r="DU201" i="4" s="1"/>
  <c r="BF78" i="4"/>
  <c r="BF201" i="4" s="1"/>
  <c r="CR78" i="4"/>
  <c r="CR201" i="4" s="1"/>
  <c r="EA78" i="4"/>
  <c r="EA201" i="4" s="1"/>
  <c r="CE78" i="4"/>
  <c r="CE201" i="4" s="1"/>
  <c r="EH78" i="4"/>
  <c r="CJ78" i="4"/>
  <c r="CJ201" i="4" s="1"/>
  <c r="DL78" i="4"/>
  <c r="DL201" i="4" s="1"/>
  <c r="CS78" i="4"/>
  <c r="CS201" i="4" s="1"/>
  <c r="CT78" i="4"/>
  <c r="CT201" i="4" s="1"/>
  <c r="CY78" i="4"/>
  <c r="CY201" i="4" s="1"/>
  <c r="EB78" i="4"/>
  <c r="EB201" i="4" s="1"/>
  <c r="BZ78" i="4"/>
  <c r="BZ201" i="4" s="1"/>
  <c r="DG78" i="4"/>
  <c r="DG201" i="4" s="1"/>
  <c r="BV78" i="4"/>
  <c r="BV201" i="4" s="1"/>
  <c r="BQ78" i="4"/>
  <c r="BQ201" i="4" s="1"/>
  <c r="CC78" i="4"/>
  <c r="CC201" i="4" s="1"/>
  <c r="BU78" i="4"/>
  <c r="BU201" i="4" s="1"/>
  <c r="EF78" i="4"/>
  <c r="DI78" i="4"/>
  <c r="DI201" i="4" s="1"/>
  <c r="CQ78" i="4"/>
  <c r="CQ201" i="4" s="1"/>
  <c r="CB78" i="4"/>
  <c r="CB201" i="4" s="1"/>
  <c r="CO78" i="4"/>
  <c r="CO201" i="4" s="1"/>
  <c r="CA78" i="4"/>
  <c r="CA201" i="4" s="1"/>
  <c r="CI78" i="4"/>
  <c r="CI201" i="4" s="1"/>
  <c r="EM78" i="4"/>
  <c r="DD78" i="4"/>
  <c r="DD201" i="4" s="1"/>
  <c r="EL78" i="4"/>
  <c r="DY78" i="4"/>
  <c r="DY201" i="4" s="1"/>
  <c r="DB78" i="4"/>
  <c r="DB201" i="4" s="1"/>
  <c r="S78" i="4"/>
  <c r="S201" i="4" s="1"/>
  <c r="DT78" i="4"/>
  <c r="DT201" i="4" s="1"/>
  <c r="DQ78" i="4"/>
  <c r="DQ201" i="4" s="1"/>
  <c r="DS78" i="4"/>
  <c r="DS201" i="4" s="1"/>
  <c r="DJ78" i="4"/>
  <c r="DJ201" i="4" s="1"/>
  <c r="D77" i="4"/>
  <c r="EC78" i="4"/>
  <c r="BJ78" i="4"/>
  <c r="BJ201" i="4" s="1"/>
  <c r="DZ78" i="4"/>
  <c r="DZ201" i="4" s="1"/>
  <c r="CU78" i="4"/>
  <c r="CU201" i="4" s="1"/>
  <c r="BI78" i="4"/>
  <c r="BI201" i="4" s="1"/>
  <c r="DW78" i="4"/>
  <c r="DW201" i="4" s="1"/>
  <c r="EI78" i="4"/>
  <c r="CG78" i="4"/>
  <c r="CG201" i="4" s="1"/>
  <c r="BS78" i="4"/>
  <c r="BS201" i="4" s="1"/>
  <c r="DO78" i="4"/>
  <c r="DO201" i="4" s="1"/>
  <c r="BO78" i="4"/>
  <c r="BO201" i="4" s="1"/>
  <c r="DX78" i="4"/>
  <c r="DX201" i="4" s="1"/>
  <c r="BG78" i="4"/>
  <c r="BG201" i="4" s="1"/>
  <c r="BW78" i="4"/>
  <c r="BW201" i="4" s="1"/>
  <c r="DA78" i="4"/>
  <c r="DA201" i="4" s="1"/>
  <c r="BM78" i="4"/>
  <c r="BM201" i="4" s="1"/>
  <c r="CM78" i="4"/>
  <c r="CM201" i="4" s="1"/>
  <c r="Y78" i="4"/>
  <c r="Y201" i="4" s="1"/>
  <c r="H77" i="4"/>
  <c r="H79" i="4" s="1"/>
  <c r="F29" i="1" s="1"/>
  <c r="U78" i="4"/>
  <c r="U201" i="4" s="1"/>
  <c r="I79" i="4"/>
  <c r="F26" i="1" s="1"/>
  <c r="E191" i="4" s="1"/>
  <c r="D191" i="4" s="1"/>
  <c r="D192" i="4" s="1"/>
  <c r="Z209" i="4"/>
  <c r="U103" i="9"/>
  <c r="U104" i="9" s="1"/>
  <c r="AQ103" i="9"/>
  <c r="AQ104" i="9" s="1"/>
  <c r="AV209" i="4"/>
  <c r="AM103" i="9"/>
  <c r="AM104" i="9" s="1"/>
  <c r="AR209" i="4"/>
  <c r="V103" i="9"/>
  <c r="V104" i="9" s="1"/>
  <c r="AA209" i="4"/>
  <c r="T103" i="9"/>
  <c r="T104" i="9" s="1"/>
  <c r="Y209" i="4"/>
  <c r="R209" i="4"/>
  <c r="M103" i="9"/>
  <c r="M104" i="9" s="1"/>
  <c r="J103" i="9"/>
  <c r="J104" i="9" s="1"/>
  <c r="O209" i="4"/>
  <c r="AT103" i="9"/>
  <c r="AT104" i="9" s="1"/>
  <c r="AY209" i="4"/>
  <c r="AS103" i="9"/>
  <c r="AS104" i="9" s="1"/>
  <c r="AX209" i="4"/>
  <c r="Y103" i="9"/>
  <c r="Y104" i="9" s="1"/>
  <c r="AD209" i="4"/>
  <c r="AY103" i="9"/>
  <c r="AY104" i="9" s="1"/>
  <c r="BD209" i="4"/>
  <c r="H103" i="9"/>
  <c r="H104" i="9" s="1"/>
  <c r="M209" i="4"/>
  <c r="AI209" i="4"/>
  <c r="AD103" i="9"/>
  <c r="AD104" i="9" s="1"/>
  <c r="I216" i="4"/>
  <c r="I57" i="4"/>
  <c r="F56" i="4"/>
  <c r="H216" i="4"/>
  <c r="G216" i="4"/>
  <c r="I62" i="4"/>
  <c r="I61" i="4"/>
  <c r="F70" i="4"/>
  <c r="G290" i="4"/>
  <c r="G291" i="4" s="1"/>
  <c r="L24" i="4"/>
  <c r="L25" i="4" s="1"/>
  <c r="F65" i="4"/>
  <c r="F68" i="4"/>
  <c r="M24" i="4"/>
  <c r="N24" i="4"/>
  <c r="O24" i="4"/>
  <c r="P24" i="4"/>
  <c r="Q24" i="4"/>
  <c r="R24" i="4"/>
  <c r="S24" i="4"/>
  <c r="T24" i="4"/>
  <c r="U24" i="4"/>
  <c r="V24" i="4"/>
  <c r="W24" i="4"/>
  <c r="X24" i="4"/>
  <c r="Y24" i="4"/>
  <c r="Z24" i="4"/>
  <c r="AA24" i="4"/>
  <c r="AB24" i="4"/>
  <c r="AC24" i="4"/>
  <c r="AD24" i="4"/>
  <c r="AE24" i="4"/>
  <c r="AF24" i="4"/>
  <c r="AG24" i="4"/>
  <c r="AH24" i="4"/>
  <c r="AI24" i="4"/>
  <c r="AJ24" i="4"/>
  <c r="AK24" i="4"/>
  <c r="AL24" i="4"/>
  <c r="AM24" i="4"/>
  <c r="AN24" i="4"/>
  <c r="AO24" i="4"/>
  <c r="AP24" i="4"/>
  <c r="AQ24" i="4"/>
  <c r="AR24" i="4"/>
  <c r="AS24" i="4"/>
  <c r="AT24" i="4"/>
  <c r="AU24" i="4"/>
  <c r="AV24" i="4"/>
  <c r="AW24" i="4"/>
  <c r="AX24" i="4"/>
  <c r="AY24" i="4"/>
  <c r="AZ24" i="4"/>
  <c r="BA24" i="4"/>
  <c r="BB24" i="4"/>
  <c r="BC24" i="4"/>
  <c r="BD24" i="4"/>
  <c r="BE24" i="4"/>
  <c r="BF24" i="4"/>
  <c r="BG24" i="4"/>
  <c r="BH24" i="4"/>
  <c r="BI24" i="4"/>
  <c r="BJ24" i="4"/>
  <c r="BK24" i="4"/>
  <c r="BL24" i="4"/>
  <c r="BM24" i="4"/>
  <c r="BN24" i="4"/>
  <c r="BO24" i="4"/>
  <c r="BP24" i="4"/>
  <c r="BQ24" i="4"/>
  <c r="BR24" i="4"/>
  <c r="BS24" i="4"/>
  <c r="BT24" i="4"/>
  <c r="BU24" i="4"/>
  <c r="BV24" i="4"/>
  <c r="BW24" i="4"/>
  <c r="BX24" i="4"/>
  <c r="BY24" i="4"/>
  <c r="BZ24" i="4"/>
  <c r="CA24" i="4"/>
  <c r="CB24" i="4"/>
  <c r="CC24" i="4"/>
  <c r="CD24" i="4"/>
  <c r="CE24" i="4"/>
  <c r="CF24" i="4"/>
  <c r="CG24" i="4"/>
  <c r="CH24" i="4"/>
  <c r="CI24" i="4"/>
  <c r="CJ24" i="4"/>
  <c r="CK24" i="4"/>
  <c r="CL24" i="4"/>
  <c r="CM24" i="4"/>
  <c r="CN24" i="4"/>
  <c r="CO24" i="4"/>
  <c r="CP24" i="4"/>
  <c r="CQ24" i="4"/>
  <c r="CR24" i="4"/>
  <c r="CS24" i="4"/>
  <c r="CT24" i="4"/>
  <c r="CU24" i="4"/>
  <c r="CV24" i="4"/>
  <c r="CW24" i="4"/>
  <c r="CX24" i="4"/>
  <c r="CY24" i="4"/>
  <c r="CZ24" i="4"/>
  <c r="DA24" i="4"/>
  <c r="DB24" i="4"/>
  <c r="DC24" i="4"/>
  <c r="DD24" i="4"/>
  <c r="DE24" i="4"/>
  <c r="DF24" i="4"/>
  <c r="DG24" i="4"/>
  <c r="DH24" i="4"/>
  <c r="DI24" i="4"/>
  <c r="DJ24" i="4"/>
  <c r="DK24" i="4"/>
  <c r="DL24" i="4"/>
  <c r="DM24" i="4"/>
  <c r="DN24" i="4"/>
  <c r="DO24" i="4"/>
  <c r="DP24" i="4"/>
  <c r="DQ24" i="4"/>
  <c r="DR24" i="4"/>
  <c r="DS24" i="4"/>
  <c r="DT24" i="4"/>
  <c r="DU24" i="4"/>
  <c r="DV24" i="4"/>
  <c r="DW24" i="4"/>
  <c r="DX24" i="4"/>
  <c r="DY24" i="4"/>
  <c r="DZ24" i="4"/>
  <c r="EA24" i="4"/>
  <c r="EB24" i="4"/>
  <c r="EC24" i="4"/>
  <c r="ED24" i="4"/>
  <c r="EE24" i="4"/>
  <c r="EF24" i="4"/>
  <c r="EG24" i="4"/>
  <c r="EH24" i="4"/>
  <c r="EI24" i="4"/>
  <c r="EJ24" i="4"/>
  <c r="EK24" i="4"/>
  <c r="EL24" i="4"/>
  <c r="EM24" i="4"/>
  <c r="ET56" i="4"/>
  <c r="F69" i="4"/>
  <c r="AC209" i="4"/>
  <c r="X103" i="9"/>
  <c r="X104" i="9" s="1"/>
  <c r="AF103" i="9"/>
  <c r="AF104" i="9" s="1"/>
  <c r="AK209" i="4"/>
  <c r="AA103" i="9"/>
  <c r="AA104" i="9" s="1"/>
  <c r="AF209" i="4"/>
  <c r="BA209" i="4"/>
  <c r="AV103" i="9"/>
  <c r="AV104" i="9" s="1"/>
  <c r="AE103" i="9"/>
  <c r="AE104" i="9" s="1"/>
  <c r="AJ209" i="4"/>
  <c r="U209" i="4"/>
  <c r="P103" i="9"/>
  <c r="P104" i="9" s="1"/>
  <c r="I35" i="1"/>
  <c r="I36" i="1" s="1"/>
  <c r="J35" i="1"/>
  <c r="J36" i="1" s="1"/>
  <c r="K36" i="1"/>
  <c r="AG209" i="4"/>
  <c r="AB103" i="9"/>
  <c r="AB104" i="9" s="1"/>
  <c r="G103" i="9"/>
  <c r="G104" i="9" s="1"/>
  <c r="I207" i="4"/>
  <c r="L209" i="4"/>
  <c r="R103" i="9"/>
  <c r="R104" i="9" s="1"/>
  <c r="W209" i="4"/>
  <c r="N103" i="9"/>
  <c r="N104" i="9" s="1"/>
  <c r="S209" i="4"/>
  <c r="AS209" i="4"/>
  <c r="AN103" i="9"/>
  <c r="AN104" i="9" s="1"/>
  <c r="AO103" i="9"/>
  <c r="AO104" i="9" s="1"/>
  <c r="AT209" i="4"/>
  <c r="AQ209" i="4"/>
  <c r="AL103" i="9"/>
  <c r="AL104" i="9" s="1"/>
  <c r="EN24" i="4"/>
  <c r="V209" i="4"/>
  <c r="Q103" i="9"/>
  <c r="Q104" i="9" s="1"/>
  <c r="S103" i="9"/>
  <c r="S104" i="9" s="1"/>
  <c r="X209" i="4"/>
  <c r="AR103" i="9"/>
  <c r="AR104" i="9" s="1"/>
  <c r="AW209" i="4"/>
  <c r="AB209" i="4"/>
  <c r="W103" i="9"/>
  <c r="W104" i="9" s="1"/>
  <c r="P209" i="4"/>
  <c r="K103" i="9"/>
  <c r="K104" i="9" s="1"/>
  <c r="AP209" i="4"/>
  <c r="AK103" i="9"/>
  <c r="AK104" i="9" s="1"/>
  <c r="K53" i="4"/>
  <c r="T209" i="4"/>
  <c r="O103" i="9"/>
  <c r="O104" i="9" s="1"/>
  <c r="AJ103" i="9"/>
  <c r="AJ104" i="9" s="1"/>
  <c r="AO209" i="4"/>
  <c r="AX103" i="9"/>
  <c r="AX104" i="9" s="1"/>
  <c r="BC209" i="4"/>
  <c r="AI103" i="9"/>
  <c r="AI104" i="9" s="1"/>
  <c r="AN209" i="4"/>
  <c r="AH209" i="4"/>
  <c r="AC103" i="9"/>
  <c r="AC104" i="9" s="1"/>
  <c r="L103" i="9"/>
  <c r="L104" i="9" s="1"/>
  <c r="Q209" i="4"/>
  <c r="AL209" i="4"/>
  <c r="AG103" i="9"/>
  <c r="AG104" i="9" s="1"/>
  <c r="K71" i="4" l="1"/>
  <c r="DY25" i="4"/>
  <c r="DQ25" i="4"/>
  <c r="DI25" i="4"/>
  <c r="DA25" i="4"/>
  <c r="CS25" i="4"/>
  <c r="CK25" i="4"/>
  <c r="CC25" i="4"/>
  <c r="BU25" i="4"/>
  <c r="BM25" i="4"/>
  <c r="BE25" i="4"/>
  <c r="AW25" i="4"/>
  <c r="E192" i="4"/>
  <c r="F27" i="1" s="1"/>
  <c r="EN25" i="4"/>
  <c r="AO25" i="4"/>
  <c r="AG25" i="4"/>
  <c r="Y25" i="4"/>
  <c r="Q25" i="4"/>
  <c r="EF25" i="4"/>
  <c r="M25" i="4"/>
  <c r="DX25" i="4"/>
  <c r="DP25" i="4"/>
  <c r="DH25" i="4"/>
  <c r="EK25" i="4"/>
  <c r="EC25" i="4"/>
  <c r="DU25" i="4"/>
  <c r="CZ25" i="4"/>
  <c r="CR25" i="4"/>
  <c r="U25" i="4"/>
  <c r="CJ25" i="4"/>
  <c r="CB25" i="4"/>
  <c r="BT25" i="4"/>
  <c r="DM25" i="4"/>
  <c r="DE25" i="4"/>
  <c r="CG25" i="4"/>
  <c r="EJ25" i="4"/>
  <c r="EB25" i="4"/>
  <c r="DT25" i="4"/>
  <c r="DL25" i="4"/>
  <c r="DD25" i="4"/>
  <c r="CV25" i="4"/>
  <c r="CN25" i="4"/>
  <c r="CF25" i="4"/>
  <c r="BX25" i="4"/>
  <c r="BP25" i="4"/>
  <c r="BH25" i="4"/>
  <c r="BL25" i="4"/>
  <c r="BD25" i="4"/>
  <c r="CW25" i="4"/>
  <c r="AV25" i="4"/>
  <c r="CO25" i="4"/>
  <c r="BY25" i="4"/>
  <c r="BQ25" i="4"/>
  <c r="BI25" i="4"/>
  <c r="BA25" i="4"/>
  <c r="AS25" i="4"/>
  <c r="AZ25" i="4"/>
  <c r="AR25" i="4"/>
  <c r="AJ25" i="4"/>
  <c r="AB25" i="4"/>
  <c r="AN25" i="4"/>
  <c r="AK25" i="4"/>
  <c r="AC25" i="4"/>
  <c r="T25" i="4"/>
  <c r="EG25" i="4"/>
  <c r="AF25" i="4"/>
  <c r="X25" i="4"/>
  <c r="P25" i="4"/>
  <c r="EL25" i="4"/>
  <c r="ED25" i="4"/>
  <c r="DV25" i="4"/>
  <c r="DN25" i="4"/>
  <c r="DF25" i="4"/>
  <c r="CX25" i="4"/>
  <c r="CP25" i="4"/>
  <c r="CH25" i="4"/>
  <c r="BZ25" i="4"/>
  <c r="BR25" i="4"/>
  <c r="BJ25" i="4"/>
  <c r="BB25" i="4"/>
  <c r="AT25" i="4"/>
  <c r="AL25" i="4"/>
  <c r="AD25" i="4"/>
  <c r="V25" i="4"/>
  <c r="N25" i="4"/>
  <c r="F33" i="1"/>
  <c r="G62" i="4"/>
  <c r="H62" i="4"/>
  <c r="AE79" i="4"/>
  <c r="AE208" i="4" s="1"/>
  <c r="S79" i="4"/>
  <c r="S208" i="4" s="1"/>
  <c r="AG79" i="4"/>
  <c r="AG208" i="4" s="1"/>
  <c r="M79" i="4"/>
  <c r="M208" i="4" s="1"/>
  <c r="V79" i="4"/>
  <c r="V208" i="4" s="1"/>
  <c r="AU79" i="4"/>
  <c r="AU208" i="4" s="1"/>
  <c r="AJ79" i="4"/>
  <c r="AJ208" i="4" s="1"/>
  <c r="BE79" i="4"/>
  <c r="BE208" i="4" s="1"/>
  <c r="BD79" i="4"/>
  <c r="BD208" i="4" s="1"/>
  <c r="Y79" i="4"/>
  <c r="Y208" i="4" s="1"/>
  <c r="BB79" i="4"/>
  <c r="BB208" i="4" s="1"/>
  <c r="AB79" i="4"/>
  <c r="AB208" i="4" s="1"/>
  <c r="AP79" i="4"/>
  <c r="AP208" i="4" s="1"/>
  <c r="AL79" i="4"/>
  <c r="AL208" i="4" s="1"/>
  <c r="AD79" i="4"/>
  <c r="AD208" i="4" s="1"/>
  <c r="Q79" i="4"/>
  <c r="Q208" i="4" s="1"/>
  <c r="Z79" i="4"/>
  <c r="Z208" i="4" s="1"/>
  <c r="R79" i="4"/>
  <c r="R208" i="4" s="1"/>
  <c r="AW79" i="4"/>
  <c r="AW208" i="4" s="1"/>
  <c r="AF79" i="4"/>
  <c r="AF208" i="4" s="1"/>
  <c r="AV79" i="4"/>
  <c r="AV208" i="4" s="1"/>
  <c r="BA79" i="4"/>
  <c r="BA208" i="4" s="1"/>
  <c r="BC79" i="4"/>
  <c r="BC208" i="4" s="1"/>
  <c r="P79" i="4"/>
  <c r="P208" i="4" s="1"/>
  <c r="X79" i="4"/>
  <c r="X208" i="4" s="1"/>
  <c r="AC79" i="4"/>
  <c r="AC208" i="4" s="1"/>
  <c r="AR79" i="4"/>
  <c r="AR208" i="4" s="1"/>
  <c r="AH79" i="4"/>
  <c r="AH208" i="4" s="1"/>
  <c r="O79" i="4"/>
  <c r="O208" i="4" s="1"/>
  <c r="AN79" i="4"/>
  <c r="AN208" i="4" s="1"/>
  <c r="AQ79" i="4"/>
  <c r="AQ208" i="4" s="1"/>
  <c r="U79" i="4"/>
  <c r="U208" i="4" s="1"/>
  <c r="L79" i="4"/>
  <c r="L208" i="4" s="1"/>
  <c r="L213" i="4" s="1"/>
  <c r="N79" i="4"/>
  <c r="N208" i="4" s="1"/>
  <c r="T79" i="4"/>
  <c r="T208" i="4" s="1"/>
  <c r="AS79" i="4"/>
  <c r="AS208" i="4" s="1"/>
  <c r="AM79" i="4"/>
  <c r="AM208" i="4" s="1"/>
  <c r="AT79" i="4"/>
  <c r="AT208" i="4" s="1"/>
  <c r="AZ79" i="4"/>
  <c r="AZ208" i="4" s="1"/>
  <c r="AI79" i="4"/>
  <c r="AI208" i="4" s="1"/>
  <c r="AO79" i="4"/>
  <c r="AO208" i="4" s="1"/>
  <c r="W79" i="4"/>
  <c r="W208" i="4" s="1"/>
  <c r="AK79" i="4"/>
  <c r="AK208" i="4" s="1"/>
  <c r="CA79" i="4"/>
  <c r="CA208" i="4" s="1"/>
  <c r="DR79" i="4"/>
  <c r="DR208" i="4" s="1"/>
  <c r="BS79" i="4"/>
  <c r="BS208" i="4" s="1"/>
  <c r="DS79" i="4"/>
  <c r="DS208" i="4" s="1"/>
  <c r="BW79" i="4"/>
  <c r="BW208" i="4" s="1"/>
  <c r="DU79" i="4"/>
  <c r="DU208" i="4" s="1"/>
  <c r="DL79" i="4"/>
  <c r="DL208" i="4" s="1"/>
  <c r="CD79" i="4"/>
  <c r="CD208" i="4" s="1"/>
  <c r="DH79" i="4"/>
  <c r="DH208" i="4" s="1"/>
  <c r="DC79" i="4"/>
  <c r="DC208" i="4" s="1"/>
  <c r="CE79" i="4"/>
  <c r="CE208" i="4" s="1"/>
  <c r="EI79" i="4"/>
  <c r="BV79" i="4"/>
  <c r="BV208" i="4" s="1"/>
  <c r="DN79" i="4"/>
  <c r="DN208" i="4" s="1"/>
  <c r="CJ79" i="4"/>
  <c r="CJ208" i="4" s="1"/>
  <c r="DQ79" i="4"/>
  <c r="DQ208" i="4" s="1"/>
  <c r="BJ79" i="4"/>
  <c r="BJ208" i="4" s="1"/>
  <c r="DF79" i="4"/>
  <c r="DF208" i="4" s="1"/>
  <c r="DZ79" i="4"/>
  <c r="DZ208" i="4" s="1"/>
  <c r="DW79" i="4"/>
  <c r="DW208" i="4" s="1"/>
  <c r="EB79" i="4"/>
  <c r="EB208" i="4" s="1"/>
  <c r="DD79" i="4"/>
  <c r="DD208" i="4" s="1"/>
  <c r="ED79" i="4"/>
  <c r="BP79" i="4"/>
  <c r="BP208" i="4" s="1"/>
  <c r="CC79" i="4"/>
  <c r="CC208" i="4" s="1"/>
  <c r="BK79" i="4"/>
  <c r="BK208" i="4" s="1"/>
  <c r="CI79" i="4"/>
  <c r="CI208" i="4" s="1"/>
  <c r="DG79" i="4"/>
  <c r="DG208" i="4" s="1"/>
  <c r="BZ79" i="4"/>
  <c r="BZ208" i="4" s="1"/>
  <c r="CX79" i="4"/>
  <c r="CX208" i="4" s="1"/>
  <c r="DT79" i="4"/>
  <c r="DT208" i="4" s="1"/>
  <c r="BM79" i="4"/>
  <c r="BM208" i="4" s="1"/>
  <c r="DM79" i="4"/>
  <c r="DM208" i="4" s="1"/>
  <c r="DB79" i="4"/>
  <c r="DB208" i="4" s="1"/>
  <c r="CZ79" i="4"/>
  <c r="CZ208" i="4" s="1"/>
  <c r="CP79" i="4"/>
  <c r="CP208" i="4" s="1"/>
  <c r="BI79" i="4"/>
  <c r="BI208" i="4" s="1"/>
  <c r="DJ79" i="4"/>
  <c r="DJ208" i="4" s="1"/>
  <c r="EA79" i="4"/>
  <c r="EA208" i="4" s="1"/>
  <c r="CF79" i="4"/>
  <c r="CF208" i="4" s="1"/>
  <c r="CK79" i="4"/>
  <c r="CK208" i="4" s="1"/>
  <c r="CQ79" i="4"/>
  <c r="CQ208" i="4" s="1"/>
  <c r="CO79" i="4"/>
  <c r="CO208" i="4" s="1"/>
  <c r="AA79" i="4"/>
  <c r="AA208" i="4" s="1"/>
  <c r="AY79" i="4"/>
  <c r="AY208" i="4" s="1"/>
  <c r="BU79" i="4"/>
  <c r="BU208" i="4" s="1"/>
  <c r="BR79" i="4"/>
  <c r="BR208" i="4" s="1"/>
  <c r="EJ79" i="4"/>
  <c r="EM79" i="4"/>
  <c r="EL79" i="4"/>
  <c r="CB79" i="4"/>
  <c r="CB208" i="4" s="1"/>
  <c r="EN79" i="4"/>
  <c r="BT79" i="4"/>
  <c r="BT208" i="4" s="1"/>
  <c r="BH79" i="4"/>
  <c r="BH208" i="4" s="1"/>
  <c r="CG79" i="4"/>
  <c r="CG208" i="4" s="1"/>
  <c r="CL79" i="4"/>
  <c r="CL208" i="4" s="1"/>
  <c r="CT79" i="4"/>
  <c r="CT208" i="4" s="1"/>
  <c r="BF79" i="4"/>
  <c r="BF208" i="4" s="1"/>
  <c r="CN79" i="4"/>
  <c r="CN208" i="4" s="1"/>
  <c r="EE79" i="4"/>
  <c r="CM79" i="4"/>
  <c r="CM208" i="4" s="1"/>
  <c r="EH79" i="4"/>
  <c r="DY79" i="4"/>
  <c r="DY208" i="4" s="1"/>
  <c r="DV79" i="4"/>
  <c r="DV208" i="4" s="1"/>
  <c r="CR79" i="4"/>
  <c r="CR208" i="4" s="1"/>
  <c r="CH79" i="4"/>
  <c r="CH208" i="4" s="1"/>
  <c r="DA79" i="4"/>
  <c r="DA208" i="4" s="1"/>
  <c r="DX79" i="4"/>
  <c r="DX208" i="4" s="1"/>
  <c r="DE79" i="4"/>
  <c r="DE208" i="4" s="1"/>
  <c r="BL79" i="4"/>
  <c r="BL208" i="4" s="1"/>
  <c r="DK79" i="4"/>
  <c r="DK208" i="4" s="1"/>
  <c r="BQ79" i="4"/>
  <c r="BQ208" i="4" s="1"/>
  <c r="BY79" i="4"/>
  <c r="BY208" i="4" s="1"/>
  <c r="EG79" i="4"/>
  <c r="CY79" i="4"/>
  <c r="CY208" i="4" s="1"/>
  <c r="BN79" i="4"/>
  <c r="BN208" i="4" s="1"/>
  <c r="DO79" i="4"/>
  <c r="DO208" i="4" s="1"/>
  <c r="DP79" i="4"/>
  <c r="DP208" i="4" s="1"/>
  <c r="CW79" i="4"/>
  <c r="CW208" i="4" s="1"/>
  <c r="BX79" i="4"/>
  <c r="BX208" i="4" s="1"/>
  <c r="EC79" i="4"/>
  <c r="EK79" i="4"/>
  <c r="DI79" i="4"/>
  <c r="DI208" i="4" s="1"/>
  <c r="CV79" i="4"/>
  <c r="CV208" i="4" s="1"/>
  <c r="EF79" i="4"/>
  <c r="BO79" i="4"/>
  <c r="BO208" i="4" s="1"/>
  <c r="CS79" i="4"/>
  <c r="CS208" i="4" s="1"/>
  <c r="CU79" i="4"/>
  <c r="CU208" i="4" s="1"/>
  <c r="BG79" i="4"/>
  <c r="BG208" i="4" s="1"/>
  <c r="AX79" i="4"/>
  <c r="AX208" i="4" s="1"/>
  <c r="G218" i="4"/>
  <c r="N29" i="1"/>
  <c r="H218" i="4"/>
  <c r="O31" i="1" s="1"/>
  <c r="O29" i="1"/>
  <c r="EL139" i="4"/>
  <c r="EL140" i="4" s="1"/>
  <c r="DE139" i="4"/>
  <c r="DJ139" i="4"/>
  <c r="BX139" i="4"/>
  <c r="CQ139" i="4"/>
  <c r="DH139" i="4"/>
  <c r="DK139" i="4"/>
  <c r="DZ139" i="4"/>
  <c r="BG139" i="4"/>
  <c r="DU139" i="4"/>
  <c r="DI139" i="4"/>
  <c r="BQ139" i="4"/>
  <c r="DP139" i="4"/>
  <c r="DR139" i="4"/>
  <c r="CI139" i="4"/>
  <c r="DA139" i="4"/>
  <c r="BT139" i="4"/>
  <c r="BU139" i="4"/>
  <c r="EK139" i="4"/>
  <c r="EK140" i="4" s="1"/>
  <c r="CF139" i="4"/>
  <c r="CZ139" i="4"/>
  <c r="CU139" i="4"/>
  <c r="ED139" i="4"/>
  <c r="ED140" i="4" s="1"/>
  <c r="BN139" i="4"/>
  <c r="CL139" i="4"/>
  <c r="DG139" i="4"/>
  <c r="CM139" i="4"/>
  <c r="DW139" i="4"/>
  <c r="DT139" i="4"/>
  <c r="DD139" i="4"/>
  <c r="N139" i="4"/>
  <c r="AH139" i="4"/>
  <c r="BW139" i="4"/>
  <c r="CW139" i="4"/>
  <c r="AG139" i="4"/>
  <c r="EN139" i="4"/>
  <c r="EN140" i="4" s="1"/>
  <c r="BO139" i="4"/>
  <c r="W139" i="4"/>
  <c r="BF139" i="4"/>
  <c r="BC139" i="4"/>
  <c r="U139" i="4"/>
  <c r="AS139" i="4"/>
  <c r="EM139" i="4"/>
  <c r="EM140" i="4" s="1"/>
  <c r="AA139" i="4"/>
  <c r="CS139" i="4"/>
  <c r="DO139" i="4"/>
  <c r="BE139" i="4"/>
  <c r="AN139" i="4"/>
  <c r="DM139" i="4"/>
  <c r="AK139" i="4"/>
  <c r="AO139" i="4"/>
  <c r="DS139" i="4"/>
  <c r="CX139" i="4"/>
  <c r="X139" i="4"/>
  <c r="EE139" i="4"/>
  <c r="EE140" i="4" s="1"/>
  <c r="AC139" i="4"/>
  <c r="DC139" i="4"/>
  <c r="AT139" i="4"/>
  <c r="CN139" i="4"/>
  <c r="BK139" i="4"/>
  <c r="CC139" i="4"/>
  <c r="BJ139" i="4"/>
  <c r="EJ139" i="4"/>
  <c r="EJ140" i="4" s="1"/>
  <c r="BB139" i="4"/>
  <c r="V139" i="4"/>
  <c r="Y139" i="4"/>
  <c r="AI139" i="4"/>
  <c r="DL139" i="4"/>
  <c r="AZ139" i="4"/>
  <c r="AU139" i="4"/>
  <c r="CP139" i="4"/>
  <c r="CJ139" i="4"/>
  <c r="AF139" i="4"/>
  <c r="EI139" i="4"/>
  <c r="EI140" i="4" s="1"/>
  <c r="BH139" i="4"/>
  <c r="AM139" i="4"/>
  <c r="O139" i="4"/>
  <c r="AP139" i="4"/>
  <c r="DN139" i="4"/>
  <c r="R139" i="4"/>
  <c r="AY139" i="4"/>
  <c r="P139" i="4"/>
  <c r="CK139" i="4"/>
  <c r="BZ139" i="4"/>
  <c r="AW139" i="4"/>
  <c r="DV139" i="4"/>
  <c r="BA139" i="4"/>
  <c r="BM139" i="4"/>
  <c r="EC139" i="4"/>
  <c r="EC140" i="4" s="1"/>
  <c r="BY139" i="4"/>
  <c r="AB139" i="4"/>
  <c r="T139" i="4"/>
  <c r="S139" i="4"/>
  <c r="DY139" i="4"/>
  <c r="AQ139" i="4"/>
  <c r="BS139" i="4"/>
  <c r="Z139" i="4"/>
  <c r="AE139" i="4"/>
  <c r="AD139" i="4"/>
  <c r="CO139" i="4"/>
  <c r="AJ139" i="4"/>
  <c r="BR139" i="4"/>
  <c r="AX139" i="4"/>
  <c r="CA139" i="4"/>
  <c r="EG139" i="4"/>
  <c r="EG140" i="4" s="1"/>
  <c r="BI139" i="4"/>
  <c r="BL139" i="4"/>
  <c r="BD139" i="4"/>
  <c r="AL139" i="4"/>
  <c r="AV139" i="4"/>
  <c r="BP139" i="4"/>
  <c r="EH139" i="4"/>
  <c r="EH140" i="4" s="1"/>
  <c r="DQ139" i="4"/>
  <c r="I139" i="4"/>
  <c r="I140" i="4" s="1"/>
  <c r="CH139" i="4"/>
  <c r="CV139" i="4"/>
  <c r="AR139" i="4"/>
  <c r="CT139" i="4"/>
  <c r="DX139" i="4"/>
  <c r="Q139" i="4"/>
  <c r="DF139" i="4"/>
  <c r="CR139" i="4"/>
  <c r="BV139" i="4"/>
  <c r="CE139" i="4"/>
  <c r="CB139" i="4"/>
  <c r="DB139" i="4"/>
  <c r="CD139" i="4"/>
  <c r="CY139" i="4"/>
  <c r="M139" i="4"/>
  <c r="EF139" i="4"/>
  <c r="EF140" i="4" s="1"/>
  <c r="EA139" i="4"/>
  <c r="CG139" i="4"/>
  <c r="EB139" i="4"/>
  <c r="EI25" i="4"/>
  <c r="EA25" i="4"/>
  <c r="DS25" i="4"/>
  <c r="DK25" i="4"/>
  <c r="DC25" i="4"/>
  <c r="CU25" i="4"/>
  <c r="CM25" i="4"/>
  <c r="CE25" i="4"/>
  <c r="BW25" i="4"/>
  <c r="BO25" i="4"/>
  <c r="BG25" i="4"/>
  <c r="AY25" i="4"/>
  <c r="AQ25" i="4"/>
  <c r="AI25" i="4"/>
  <c r="AA25" i="4"/>
  <c r="S25" i="4"/>
  <c r="I201" i="4"/>
  <c r="EH25" i="4"/>
  <c r="DZ25" i="4"/>
  <c r="DR25" i="4"/>
  <c r="DJ25" i="4"/>
  <c r="DB25" i="4"/>
  <c r="CT25" i="4"/>
  <c r="CL25" i="4"/>
  <c r="CD25" i="4"/>
  <c r="BV25" i="4"/>
  <c r="BN25" i="4"/>
  <c r="BF25" i="4"/>
  <c r="AX25" i="4"/>
  <c r="AP25" i="4"/>
  <c r="AH25" i="4"/>
  <c r="Z25" i="4"/>
  <c r="R25" i="4"/>
  <c r="G57" i="4"/>
  <c r="G58" i="4" s="1"/>
  <c r="F57" i="4"/>
  <c r="F58" i="4" s="1"/>
  <c r="I58" i="4"/>
  <c r="H57" i="4"/>
  <c r="H58" i="4" s="1"/>
  <c r="I28" i="1"/>
  <c r="H32" i="1"/>
  <c r="H36" i="1"/>
  <c r="H33" i="1"/>
  <c r="J28" i="1"/>
  <c r="K28" i="1"/>
  <c r="H34" i="1"/>
  <c r="I218" i="4"/>
  <c r="P29" i="1"/>
  <c r="H35" i="1"/>
  <c r="EM25" i="4"/>
  <c r="EE25" i="4"/>
  <c r="DW25" i="4"/>
  <c r="DO25" i="4"/>
  <c r="DG25" i="4"/>
  <c r="CY25" i="4"/>
  <c r="CQ25" i="4"/>
  <c r="CI25" i="4"/>
  <c r="CA25" i="4"/>
  <c r="BS25" i="4"/>
  <c r="BK25" i="4"/>
  <c r="BC25" i="4"/>
  <c r="AU25" i="4"/>
  <c r="AM25" i="4"/>
  <c r="AE25" i="4"/>
  <c r="W25" i="4"/>
  <c r="O25" i="4"/>
  <c r="G61" i="4"/>
  <c r="F32" i="1"/>
  <c r="F36" i="1" s="1"/>
  <c r="H61" i="4"/>
  <c r="EB140" i="4" l="1"/>
  <c r="EB204" i="4"/>
  <c r="EB213" i="4" s="1"/>
  <c r="CB140" i="4"/>
  <c r="CB204" i="4"/>
  <c r="CB213" i="4" s="1"/>
  <c r="CC140" i="4"/>
  <c r="CC204" i="4"/>
  <c r="CC213" i="4" s="1"/>
  <c r="CX140" i="4"/>
  <c r="CX204" i="4"/>
  <c r="CX213" i="4" s="1"/>
  <c r="CS140" i="4"/>
  <c r="CS204" i="4"/>
  <c r="CS213" i="4" s="1"/>
  <c r="BO140" i="4"/>
  <c r="BO204" i="4"/>
  <c r="BO213" i="4" s="1"/>
  <c r="DT140" i="4"/>
  <c r="DT204" i="4"/>
  <c r="DT213" i="4" s="1"/>
  <c r="CZ140" i="4"/>
  <c r="CZ204" i="4"/>
  <c r="CZ213" i="4" s="1"/>
  <c r="DP140" i="4"/>
  <c r="DP204" i="4"/>
  <c r="DP213" i="4" s="1"/>
  <c r="CQ140" i="4"/>
  <c r="CQ204" i="4"/>
  <c r="CQ213" i="4" s="1"/>
  <c r="CG140" i="4"/>
  <c r="CG204" i="4"/>
  <c r="CG213" i="4" s="1"/>
  <c r="CE140" i="4"/>
  <c r="CE204" i="4"/>
  <c r="CE213" i="4" s="1"/>
  <c r="CV140" i="4"/>
  <c r="CV204" i="4"/>
  <c r="CV213" i="4" s="1"/>
  <c r="CO140" i="4"/>
  <c r="CO204" i="4"/>
  <c r="CO213" i="4" s="1"/>
  <c r="BZ140" i="4"/>
  <c r="BZ204" i="4"/>
  <c r="BZ213" i="4" s="1"/>
  <c r="DL140" i="4"/>
  <c r="DL204" i="4"/>
  <c r="DL213" i="4" s="1"/>
  <c r="BK140" i="4"/>
  <c r="BK204" i="4"/>
  <c r="BK213" i="4" s="1"/>
  <c r="DS140" i="4"/>
  <c r="DS204" i="4"/>
  <c r="DS213" i="4" s="1"/>
  <c r="DW140" i="4"/>
  <c r="DW204" i="4"/>
  <c r="DW213" i="4" s="1"/>
  <c r="CF140" i="4"/>
  <c r="CF204" i="4"/>
  <c r="CF213" i="4" s="1"/>
  <c r="BQ140" i="4"/>
  <c r="BQ204" i="4"/>
  <c r="BQ213" i="4" s="1"/>
  <c r="BX140" i="4"/>
  <c r="BX204" i="4"/>
  <c r="BX213" i="4" s="1"/>
  <c r="EA140" i="4"/>
  <c r="EA204" i="4"/>
  <c r="EA213" i="4" s="1"/>
  <c r="BV140" i="4"/>
  <c r="BV204" i="4"/>
  <c r="BV213" i="4" s="1"/>
  <c r="CH140" i="4"/>
  <c r="CH204" i="4"/>
  <c r="CH213" i="4" s="1"/>
  <c r="BL140" i="4"/>
  <c r="BL204" i="4"/>
  <c r="BL213" i="4" s="1"/>
  <c r="CK140" i="4"/>
  <c r="CK204" i="4"/>
  <c r="CK213" i="4" s="1"/>
  <c r="BH140" i="4"/>
  <c r="BH204" i="4"/>
  <c r="BH213" i="4" s="1"/>
  <c r="CN140" i="4"/>
  <c r="CN204" i="4"/>
  <c r="CN213" i="4" s="1"/>
  <c r="CM140" i="4"/>
  <c r="CM204" i="4"/>
  <c r="CM213" i="4" s="1"/>
  <c r="DI140" i="4"/>
  <c r="DI204" i="4"/>
  <c r="DI213" i="4" s="1"/>
  <c r="DJ140" i="4"/>
  <c r="DJ204" i="4"/>
  <c r="DJ213" i="4" s="1"/>
  <c r="CR140" i="4"/>
  <c r="CR204" i="4"/>
  <c r="CR213" i="4" s="1"/>
  <c r="BI140" i="4"/>
  <c r="BI204" i="4"/>
  <c r="BI213" i="4" s="1"/>
  <c r="BY140" i="4"/>
  <c r="BY204" i="4"/>
  <c r="BY213" i="4" s="1"/>
  <c r="CW140" i="4"/>
  <c r="CW204" i="4"/>
  <c r="CW213" i="4" s="1"/>
  <c r="DG140" i="4"/>
  <c r="DG204" i="4"/>
  <c r="DG213" i="4" s="1"/>
  <c r="BU140" i="4"/>
  <c r="BU204" i="4"/>
  <c r="BU213" i="4" s="1"/>
  <c r="DU140" i="4"/>
  <c r="DU204" i="4"/>
  <c r="DU213" i="4" s="1"/>
  <c r="DE140" i="4"/>
  <c r="DE204" i="4"/>
  <c r="DE213" i="4" s="1"/>
  <c r="DF140" i="4"/>
  <c r="DF204" i="4"/>
  <c r="DF213" i="4" s="1"/>
  <c r="DQ140" i="4"/>
  <c r="DQ204" i="4"/>
  <c r="DQ213" i="4" s="1"/>
  <c r="DC140" i="4"/>
  <c r="DC204" i="4"/>
  <c r="DC213" i="4" s="1"/>
  <c r="DM140" i="4"/>
  <c r="DM204" i="4"/>
  <c r="DM213" i="4" s="1"/>
  <c r="BW140" i="4"/>
  <c r="BW204" i="4"/>
  <c r="BW213" i="4" s="1"/>
  <c r="CL140" i="4"/>
  <c r="CL204" i="4"/>
  <c r="CL213" i="4" s="1"/>
  <c r="BT140" i="4"/>
  <c r="BT204" i="4"/>
  <c r="BT213" i="4" s="1"/>
  <c r="BG140" i="4"/>
  <c r="BG204" i="4"/>
  <c r="BG213" i="4" s="1"/>
  <c r="CY140" i="4"/>
  <c r="CY204" i="4"/>
  <c r="CY213" i="4" s="1"/>
  <c r="CA140" i="4"/>
  <c r="CA204" i="4"/>
  <c r="CA213" i="4" s="1"/>
  <c r="BS140" i="4"/>
  <c r="BS204" i="4"/>
  <c r="BS213" i="4" s="1"/>
  <c r="BM140" i="4"/>
  <c r="BM204" i="4"/>
  <c r="BM213" i="4" s="1"/>
  <c r="CJ140" i="4"/>
  <c r="CJ204" i="4"/>
  <c r="CJ213" i="4" s="1"/>
  <c r="BN140" i="4"/>
  <c r="BN204" i="4"/>
  <c r="BN213" i="4" s="1"/>
  <c r="DA140" i="4"/>
  <c r="DA204" i="4"/>
  <c r="DA213" i="4" s="1"/>
  <c r="DZ140" i="4"/>
  <c r="DZ204" i="4"/>
  <c r="DZ213" i="4" s="1"/>
  <c r="CD140" i="4"/>
  <c r="CD204" i="4"/>
  <c r="CD213" i="4" s="1"/>
  <c r="DX140" i="4"/>
  <c r="DX204" i="4"/>
  <c r="DX213" i="4" s="1"/>
  <c r="BP140" i="4"/>
  <c r="BP204" i="4"/>
  <c r="BP213" i="4" s="1"/>
  <c r="DN140" i="4"/>
  <c r="DN204" i="4"/>
  <c r="DN213" i="4" s="1"/>
  <c r="CP140" i="4"/>
  <c r="CP204" i="4"/>
  <c r="CP213" i="4" s="1"/>
  <c r="BF140" i="4"/>
  <c r="BF204" i="4"/>
  <c r="BF213" i="4" s="1"/>
  <c r="CI140" i="4"/>
  <c r="CI204" i="4"/>
  <c r="CI213" i="4" s="1"/>
  <c r="DK140" i="4"/>
  <c r="DK204" i="4"/>
  <c r="DK213" i="4" s="1"/>
  <c r="DB140" i="4"/>
  <c r="DB204" i="4"/>
  <c r="DB213" i="4" s="1"/>
  <c r="CT140" i="4"/>
  <c r="CT204" i="4"/>
  <c r="CT213" i="4" s="1"/>
  <c r="BR140" i="4"/>
  <c r="BR204" i="4"/>
  <c r="BR213" i="4" s="1"/>
  <c r="DY140" i="4"/>
  <c r="DY204" i="4"/>
  <c r="DY213" i="4" s="1"/>
  <c r="DV140" i="4"/>
  <c r="DV204" i="4"/>
  <c r="DV213" i="4" s="1"/>
  <c r="BJ140" i="4"/>
  <c r="BJ204" i="4"/>
  <c r="BJ213" i="4" s="1"/>
  <c r="DO140" i="4"/>
  <c r="DO204" i="4"/>
  <c r="DO213" i="4" s="1"/>
  <c r="DD140" i="4"/>
  <c r="DD204" i="4"/>
  <c r="DD213" i="4" s="1"/>
  <c r="CU140" i="4"/>
  <c r="CU204" i="4"/>
  <c r="CU213" i="4" s="1"/>
  <c r="DR140" i="4"/>
  <c r="DR204" i="4"/>
  <c r="DR213" i="4" s="1"/>
  <c r="DH140" i="4"/>
  <c r="DH204" i="4"/>
  <c r="DH213" i="4" s="1"/>
  <c r="F62" i="4"/>
  <c r="F61" i="4"/>
  <c r="C290" i="4" s="1"/>
  <c r="C291" i="4" s="1"/>
  <c r="D293" i="4" s="1"/>
  <c r="D2" i="4" s="1"/>
  <c r="AR204" i="4"/>
  <c r="AR213" i="4" s="1"/>
  <c r="AR140" i="4"/>
  <c r="AL140" i="4"/>
  <c r="AL204" i="4"/>
  <c r="AL213" i="4" s="1"/>
  <c r="AJ140" i="4"/>
  <c r="AJ204" i="4"/>
  <c r="AJ213" i="4" s="1"/>
  <c r="S204" i="4"/>
  <c r="S213" i="4" s="1"/>
  <c r="S140" i="4"/>
  <c r="AW204" i="4"/>
  <c r="AW213" i="4" s="1"/>
  <c r="AW140" i="4"/>
  <c r="O140" i="4"/>
  <c r="O204" i="4"/>
  <c r="O213" i="4" s="1"/>
  <c r="AZ140" i="4"/>
  <c r="AZ204" i="4"/>
  <c r="AZ213" i="4" s="1"/>
  <c r="H272" i="4"/>
  <c r="O34" i="1" s="1"/>
  <c r="H281" i="4"/>
  <c r="D272" i="4"/>
  <c r="D281" i="4"/>
  <c r="P31" i="1"/>
  <c r="BD204" i="4"/>
  <c r="BD213" i="4" s="1"/>
  <c r="BD140" i="4"/>
  <c r="T140" i="4"/>
  <c r="T204" i="4"/>
  <c r="T213" i="4" s="1"/>
  <c r="AM204" i="4"/>
  <c r="AM213" i="4" s="1"/>
  <c r="AM140" i="4"/>
  <c r="AA204" i="4"/>
  <c r="AA213" i="4" s="1"/>
  <c r="AA140" i="4"/>
  <c r="AD204" i="4"/>
  <c r="AD213" i="4" s="1"/>
  <c r="AD140" i="4"/>
  <c r="AB140" i="4"/>
  <c r="AB204" i="4"/>
  <c r="AB213" i="4" s="1"/>
  <c r="AI204" i="4"/>
  <c r="AI213" i="4" s="1"/>
  <c r="AI140" i="4"/>
  <c r="AO204" i="4"/>
  <c r="AO213" i="4" s="1"/>
  <c r="AO140" i="4"/>
  <c r="AG204" i="4"/>
  <c r="AG213" i="4" s="1"/>
  <c r="AG140" i="4"/>
  <c r="AE204" i="4"/>
  <c r="AE213" i="4" s="1"/>
  <c r="AE140" i="4"/>
  <c r="P140" i="4"/>
  <c r="P204" i="4"/>
  <c r="P213" i="4" s="1"/>
  <c r="Y140" i="4"/>
  <c r="Y204" i="4"/>
  <c r="Y213" i="4" s="1"/>
  <c r="AT140" i="4"/>
  <c r="AT204" i="4"/>
  <c r="AT213" i="4" s="1"/>
  <c r="AK140" i="4"/>
  <c r="AK204" i="4"/>
  <c r="AK213" i="4" s="1"/>
  <c r="AS204" i="4"/>
  <c r="AS213" i="4" s="1"/>
  <c r="AS140" i="4"/>
  <c r="I208" i="4"/>
  <c r="I209" i="4" s="1"/>
  <c r="E32" i="1"/>
  <c r="EV196" i="4"/>
  <c r="G107" i="9"/>
  <c r="G50" i="9" s="1"/>
  <c r="L228" i="4"/>
  <c r="L229" i="4"/>
  <c r="M140" i="4"/>
  <c r="M204" i="4"/>
  <c r="Z204" i="4"/>
  <c r="Z213" i="4" s="1"/>
  <c r="Z140" i="4"/>
  <c r="AY140" i="4"/>
  <c r="AY204" i="4"/>
  <c r="AY213" i="4" s="1"/>
  <c r="AF140" i="4"/>
  <c r="AF204" i="4"/>
  <c r="AF213" i="4" s="1"/>
  <c r="V204" i="4"/>
  <c r="V213" i="4" s="1"/>
  <c r="V140" i="4"/>
  <c r="U204" i="4"/>
  <c r="U213" i="4" s="1"/>
  <c r="U140" i="4"/>
  <c r="Q140" i="4"/>
  <c r="Q204" i="4"/>
  <c r="Q213" i="4" s="1"/>
  <c r="R140" i="4"/>
  <c r="R204" i="4"/>
  <c r="R213" i="4" s="1"/>
  <c r="BB140" i="4"/>
  <c r="BB204" i="4"/>
  <c r="BB213" i="4" s="1"/>
  <c r="AC140" i="4"/>
  <c r="AC204" i="4"/>
  <c r="AC213" i="4" s="1"/>
  <c r="AN140" i="4"/>
  <c r="AN204" i="4"/>
  <c r="AN213" i="4" s="1"/>
  <c r="BC204" i="4"/>
  <c r="BC213" i="4" s="1"/>
  <c r="BC140" i="4"/>
  <c r="AH140" i="4"/>
  <c r="AH204" i="4"/>
  <c r="AH213" i="4" s="1"/>
  <c r="AX204" i="4"/>
  <c r="AX213" i="4" s="1"/>
  <c r="AX140" i="4"/>
  <c r="AQ204" i="4"/>
  <c r="AQ213" i="4" s="1"/>
  <c r="AQ140" i="4"/>
  <c r="BA140" i="4"/>
  <c r="BA204" i="4"/>
  <c r="BA213" i="4" s="1"/>
  <c r="BE140" i="4"/>
  <c r="BE204" i="4"/>
  <c r="BE213" i="4" s="1"/>
  <c r="N140" i="4"/>
  <c r="N204" i="4"/>
  <c r="N213" i="4" s="1"/>
  <c r="E33" i="1"/>
  <c r="AV204" i="4"/>
  <c r="AV213" i="4" s="1"/>
  <c r="AV140" i="4"/>
  <c r="AP204" i="4"/>
  <c r="AP213" i="4" s="1"/>
  <c r="AP140" i="4"/>
  <c r="AU204" i="4"/>
  <c r="AU213" i="4" s="1"/>
  <c r="AU140" i="4"/>
  <c r="X204" i="4"/>
  <c r="X213" i="4" s="1"/>
  <c r="X140" i="4"/>
  <c r="W204" i="4"/>
  <c r="W213" i="4" s="1"/>
  <c r="W140" i="4"/>
  <c r="N31" i="1"/>
  <c r="I5" i="4"/>
  <c r="DD228" i="4" l="1"/>
  <c r="CY107" i="9"/>
  <c r="IN196" i="4"/>
  <c r="DD229" i="4"/>
  <c r="IN201" i="4" s="1"/>
  <c r="DF107" i="9"/>
  <c r="IU196" i="4"/>
  <c r="DK228" i="4"/>
  <c r="DK229" i="4"/>
  <c r="IU201" i="4" s="1"/>
  <c r="DN228" i="4"/>
  <c r="DI107" i="9"/>
  <c r="IX196" i="4"/>
  <c r="DN229" i="4"/>
  <c r="IX201" i="4" s="1"/>
  <c r="GW196" i="4"/>
  <c r="BM229" i="4"/>
  <c r="GW201" i="4" s="1"/>
  <c r="BM228" i="4"/>
  <c r="BH107" i="9"/>
  <c r="GQ196" i="4"/>
  <c r="BG228" i="4"/>
  <c r="BG229" i="4"/>
  <c r="BB107" i="9"/>
  <c r="IW196" i="4"/>
  <c r="DM228" i="4"/>
  <c r="DM229" i="4"/>
  <c r="IW201" i="4" s="1"/>
  <c r="DH107" i="9"/>
  <c r="IO196" i="4"/>
  <c r="DE229" i="4"/>
  <c r="IO201" i="4" s="1"/>
  <c r="DE228" i="4"/>
  <c r="CZ107" i="9"/>
  <c r="CW228" i="4"/>
  <c r="IG196" i="4"/>
  <c r="CR107" i="9"/>
  <c r="CW229" i="4"/>
  <c r="IG201" i="4" s="1"/>
  <c r="IT196" i="4"/>
  <c r="DJ229" i="4"/>
  <c r="IT201" i="4" s="1"/>
  <c r="DJ228" i="4"/>
  <c r="DE107" i="9"/>
  <c r="BC107" i="9"/>
  <c r="GR196" i="4"/>
  <c r="BH228" i="4"/>
  <c r="BH229" i="4"/>
  <c r="HF196" i="4"/>
  <c r="BV229" i="4"/>
  <c r="BV228" i="4"/>
  <c r="BQ107" i="9"/>
  <c r="HP196" i="4"/>
  <c r="CF229" i="4"/>
  <c r="HP201" i="4" s="1"/>
  <c r="CF228" i="4"/>
  <c r="CA107" i="9"/>
  <c r="DL228" i="4"/>
  <c r="DG107" i="9"/>
  <c r="IV196" i="4"/>
  <c r="DL229" i="4"/>
  <c r="IV201" i="4" s="1"/>
  <c r="HO196" i="4"/>
  <c r="CE228" i="4"/>
  <c r="CE229" i="4"/>
  <c r="HO201" i="4" s="1"/>
  <c r="BZ107" i="9"/>
  <c r="IJ196" i="4"/>
  <c r="CZ228" i="4"/>
  <c r="CZ229" i="4"/>
  <c r="IJ201" i="4" s="1"/>
  <c r="CU107" i="9"/>
  <c r="IH196" i="4"/>
  <c r="CX228" i="4"/>
  <c r="CS107" i="9"/>
  <c r="CX229" i="4"/>
  <c r="IH201" i="4" s="1"/>
  <c r="DY228" i="4"/>
  <c r="DT107" i="9"/>
  <c r="JI196" i="4"/>
  <c r="DY229" i="4"/>
  <c r="JI201" i="4" s="1"/>
  <c r="DZ228" i="4"/>
  <c r="DU107" i="9"/>
  <c r="JJ196" i="4"/>
  <c r="DZ229" i="4"/>
  <c r="JJ201" i="4" s="1"/>
  <c r="IY196" i="4"/>
  <c r="DO228" i="4"/>
  <c r="DO229" i="4"/>
  <c r="DJ107" i="9"/>
  <c r="CI229" i="4"/>
  <c r="HS201" i="4" s="1"/>
  <c r="CD107" i="9"/>
  <c r="HS196" i="4"/>
  <c r="CI228" i="4"/>
  <c r="GZ196" i="4"/>
  <c r="BP228" i="4"/>
  <c r="BP229" i="4"/>
  <c r="GZ201" i="4" s="1"/>
  <c r="BK107" i="9"/>
  <c r="HC196" i="4"/>
  <c r="BS228" i="4"/>
  <c r="BS229" i="4"/>
  <c r="BN107" i="9"/>
  <c r="BO107" i="9"/>
  <c r="HD196" i="4"/>
  <c r="BT229" i="4"/>
  <c r="HD201" i="4" s="1"/>
  <c r="BT228" i="4"/>
  <c r="DC229" i="4"/>
  <c r="IM201" i="4" s="1"/>
  <c r="DC228" i="4"/>
  <c r="CX107" i="9"/>
  <c r="IM196" i="4"/>
  <c r="JE196" i="4"/>
  <c r="DU228" i="4"/>
  <c r="DU229" i="4"/>
  <c r="JE201" i="4" s="1"/>
  <c r="DP107" i="9"/>
  <c r="BY228" i="4"/>
  <c r="BT107" i="9"/>
  <c r="HI196" i="4"/>
  <c r="BY229" i="4"/>
  <c r="HI201" i="4" s="1"/>
  <c r="IS196" i="4"/>
  <c r="DI228" i="4"/>
  <c r="DI229" i="4"/>
  <c r="IS201" i="4" s="1"/>
  <c r="DD107" i="9"/>
  <c r="CK228" i="4"/>
  <c r="CK229" i="4"/>
  <c r="HU201" i="4" s="1"/>
  <c r="CF107" i="9"/>
  <c r="HU196" i="4"/>
  <c r="JK196" i="4"/>
  <c r="EA228" i="4"/>
  <c r="DV107" i="9"/>
  <c r="EA229" i="4"/>
  <c r="JK201" i="4" s="1"/>
  <c r="DW229" i="4"/>
  <c r="JG201" i="4" s="1"/>
  <c r="DR107" i="9"/>
  <c r="JG196" i="4"/>
  <c r="DW228" i="4"/>
  <c r="HJ196" i="4"/>
  <c r="BZ229" i="4"/>
  <c r="HJ201" i="4" s="1"/>
  <c r="BZ228" i="4"/>
  <c r="BU107" i="9"/>
  <c r="HQ196" i="4"/>
  <c r="CG228" i="4"/>
  <c r="CG229" i="4"/>
  <c r="HQ201" i="4" s="1"/>
  <c r="CB107" i="9"/>
  <c r="DO107" i="9"/>
  <c r="JD196" i="4"/>
  <c r="DT229" i="4"/>
  <c r="JD201" i="4" s="1"/>
  <c r="DT228" i="4"/>
  <c r="CC228" i="4"/>
  <c r="BX107" i="9"/>
  <c r="CC229" i="4"/>
  <c r="HM201" i="4" s="1"/>
  <c r="HM196" i="4"/>
  <c r="IR196" i="4"/>
  <c r="DH229" i="4"/>
  <c r="IR201" i="4" s="1"/>
  <c r="DH228" i="4"/>
  <c r="DC107" i="9"/>
  <c r="BM107" i="9"/>
  <c r="HB196" i="4"/>
  <c r="BR229" i="4"/>
  <c r="HB201" i="4" s="1"/>
  <c r="BR228" i="4"/>
  <c r="IK196" i="4"/>
  <c r="DA229" i="4"/>
  <c r="IK201" i="4" s="1"/>
  <c r="DA228" i="4"/>
  <c r="CV107" i="9"/>
  <c r="BE107" i="9"/>
  <c r="GT196" i="4"/>
  <c r="BJ228" i="4"/>
  <c r="BJ229" i="4"/>
  <c r="CT228" i="4"/>
  <c r="ID196" i="4"/>
  <c r="CT229" i="4"/>
  <c r="ID201" i="4" s="1"/>
  <c r="CO107" i="9"/>
  <c r="DX229" i="4"/>
  <c r="JH201" i="4" s="1"/>
  <c r="DS107" i="9"/>
  <c r="JH196" i="4"/>
  <c r="DX228" i="4"/>
  <c r="HK196" i="4"/>
  <c r="CA228" i="4"/>
  <c r="CA229" i="4"/>
  <c r="HK201" i="4" s="1"/>
  <c r="BV107" i="9"/>
  <c r="DQ229" i="4"/>
  <c r="DL107" i="9"/>
  <c r="JA196" i="4"/>
  <c r="DQ228" i="4"/>
  <c r="BU229" i="4"/>
  <c r="HE201" i="4" s="1"/>
  <c r="BU228" i="4"/>
  <c r="BP107" i="9"/>
  <c r="HE196" i="4"/>
  <c r="HW196" i="4"/>
  <c r="CM229" i="4"/>
  <c r="HW201" i="4" s="1"/>
  <c r="CM228" i="4"/>
  <c r="CH107" i="9"/>
  <c r="GV196" i="4"/>
  <c r="BL228" i="4"/>
  <c r="BL229" i="4"/>
  <c r="GV201" i="4" s="1"/>
  <c r="BG107" i="9"/>
  <c r="BS107" i="9"/>
  <c r="HH196" i="4"/>
  <c r="BX228" i="4"/>
  <c r="BX229" i="4"/>
  <c r="HH201" i="4" s="1"/>
  <c r="DS228" i="4"/>
  <c r="DS229" i="4"/>
  <c r="JC201" i="4" s="1"/>
  <c r="DN107" i="9"/>
  <c r="JC196" i="4"/>
  <c r="CJ107" i="9"/>
  <c r="HY196" i="4"/>
  <c r="CO228" i="4"/>
  <c r="CO229" i="4"/>
  <c r="HY201" i="4" s="1"/>
  <c r="IA196" i="4"/>
  <c r="CQ229" i="4"/>
  <c r="IA201" i="4" s="1"/>
  <c r="CQ228" i="4"/>
  <c r="CL107" i="9"/>
  <c r="GY196" i="4"/>
  <c r="BO229" i="4"/>
  <c r="GY201" i="4" s="1"/>
  <c r="BO228" i="4"/>
  <c r="BJ107" i="9"/>
  <c r="HL196" i="4"/>
  <c r="CB228" i="4"/>
  <c r="CB229" i="4"/>
  <c r="BW107" i="9"/>
  <c r="JB196" i="4"/>
  <c r="DR228" i="4"/>
  <c r="DR229" i="4"/>
  <c r="JB201" i="4" s="1"/>
  <c r="DM107" i="9"/>
  <c r="BA107" i="9"/>
  <c r="GP196" i="4"/>
  <c r="BF229" i="4"/>
  <c r="BF228" i="4"/>
  <c r="BN229" i="4"/>
  <c r="GX201" i="4" s="1"/>
  <c r="BI107" i="9"/>
  <c r="GX196" i="4"/>
  <c r="BN228" i="4"/>
  <c r="HV196" i="4"/>
  <c r="CL228" i="4"/>
  <c r="CL229" i="4"/>
  <c r="HV201" i="4" s="1"/>
  <c r="CG107" i="9"/>
  <c r="GS196" i="4"/>
  <c r="BI228" i="4"/>
  <c r="BI229" i="4"/>
  <c r="BD107" i="9"/>
  <c r="DV228" i="4"/>
  <c r="DV229" i="4"/>
  <c r="JF201" i="4" s="1"/>
  <c r="DQ107" i="9"/>
  <c r="JF196" i="4"/>
  <c r="CP229" i="4"/>
  <c r="HZ201" i="4" s="1"/>
  <c r="CP228" i="4"/>
  <c r="CK107" i="9"/>
  <c r="HZ196" i="4"/>
  <c r="HT196" i="4"/>
  <c r="CJ229" i="4"/>
  <c r="HT201" i="4" s="1"/>
  <c r="CE107" i="9"/>
  <c r="CJ228" i="4"/>
  <c r="BR107" i="9"/>
  <c r="HG196" i="4"/>
  <c r="BW228" i="4"/>
  <c r="BW229" i="4"/>
  <c r="HG201" i="4" s="1"/>
  <c r="DF228" i="4"/>
  <c r="DF229" i="4"/>
  <c r="IP201" i="4" s="1"/>
  <c r="DA107" i="9"/>
  <c r="IP196" i="4"/>
  <c r="IB196" i="4"/>
  <c r="CR228" i="4"/>
  <c r="CR229" i="4"/>
  <c r="IB201" i="4" s="1"/>
  <c r="CM107" i="9"/>
  <c r="HX196" i="4"/>
  <c r="CN228" i="4"/>
  <c r="CN229" i="4"/>
  <c r="HX201" i="4" s="1"/>
  <c r="CI107" i="9"/>
  <c r="CH228" i="4"/>
  <c r="HR196" i="4"/>
  <c r="CH229" i="4"/>
  <c r="HR201" i="4" s="1"/>
  <c r="CC107" i="9"/>
  <c r="HA196" i="4"/>
  <c r="BQ229" i="4"/>
  <c r="HA201" i="4" s="1"/>
  <c r="BQ228" i="4"/>
  <c r="BL107" i="9"/>
  <c r="GU196" i="4"/>
  <c r="BK228" i="4"/>
  <c r="BK229" i="4"/>
  <c r="GU201" i="4" s="1"/>
  <c r="BF107" i="9"/>
  <c r="IF196" i="4"/>
  <c r="CV229" i="4"/>
  <c r="IF201" i="4" s="1"/>
  <c r="CV228" i="4"/>
  <c r="CQ107" i="9"/>
  <c r="IZ196" i="4"/>
  <c r="DP229" i="4"/>
  <c r="DP228" i="4"/>
  <c r="DK107" i="9"/>
  <c r="CS229" i="4"/>
  <c r="IC201" i="4" s="1"/>
  <c r="CS228" i="4"/>
  <c r="CN107" i="9"/>
  <c r="IC196" i="4"/>
  <c r="EB229" i="4"/>
  <c r="DW107" i="9"/>
  <c r="JL196" i="4"/>
  <c r="EB228" i="4"/>
  <c r="IE196" i="4"/>
  <c r="CU229" i="4"/>
  <c r="IE201" i="4" s="1"/>
  <c r="CU228" i="4"/>
  <c r="CP107" i="9"/>
  <c r="CW107" i="9"/>
  <c r="IL196" i="4"/>
  <c r="DB228" i="4"/>
  <c r="DB229" i="4"/>
  <c r="IL201" i="4" s="1"/>
  <c r="HN196" i="4"/>
  <c r="CD228" i="4"/>
  <c r="BY107" i="9"/>
  <c r="CD229" i="4"/>
  <c r="HN201" i="4" s="1"/>
  <c r="II196" i="4"/>
  <c r="CY228" i="4"/>
  <c r="CY229" i="4"/>
  <c r="II201" i="4" s="1"/>
  <c r="CT107" i="9"/>
  <c r="IQ196" i="4"/>
  <c r="DG229" i="4"/>
  <c r="IQ201" i="4" s="1"/>
  <c r="DG228" i="4"/>
  <c r="DB107" i="9"/>
  <c r="BE229" i="4"/>
  <c r="AZ107" i="9"/>
  <c r="GO196" i="4"/>
  <c r="BE228" i="4"/>
  <c r="FO196" i="4"/>
  <c r="Z107" i="9"/>
  <c r="AE229" i="4"/>
  <c r="AE228" i="4"/>
  <c r="GJ196" i="4"/>
  <c r="AU107" i="9"/>
  <c r="AZ229" i="4"/>
  <c r="AZ228" i="4"/>
  <c r="AJ229" i="4"/>
  <c r="AJ228" i="4"/>
  <c r="AE107" i="9"/>
  <c r="FT196" i="4"/>
  <c r="AH229" i="4"/>
  <c r="AC107" i="9"/>
  <c r="FR196" i="4"/>
  <c r="AH228" i="4"/>
  <c r="BB229" i="4"/>
  <c r="GL196" i="4"/>
  <c r="AW107" i="9"/>
  <c r="BB228" i="4"/>
  <c r="I204" i="4"/>
  <c r="M213" i="4"/>
  <c r="AP229" i="4"/>
  <c r="AP228" i="4"/>
  <c r="AK107" i="9"/>
  <c r="FZ196" i="4"/>
  <c r="FF196" i="4"/>
  <c r="Q107" i="9"/>
  <c r="V229" i="4"/>
  <c r="V228" i="4"/>
  <c r="AT229" i="4"/>
  <c r="AO107" i="9"/>
  <c r="GD196" i="4"/>
  <c r="AT228" i="4"/>
  <c r="FP196" i="4"/>
  <c r="AA107" i="9"/>
  <c r="AF229" i="4"/>
  <c r="AF228" i="4"/>
  <c r="F140" i="4"/>
  <c r="F28" i="1" s="1"/>
  <c r="FQ196" i="4"/>
  <c r="AB107" i="9"/>
  <c r="AG229" i="4"/>
  <c r="AG228" i="4"/>
  <c r="AD229" i="4"/>
  <c r="Y107" i="9"/>
  <c r="AD228" i="4"/>
  <c r="FN196" i="4"/>
  <c r="AY107" i="9"/>
  <c r="BD229" i="4"/>
  <c r="GN196" i="4"/>
  <c r="BD228" i="4"/>
  <c r="O229" i="4"/>
  <c r="J107" i="9"/>
  <c r="EY196" i="4"/>
  <c r="O228" i="4"/>
  <c r="AL228" i="4"/>
  <c r="AL229" i="4"/>
  <c r="AG107" i="9"/>
  <c r="FV196" i="4"/>
  <c r="W229" i="4"/>
  <c r="W228" i="4"/>
  <c r="R107" i="9"/>
  <c r="FG196" i="4"/>
  <c r="AV229" i="4"/>
  <c r="AQ107" i="9"/>
  <c r="AV228" i="4"/>
  <c r="GF196" i="4"/>
  <c r="GM196" i="4"/>
  <c r="AX107" i="9"/>
  <c r="BC229" i="4"/>
  <c r="BC228" i="4"/>
  <c r="EV201" i="4"/>
  <c r="T107" i="9"/>
  <c r="Y229" i="4"/>
  <c r="FI196" i="4"/>
  <c r="Y228" i="4"/>
  <c r="FB196" i="4"/>
  <c r="M107" i="9"/>
  <c r="R228" i="4"/>
  <c r="R229" i="4"/>
  <c r="FX196" i="4"/>
  <c r="AI107" i="9"/>
  <c r="AN229" i="4"/>
  <c r="AN228" i="4"/>
  <c r="Q229" i="4"/>
  <c r="L107" i="9"/>
  <c r="FA196" i="4"/>
  <c r="Q228" i="4"/>
  <c r="AY229" i="4"/>
  <c r="GI196" i="4"/>
  <c r="AT107" i="9"/>
  <c r="AY228" i="4"/>
  <c r="EV207" i="4"/>
  <c r="L230" i="4"/>
  <c r="L249" i="4"/>
  <c r="L250" i="4"/>
  <c r="FY196" i="4"/>
  <c r="AJ107" i="9"/>
  <c r="AO229" i="4"/>
  <c r="AO228" i="4"/>
  <c r="AA229" i="4"/>
  <c r="V107" i="9"/>
  <c r="FK196" i="4"/>
  <c r="AA228" i="4"/>
  <c r="P229" i="4"/>
  <c r="K107" i="9"/>
  <c r="EZ196" i="4"/>
  <c r="P228" i="4"/>
  <c r="GG196" i="4"/>
  <c r="AR107" i="9"/>
  <c r="AW229" i="4"/>
  <c r="AW228" i="4"/>
  <c r="GB196" i="4"/>
  <c r="AM107" i="9"/>
  <c r="AR229" i="4"/>
  <c r="AR228" i="4"/>
  <c r="GK196" i="4"/>
  <c r="AV107" i="9"/>
  <c r="BA229" i="4"/>
  <c r="BA228" i="4"/>
  <c r="AC229" i="4"/>
  <c r="X107" i="9"/>
  <c r="FM196" i="4"/>
  <c r="AC228" i="4"/>
  <c r="EV202" i="4"/>
  <c r="AS229" i="4"/>
  <c r="AN107" i="9"/>
  <c r="GC196" i="4"/>
  <c r="AS228" i="4"/>
  <c r="AI229" i="4"/>
  <c r="AD107" i="9"/>
  <c r="FS196" i="4"/>
  <c r="AI228" i="4"/>
  <c r="AM229" i="4"/>
  <c r="AH107" i="9"/>
  <c r="FW196" i="4"/>
  <c r="AM228" i="4"/>
  <c r="FH196" i="4"/>
  <c r="S107" i="9"/>
  <c r="X229" i="4"/>
  <c r="X228" i="4"/>
  <c r="AQ229" i="4"/>
  <c r="AQ228" i="4"/>
  <c r="GA196" i="4"/>
  <c r="AL107" i="9"/>
  <c r="EX196" i="4"/>
  <c r="I107" i="9"/>
  <c r="N229" i="4"/>
  <c r="N228" i="4"/>
  <c r="GE196" i="4"/>
  <c r="AU229" i="4"/>
  <c r="AP107" i="9"/>
  <c r="AU228" i="4"/>
  <c r="AX229" i="4"/>
  <c r="AS107" i="9"/>
  <c r="GH196" i="4"/>
  <c r="AX228" i="4"/>
  <c r="U229" i="4"/>
  <c r="FE196" i="4"/>
  <c r="P107" i="9"/>
  <c r="U228" i="4"/>
  <c r="Z229" i="4"/>
  <c r="U107" i="9"/>
  <c r="FJ196" i="4"/>
  <c r="Z228" i="4"/>
  <c r="FU196" i="4"/>
  <c r="AF107" i="9"/>
  <c r="AK228" i="4"/>
  <c r="AK229" i="4"/>
  <c r="AB229" i="4"/>
  <c r="W107" i="9"/>
  <c r="FL196" i="4"/>
  <c r="AB228" i="4"/>
  <c r="FD196" i="4"/>
  <c r="O107" i="9"/>
  <c r="T229" i="4"/>
  <c r="T228" i="4"/>
  <c r="S229" i="4"/>
  <c r="N107" i="9"/>
  <c r="FC196" i="4"/>
  <c r="S228" i="4"/>
  <c r="O50" i="9" l="1"/>
  <c r="EB250" i="4"/>
  <c r="EB230" i="4"/>
  <c r="EB249" i="4"/>
  <c r="JL207" i="4"/>
  <c r="L50" i="9"/>
  <c r="GX207" i="4"/>
  <c r="BN230" i="4"/>
  <c r="BN249" i="4"/>
  <c r="BN250" i="4"/>
  <c r="GX240" i="4" s="1"/>
  <c r="DQ249" i="4"/>
  <c r="DQ250" i="4"/>
  <c r="JA240" i="4" s="1"/>
  <c r="DQ230" i="4"/>
  <c r="JA207" i="4"/>
  <c r="JH207" i="4"/>
  <c r="DX230" i="4"/>
  <c r="DX249" i="4"/>
  <c r="DX250" i="4"/>
  <c r="JH240" i="4" s="1"/>
  <c r="GT201" i="4"/>
  <c r="BR249" i="4"/>
  <c r="BR230" i="4"/>
  <c r="HB207" i="4"/>
  <c r="BR250" i="4"/>
  <c r="HB240" i="4" s="1"/>
  <c r="N50" i="9"/>
  <c r="DW230" i="4"/>
  <c r="DW249" i="4"/>
  <c r="DW250" i="4"/>
  <c r="JG240" i="4" s="1"/>
  <c r="JG207" i="4"/>
  <c r="HS207" i="4"/>
  <c r="CI250" i="4"/>
  <c r="HS240" i="4" s="1"/>
  <c r="CI230" i="4"/>
  <c r="CI249" i="4"/>
  <c r="GR201" i="4"/>
  <c r="DB249" i="4"/>
  <c r="IL207" i="4"/>
  <c r="DB230" i="4"/>
  <c r="DB250" i="4"/>
  <c r="IL240" i="4" s="1"/>
  <c r="DP230" i="4"/>
  <c r="IZ207" i="4"/>
  <c r="DP250" i="4"/>
  <c r="IZ240" i="4" s="1"/>
  <c r="DP249" i="4"/>
  <c r="BW249" i="4"/>
  <c r="HG207" i="4"/>
  <c r="BW230" i="4"/>
  <c r="BW250" i="4"/>
  <c r="HG240" i="4" s="1"/>
  <c r="GS201" i="4"/>
  <c r="GY207" i="4"/>
  <c r="BO249" i="4"/>
  <c r="BO230" i="4"/>
  <c r="BO250" i="4"/>
  <c r="GY240" i="4" s="1"/>
  <c r="HY207" i="4"/>
  <c r="CO249" i="4"/>
  <c r="CO250" i="4"/>
  <c r="HY240" i="4" s="1"/>
  <c r="CO230" i="4"/>
  <c r="BX249" i="4"/>
  <c r="BX230" i="4"/>
  <c r="HH207" i="4"/>
  <c r="BX250" i="4"/>
  <c r="HH240" i="4" s="1"/>
  <c r="CM230" i="4"/>
  <c r="HW207" i="4"/>
  <c r="CM250" i="4"/>
  <c r="HW240" i="4" s="1"/>
  <c r="CM249" i="4"/>
  <c r="GT207" i="4"/>
  <c r="BJ250" i="4"/>
  <c r="GT240" i="4" s="1"/>
  <c r="BJ230" i="4"/>
  <c r="BJ249" i="4"/>
  <c r="HC201" i="4"/>
  <c r="HP207" i="4"/>
  <c r="CF250" i="4"/>
  <c r="HP240" i="4" s="1"/>
  <c r="CF230" i="4"/>
  <c r="CF249" i="4"/>
  <c r="BH249" i="4"/>
  <c r="BH230" i="4"/>
  <c r="BH250" i="4"/>
  <c r="GR207" i="4"/>
  <c r="GW207" i="4"/>
  <c r="BM230" i="4"/>
  <c r="BM250" i="4"/>
  <c r="BM249" i="4"/>
  <c r="IU207" i="4"/>
  <c r="DK250" i="4"/>
  <c r="IU240" i="4" s="1"/>
  <c r="DK249" i="4"/>
  <c r="DK230" i="4"/>
  <c r="II207" i="4"/>
  <c r="CY230" i="4"/>
  <c r="CY250" i="4"/>
  <c r="II240" i="4" s="1"/>
  <c r="CY249" i="4"/>
  <c r="IZ201" i="4"/>
  <c r="BK250" i="4"/>
  <c r="GU240" i="4" s="1"/>
  <c r="BK249" i="4"/>
  <c r="BK230" i="4"/>
  <c r="GU207" i="4"/>
  <c r="CR250" i="4"/>
  <c r="IB240" i="4" s="1"/>
  <c r="CR230" i="4"/>
  <c r="CR249" i="4"/>
  <c r="IB207" i="4"/>
  <c r="HZ207" i="4"/>
  <c r="CP230" i="4"/>
  <c r="CP250" i="4"/>
  <c r="HZ240" i="4" s="1"/>
  <c r="CP249" i="4"/>
  <c r="BI230" i="4"/>
  <c r="BI250" i="4"/>
  <c r="GS207" i="4"/>
  <c r="BI249" i="4"/>
  <c r="JB207" i="4"/>
  <c r="DR250" i="4"/>
  <c r="JB240" i="4" s="1"/>
  <c r="DR230" i="4"/>
  <c r="DR249" i="4"/>
  <c r="Q50" i="9"/>
  <c r="CG230" i="4"/>
  <c r="CG249" i="4"/>
  <c r="HQ207" i="4"/>
  <c r="CG250" i="4"/>
  <c r="HQ240" i="4" s="1"/>
  <c r="DC249" i="4"/>
  <c r="DC250" i="4"/>
  <c r="IM240" i="4" s="1"/>
  <c r="DC230" i="4"/>
  <c r="IM207" i="4"/>
  <c r="BS249" i="4"/>
  <c r="BS230" i="4"/>
  <c r="BS250" i="4"/>
  <c r="HC240" i="4" s="1"/>
  <c r="HC207" i="4"/>
  <c r="IH207" i="4"/>
  <c r="CX249" i="4"/>
  <c r="CX230" i="4"/>
  <c r="CX250" i="4"/>
  <c r="IH240" i="4" s="1"/>
  <c r="CE249" i="4"/>
  <c r="CE230" i="4"/>
  <c r="HO207" i="4"/>
  <c r="CE250" i="4"/>
  <c r="HO240" i="4" s="1"/>
  <c r="IW207" i="4"/>
  <c r="DM249" i="4"/>
  <c r="DM230" i="4"/>
  <c r="DM250" i="4"/>
  <c r="IW240" i="4" s="1"/>
  <c r="JL201" i="4"/>
  <c r="CH250" i="4"/>
  <c r="HR240" i="4" s="1"/>
  <c r="CH230" i="4"/>
  <c r="CH249" i="4"/>
  <c r="HR207" i="4"/>
  <c r="JA201" i="4"/>
  <c r="CC250" i="4"/>
  <c r="HM240" i="4" s="1"/>
  <c r="CC230" i="4"/>
  <c r="CC249" i="4"/>
  <c r="HM207" i="4"/>
  <c r="HU207" i="4"/>
  <c r="CK249" i="4"/>
  <c r="CK250" i="4"/>
  <c r="HU240" i="4" s="1"/>
  <c r="CK230" i="4"/>
  <c r="HI207" i="4"/>
  <c r="BY230" i="4"/>
  <c r="BY249" i="4"/>
  <c r="BY250" i="4"/>
  <c r="HI240" i="4" s="1"/>
  <c r="DZ249" i="4"/>
  <c r="DZ250" i="4"/>
  <c r="JJ240" i="4" s="1"/>
  <c r="DZ230" i="4"/>
  <c r="JJ207" i="4"/>
  <c r="IG207" i="4"/>
  <c r="CW230" i="4"/>
  <c r="CW250" i="4"/>
  <c r="IG240" i="4" s="1"/>
  <c r="CW249" i="4"/>
  <c r="HT207" i="4"/>
  <c r="CJ249" i="4"/>
  <c r="CJ250" i="4"/>
  <c r="HT240" i="4" s="1"/>
  <c r="CJ230" i="4"/>
  <c r="BF249" i="4"/>
  <c r="GP207" i="4"/>
  <c r="BF250" i="4"/>
  <c r="BF230" i="4"/>
  <c r="JD207" i="4"/>
  <c r="DT230" i="4"/>
  <c r="DT249" i="4"/>
  <c r="DT250" i="4"/>
  <c r="JD240" i="4" s="1"/>
  <c r="HD207" i="4"/>
  <c r="BT230" i="4"/>
  <c r="BT250" i="4"/>
  <c r="HD240" i="4" s="1"/>
  <c r="BT249" i="4"/>
  <c r="P50" i="9"/>
  <c r="IF207" i="4"/>
  <c r="CV230" i="4"/>
  <c r="CV250" i="4"/>
  <c r="IF240" i="4" s="1"/>
  <c r="CV249" i="4"/>
  <c r="HA207" i="4"/>
  <c r="BQ230" i="4"/>
  <c r="BQ249" i="4"/>
  <c r="BQ250" i="4"/>
  <c r="HA240" i="4" s="1"/>
  <c r="GP201" i="4"/>
  <c r="HL201" i="4"/>
  <c r="IA207" i="4"/>
  <c r="CQ250" i="4"/>
  <c r="IA240" i="4" s="1"/>
  <c r="CQ230" i="4"/>
  <c r="CQ249" i="4"/>
  <c r="M50" i="9"/>
  <c r="IK207" i="4"/>
  <c r="DA250" i="4"/>
  <c r="IK240" i="4" s="1"/>
  <c r="DA230" i="4"/>
  <c r="DA249" i="4"/>
  <c r="IR207" i="4"/>
  <c r="DH230" i="4"/>
  <c r="DH249" i="4"/>
  <c r="DH250" i="4"/>
  <c r="IR240" i="4" s="1"/>
  <c r="HJ207" i="4"/>
  <c r="BZ249" i="4"/>
  <c r="BZ250" i="4"/>
  <c r="HJ240" i="4" s="1"/>
  <c r="BZ230" i="4"/>
  <c r="IY201" i="4"/>
  <c r="HF207" i="4"/>
  <c r="BV230" i="4"/>
  <c r="BV250" i="4"/>
  <c r="HF240" i="4" s="1"/>
  <c r="BV249" i="4"/>
  <c r="IT207" i="4"/>
  <c r="DJ230" i="4"/>
  <c r="DJ249" i="4"/>
  <c r="DJ250" i="4"/>
  <c r="IT240" i="4" s="1"/>
  <c r="IO207" i="4"/>
  <c r="DE230" i="4"/>
  <c r="DE250" i="4"/>
  <c r="IO240" i="4" s="1"/>
  <c r="DE249" i="4"/>
  <c r="GQ201" i="4"/>
  <c r="CU230" i="4"/>
  <c r="CU250" i="4"/>
  <c r="IE240" i="4" s="1"/>
  <c r="IE207" i="4"/>
  <c r="CU249" i="4"/>
  <c r="CD230" i="4"/>
  <c r="CD249" i="4"/>
  <c r="CD250" i="4"/>
  <c r="HN240" i="4" s="1"/>
  <c r="HN207" i="4"/>
  <c r="IC207" i="4"/>
  <c r="CS249" i="4"/>
  <c r="CS250" i="4"/>
  <c r="IC240" i="4" s="1"/>
  <c r="CS230" i="4"/>
  <c r="HX207" i="4"/>
  <c r="CN249" i="4"/>
  <c r="CN250" i="4"/>
  <c r="HX240" i="4" s="1"/>
  <c r="CN230" i="4"/>
  <c r="HV207" i="4"/>
  <c r="CL249" i="4"/>
  <c r="CL230" i="4"/>
  <c r="CL250" i="4"/>
  <c r="HV240" i="4" s="1"/>
  <c r="CB249" i="4"/>
  <c r="CB250" i="4"/>
  <c r="HL240" i="4" s="1"/>
  <c r="CB230" i="4"/>
  <c r="HL207" i="4"/>
  <c r="GV207" i="4"/>
  <c r="BL249" i="4"/>
  <c r="BL230" i="4"/>
  <c r="BL250" i="4"/>
  <c r="GV240" i="4" s="1"/>
  <c r="HE207" i="4"/>
  <c r="BU250" i="4"/>
  <c r="HE240" i="4" s="1"/>
  <c r="BU249" i="4"/>
  <c r="BU230" i="4"/>
  <c r="HK207" i="4"/>
  <c r="CA249" i="4"/>
  <c r="CA250" i="4"/>
  <c r="HK240" i="4" s="1"/>
  <c r="CA230" i="4"/>
  <c r="EA230" i="4"/>
  <c r="EA249" i="4"/>
  <c r="EA250" i="4"/>
  <c r="JK207" i="4"/>
  <c r="IS207" i="4"/>
  <c r="DI249" i="4"/>
  <c r="DI230" i="4"/>
  <c r="DI250" i="4"/>
  <c r="IS240" i="4" s="1"/>
  <c r="DU249" i="4"/>
  <c r="DU230" i="4"/>
  <c r="DU250" i="4"/>
  <c r="JE240" i="4" s="1"/>
  <c r="JE207" i="4"/>
  <c r="BP230" i="4"/>
  <c r="BP249" i="4"/>
  <c r="BP250" i="4"/>
  <c r="GZ240" i="4" s="1"/>
  <c r="GZ207" i="4"/>
  <c r="DO250" i="4"/>
  <c r="IY240" i="4" s="1"/>
  <c r="DO230" i="4"/>
  <c r="IY207" i="4"/>
  <c r="DO249" i="4"/>
  <c r="CZ230" i="4"/>
  <c r="CZ249" i="4"/>
  <c r="IJ207" i="4"/>
  <c r="CZ250" i="4"/>
  <c r="IJ240" i="4" s="1"/>
  <c r="HF201" i="4"/>
  <c r="BG250" i="4"/>
  <c r="BG230" i="4"/>
  <c r="BG249" i="4"/>
  <c r="GQ207" i="4"/>
  <c r="DG250" i="4"/>
  <c r="IQ240" i="4" s="1"/>
  <c r="DG230" i="4"/>
  <c r="DG249" i="4"/>
  <c r="IQ207" i="4"/>
  <c r="DF249" i="4"/>
  <c r="IP207" i="4"/>
  <c r="DF250" i="4"/>
  <c r="IP240" i="4" s="1"/>
  <c r="DF230" i="4"/>
  <c r="JF207" i="4"/>
  <c r="DV250" i="4"/>
  <c r="JF240" i="4" s="1"/>
  <c r="DV230" i="4"/>
  <c r="DV249" i="4"/>
  <c r="JC207" i="4"/>
  <c r="DS230" i="4"/>
  <c r="DS249" i="4"/>
  <c r="DS250" i="4"/>
  <c r="JC240" i="4" s="1"/>
  <c r="ID207" i="4"/>
  <c r="CT250" i="4"/>
  <c r="ID240" i="4" s="1"/>
  <c r="CT249" i="4"/>
  <c r="CT230" i="4"/>
  <c r="JI207" i="4"/>
  <c r="DY249" i="4"/>
  <c r="DY230" i="4"/>
  <c r="DY250" i="4"/>
  <c r="JI240" i="4" s="1"/>
  <c r="IV207" i="4"/>
  <c r="DL230" i="4"/>
  <c r="DL250" i="4"/>
  <c r="IV240" i="4" s="1"/>
  <c r="DL249" i="4"/>
  <c r="IX207" i="4"/>
  <c r="DN250" i="4"/>
  <c r="IX240" i="4" s="1"/>
  <c r="DN249" i="4"/>
  <c r="DN230" i="4"/>
  <c r="DD230" i="4"/>
  <c r="DD249" i="4"/>
  <c r="DD250" i="4"/>
  <c r="IN240" i="4" s="1"/>
  <c r="IN207" i="4"/>
  <c r="J50" i="9"/>
  <c r="I50" i="9"/>
  <c r="K50" i="9"/>
  <c r="FJ207" i="4"/>
  <c r="Z250" i="4"/>
  <c r="Z249" i="4"/>
  <c r="Z230" i="4"/>
  <c r="FS207" i="4"/>
  <c r="AI250" i="4"/>
  <c r="AI230" i="4"/>
  <c r="AI249" i="4"/>
  <c r="L251" i="4"/>
  <c r="FE201" i="4"/>
  <c r="GA201" i="4"/>
  <c r="FW201" i="4"/>
  <c r="GC201" i="4"/>
  <c r="BA250" i="4"/>
  <c r="BA249" i="4"/>
  <c r="BA230" i="4"/>
  <c r="GK207" i="4"/>
  <c r="AW250" i="4"/>
  <c r="GG207" i="4"/>
  <c r="AW249" i="4"/>
  <c r="AW230" i="4"/>
  <c r="AA250" i="4"/>
  <c r="FK207" i="4"/>
  <c r="AA230" i="4"/>
  <c r="AA249" i="4"/>
  <c r="EV240" i="4"/>
  <c r="FI201" i="4"/>
  <c r="FG201" i="4"/>
  <c r="EY201" i="4"/>
  <c r="FN201" i="4"/>
  <c r="GL207" i="4"/>
  <c r="BB249" i="4"/>
  <c r="BB250" i="4"/>
  <c r="BB230" i="4"/>
  <c r="AE249" i="4"/>
  <c r="AE250" i="4"/>
  <c r="AE230" i="4"/>
  <c r="FO207" i="4"/>
  <c r="GN207" i="4"/>
  <c r="BD250" i="4"/>
  <c r="BD249" i="4"/>
  <c r="BD230" i="4"/>
  <c r="FQ207" i="4"/>
  <c r="AG250" i="4"/>
  <c r="AG230" i="4"/>
  <c r="AG249" i="4"/>
  <c r="FO201" i="4"/>
  <c r="FA207" i="4"/>
  <c r="Q249" i="4"/>
  <c r="Q230" i="4"/>
  <c r="Q250" i="4"/>
  <c r="FB201" i="4"/>
  <c r="EV204" i="4"/>
  <c r="EV203" i="4"/>
  <c r="EW199" i="4" s="1"/>
  <c r="AV250" i="4"/>
  <c r="AV249" i="4"/>
  <c r="AV230" i="4"/>
  <c r="GF207" i="4"/>
  <c r="FQ201" i="4"/>
  <c r="GD207" i="4"/>
  <c r="AT250" i="4"/>
  <c r="AT230" i="4"/>
  <c r="AT249" i="4"/>
  <c r="AJ249" i="4"/>
  <c r="FT207" i="4"/>
  <c r="AJ230" i="4"/>
  <c r="AJ250" i="4"/>
  <c r="AX250" i="4"/>
  <c r="GH207" i="4"/>
  <c r="AX230" i="4"/>
  <c r="AX249" i="4"/>
  <c r="GK201" i="4"/>
  <c r="FH201" i="4"/>
  <c r="FK201" i="4"/>
  <c r="R249" i="4"/>
  <c r="FB207" i="4"/>
  <c r="R230" i="4"/>
  <c r="R250" i="4"/>
  <c r="FV201" i="4"/>
  <c r="GN201" i="4"/>
  <c r="GL201" i="4"/>
  <c r="FT201" i="4"/>
  <c r="EV217" i="4"/>
  <c r="EV208" i="4"/>
  <c r="EV209" i="4" s="1"/>
  <c r="EW205" i="4" s="1"/>
  <c r="GI201" i="4"/>
  <c r="EX201" i="4"/>
  <c r="FC201" i="4"/>
  <c r="FL201" i="4"/>
  <c r="FJ201" i="4"/>
  <c r="GH201" i="4"/>
  <c r="FS201" i="4"/>
  <c r="FM207" i="4"/>
  <c r="AC250" i="4"/>
  <c r="AC249" i="4"/>
  <c r="AC230" i="4"/>
  <c r="GB207" i="4"/>
  <c r="AR250" i="4"/>
  <c r="AR249" i="4"/>
  <c r="AR230" i="4"/>
  <c r="P250" i="4"/>
  <c r="P249" i="4"/>
  <c r="P230" i="4"/>
  <c r="EZ207" i="4"/>
  <c r="FY207" i="4"/>
  <c r="AO249" i="4"/>
  <c r="AO250" i="4"/>
  <c r="AO230" i="4"/>
  <c r="GF201" i="4"/>
  <c r="AL249" i="4"/>
  <c r="AL250" i="4"/>
  <c r="AL230" i="4"/>
  <c r="FV207" i="4"/>
  <c r="AP250" i="4"/>
  <c r="FZ207" i="4"/>
  <c r="AP249" i="4"/>
  <c r="AP230" i="4"/>
  <c r="FR207" i="4"/>
  <c r="AH250" i="4"/>
  <c r="AH249" i="4"/>
  <c r="AH230" i="4"/>
  <c r="AZ250" i="4"/>
  <c r="AZ249" i="4"/>
  <c r="AZ230" i="4"/>
  <c r="GJ207" i="4"/>
  <c r="GO207" i="4"/>
  <c r="BE230" i="4"/>
  <c r="BE249" i="4"/>
  <c r="BE250" i="4"/>
  <c r="S249" i="4"/>
  <c r="S250" i="4"/>
  <c r="S230" i="4"/>
  <c r="FC207" i="4"/>
  <c r="EX207" i="4"/>
  <c r="N250" i="4"/>
  <c r="N230" i="4"/>
  <c r="N249" i="4"/>
  <c r="GG201" i="4"/>
  <c r="FU201" i="4"/>
  <c r="AU249" i="4"/>
  <c r="AU250" i="4"/>
  <c r="GE207" i="4"/>
  <c r="AU230" i="4"/>
  <c r="AM250" i="4"/>
  <c r="AM249" i="4"/>
  <c r="FW207" i="4"/>
  <c r="AM230" i="4"/>
  <c r="AS250" i="4"/>
  <c r="GC207" i="4"/>
  <c r="AS230" i="4"/>
  <c r="AS249" i="4"/>
  <c r="FY201" i="4"/>
  <c r="FA201" i="4"/>
  <c r="GM207" i="4"/>
  <c r="BC250" i="4"/>
  <c r="BC249" i="4"/>
  <c r="BC230" i="4"/>
  <c r="O250" i="4"/>
  <c r="O249" i="4"/>
  <c r="O230" i="4"/>
  <c r="EY207" i="4"/>
  <c r="GD201" i="4"/>
  <c r="FZ201" i="4"/>
  <c r="GJ201" i="4"/>
  <c r="AB250" i="4"/>
  <c r="AB249" i="4"/>
  <c r="AB230" i="4"/>
  <c r="FL207" i="4"/>
  <c r="FH207" i="4"/>
  <c r="X250" i="4"/>
  <c r="X230" i="4"/>
  <c r="X249" i="4"/>
  <c r="FD207" i="4"/>
  <c r="T249" i="4"/>
  <c r="T230" i="4"/>
  <c r="T250" i="4"/>
  <c r="U249" i="4"/>
  <c r="U250" i="4"/>
  <c r="U230" i="4"/>
  <c r="FE207" i="4"/>
  <c r="GB201" i="4"/>
  <c r="FD201" i="4"/>
  <c r="AK249" i="4"/>
  <c r="AK250" i="4"/>
  <c r="AK230" i="4"/>
  <c r="FU207" i="4"/>
  <c r="AY250" i="4"/>
  <c r="GI207" i="4"/>
  <c r="AY230" i="4"/>
  <c r="AY249" i="4"/>
  <c r="FX207" i="4"/>
  <c r="AN250" i="4"/>
  <c r="AN230" i="4"/>
  <c r="AN249" i="4"/>
  <c r="FI207" i="4"/>
  <c r="Y250" i="4"/>
  <c r="Y230" i="4"/>
  <c r="Y249" i="4"/>
  <c r="GM201" i="4"/>
  <c r="AD250" i="4"/>
  <c r="AD249" i="4"/>
  <c r="AD230" i="4"/>
  <c r="FN207" i="4"/>
  <c r="FP207" i="4"/>
  <c r="AF250" i="4"/>
  <c r="AF230" i="4"/>
  <c r="AF249" i="4"/>
  <c r="FF207" i="4"/>
  <c r="V249" i="4"/>
  <c r="V250" i="4"/>
  <c r="V230" i="4"/>
  <c r="H107" i="9"/>
  <c r="H50" i="9" s="1"/>
  <c r="EW196" i="4"/>
  <c r="M229" i="4"/>
  <c r="M228" i="4"/>
  <c r="I213" i="4"/>
  <c r="N26" i="1" s="1"/>
  <c r="H213" i="4"/>
  <c r="G213" i="4"/>
  <c r="GE201" i="4"/>
  <c r="AQ249" i="4"/>
  <c r="GA207" i="4"/>
  <c r="AQ250" i="4"/>
  <c r="AQ230" i="4"/>
  <c r="FM201" i="4"/>
  <c r="EZ201" i="4"/>
  <c r="FX201" i="4"/>
  <c r="FG207" i="4"/>
  <c r="W250" i="4"/>
  <c r="W230" i="4"/>
  <c r="W249" i="4"/>
  <c r="FP201" i="4"/>
  <c r="FF201" i="4"/>
  <c r="FR201" i="4"/>
  <c r="GO201" i="4"/>
  <c r="BV251" i="4" l="1"/>
  <c r="BF251" i="4"/>
  <c r="CK251" i="4"/>
  <c r="DC251" i="4"/>
  <c r="DR251" i="4"/>
  <c r="CR251" i="4"/>
  <c r="BR251" i="4"/>
  <c r="CA251" i="4"/>
  <c r="CB251" i="4"/>
  <c r="BZ251" i="4"/>
  <c r="DA251" i="4"/>
  <c r="BQ251" i="4"/>
  <c r="DT251" i="4"/>
  <c r="CE251" i="4"/>
  <c r="DK251" i="4"/>
  <c r="DW251" i="4"/>
  <c r="CT251" i="4"/>
  <c r="CN251" i="4"/>
  <c r="BY251" i="4"/>
  <c r="CP251" i="4"/>
  <c r="CI251" i="4"/>
  <c r="DN251" i="4"/>
  <c r="DV251" i="4"/>
  <c r="DF251" i="4"/>
  <c r="BG251" i="4"/>
  <c r="CZ251" i="4"/>
  <c r="DU251" i="4"/>
  <c r="JK240" i="4"/>
  <c r="BL251" i="4"/>
  <c r="BT251" i="4"/>
  <c r="CH251" i="4"/>
  <c r="DM251" i="4"/>
  <c r="BS251" i="4"/>
  <c r="CY251" i="4"/>
  <c r="GR240" i="4"/>
  <c r="CM251" i="4"/>
  <c r="BX251" i="4"/>
  <c r="EA251" i="4"/>
  <c r="CD251" i="4"/>
  <c r="DJ251" i="4"/>
  <c r="CJ251" i="4"/>
  <c r="CC251" i="4"/>
  <c r="CG251" i="4"/>
  <c r="BO251" i="4"/>
  <c r="BW251" i="4"/>
  <c r="DQ251" i="4"/>
  <c r="GQ240" i="4"/>
  <c r="BP251" i="4"/>
  <c r="BU251" i="4"/>
  <c r="CL251" i="4"/>
  <c r="DH251" i="4"/>
  <c r="CV251" i="4"/>
  <c r="CX251" i="4"/>
  <c r="BI251" i="4"/>
  <c r="BM251" i="4"/>
  <c r="BH251" i="4"/>
  <c r="DX251" i="4"/>
  <c r="EB251" i="4"/>
  <c r="DY251" i="4"/>
  <c r="DG251" i="4"/>
  <c r="DO251" i="4"/>
  <c r="DE251" i="4"/>
  <c r="GP240" i="4"/>
  <c r="BK251" i="4"/>
  <c r="GW240" i="4"/>
  <c r="BJ251" i="4"/>
  <c r="DP251" i="4"/>
  <c r="DB251" i="4"/>
  <c r="DD251" i="4"/>
  <c r="DL251" i="4"/>
  <c r="DS251" i="4"/>
  <c r="DI251" i="4"/>
  <c r="CS251" i="4"/>
  <c r="CU251" i="4"/>
  <c r="CQ251" i="4"/>
  <c r="CW251" i="4"/>
  <c r="DZ251" i="4"/>
  <c r="GS240" i="4"/>
  <c r="CF251" i="4"/>
  <c r="CO251" i="4"/>
  <c r="BN251" i="4"/>
  <c r="JL240" i="4"/>
  <c r="EV210" i="4"/>
  <c r="FG240" i="4"/>
  <c r="FF240" i="4"/>
  <c r="N251" i="4"/>
  <c r="FC240" i="4"/>
  <c r="AV251" i="4"/>
  <c r="W251" i="4"/>
  <c r="V251" i="4"/>
  <c r="Y251" i="4"/>
  <c r="AK251" i="4"/>
  <c r="FE240" i="4"/>
  <c r="AS251" i="4"/>
  <c r="AM251" i="4"/>
  <c r="S251" i="4"/>
  <c r="P251" i="4"/>
  <c r="GF240" i="4"/>
  <c r="FS240" i="4"/>
  <c r="GA240" i="4"/>
  <c r="FX240" i="4"/>
  <c r="AQ251" i="4"/>
  <c r="U251" i="4"/>
  <c r="FW240" i="4"/>
  <c r="GO240" i="4"/>
  <c r="AZ251" i="4"/>
  <c r="FV240" i="4"/>
  <c r="EZ240" i="4"/>
  <c r="AC251" i="4"/>
  <c r="R251" i="4"/>
  <c r="GH240" i="4"/>
  <c r="EW200" i="4"/>
  <c r="EW202" i="4" s="1"/>
  <c r="FA240" i="4"/>
  <c r="FK240" i="4"/>
  <c r="BA251" i="4"/>
  <c r="P26" i="1"/>
  <c r="C5" i="4"/>
  <c r="C5" i="7" s="1"/>
  <c r="FU240" i="4"/>
  <c r="M250" i="4"/>
  <c r="M249" i="4"/>
  <c r="M230" i="4"/>
  <c r="EW207" i="4"/>
  <c r="I228" i="4"/>
  <c r="EW201" i="4"/>
  <c r="I229" i="4"/>
  <c r="D223" i="4" s="1"/>
  <c r="AD251" i="4"/>
  <c r="FI240" i="4"/>
  <c r="AY251" i="4"/>
  <c r="EX240" i="4"/>
  <c r="BE251" i="4"/>
  <c r="GJ240" i="4"/>
  <c r="AP251" i="4"/>
  <c r="FY240" i="4"/>
  <c r="FM240" i="4"/>
  <c r="FT240" i="4"/>
  <c r="GK240" i="4"/>
  <c r="AF251" i="4"/>
  <c r="FN240" i="4"/>
  <c r="FD240" i="4"/>
  <c r="BC251" i="4"/>
  <c r="AL251" i="4"/>
  <c r="AO251" i="4"/>
  <c r="AT251" i="4"/>
  <c r="BD251" i="4"/>
  <c r="GL240" i="4"/>
  <c r="AW251" i="4"/>
  <c r="X251" i="4"/>
  <c r="AB251" i="4"/>
  <c r="GM240" i="4"/>
  <c r="GC240" i="4"/>
  <c r="FZ240" i="4"/>
  <c r="AR251" i="4"/>
  <c r="Q251" i="4"/>
  <c r="AG251" i="4"/>
  <c r="GN240" i="4"/>
  <c r="BB251" i="4"/>
  <c r="Z251" i="4"/>
  <c r="FP240" i="4"/>
  <c r="AN251" i="4"/>
  <c r="T251" i="4"/>
  <c r="FL240" i="4"/>
  <c r="O251" i="4"/>
  <c r="GE240" i="4"/>
  <c r="AH251" i="4"/>
  <c r="GB240" i="4"/>
  <c r="AX251" i="4"/>
  <c r="FO240" i="4"/>
  <c r="AA251" i="4"/>
  <c r="GG240" i="4"/>
  <c r="AI251" i="4"/>
  <c r="FJ240" i="4"/>
  <c r="I272" i="4"/>
  <c r="P34" i="1" s="1"/>
  <c r="O26" i="1"/>
  <c r="E5" i="4"/>
  <c r="E5" i="7" s="1"/>
  <c r="E272" i="4"/>
  <c r="I281" i="4"/>
  <c r="E281" i="4"/>
  <c r="GI240" i="4"/>
  <c r="FH240" i="4"/>
  <c r="EY240" i="4"/>
  <c r="AU251" i="4"/>
  <c r="FR240" i="4"/>
  <c r="EW206" i="4"/>
  <c r="EV212" i="4"/>
  <c r="FB240" i="4"/>
  <c r="AJ251" i="4"/>
  <c r="GD240" i="4"/>
  <c r="FQ240" i="4"/>
  <c r="AE251" i="4"/>
  <c r="EW203" i="4" l="1"/>
  <c r="EX199" i="4" s="1"/>
  <c r="EX200" i="4" s="1"/>
  <c r="EX202" i="4" s="1"/>
  <c r="M251" i="4"/>
  <c r="I249" i="4"/>
  <c r="L233" i="4"/>
  <c r="EV213" i="4"/>
  <c r="EV218" i="4" s="1"/>
  <c r="EW240" i="4"/>
  <c r="I250" i="4"/>
  <c r="D225" i="4" s="1"/>
  <c r="I230" i="4"/>
  <c r="D224" i="4"/>
  <c r="EW217" i="4"/>
  <c r="EW208" i="4"/>
  <c r="EW204" i="4"/>
  <c r="EX217" i="4" l="1"/>
  <c r="EX208" i="4"/>
  <c r="EX204" i="4"/>
  <c r="EX203" i="4"/>
  <c r="EY199" i="4" s="1"/>
  <c r="EW212" i="4"/>
  <c r="E35" i="1"/>
  <c r="F37" i="1"/>
  <c r="EW210" i="4"/>
  <c r="EV221" i="4"/>
  <c r="EV226" i="4"/>
  <c r="EV219" i="4"/>
  <c r="EW215" i="4" s="1"/>
  <c r="EV220" i="4"/>
  <c r="I251" i="4"/>
  <c r="EW209" i="4"/>
  <c r="EX205" i="4" s="1"/>
  <c r="E37" i="1" l="1"/>
  <c r="D37" i="1"/>
  <c r="D36" i="1"/>
  <c r="E36" i="1"/>
  <c r="D34" i="1"/>
  <c r="D33" i="1"/>
  <c r="D32" i="1"/>
  <c r="D35" i="1"/>
  <c r="EX212" i="4"/>
  <c r="EX210" i="4"/>
  <c r="M233" i="4"/>
  <c r="EW213" i="4"/>
  <c r="EX206" i="4"/>
  <c r="EX209" i="4" s="1"/>
  <c r="EY205" i="4" s="1"/>
  <c r="EY200" i="4"/>
  <c r="EY202" i="4" s="1"/>
  <c r="EW216" i="4"/>
  <c r="EW218" i="4" s="1"/>
  <c r="EV222" i="4"/>
  <c r="EY217" i="4" l="1"/>
  <c r="EY208" i="4"/>
  <c r="EY204" i="4"/>
  <c r="EY203" i="4"/>
  <c r="EZ199" i="4" s="1"/>
  <c r="EW221" i="4"/>
  <c r="EW226" i="4"/>
  <c r="EW220" i="4"/>
  <c r="EY206" i="4"/>
  <c r="L234" i="4"/>
  <c r="EV223" i="4"/>
  <c r="EW219" i="4"/>
  <c r="EX215" i="4" s="1"/>
  <c r="N233" i="4"/>
  <c r="EX213" i="4"/>
  <c r="EW222" i="4" l="1"/>
  <c r="EV227" i="4"/>
  <c r="EY212" i="4"/>
  <c r="EY210" i="4"/>
  <c r="EY209" i="4"/>
  <c r="EZ205" i="4" s="1"/>
  <c r="EX216" i="4"/>
  <c r="EX218" i="4" s="1"/>
  <c r="EZ200" i="4"/>
  <c r="EZ202" i="4" s="1"/>
  <c r="EZ217" i="4" l="1"/>
  <c r="EZ208" i="4"/>
  <c r="EZ204" i="4"/>
  <c r="EX221" i="4"/>
  <c r="EX226" i="4"/>
  <c r="EX220" i="4"/>
  <c r="EZ203" i="4"/>
  <c r="FA199" i="4" s="1"/>
  <c r="O233" i="4"/>
  <c r="EY213" i="4"/>
  <c r="EV230" i="4"/>
  <c r="EV229" i="4"/>
  <c r="EV228" i="4"/>
  <c r="EW224" i="4" s="1"/>
  <c r="EX219" i="4"/>
  <c r="EY215" i="4" s="1"/>
  <c r="EZ206" i="4"/>
  <c r="EZ209" i="4" s="1"/>
  <c r="FA205" i="4" s="1"/>
  <c r="M234" i="4"/>
  <c r="EW223" i="4"/>
  <c r="EX222" i="4" l="1"/>
  <c r="FA206" i="4"/>
  <c r="EV231" i="4"/>
  <c r="EZ212" i="4"/>
  <c r="EZ210" i="4"/>
  <c r="EW225" i="4"/>
  <c r="EW227" i="4" s="1"/>
  <c r="EW228" i="4" s="1"/>
  <c r="EX224" i="4" s="1"/>
  <c r="EY216" i="4"/>
  <c r="FA200" i="4"/>
  <c r="FA202" i="4" s="1"/>
  <c r="FA203" i="4" s="1"/>
  <c r="FB199" i="4" s="1"/>
  <c r="EY218" i="4" l="1"/>
  <c r="EY219" i="4" s="1"/>
  <c r="EZ215" i="4" s="1"/>
  <c r="EZ216" i="4" s="1"/>
  <c r="FB200" i="4"/>
  <c r="FB202" i="4" s="1"/>
  <c r="FB203" i="4" s="1"/>
  <c r="FC199" i="4" s="1"/>
  <c r="EW230" i="4"/>
  <c r="EW229" i="4"/>
  <c r="L235" i="4"/>
  <c r="EV232" i="4"/>
  <c r="EX225" i="4"/>
  <c r="P233" i="4"/>
  <c r="EZ213" i="4"/>
  <c r="FA208" i="4"/>
  <c r="FA217" i="4"/>
  <c r="FA204" i="4"/>
  <c r="N234" i="4"/>
  <c r="EX223" i="4"/>
  <c r="EY221" i="4" l="1"/>
  <c r="EY222" i="4" s="1"/>
  <c r="EY220" i="4"/>
  <c r="EY226" i="4"/>
  <c r="EZ218" i="4"/>
  <c r="EZ221" i="4" s="1"/>
  <c r="EX227" i="4"/>
  <c r="EX230" i="4" s="1"/>
  <c r="FC200" i="4"/>
  <c r="FC202" i="4" s="1"/>
  <c r="EW231" i="4"/>
  <c r="FA212" i="4"/>
  <c r="FA210" i="4"/>
  <c r="FA209" i="4"/>
  <c r="FB205" i="4" s="1"/>
  <c r="EV234" i="4"/>
  <c r="L239" i="4" s="1"/>
  <c r="EV233" i="4"/>
  <c r="FB217" i="4"/>
  <c r="FB208" i="4"/>
  <c r="FB204" i="4"/>
  <c r="EZ219" i="4" l="1"/>
  <c r="FA215" i="4" s="1"/>
  <c r="FA216" i="4" s="1"/>
  <c r="EZ220" i="4"/>
  <c r="EZ226" i="4"/>
  <c r="EX228" i="4"/>
  <c r="EY224" i="4" s="1"/>
  <c r="EY225" i="4" s="1"/>
  <c r="EX229" i="4"/>
  <c r="FC217" i="4"/>
  <c r="FC208" i="4"/>
  <c r="FC204" i="4"/>
  <c r="FC203" i="4"/>
  <c r="FD199" i="4" s="1"/>
  <c r="Q233" i="4"/>
  <c r="FA213" i="4"/>
  <c r="EV235" i="4"/>
  <c r="L236" i="4" s="1"/>
  <c r="L240" i="4"/>
  <c r="L241" i="4" s="1"/>
  <c r="M235" i="4"/>
  <c r="EW232" i="4"/>
  <c r="EZ222" i="4"/>
  <c r="FB206" i="4"/>
  <c r="FB209" i="4" s="1"/>
  <c r="FC205" i="4" s="1"/>
  <c r="O234" i="4"/>
  <c r="EY223" i="4"/>
  <c r="L244" i="4"/>
  <c r="FB212" i="4"/>
  <c r="FB210" i="4"/>
  <c r="EX231" i="4"/>
  <c r="P234" i="4" l="1"/>
  <c r="EZ223" i="4"/>
  <c r="FD200" i="4"/>
  <c r="FD202" i="4" s="1"/>
  <c r="FD203" i="4" s="1"/>
  <c r="FE199" i="4" s="1"/>
  <c r="FA218" i="4"/>
  <c r="FC206" i="4"/>
  <c r="FC209" i="4" s="1"/>
  <c r="FD205" i="4" s="1"/>
  <c r="FC212" i="4"/>
  <c r="FC210" i="4"/>
  <c r="R233" i="4"/>
  <c r="FB213" i="4"/>
  <c r="L245" i="4"/>
  <c r="L246" i="4" s="1"/>
  <c r="EV236" i="4"/>
  <c r="EY227" i="4"/>
  <c r="EY228" i="4" s="1"/>
  <c r="EZ224" i="4" s="1"/>
  <c r="EW234" i="4"/>
  <c r="M239" i="4" s="1"/>
  <c r="EW233" i="4"/>
  <c r="N235" i="4"/>
  <c r="EX232" i="4"/>
  <c r="FD206" i="4" l="1"/>
  <c r="EZ225" i="4"/>
  <c r="EZ227" i="4" s="1"/>
  <c r="FE200" i="4"/>
  <c r="FA221" i="4"/>
  <c r="FA226" i="4"/>
  <c r="FA220" i="4"/>
  <c r="EX233" i="4"/>
  <c r="EX234" i="4"/>
  <c r="N239" i="4" s="1"/>
  <c r="FD217" i="4"/>
  <c r="FD208" i="4"/>
  <c r="FD204" i="4"/>
  <c r="M244" i="4"/>
  <c r="S233" i="4"/>
  <c r="FC213" i="4"/>
  <c r="EW235" i="4"/>
  <c r="M236" i="4" s="1"/>
  <c r="M240" i="4"/>
  <c r="EV241" i="4"/>
  <c r="EY230" i="4"/>
  <c r="EY229" i="4"/>
  <c r="FA219" i="4"/>
  <c r="FB215" i="4" s="1"/>
  <c r="EZ230" i="4" l="1"/>
  <c r="EZ229" i="4"/>
  <c r="FE202" i="4"/>
  <c r="EW236" i="4"/>
  <c r="M245" i="4"/>
  <c r="M246" i="4" s="1"/>
  <c r="M241" i="4"/>
  <c r="EX235" i="4"/>
  <c r="N236" i="4" s="1"/>
  <c r="N240" i="4"/>
  <c r="N245" i="4" s="1"/>
  <c r="EZ228" i="4"/>
  <c r="FA224" i="4" s="1"/>
  <c r="FD212" i="4"/>
  <c r="FD210" i="4"/>
  <c r="N244" i="4"/>
  <c r="EY231" i="4"/>
  <c r="FB216" i="4"/>
  <c r="FB218" i="4" s="1"/>
  <c r="EV249" i="4"/>
  <c r="EV244" i="4"/>
  <c r="EV243" i="4"/>
  <c r="EV242" i="4"/>
  <c r="EW238" i="4" s="1"/>
  <c r="FA222" i="4"/>
  <c r="FD209" i="4"/>
  <c r="FE205" i="4" s="1"/>
  <c r="FB221" i="4" l="1"/>
  <c r="FB226" i="4"/>
  <c r="FB220" i="4"/>
  <c r="EV245" i="4"/>
  <c r="FE217" i="4"/>
  <c r="FE208" i="4"/>
  <c r="FE204" i="4"/>
  <c r="FE206" i="4"/>
  <c r="FE209" i="4" s="1"/>
  <c r="FF205" i="4" s="1"/>
  <c r="N241" i="4"/>
  <c r="FB219" i="4"/>
  <c r="FC215" i="4" s="1"/>
  <c r="EW239" i="4"/>
  <c r="EW241" i="4" s="1"/>
  <c r="EW242" i="4" s="1"/>
  <c r="EX238" i="4" s="1"/>
  <c r="O235" i="4"/>
  <c r="EY232" i="4"/>
  <c r="N246" i="4"/>
  <c r="EX236" i="4"/>
  <c r="Q234" i="4"/>
  <c r="FA223" i="4"/>
  <c r="T233" i="4"/>
  <c r="FD213" i="4"/>
  <c r="EZ231" i="4"/>
  <c r="FA225" i="4"/>
  <c r="FE203" i="4"/>
  <c r="FF199" i="4" s="1"/>
  <c r="FA227" i="4" l="1"/>
  <c r="FA228" i="4" s="1"/>
  <c r="FB224" i="4" s="1"/>
  <c r="FB225" i="4" s="1"/>
  <c r="FF206" i="4"/>
  <c r="L254" i="4"/>
  <c r="EV246" i="4"/>
  <c r="EV250" i="4" s="1"/>
  <c r="P235" i="4"/>
  <c r="EZ232" i="4"/>
  <c r="FE212" i="4"/>
  <c r="FE210" i="4"/>
  <c r="EW249" i="4"/>
  <c r="EW244" i="4"/>
  <c r="EW243" i="4"/>
  <c r="FF200" i="4"/>
  <c r="FF202" i="4" s="1"/>
  <c r="EX239" i="4"/>
  <c r="EX241" i="4" s="1"/>
  <c r="EY233" i="4"/>
  <c r="EY234" i="4"/>
  <c r="O239" i="4" s="1"/>
  <c r="FA230" i="4"/>
  <c r="FA229" i="4"/>
  <c r="FC216" i="4"/>
  <c r="FC218" i="4" s="1"/>
  <c r="FB222" i="4"/>
  <c r="EX242" i="4" l="1"/>
  <c r="EY238" i="4" s="1"/>
  <c r="EY239" i="4" s="1"/>
  <c r="FC221" i="4"/>
  <c r="FC226" i="4"/>
  <c r="FC220" i="4"/>
  <c r="FC219" i="4"/>
  <c r="FD215" i="4" s="1"/>
  <c r="FF217" i="4"/>
  <c r="FF208" i="4"/>
  <c r="FF209" i="4" s="1"/>
  <c r="FG205" i="4" s="1"/>
  <c r="FF204" i="4"/>
  <c r="EV253" i="4"/>
  <c r="EV258" i="4"/>
  <c r="EV252" i="4"/>
  <c r="EV251" i="4"/>
  <c r="EW247" i="4" s="1"/>
  <c r="FF203" i="4"/>
  <c r="FG199" i="4" s="1"/>
  <c r="O244" i="4"/>
  <c r="U233" i="4"/>
  <c r="FE213" i="4"/>
  <c r="EY235" i="4"/>
  <c r="O236" i="4" s="1"/>
  <c r="O240" i="4"/>
  <c r="O241" i="4" s="1"/>
  <c r="EW245" i="4"/>
  <c r="EZ233" i="4"/>
  <c r="EZ234" i="4"/>
  <c r="P239" i="4" s="1"/>
  <c r="EX244" i="4"/>
  <c r="EX249" i="4"/>
  <c r="EX243" i="4"/>
  <c r="FA231" i="4"/>
  <c r="R234" i="4"/>
  <c r="FB223" i="4"/>
  <c r="FB227" i="4" s="1"/>
  <c r="EV254" i="4" l="1"/>
  <c r="M254" i="4"/>
  <c r="EW246" i="4"/>
  <c r="Q235" i="4"/>
  <c r="FA232" i="4"/>
  <c r="O245" i="4"/>
  <c r="O246" i="4" s="1"/>
  <c r="FG200" i="4"/>
  <c r="FG202" i="4" s="1"/>
  <c r="FD216" i="4"/>
  <c r="EY236" i="4"/>
  <c r="EW248" i="4"/>
  <c r="FG206" i="4"/>
  <c r="FB230" i="4"/>
  <c r="FB228" i="4"/>
  <c r="FC224" i="4" s="1"/>
  <c r="FB229" i="4"/>
  <c r="EX245" i="4"/>
  <c r="P244" i="4"/>
  <c r="EZ235" i="4"/>
  <c r="P236" i="4" s="1"/>
  <c r="P240" i="4"/>
  <c r="P245" i="4" s="1"/>
  <c r="FF212" i="4"/>
  <c r="FF210" i="4"/>
  <c r="FC222" i="4"/>
  <c r="FG203" i="4" l="1"/>
  <c r="FH199" i="4" s="1"/>
  <c r="FH200" i="4" s="1"/>
  <c r="FH202" i="4" s="1"/>
  <c r="P241" i="4"/>
  <c r="FD218" i="4"/>
  <c r="FD226" i="4" s="1"/>
  <c r="EW250" i="4"/>
  <c r="EW251" i="4" s="1"/>
  <c r="EX247" i="4" s="1"/>
  <c r="EX248" i="4" s="1"/>
  <c r="S234" i="4"/>
  <c r="FC223" i="4"/>
  <c r="FB231" i="4"/>
  <c r="FG217" i="4"/>
  <c r="FG208" i="4"/>
  <c r="FG204" i="4"/>
  <c r="P246" i="4"/>
  <c r="EZ236" i="4"/>
  <c r="V233" i="4"/>
  <c r="FF213" i="4"/>
  <c r="N254" i="4"/>
  <c r="EX246" i="4"/>
  <c r="L255" i="4"/>
  <c r="EV255" i="4"/>
  <c r="FC225" i="4"/>
  <c r="FA234" i="4"/>
  <c r="Q239" i="4" s="1"/>
  <c r="FA233" i="4"/>
  <c r="EY241" i="4"/>
  <c r="EW252" i="4" l="1"/>
  <c r="FD221" i="4"/>
  <c r="FD222" i="4" s="1"/>
  <c r="FC227" i="4"/>
  <c r="FC230" i="4" s="1"/>
  <c r="EW253" i="4"/>
  <c r="EW254" i="4" s="1"/>
  <c r="FD219" i="4"/>
  <c r="FE215" i="4" s="1"/>
  <c r="FE216" i="4" s="1"/>
  <c r="FE218" i="4" s="1"/>
  <c r="FE221" i="4" s="1"/>
  <c r="FD220" i="4"/>
  <c r="EW258" i="4"/>
  <c r="EX250" i="4"/>
  <c r="EX251" i="4" s="1"/>
  <c r="EY247" i="4" s="1"/>
  <c r="FH217" i="4"/>
  <c r="FH208" i="4"/>
  <c r="FH204" i="4"/>
  <c r="Q244" i="4"/>
  <c r="EV259" i="4"/>
  <c r="FG212" i="4"/>
  <c r="FG210" i="4"/>
  <c r="FG209" i="4"/>
  <c r="FH205" i="4" s="1"/>
  <c r="FH203" i="4"/>
  <c r="FI199" i="4" s="1"/>
  <c r="R235" i="4"/>
  <c r="FB232" i="4"/>
  <c r="EY249" i="4"/>
  <c r="EY244" i="4"/>
  <c r="EY243" i="4"/>
  <c r="EY242" i="4"/>
  <c r="EZ238" i="4" s="1"/>
  <c r="FA235" i="4"/>
  <c r="Q236" i="4" s="1"/>
  <c r="Q240" i="4"/>
  <c r="Q245" i="4" s="1"/>
  <c r="FC228" i="4" l="1"/>
  <c r="FD224" i="4" s="1"/>
  <c r="FD225" i="4" s="1"/>
  <c r="FC229" i="4"/>
  <c r="FE219" i="4"/>
  <c r="FF215" i="4" s="1"/>
  <c r="FF216" i="4" s="1"/>
  <c r="FF218" i="4" s="1"/>
  <c r="FF219" i="4" s="1"/>
  <c r="FG215" i="4" s="1"/>
  <c r="FE226" i="4"/>
  <c r="FE220" i="4"/>
  <c r="EX252" i="4"/>
  <c r="Q241" i="4"/>
  <c r="EX258" i="4"/>
  <c r="EX253" i="4"/>
  <c r="EX254" i="4" s="1"/>
  <c r="Q246" i="4"/>
  <c r="FA236" i="4"/>
  <c r="FH206" i="4"/>
  <c r="FH209" i="4" s="1"/>
  <c r="FI205" i="4" s="1"/>
  <c r="EY245" i="4"/>
  <c r="FE222" i="4"/>
  <c r="FI200" i="4"/>
  <c r="FI202" i="4" s="1"/>
  <c r="FI203" i="4" s="1"/>
  <c r="FJ199" i="4" s="1"/>
  <c r="W233" i="4"/>
  <c r="FG213" i="4"/>
  <c r="FH212" i="4"/>
  <c r="FH210" i="4"/>
  <c r="EY248" i="4"/>
  <c r="FC231" i="4"/>
  <c r="FB233" i="4"/>
  <c r="FB234" i="4"/>
  <c r="R239" i="4" s="1"/>
  <c r="T234" i="4"/>
  <c r="FD223" i="4"/>
  <c r="M255" i="4"/>
  <c r="EW255" i="4"/>
  <c r="EV262" i="4"/>
  <c r="EV261" i="4"/>
  <c r="EV260" i="4"/>
  <c r="EW256" i="4" s="1"/>
  <c r="EZ239" i="4"/>
  <c r="EZ241" i="4" s="1"/>
  <c r="EZ242" i="4" s="1"/>
  <c r="FA238" i="4" s="1"/>
  <c r="FJ200" i="4" l="1"/>
  <c r="FJ202" i="4" s="1"/>
  <c r="X233" i="4"/>
  <c r="FH213" i="4"/>
  <c r="FI217" i="4"/>
  <c r="FI208" i="4"/>
  <c r="FI204" i="4"/>
  <c r="N255" i="4"/>
  <c r="EX255" i="4"/>
  <c r="EZ249" i="4"/>
  <c r="EZ244" i="4"/>
  <c r="EZ243" i="4"/>
  <c r="FF221" i="4"/>
  <c r="FF226" i="4"/>
  <c r="FF220" i="4"/>
  <c r="FI206" i="4"/>
  <c r="S235" i="4"/>
  <c r="FC232" i="4"/>
  <c r="FD227" i="4"/>
  <c r="U234" i="4"/>
  <c r="FE223" i="4"/>
  <c r="FB235" i="4"/>
  <c r="R236" i="4" s="1"/>
  <c r="R240" i="4"/>
  <c r="R245" i="4" s="1"/>
  <c r="O254" i="4"/>
  <c r="EY246" i="4"/>
  <c r="EY250" i="4" s="1"/>
  <c r="FA239" i="4"/>
  <c r="FA241" i="4" s="1"/>
  <c r="FG216" i="4"/>
  <c r="FG218" i="4" s="1"/>
  <c r="EW257" i="4"/>
  <c r="R244" i="4"/>
  <c r="EV263" i="4"/>
  <c r="R241" i="4" l="1"/>
  <c r="EY253" i="4"/>
  <c r="EY258" i="4"/>
  <c r="EY252" i="4"/>
  <c r="EY251" i="4"/>
  <c r="EZ247" i="4" s="1"/>
  <c r="FA249" i="4"/>
  <c r="FA244" i="4"/>
  <c r="FA243" i="4"/>
  <c r="FJ217" i="4"/>
  <c r="FJ208" i="4"/>
  <c r="FJ204" i="4"/>
  <c r="FJ203" i="4"/>
  <c r="FK199" i="4" s="1"/>
  <c r="EW259" i="4"/>
  <c r="EW260" i="4" s="1"/>
  <c r="EX256" i="4" s="1"/>
  <c r="FD230" i="4"/>
  <c r="FD228" i="4"/>
  <c r="FE224" i="4" s="1"/>
  <c r="FD229" i="4"/>
  <c r="FF222" i="4"/>
  <c r="FC234" i="4"/>
  <c r="S239" i="4" s="1"/>
  <c r="FC233" i="4"/>
  <c r="FI212" i="4"/>
  <c r="FI210" i="4"/>
  <c r="FG221" i="4"/>
  <c r="FG226" i="4"/>
  <c r="FG220" i="4"/>
  <c r="FB236" i="4"/>
  <c r="R246" i="4"/>
  <c r="FA242" i="4"/>
  <c r="FB238" i="4" s="1"/>
  <c r="EZ245" i="4"/>
  <c r="FG219" i="4"/>
  <c r="FH215" i="4" s="1"/>
  <c r="L256" i="4"/>
  <c r="EV264" i="4"/>
  <c r="FI209" i="4"/>
  <c r="FJ205" i="4" s="1"/>
  <c r="FB239" i="4" l="1"/>
  <c r="FB241" i="4" s="1"/>
  <c r="FB242" i="4" s="1"/>
  <c r="FC238" i="4" s="1"/>
  <c r="FJ212" i="4"/>
  <c r="FJ210" i="4"/>
  <c r="Y233" i="4"/>
  <c r="FI213" i="4"/>
  <c r="EX257" i="4"/>
  <c r="EX259" i="4" s="1"/>
  <c r="EV265" i="4"/>
  <c r="EV266" i="4"/>
  <c r="L260" i="4" s="1"/>
  <c r="FC235" i="4"/>
  <c r="S236" i="4" s="1"/>
  <c r="S240" i="4"/>
  <c r="S245" i="4" s="1"/>
  <c r="FD231" i="4"/>
  <c r="EZ248" i="4"/>
  <c r="FH216" i="4"/>
  <c r="FH218" i="4" s="1"/>
  <c r="FE225" i="4"/>
  <c r="S241" i="4"/>
  <c r="S244" i="4"/>
  <c r="P254" i="4"/>
  <c r="EZ246" i="4"/>
  <c r="V234" i="4"/>
  <c r="FF223" i="4"/>
  <c r="EW262" i="4"/>
  <c r="EW261" i="4"/>
  <c r="FA245" i="4"/>
  <c r="FJ206" i="4"/>
  <c r="FJ209" i="4" s="1"/>
  <c r="FK205" i="4" s="1"/>
  <c r="FG222" i="4"/>
  <c r="FK200" i="4"/>
  <c r="FK202" i="4" s="1"/>
  <c r="EY254" i="4"/>
  <c r="FK203" i="4" l="1"/>
  <c r="FL199" i="4" s="1"/>
  <c r="FL200" i="4" s="1"/>
  <c r="FH221" i="4"/>
  <c r="FH226" i="4"/>
  <c r="FH220" i="4"/>
  <c r="EX262" i="4"/>
  <c r="EX261" i="4"/>
  <c r="EX260" i="4"/>
  <c r="EY256" i="4" s="1"/>
  <c r="FC239" i="4"/>
  <c r="FE227" i="4"/>
  <c r="EV267" i="4"/>
  <c r="L257" i="4" s="1"/>
  <c r="L261" i="4"/>
  <c r="L262" i="4" s="1"/>
  <c r="EZ250" i="4"/>
  <c r="EZ251" i="4" s="1"/>
  <c r="FA247" i="4" s="1"/>
  <c r="O255" i="4"/>
  <c r="EY255" i="4"/>
  <c r="FH219" i="4"/>
  <c r="FI215" i="4" s="1"/>
  <c r="T235" i="4"/>
  <c r="FD232" i="4"/>
  <c r="FK217" i="4"/>
  <c r="FK208" i="4"/>
  <c r="FK204" i="4"/>
  <c r="Q254" i="4"/>
  <c r="FA246" i="4"/>
  <c r="Z233" i="4"/>
  <c r="FJ213" i="4"/>
  <c r="FC236" i="4"/>
  <c r="S246" i="4"/>
  <c r="FB249" i="4"/>
  <c r="FB244" i="4"/>
  <c r="FB243" i="4"/>
  <c r="FK206" i="4"/>
  <c r="W234" i="4"/>
  <c r="FG223" i="4"/>
  <c r="EW263" i="4"/>
  <c r="L265" i="4"/>
  <c r="FK209" i="4" l="1"/>
  <c r="FL205" i="4" s="1"/>
  <c r="FL206" i="4" s="1"/>
  <c r="FL202" i="4"/>
  <c r="FL203" i="4" s="1"/>
  <c r="FM199" i="4" s="1"/>
  <c r="FM200" i="4" s="1"/>
  <c r="FM202" i="4" s="1"/>
  <c r="FC241" i="4"/>
  <c r="FC249" i="4" s="1"/>
  <c r="FA248" i="4"/>
  <c r="FA250" i="4" s="1"/>
  <c r="FI216" i="4"/>
  <c r="EX263" i="4"/>
  <c r="FB245" i="4"/>
  <c r="EZ253" i="4"/>
  <c r="EZ258" i="4"/>
  <c r="EZ252" i="4"/>
  <c r="L266" i="4"/>
  <c r="L267" i="4" s="1"/>
  <c r="M256" i="4"/>
  <c r="EW264" i="4"/>
  <c r="FD233" i="4"/>
  <c r="FD234" i="4"/>
  <c r="T239" i="4" s="1"/>
  <c r="FE230" i="4"/>
  <c r="FE229" i="4"/>
  <c r="EY257" i="4"/>
  <c r="EY259" i="4" s="1"/>
  <c r="FH222" i="4"/>
  <c r="FK212" i="4"/>
  <c r="FK210" i="4"/>
  <c r="FE228" i="4"/>
  <c r="FF224" i="4" s="1"/>
  <c r="FC242" i="4" l="1"/>
  <c r="FD238" i="4" s="1"/>
  <c r="FD239" i="4" s="1"/>
  <c r="FC243" i="4"/>
  <c r="FC244" i="4"/>
  <c r="FC245" i="4" s="1"/>
  <c r="FL208" i="4"/>
  <c r="FL209" i="4" s="1"/>
  <c r="FM205" i="4" s="1"/>
  <c r="FM206" i="4" s="1"/>
  <c r="FL217" i="4"/>
  <c r="FL204" i="4"/>
  <c r="EY260" i="4"/>
  <c r="EZ256" i="4" s="1"/>
  <c r="EZ257" i="4" s="1"/>
  <c r="FM217" i="4"/>
  <c r="FM208" i="4"/>
  <c r="FM204" i="4"/>
  <c r="FM203" i="4"/>
  <c r="FN199" i="4" s="1"/>
  <c r="FA253" i="4"/>
  <c r="FA258" i="4"/>
  <c r="FA252" i="4"/>
  <c r="EY262" i="4"/>
  <c r="EY261" i="4"/>
  <c r="FI218" i="4"/>
  <c r="AA233" i="4"/>
  <c r="FK213" i="4"/>
  <c r="FE231" i="4"/>
  <c r="X234" i="4"/>
  <c r="FH223" i="4"/>
  <c r="FD235" i="4"/>
  <c r="T236" i="4" s="1"/>
  <c r="T240" i="4"/>
  <c r="T245" i="4" s="1"/>
  <c r="N256" i="4"/>
  <c r="EX264" i="4"/>
  <c r="FA251" i="4"/>
  <c r="FB247" i="4" s="1"/>
  <c r="EW266" i="4"/>
  <c r="M260" i="4" s="1"/>
  <c r="EW265" i="4"/>
  <c r="T244" i="4"/>
  <c r="EZ254" i="4"/>
  <c r="FF225" i="4"/>
  <c r="R254" i="4"/>
  <c r="FB246" i="4"/>
  <c r="FL212" i="4" l="1"/>
  <c r="FL210" i="4"/>
  <c r="FM209" i="4"/>
  <c r="FN205" i="4" s="1"/>
  <c r="FN206" i="4" s="1"/>
  <c r="T241" i="4"/>
  <c r="FN200" i="4"/>
  <c r="EX265" i="4"/>
  <c r="EX266" i="4"/>
  <c r="N260" i="4" s="1"/>
  <c r="P255" i="4"/>
  <c r="EZ255" i="4"/>
  <c r="U235" i="4"/>
  <c r="FE232" i="4"/>
  <c r="S254" i="4"/>
  <c r="FC246" i="4"/>
  <c r="FA254" i="4"/>
  <c r="FI221" i="4"/>
  <c r="FI226" i="4"/>
  <c r="FI220" i="4"/>
  <c r="FI219" i="4"/>
  <c r="FJ215" i="4" s="1"/>
  <c r="FM212" i="4"/>
  <c r="FM210" i="4"/>
  <c r="FB248" i="4"/>
  <c r="FB250" i="4" s="1"/>
  <c r="FB251" i="4" s="1"/>
  <c r="FC247" i="4" s="1"/>
  <c r="AB233" i="4"/>
  <c r="FL213" i="4"/>
  <c r="EW267" i="4"/>
  <c r="M257" i="4" s="1"/>
  <c r="M261" i="4"/>
  <c r="FF227" i="4"/>
  <c r="T246" i="4"/>
  <c r="FD236" i="4"/>
  <c r="FD241" i="4" s="1"/>
  <c r="M265" i="4"/>
  <c r="EY263" i="4"/>
  <c r="FC248" i="4" l="1"/>
  <c r="FC250" i="4" s="1"/>
  <c r="FD249" i="4"/>
  <c r="FD244" i="4"/>
  <c r="FD243" i="4"/>
  <c r="FD242" i="4"/>
  <c r="FE238" i="4" s="1"/>
  <c r="FN202" i="4"/>
  <c r="FN203" i="4" s="1"/>
  <c r="FO199" i="4" s="1"/>
  <c r="M266" i="4"/>
  <c r="M267" i="4" s="1"/>
  <c r="FI222" i="4"/>
  <c r="FB253" i="4"/>
  <c r="FB258" i="4"/>
  <c r="FB252" i="4"/>
  <c r="AC233" i="4"/>
  <c r="FM213" i="4"/>
  <c r="Q255" i="4"/>
  <c r="FA255" i="4"/>
  <c r="N265" i="4"/>
  <c r="FF230" i="4"/>
  <c r="FF229" i="4"/>
  <c r="O256" i="4"/>
  <c r="EY264" i="4"/>
  <c r="M262" i="4"/>
  <c r="EX267" i="4"/>
  <c r="N257" i="4" s="1"/>
  <c r="N261" i="4"/>
  <c r="N266" i="4" s="1"/>
  <c r="FF228" i="4"/>
  <c r="FG224" i="4" s="1"/>
  <c r="FE233" i="4"/>
  <c r="FE234" i="4"/>
  <c r="U239" i="4" s="1"/>
  <c r="FJ216" i="4"/>
  <c r="FJ218" i="4" s="1"/>
  <c r="EZ259" i="4"/>
  <c r="FJ221" i="4" l="1"/>
  <c r="FJ226" i="4"/>
  <c r="FJ220" i="4"/>
  <c r="FC253" i="4"/>
  <c r="FC258" i="4"/>
  <c r="FC252" i="4"/>
  <c r="FC251" i="4"/>
  <c r="FD247" i="4" s="1"/>
  <c r="FD245" i="4"/>
  <c r="EZ262" i="4"/>
  <c r="EZ261" i="4"/>
  <c r="EZ260" i="4"/>
  <c r="FA256" i="4" s="1"/>
  <c r="FJ219" i="4"/>
  <c r="FK215" i="4" s="1"/>
  <c r="N262" i="4"/>
  <c r="Y234" i="4"/>
  <c r="FI223" i="4"/>
  <c r="FF231" i="4"/>
  <c r="FO200" i="4"/>
  <c r="FO202" i="4" s="1"/>
  <c r="EY265" i="4"/>
  <c r="EY266" i="4"/>
  <c r="O260" i="4" s="1"/>
  <c r="FN217" i="4"/>
  <c r="FN208" i="4"/>
  <c r="FN204" i="4"/>
  <c r="N267" i="4"/>
  <c r="U244" i="4"/>
  <c r="FB254" i="4"/>
  <c r="FE239" i="4"/>
  <c r="FE235" i="4"/>
  <c r="U236" i="4" s="1"/>
  <c r="U240" i="4"/>
  <c r="U245" i="4" s="1"/>
  <c r="FG225" i="4"/>
  <c r="FG227" i="4" s="1"/>
  <c r="FO208" i="4" l="1"/>
  <c r="FO217" i="4"/>
  <c r="FO204" i="4"/>
  <c r="O265" i="4"/>
  <c r="V235" i="4"/>
  <c r="FF232" i="4"/>
  <c r="FA257" i="4"/>
  <c r="FA259" i="4" s="1"/>
  <c r="EY267" i="4"/>
  <c r="O257" i="4" s="1"/>
  <c r="O261" i="4"/>
  <c r="O262" i="4" s="1"/>
  <c r="FO203" i="4"/>
  <c r="FP199" i="4" s="1"/>
  <c r="FC254" i="4"/>
  <c r="FG230" i="4"/>
  <c r="FG229" i="4"/>
  <c r="FN212" i="4"/>
  <c r="FN210" i="4"/>
  <c r="FN209" i="4"/>
  <c r="FO205" i="4" s="1"/>
  <c r="EZ263" i="4"/>
  <c r="T254" i="4"/>
  <c r="FD246" i="4"/>
  <c r="FE236" i="4"/>
  <c r="U246" i="4"/>
  <c r="U241" i="4"/>
  <c r="FG228" i="4"/>
  <c r="FH224" i="4" s="1"/>
  <c r="R255" i="4"/>
  <c r="FB255" i="4"/>
  <c r="FD248" i="4"/>
  <c r="FJ222" i="4"/>
  <c r="FK216" i="4"/>
  <c r="FK218" i="4" s="1"/>
  <c r="FD250" i="4" l="1"/>
  <c r="FD258" i="4" s="1"/>
  <c r="FA262" i="4"/>
  <c r="FA261" i="4"/>
  <c r="FA260" i="4"/>
  <c r="FB256" i="4" s="1"/>
  <c r="FK221" i="4"/>
  <c r="FK226" i="4"/>
  <c r="FK220" i="4"/>
  <c r="FK219" i="4"/>
  <c r="FL215" i="4" s="1"/>
  <c r="O266" i="4"/>
  <c r="O267" i="4" s="1"/>
  <c r="FG231" i="4"/>
  <c r="Z234" i="4"/>
  <c r="FJ223" i="4"/>
  <c r="P256" i="4"/>
  <c r="EZ264" i="4"/>
  <c r="FO206" i="4"/>
  <c r="FO209" i="4" s="1"/>
  <c r="FP205" i="4" s="1"/>
  <c r="S255" i="4"/>
  <c r="FC255" i="4"/>
  <c r="FP200" i="4"/>
  <c r="FP202" i="4" s="1"/>
  <c r="FF233" i="4"/>
  <c r="FF234" i="4"/>
  <c r="V239" i="4" s="1"/>
  <c r="AD233" i="4"/>
  <c r="FN213" i="4"/>
  <c r="FO212" i="4"/>
  <c r="FO210" i="4"/>
  <c r="FH225" i="4"/>
  <c r="FH227" i="4" s="1"/>
  <c r="FH228" i="4" s="1"/>
  <c r="FI224" i="4" s="1"/>
  <c r="FE241" i="4"/>
  <c r="FD251" i="4" l="1"/>
  <c r="FE247" i="4" s="1"/>
  <c r="FD253" i="4"/>
  <c r="FD252" i="4"/>
  <c r="FP203" i="4"/>
  <c r="FQ199" i="4" s="1"/>
  <c r="FQ200" i="4" s="1"/>
  <c r="FQ202" i="4" s="1"/>
  <c r="FI225" i="4"/>
  <c r="FI227" i="4" s="1"/>
  <c r="FP206" i="4"/>
  <c r="FE248" i="4"/>
  <c r="FE249" i="4"/>
  <c r="FE244" i="4"/>
  <c r="FE243" i="4"/>
  <c r="FE242" i="4"/>
  <c r="FF238" i="4" s="1"/>
  <c r="V244" i="4"/>
  <c r="FK222" i="4"/>
  <c r="FB257" i="4"/>
  <c r="FB259" i="4" s="1"/>
  <c r="FH230" i="4"/>
  <c r="FH229" i="4"/>
  <c r="FF235" i="4"/>
  <c r="V236" i="4" s="1"/>
  <c r="V240" i="4"/>
  <c r="V245" i="4" s="1"/>
  <c r="W235" i="4"/>
  <c r="FG232" i="4"/>
  <c r="FD254" i="4"/>
  <c r="FP217" i="4"/>
  <c r="FP208" i="4"/>
  <c r="FP204" i="4"/>
  <c r="EZ266" i="4"/>
  <c r="P260" i="4" s="1"/>
  <c r="EZ265" i="4"/>
  <c r="AE233" i="4"/>
  <c r="FO213" i="4"/>
  <c r="FL216" i="4"/>
  <c r="FL218" i="4" s="1"/>
  <c r="FL219" i="4" s="1"/>
  <c r="FM215" i="4" s="1"/>
  <c r="FA263" i="4"/>
  <c r="FP209" i="4" l="1"/>
  <c r="FQ205" i="4" s="1"/>
  <c r="FQ206" i="4" s="1"/>
  <c r="V241" i="4"/>
  <c r="FB262" i="4"/>
  <c r="FB261" i="4"/>
  <c r="FQ217" i="4"/>
  <c r="FQ208" i="4"/>
  <c r="FQ204" i="4"/>
  <c r="FQ203" i="4"/>
  <c r="FR199" i="4" s="1"/>
  <c r="FI230" i="4"/>
  <c r="FI229" i="4"/>
  <c r="V246" i="4"/>
  <c r="FF236" i="4"/>
  <c r="EZ267" i="4"/>
  <c r="P257" i="4" s="1"/>
  <c r="P261" i="4"/>
  <c r="P262" i="4" s="1"/>
  <c r="T255" i="4"/>
  <c r="FD255" i="4"/>
  <c r="FH231" i="4"/>
  <c r="FE245" i="4"/>
  <c r="Q256" i="4"/>
  <c r="FA264" i="4"/>
  <c r="P265" i="4"/>
  <c r="FG233" i="4"/>
  <c r="FG234" i="4"/>
  <c r="W239" i="4" s="1"/>
  <c r="FB260" i="4"/>
  <c r="FC256" i="4" s="1"/>
  <c r="FM216" i="4"/>
  <c r="FM218" i="4" s="1"/>
  <c r="FM219" i="4" s="1"/>
  <c r="FN215" i="4" s="1"/>
  <c r="FP212" i="4"/>
  <c r="FP210" i="4"/>
  <c r="FI228" i="4"/>
  <c r="FJ224" i="4" s="1"/>
  <c r="FL221" i="4"/>
  <c r="FL226" i="4"/>
  <c r="FL220" i="4"/>
  <c r="AA234" i="4"/>
  <c r="FK223" i="4"/>
  <c r="FF239" i="4"/>
  <c r="FF241" i="4" l="1"/>
  <c r="FF242" i="4" s="1"/>
  <c r="FG238" i="4" s="1"/>
  <c r="FG239" i="4" s="1"/>
  <c r="FQ209" i="4"/>
  <c r="FR205" i="4" s="1"/>
  <c r="FR206" i="4" s="1"/>
  <c r="FN216" i="4"/>
  <c r="FN218" i="4" s="1"/>
  <c r="FN219" i="4" s="1"/>
  <c r="FO215" i="4" s="1"/>
  <c r="AF233" i="4"/>
  <c r="FP213" i="4"/>
  <c r="FG235" i="4"/>
  <c r="W236" i="4" s="1"/>
  <c r="W240" i="4"/>
  <c r="W245" i="4" s="1"/>
  <c r="FI231" i="4"/>
  <c r="FA265" i="4"/>
  <c r="FA266" i="4"/>
  <c r="Q260" i="4" s="1"/>
  <c r="P266" i="4"/>
  <c r="P267" i="4" s="1"/>
  <c r="FR200" i="4"/>
  <c r="FR202" i="4" s="1"/>
  <c r="FB263" i="4"/>
  <c r="FM221" i="4"/>
  <c r="FM226" i="4"/>
  <c r="FM220" i="4"/>
  <c r="FJ225" i="4"/>
  <c r="X235" i="4"/>
  <c r="FH232" i="4"/>
  <c r="FC257" i="4"/>
  <c r="FC259" i="4" s="1"/>
  <c r="FQ212" i="4"/>
  <c r="FQ210" i="4"/>
  <c r="FL222" i="4"/>
  <c r="W244" i="4"/>
  <c r="U254" i="4"/>
  <c r="FE246" i="4"/>
  <c r="FE250" i="4" s="1"/>
  <c r="FF243" i="4" l="1"/>
  <c r="FF244" i="4"/>
  <c r="FF245" i="4" s="1"/>
  <c r="FF249" i="4"/>
  <c r="W241" i="4"/>
  <c r="FJ227" i="4"/>
  <c r="FJ228" i="4" s="1"/>
  <c r="FK224" i="4" s="1"/>
  <c r="FC262" i="4"/>
  <c r="FC261" i="4"/>
  <c r="FC260" i="4"/>
  <c r="FD256" i="4" s="1"/>
  <c r="FO216" i="4"/>
  <c r="FO218" i="4" s="1"/>
  <c r="FO219" i="4" s="1"/>
  <c r="FP215" i="4" s="1"/>
  <c r="FR217" i="4"/>
  <c r="FR208" i="4"/>
  <c r="FR209" i="4" s="1"/>
  <c r="FS205" i="4" s="1"/>
  <c r="FR204" i="4"/>
  <c r="FR203" i="4"/>
  <c r="FS199" i="4" s="1"/>
  <c r="AB234" i="4"/>
  <c r="FL223" i="4"/>
  <c r="FM222" i="4"/>
  <c r="Q265" i="4"/>
  <c r="Y235" i="4"/>
  <c r="FI232" i="4"/>
  <c r="AG233" i="4"/>
  <c r="FQ213" i="4"/>
  <c r="FH234" i="4"/>
  <c r="X239" i="4" s="1"/>
  <c r="FH233" i="4"/>
  <c r="FA267" i="4"/>
  <c r="Q257" i="4" s="1"/>
  <c r="Q261" i="4"/>
  <c r="Q266" i="4" s="1"/>
  <c r="FG236" i="4"/>
  <c r="W246" i="4"/>
  <c r="FE253" i="4"/>
  <c r="FE258" i="4"/>
  <c r="FE251" i="4"/>
  <c r="FF247" i="4" s="1"/>
  <c r="FE252" i="4"/>
  <c r="R256" i="4"/>
  <c r="FB264" i="4"/>
  <c r="FN221" i="4"/>
  <c r="FN226" i="4"/>
  <c r="FN220" i="4"/>
  <c r="FJ230" i="4" l="1"/>
  <c r="FJ231" i="4" s="1"/>
  <c r="FJ229" i="4"/>
  <c r="FK225" i="4"/>
  <c r="FK227" i="4" s="1"/>
  <c r="FP216" i="4"/>
  <c r="FP218" i="4" s="1"/>
  <c r="FD257" i="4"/>
  <c r="FD259" i="4" s="1"/>
  <c r="V254" i="4"/>
  <c r="FF246" i="4"/>
  <c r="FH235" i="4"/>
  <c r="X236" i="4" s="1"/>
  <c r="X240" i="4"/>
  <c r="X245" i="4" s="1"/>
  <c r="Q267" i="4"/>
  <c r="X244" i="4"/>
  <c r="Q262" i="4"/>
  <c r="FC263" i="4"/>
  <c r="FF248" i="4"/>
  <c r="FS206" i="4"/>
  <c r="FS200" i="4"/>
  <c r="FS202" i="4" s="1"/>
  <c r="FN222" i="4"/>
  <c r="AC234" i="4"/>
  <c r="FM223" i="4"/>
  <c r="FR212" i="4"/>
  <c r="FR210" i="4"/>
  <c r="FB265" i="4"/>
  <c r="FB266" i="4"/>
  <c r="R260" i="4" s="1"/>
  <c r="FO221" i="4"/>
  <c r="FO226" i="4"/>
  <c r="FO220" i="4"/>
  <c r="FE254" i="4"/>
  <c r="FG241" i="4"/>
  <c r="FI233" i="4"/>
  <c r="FI234" i="4"/>
  <c r="Y239" i="4" s="1"/>
  <c r="FF250" i="4" l="1"/>
  <c r="FF251" i="4" s="1"/>
  <c r="FG247" i="4" s="1"/>
  <c r="FG248" i="4" s="1"/>
  <c r="X241" i="4"/>
  <c r="FK228" i="4"/>
  <c r="FL224" i="4" s="1"/>
  <c r="FL225" i="4" s="1"/>
  <c r="FL227" i="4" s="1"/>
  <c r="FL230" i="4" s="1"/>
  <c r="FK230" i="4"/>
  <c r="FK231" i="4" s="1"/>
  <c r="FK229" i="4"/>
  <c r="FD262" i="4"/>
  <c r="FD261" i="4"/>
  <c r="FD260" i="4"/>
  <c r="FE256" i="4" s="1"/>
  <c r="FP221" i="4"/>
  <c r="FP226" i="4"/>
  <c r="FP220" i="4"/>
  <c r="FP219" i="4"/>
  <c r="FQ215" i="4" s="1"/>
  <c r="FS217" i="4"/>
  <c r="FS208" i="4"/>
  <c r="FS204" i="4"/>
  <c r="FS203" i="4"/>
  <c r="FT199" i="4" s="1"/>
  <c r="FO222" i="4"/>
  <c r="X246" i="4"/>
  <c r="FH236" i="4"/>
  <c r="S256" i="4"/>
  <c r="FC264" i="4"/>
  <c r="U255" i="4"/>
  <c r="FE255" i="4"/>
  <c r="Z235" i="4"/>
  <c r="FJ232" i="4"/>
  <c r="AH233" i="4"/>
  <c r="FR213" i="4"/>
  <c r="R265" i="4"/>
  <c r="AD234" i="4"/>
  <c r="FN223" i="4"/>
  <c r="FB267" i="4"/>
  <c r="R257" i="4" s="1"/>
  <c r="R261" i="4"/>
  <c r="R266" i="4" s="1"/>
  <c r="FG244" i="4"/>
  <c r="FG249" i="4"/>
  <c r="FG243" i="4"/>
  <c r="FG242" i="4"/>
  <c r="FH238" i="4" s="1"/>
  <c r="Y244" i="4"/>
  <c r="FI235" i="4"/>
  <c r="Y236" i="4" s="1"/>
  <c r="Y240" i="4"/>
  <c r="Y245" i="4" s="1"/>
  <c r="FF258" i="4" l="1"/>
  <c r="FF253" i="4"/>
  <c r="FF254" i="4" s="1"/>
  <c r="FF252" i="4"/>
  <c r="R267" i="4"/>
  <c r="R262" i="4"/>
  <c r="FL229" i="4"/>
  <c r="FL228" i="4"/>
  <c r="FM224" i="4" s="1"/>
  <c r="FM225" i="4" s="1"/>
  <c r="FM227" i="4" s="1"/>
  <c r="FM228" i="4" s="1"/>
  <c r="FN224" i="4" s="1"/>
  <c r="FS212" i="4"/>
  <c r="FS210" i="4"/>
  <c r="FS209" i="4"/>
  <c r="FT205" i="4" s="1"/>
  <c r="FP222" i="4"/>
  <c r="FE257" i="4"/>
  <c r="FC266" i="4"/>
  <c r="S260" i="4" s="1"/>
  <c r="FC265" i="4"/>
  <c r="AA235" i="4"/>
  <c r="FK232" i="4"/>
  <c r="FG245" i="4"/>
  <c r="FQ216" i="4"/>
  <c r="FQ218" i="4" s="1"/>
  <c r="FQ219" i="4" s="1"/>
  <c r="FR215" i="4" s="1"/>
  <c r="FD263" i="4"/>
  <c r="Y241" i="4"/>
  <c r="FJ233" i="4"/>
  <c r="FJ234" i="4"/>
  <c r="Z239" i="4" s="1"/>
  <c r="FL231" i="4"/>
  <c r="FT200" i="4"/>
  <c r="FT202" i="4" s="1"/>
  <c r="Y246" i="4"/>
  <c r="FI236" i="4"/>
  <c r="FH239" i="4"/>
  <c r="FH241" i="4" s="1"/>
  <c r="FH242" i="4" s="1"/>
  <c r="FI238" i="4" s="1"/>
  <c r="AE234" i="4"/>
  <c r="FO223" i="4"/>
  <c r="FE259" i="4" l="1"/>
  <c r="FE260" i="4" s="1"/>
  <c r="FF256" i="4" s="1"/>
  <c r="FF257" i="4" s="1"/>
  <c r="FT217" i="4"/>
  <c r="FT208" i="4"/>
  <c r="FT204" i="4"/>
  <c r="FT203" i="4"/>
  <c r="FU199" i="4" s="1"/>
  <c r="FI239" i="4"/>
  <c r="FI241" i="4" s="1"/>
  <c r="FR216" i="4"/>
  <c r="FR218" i="4" s="1"/>
  <c r="FR219" i="4" s="1"/>
  <c r="FS215" i="4" s="1"/>
  <c r="FN225" i="4"/>
  <c r="FN227" i="4" s="1"/>
  <c r="FQ221" i="4"/>
  <c r="FQ226" i="4"/>
  <c r="FQ220" i="4"/>
  <c r="FJ235" i="4"/>
  <c r="Z236" i="4" s="1"/>
  <c r="Z240" i="4"/>
  <c r="Z245" i="4" s="1"/>
  <c r="AF234" i="4"/>
  <c r="FP223" i="4"/>
  <c r="W254" i="4"/>
  <c r="FG246" i="4"/>
  <c r="FG250" i="4" s="1"/>
  <c r="FT206" i="4"/>
  <c r="FM230" i="4"/>
  <c r="FM229" i="4"/>
  <c r="V255" i="4"/>
  <c r="FF255" i="4"/>
  <c r="FC267" i="4"/>
  <c r="S257" i="4" s="1"/>
  <c r="S261" i="4"/>
  <c r="S266" i="4" s="1"/>
  <c r="AB235" i="4"/>
  <c r="FL232" i="4"/>
  <c r="FH249" i="4"/>
  <c r="FH244" i="4"/>
  <c r="FH243" i="4"/>
  <c r="FK234" i="4"/>
  <c r="AA239" i="4" s="1"/>
  <c r="FK233" i="4"/>
  <c r="S265" i="4"/>
  <c r="AI233" i="4"/>
  <c r="FS213" i="4"/>
  <c r="Z244" i="4"/>
  <c r="T256" i="4"/>
  <c r="FD264" i="4"/>
  <c r="FE262" i="4" l="1"/>
  <c r="FE263" i="4" s="1"/>
  <c r="S267" i="4"/>
  <c r="Z241" i="4"/>
  <c r="FE261" i="4"/>
  <c r="FF259" i="4"/>
  <c r="FF261" i="4" s="1"/>
  <c r="S262" i="4"/>
  <c r="FI249" i="4"/>
  <c r="FI244" i="4"/>
  <c r="FI243" i="4"/>
  <c r="FI242" i="4"/>
  <c r="FJ238" i="4" s="1"/>
  <c r="FN230" i="4"/>
  <c r="FN229" i="4"/>
  <c r="FS216" i="4"/>
  <c r="FS218" i="4" s="1"/>
  <c r="FT212" i="4"/>
  <c r="FT210" i="4"/>
  <c r="FQ222" i="4"/>
  <c r="FR221" i="4"/>
  <c r="FR226" i="4"/>
  <c r="FR220" i="4"/>
  <c r="FH245" i="4"/>
  <c r="FD266" i="4"/>
  <c r="T260" i="4" s="1"/>
  <c r="FD265" i="4"/>
  <c r="FK235" i="4"/>
  <c r="AA236" i="4" s="1"/>
  <c r="AA240" i="4"/>
  <c r="AA245" i="4" s="1"/>
  <c r="FL234" i="4"/>
  <c r="AB239" i="4" s="1"/>
  <c r="FL233" i="4"/>
  <c r="FM231" i="4"/>
  <c r="FG253" i="4"/>
  <c r="FG258" i="4"/>
  <c r="FG251" i="4"/>
  <c r="FH247" i="4" s="1"/>
  <c r="FG252" i="4"/>
  <c r="AA244" i="4"/>
  <c r="FT209" i="4"/>
  <c r="FU205" i="4" s="1"/>
  <c r="FN228" i="4"/>
  <c r="FO224" i="4" s="1"/>
  <c r="FJ236" i="4"/>
  <c r="Z246" i="4"/>
  <c r="FU200" i="4"/>
  <c r="FF260" i="4" l="1"/>
  <c r="FG256" i="4" s="1"/>
  <c r="FG257" i="4" s="1"/>
  <c r="FF262" i="4"/>
  <c r="FF263" i="4" s="1"/>
  <c r="AA241" i="4"/>
  <c r="FS221" i="4"/>
  <c r="FS226" i="4"/>
  <c r="FS220" i="4"/>
  <c r="FS219" i="4"/>
  <c r="FT215" i="4" s="1"/>
  <c r="U256" i="4"/>
  <c r="FE264" i="4"/>
  <c r="AJ233" i="4"/>
  <c r="FT213" i="4"/>
  <c r="FN231" i="4"/>
  <c r="FD267" i="4"/>
  <c r="T257" i="4" s="1"/>
  <c r="T261" i="4"/>
  <c r="T266" i="4" s="1"/>
  <c r="FR222" i="4"/>
  <c r="FJ239" i="4"/>
  <c r="FJ241" i="4" s="1"/>
  <c r="FJ242" i="4" s="1"/>
  <c r="FK238" i="4" s="1"/>
  <c r="T265" i="4"/>
  <c r="FH248" i="4"/>
  <c r="AB244" i="4"/>
  <c r="AG234" i="4"/>
  <c r="FQ223" i="4"/>
  <c r="FI245" i="4"/>
  <c r="FU202" i="4"/>
  <c r="AC235" i="4"/>
  <c r="FM232" i="4"/>
  <c r="FL235" i="4"/>
  <c r="AB236" i="4" s="1"/>
  <c r="AB240" i="4"/>
  <c r="AB245" i="4" s="1"/>
  <c r="FG254" i="4"/>
  <c r="X254" i="4"/>
  <c r="FH246" i="4"/>
  <c r="FO225" i="4"/>
  <c r="FO227" i="4" s="1"/>
  <c r="FU206" i="4"/>
  <c r="FK236" i="4"/>
  <c r="AA246" i="4"/>
  <c r="T267" i="4" l="1"/>
  <c r="FH250" i="4"/>
  <c r="FH253" i="4" s="1"/>
  <c r="FO230" i="4"/>
  <c r="FO229" i="4"/>
  <c r="FO228" i="4"/>
  <c r="FP224" i="4" s="1"/>
  <c r="FK239" i="4"/>
  <c r="FK241" i="4" s="1"/>
  <c r="FK242" i="4" s="1"/>
  <c r="FL238" i="4" s="1"/>
  <c r="FE265" i="4"/>
  <c r="FE266" i="4"/>
  <c r="U260" i="4" s="1"/>
  <c r="T262" i="4"/>
  <c r="FT216" i="4"/>
  <c r="FT218" i="4" s="1"/>
  <c r="FL236" i="4"/>
  <c r="AB246" i="4"/>
  <c r="AD235" i="4"/>
  <c r="FN232" i="4"/>
  <c r="V256" i="4"/>
  <c r="FF264" i="4"/>
  <c r="AB241" i="4"/>
  <c r="FJ249" i="4"/>
  <c r="FJ244" i="4"/>
  <c r="FJ243" i="4"/>
  <c r="FM234" i="4"/>
  <c r="AC239" i="4" s="1"/>
  <c r="FM233" i="4"/>
  <c r="FU217" i="4"/>
  <c r="FU208" i="4"/>
  <c r="FU204" i="4"/>
  <c r="FS222" i="4"/>
  <c r="W255" i="4"/>
  <c r="FG255" i="4"/>
  <c r="FG259" i="4" s="1"/>
  <c r="Y254" i="4"/>
  <c r="FI246" i="4"/>
  <c r="AH234" i="4"/>
  <c r="FR223" i="4"/>
  <c r="FU203" i="4"/>
  <c r="FV199" i="4" s="1"/>
  <c r="FH252" i="4" l="1"/>
  <c r="FH258" i="4"/>
  <c r="FH251" i="4"/>
  <c r="FI247" i="4" s="1"/>
  <c r="FI248" i="4" s="1"/>
  <c r="FI250" i="4" s="1"/>
  <c r="FG262" i="4"/>
  <c r="FG261" i="4"/>
  <c r="FG260" i="4"/>
  <c r="FH256" i="4" s="1"/>
  <c r="FT221" i="4"/>
  <c r="FT226" i="4"/>
  <c r="FT220" i="4"/>
  <c r="FN233" i="4"/>
  <c r="FN234" i="4"/>
  <c r="AD239" i="4" s="1"/>
  <c r="FL239" i="4"/>
  <c r="FL241" i="4" s="1"/>
  <c r="FL242" i="4" s="1"/>
  <c r="FM238" i="4" s="1"/>
  <c r="U265" i="4"/>
  <c r="FK249" i="4"/>
  <c r="FK244" i="4"/>
  <c r="FK243" i="4"/>
  <c r="FV200" i="4"/>
  <c r="FV202" i="4" s="1"/>
  <c r="FV203" i="4" s="1"/>
  <c r="FW199" i="4" s="1"/>
  <c r="FE267" i="4"/>
  <c r="U257" i="4" s="1"/>
  <c r="U261" i="4"/>
  <c r="U266" i="4" s="1"/>
  <c r="FU212" i="4"/>
  <c r="FU210" i="4"/>
  <c r="FU209" i="4"/>
  <c r="FV205" i="4" s="1"/>
  <c r="FP225" i="4"/>
  <c r="AI234" i="4"/>
  <c r="FS223" i="4"/>
  <c r="AC244" i="4"/>
  <c r="FT219" i="4"/>
  <c r="FU215" i="4" s="1"/>
  <c r="FM235" i="4"/>
  <c r="AC236" i="4" s="1"/>
  <c r="AC240" i="4"/>
  <c r="AC245" i="4" s="1"/>
  <c r="FF266" i="4"/>
  <c r="V260" i="4" s="1"/>
  <c r="FF265" i="4"/>
  <c r="FJ245" i="4"/>
  <c r="FH254" i="4"/>
  <c r="FO231" i="4"/>
  <c r="FP227" i="4" l="1"/>
  <c r="FP228" i="4" s="1"/>
  <c r="FQ224" i="4" s="1"/>
  <c r="FQ225" i="4" s="1"/>
  <c r="FQ227" i="4" s="1"/>
  <c r="AC241" i="4"/>
  <c r="U267" i="4"/>
  <c r="U262" i="4"/>
  <c r="FM239" i="4"/>
  <c r="FI253" i="4"/>
  <c r="FI258" i="4"/>
  <c r="FI252" i="4"/>
  <c r="FI251" i="4"/>
  <c r="FJ247" i="4" s="1"/>
  <c r="FW200" i="4"/>
  <c r="FW202" i="4" s="1"/>
  <c r="FM236" i="4"/>
  <c r="AC246" i="4"/>
  <c r="AK233" i="4"/>
  <c r="FU213" i="4"/>
  <c r="X255" i="4"/>
  <c r="FH255" i="4"/>
  <c r="FT222" i="4"/>
  <c r="V265" i="4"/>
  <c r="AE235" i="4"/>
  <c r="FO232" i="4"/>
  <c r="FL249" i="4"/>
  <c r="FL244" i="4"/>
  <c r="FL243" i="4"/>
  <c r="FH257" i="4"/>
  <c r="FH259" i="4" s="1"/>
  <c r="FV217" i="4"/>
  <c r="FV208" i="4"/>
  <c r="FV204" i="4"/>
  <c r="AD244" i="4"/>
  <c r="FK245" i="4"/>
  <c r="Z254" i="4"/>
  <c r="FJ246" i="4"/>
  <c r="FF267" i="4"/>
  <c r="V257" i="4" s="1"/>
  <c r="V261" i="4"/>
  <c r="V266" i="4" s="1"/>
  <c r="FU216" i="4"/>
  <c r="FV206" i="4"/>
  <c r="FN235" i="4"/>
  <c r="AD236" i="4" s="1"/>
  <c r="AD240" i="4"/>
  <c r="AD245" i="4" s="1"/>
  <c r="FG263" i="4"/>
  <c r="FP229" i="4" l="1"/>
  <c r="FP230" i="4"/>
  <c r="FU218" i="4"/>
  <c r="FU219" i="4" s="1"/>
  <c r="FV215" i="4" s="1"/>
  <c r="FV216" i="4" s="1"/>
  <c r="FV209" i="4"/>
  <c r="FW205" i="4" s="1"/>
  <c r="FW206" i="4" s="1"/>
  <c r="FQ230" i="4"/>
  <c r="FQ229" i="4"/>
  <c r="FQ228" i="4"/>
  <c r="FR224" i="4" s="1"/>
  <c r="FW217" i="4"/>
  <c r="FW208" i="4"/>
  <c r="FW204" i="4"/>
  <c r="V267" i="4"/>
  <c r="FJ248" i="4"/>
  <c r="FJ250" i="4" s="1"/>
  <c r="V262" i="4"/>
  <c r="FL245" i="4"/>
  <c r="AJ234" i="4"/>
  <c r="FT223" i="4"/>
  <c r="FH262" i="4"/>
  <c r="FH261" i="4"/>
  <c r="FI254" i="4"/>
  <c r="FP231" i="4"/>
  <c r="FW203" i="4"/>
  <c r="FX199" i="4" s="1"/>
  <c r="AD246" i="4"/>
  <c r="FN236" i="4"/>
  <c r="AA254" i="4"/>
  <c r="FK246" i="4"/>
  <c r="FH260" i="4"/>
  <c r="FI256" i="4" s="1"/>
  <c r="FO233" i="4"/>
  <c r="FO234" i="4"/>
  <c r="AE239" i="4" s="1"/>
  <c r="FM241" i="4"/>
  <c r="W256" i="4"/>
  <c r="FG264" i="4"/>
  <c r="AD241" i="4"/>
  <c r="FV212" i="4"/>
  <c r="FV210" i="4"/>
  <c r="FU221" i="4" l="1"/>
  <c r="FU222" i="4" s="1"/>
  <c r="FU220" i="4"/>
  <c r="FU226" i="4"/>
  <c r="FW209" i="4"/>
  <c r="FX205" i="4" s="1"/>
  <c r="FX206" i="4" s="1"/>
  <c r="FO235" i="4"/>
  <c r="AE236" i="4" s="1"/>
  <c r="AE240" i="4"/>
  <c r="AE245" i="4" s="1"/>
  <c r="FJ253" i="4"/>
  <c r="FJ258" i="4"/>
  <c r="FJ252" i="4"/>
  <c r="FW212" i="4"/>
  <c r="FW210" i="4"/>
  <c r="AL233" i="4"/>
  <c r="FV213" i="4"/>
  <c r="FV218" i="4" s="1"/>
  <c r="Y255" i="4"/>
  <c r="FI255" i="4"/>
  <c r="AB254" i="4"/>
  <c r="FL246" i="4"/>
  <c r="FG265" i="4"/>
  <c r="FG266" i="4"/>
  <c r="W260" i="4" s="1"/>
  <c r="FR225" i="4"/>
  <c r="FR227" i="4" s="1"/>
  <c r="FI257" i="4"/>
  <c r="FX200" i="4"/>
  <c r="AF235" i="4"/>
  <c r="FP232" i="4"/>
  <c r="FH263" i="4"/>
  <c r="FJ251" i="4"/>
  <c r="FK247" i="4" s="1"/>
  <c r="FM249" i="4"/>
  <c r="FM244" i="4"/>
  <c r="FM243" i="4"/>
  <c r="FM242" i="4"/>
  <c r="FN238" i="4" s="1"/>
  <c r="AE244" i="4"/>
  <c r="FQ231" i="4"/>
  <c r="AE241" i="4" l="1"/>
  <c r="FI259" i="4"/>
  <c r="FI262" i="4" s="1"/>
  <c r="FX202" i="4"/>
  <c r="FX203" i="4" s="1"/>
  <c r="FY199" i="4" s="1"/>
  <c r="FY200" i="4" s="1"/>
  <c r="FY202" i="4" s="1"/>
  <c r="FY203" i="4" s="1"/>
  <c r="FZ199" i="4" s="1"/>
  <c r="FR228" i="4"/>
  <c r="FS224" i="4" s="1"/>
  <c r="FS225" i="4" s="1"/>
  <c r="FS227" i="4" s="1"/>
  <c r="FV221" i="4"/>
  <c r="FV226" i="4"/>
  <c r="FV220" i="4"/>
  <c r="FV219" i="4"/>
  <c r="FW215" i="4" s="1"/>
  <c r="FM245" i="4"/>
  <c r="FJ254" i="4"/>
  <c r="X256" i="4"/>
  <c r="FH264" i="4"/>
  <c r="AG235" i="4"/>
  <c r="FQ232" i="4"/>
  <c r="AK234" i="4"/>
  <c r="FU223" i="4"/>
  <c r="FR230" i="4"/>
  <c r="FR229" i="4"/>
  <c r="AM233" i="4"/>
  <c r="FW213" i="4"/>
  <c r="FO236" i="4"/>
  <c r="AE246" i="4"/>
  <c r="W265" i="4"/>
  <c r="FK248" i="4"/>
  <c r="FG267" i="4"/>
  <c r="W257" i="4" s="1"/>
  <c r="W261" i="4"/>
  <c r="W266" i="4" s="1"/>
  <c r="FP233" i="4"/>
  <c r="FP234" i="4"/>
  <c r="AF239" i="4" s="1"/>
  <c r="FN239" i="4"/>
  <c r="FN241" i="4" s="1"/>
  <c r="FN242" i="4" s="1"/>
  <c r="FO238" i="4" s="1"/>
  <c r="FI260" i="4" l="1"/>
  <c r="FJ256" i="4" s="1"/>
  <c r="FJ257" i="4" s="1"/>
  <c r="FX204" i="4"/>
  <c r="FX208" i="4"/>
  <c r="FX212" i="4" s="1"/>
  <c r="FI261" i="4"/>
  <c r="FX217" i="4"/>
  <c r="FK250" i="4"/>
  <c r="FK251" i="4" s="1"/>
  <c r="FL247" i="4" s="1"/>
  <c r="FZ200" i="4"/>
  <c r="FZ202" i="4" s="1"/>
  <c r="FZ203" i="4" s="1"/>
  <c r="GA199" i="4" s="1"/>
  <c r="FO239" i="4"/>
  <c r="FO241" i="4" s="1"/>
  <c r="FS230" i="4"/>
  <c r="FS229" i="4"/>
  <c r="FS228" i="4"/>
  <c r="FT224" i="4" s="1"/>
  <c r="FR231" i="4"/>
  <c r="FY217" i="4"/>
  <c r="FY208" i="4"/>
  <c r="FY204" i="4"/>
  <c r="W262" i="4"/>
  <c r="FQ234" i="4"/>
  <c r="AG239" i="4" s="1"/>
  <c r="FQ233" i="4"/>
  <c r="Z255" i="4"/>
  <c r="FJ255" i="4"/>
  <c r="FW216" i="4"/>
  <c r="FW218" i="4" s="1"/>
  <c r="FW219" i="4" s="1"/>
  <c r="FX215" i="4" s="1"/>
  <c r="AC254" i="4"/>
  <c r="FM246" i="4"/>
  <c r="FN249" i="4"/>
  <c r="FN244" i="4"/>
  <c r="FN243" i="4"/>
  <c r="AF244" i="4"/>
  <c r="FP235" i="4"/>
  <c r="AF236" i="4" s="1"/>
  <c r="AF240" i="4"/>
  <c r="AF245" i="4" s="1"/>
  <c r="W267" i="4"/>
  <c r="FH265" i="4"/>
  <c r="FH266" i="4"/>
  <c r="X260" i="4" s="1"/>
  <c r="FI263" i="4"/>
  <c r="FV222" i="4"/>
  <c r="FX209" i="4" l="1"/>
  <c r="FY205" i="4" s="1"/>
  <c r="FY206" i="4" s="1"/>
  <c r="FY209" i="4" s="1"/>
  <c r="FZ205" i="4" s="1"/>
  <c r="FX210" i="4"/>
  <c r="FK253" i="4"/>
  <c r="FK254" i="4" s="1"/>
  <c r="FK252" i="4"/>
  <c r="FK258" i="4"/>
  <c r="FL248" i="4"/>
  <c r="FL250" i="4" s="1"/>
  <c r="FO249" i="4"/>
  <c r="FO244" i="4"/>
  <c r="FO243" i="4"/>
  <c r="FO242" i="4"/>
  <c r="FP238" i="4" s="1"/>
  <c r="GA200" i="4"/>
  <c r="FX216" i="4"/>
  <c r="FY212" i="4"/>
  <c r="FY210" i="4"/>
  <c r="FS231" i="4"/>
  <c r="AL234" i="4"/>
  <c r="FV223" i="4"/>
  <c r="FW221" i="4"/>
  <c r="FW226" i="4"/>
  <c r="FW220" i="4"/>
  <c r="FQ235" i="4"/>
  <c r="AG236" i="4" s="1"/>
  <c r="AG240" i="4"/>
  <c r="AG245" i="4" s="1"/>
  <c r="AF241" i="4"/>
  <c r="AG244" i="4"/>
  <c r="AH235" i="4"/>
  <c r="FR232" i="4"/>
  <c r="AF246" i="4"/>
  <c r="FP236" i="4"/>
  <c r="X265" i="4"/>
  <c r="FT225" i="4"/>
  <c r="FT227" i="4" s="1"/>
  <c r="FZ217" i="4"/>
  <c r="FZ208" i="4"/>
  <c r="FZ204" i="4"/>
  <c r="Y256" i="4"/>
  <c r="FI264" i="4"/>
  <c r="FJ259" i="4"/>
  <c r="FH267" i="4"/>
  <c r="X257" i="4" s="1"/>
  <c r="X261" i="4"/>
  <c r="X266" i="4" s="1"/>
  <c r="FN245" i="4"/>
  <c r="AN233" i="4"/>
  <c r="FX213" i="4"/>
  <c r="X267" i="4" l="1"/>
  <c r="FL253" i="4"/>
  <c r="FL254" i="4" s="1"/>
  <c r="FL258" i="4"/>
  <c r="FL252" i="4"/>
  <c r="FL251" i="4"/>
  <c r="FM247" i="4" s="1"/>
  <c r="X262" i="4"/>
  <c r="FX218" i="4"/>
  <c r="FX221" i="4" s="1"/>
  <c r="FT230" i="4"/>
  <c r="FT229" i="4"/>
  <c r="FZ206" i="4"/>
  <c r="FZ209" i="4" s="1"/>
  <c r="GA205" i="4" s="1"/>
  <c r="AI235" i="4"/>
  <c r="FS232" i="4"/>
  <c r="GA202" i="4"/>
  <c r="FZ212" i="4"/>
  <c r="FZ210" i="4"/>
  <c r="AG246" i="4"/>
  <c r="FQ236" i="4"/>
  <c r="AG241" i="4"/>
  <c r="AO233" i="4"/>
  <c r="FY213" i="4"/>
  <c r="FP239" i="4"/>
  <c r="FP241" i="4" s="1"/>
  <c r="FO245" i="4"/>
  <c r="FI266" i="4"/>
  <c r="Y260" i="4" s="1"/>
  <c r="FI265" i="4"/>
  <c r="FT228" i="4"/>
  <c r="FU224" i="4" s="1"/>
  <c r="AA255" i="4"/>
  <c r="FK255" i="4"/>
  <c r="FW222" i="4"/>
  <c r="AD254" i="4"/>
  <c r="FN246" i="4"/>
  <c r="FJ262" i="4"/>
  <c r="FJ261" i="4"/>
  <c r="FJ260" i="4"/>
  <c r="FK256" i="4" s="1"/>
  <c r="FR234" i="4"/>
  <c r="AH239" i="4" s="1"/>
  <c r="FR233" i="4"/>
  <c r="FX219" i="4" l="1"/>
  <c r="FY215" i="4" s="1"/>
  <c r="FY216" i="4" s="1"/>
  <c r="FX220" i="4"/>
  <c r="FM248" i="4"/>
  <c r="FM250" i="4" s="1"/>
  <c r="FX226" i="4"/>
  <c r="FP249" i="4"/>
  <c r="FP244" i="4"/>
  <c r="FP243" i="4"/>
  <c r="GA206" i="4"/>
  <c r="AE254" i="4"/>
  <c r="FO246" i="4"/>
  <c r="FX222" i="4"/>
  <c r="GA208" i="4"/>
  <c r="GA217" i="4"/>
  <c r="GA204" i="4"/>
  <c r="FS234" i="4"/>
  <c r="AI239" i="4" s="1"/>
  <c r="FS233" i="4"/>
  <c r="AP233" i="4"/>
  <c r="FZ213" i="4"/>
  <c r="FR235" i="4"/>
  <c r="AH236" i="4" s="1"/>
  <c r="AH240" i="4"/>
  <c r="AH245" i="4" s="1"/>
  <c r="GA203" i="4"/>
  <c r="GB199" i="4" s="1"/>
  <c r="Y265" i="4"/>
  <c r="FU225" i="4"/>
  <c r="FP242" i="4"/>
  <c r="FQ238" i="4" s="1"/>
  <c r="AM234" i="4"/>
  <c r="FW223" i="4"/>
  <c r="FJ263" i="4"/>
  <c r="AH244" i="4"/>
  <c r="FK257" i="4"/>
  <c r="FK259" i="4" s="1"/>
  <c r="AB255" i="4"/>
  <c r="FL255" i="4"/>
  <c r="FI267" i="4"/>
  <c r="Y257" i="4" s="1"/>
  <c r="Y261" i="4"/>
  <c r="Y266" i="4" s="1"/>
  <c r="FT231" i="4"/>
  <c r="AH241" i="4" l="1"/>
  <c r="GA209" i="4"/>
  <c r="GB205" i="4" s="1"/>
  <c r="GB206" i="4" s="1"/>
  <c r="FM252" i="4"/>
  <c r="FM253" i="4"/>
  <c r="FM254" i="4" s="1"/>
  <c r="AC255" i="4" s="1"/>
  <c r="FM258" i="4"/>
  <c r="FM251" i="4"/>
  <c r="FN247" i="4" s="1"/>
  <c r="FY218" i="4"/>
  <c r="FY219" i="4" s="1"/>
  <c r="FZ215" i="4" s="1"/>
  <c r="FZ216" i="4" s="1"/>
  <c r="FZ218" i="4" s="1"/>
  <c r="FK262" i="4"/>
  <c r="FK261" i="4"/>
  <c r="FU227" i="4"/>
  <c r="FU228" i="4" s="1"/>
  <c r="FV224" i="4" s="1"/>
  <c r="FK260" i="4"/>
  <c r="FL256" i="4" s="1"/>
  <c r="Y267" i="4"/>
  <c r="Y262" i="4"/>
  <c r="FS235" i="4"/>
  <c r="AI236" i="4" s="1"/>
  <c r="AI240" i="4"/>
  <c r="AI245" i="4" s="1"/>
  <c r="AN234" i="4"/>
  <c r="FX223" i="4"/>
  <c r="GB200" i="4"/>
  <c r="AI244" i="4"/>
  <c r="FP245" i="4"/>
  <c r="Z256" i="4"/>
  <c r="FJ264" i="4"/>
  <c r="AJ235" i="4"/>
  <c r="FT232" i="4"/>
  <c r="AH246" i="4"/>
  <c r="FR236" i="4"/>
  <c r="FQ239" i="4"/>
  <c r="GA212" i="4"/>
  <c r="GA210" i="4"/>
  <c r="FM255" i="4" l="1"/>
  <c r="FN248" i="4"/>
  <c r="FN250" i="4" s="1"/>
  <c r="FN251" i="4" s="1"/>
  <c r="FO247" i="4" s="1"/>
  <c r="FY226" i="4"/>
  <c r="FY220" i="4"/>
  <c r="FY221" i="4"/>
  <c r="FY222" i="4" s="1"/>
  <c r="FZ221" i="4"/>
  <c r="FZ226" i="4"/>
  <c r="FZ220" i="4"/>
  <c r="FQ241" i="4"/>
  <c r="FQ242" i="4" s="1"/>
  <c r="FR238" i="4" s="1"/>
  <c r="GB202" i="4"/>
  <c r="FV225" i="4"/>
  <c r="FV227" i="4" s="1"/>
  <c r="AF254" i="4"/>
  <c r="FP246" i="4"/>
  <c r="FL257" i="4"/>
  <c r="FL259" i="4" s="1"/>
  <c r="FK263" i="4"/>
  <c r="FT233" i="4"/>
  <c r="FT234" i="4"/>
  <c r="AJ239" i="4" s="1"/>
  <c r="AI246" i="4"/>
  <c r="FS236" i="4"/>
  <c r="FU230" i="4"/>
  <c r="FU229" i="4"/>
  <c r="FZ219" i="4"/>
  <c r="GA215" i="4" s="1"/>
  <c r="AQ233" i="4"/>
  <c r="GA213" i="4"/>
  <c r="AI241" i="4"/>
  <c r="FJ265" i="4"/>
  <c r="FJ266" i="4"/>
  <c r="Z260" i="4" s="1"/>
  <c r="FV228" i="4" l="1"/>
  <c r="FW224" i="4" s="1"/>
  <c r="FO248" i="4"/>
  <c r="FN253" i="4"/>
  <c r="FN254" i="4" s="1"/>
  <c r="FN258" i="4"/>
  <c r="FN252" i="4"/>
  <c r="FL262" i="4"/>
  <c r="FL261" i="4"/>
  <c r="FU231" i="4"/>
  <c r="FZ222" i="4"/>
  <c r="FV230" i="4"/>
  <c r="FV229" i="4"/>
  <c r="FR239" i="4"/>
  <c r="FR241" i="4" s="1"/>
  <c r="FR242" i="4" s="1"/>
  <c r="FS238" i="4" s="1"/>
  <c r="AA256" i="4"/>
  <c r="FK264" i="4"/>
  <c r="GB217" i="4"/>
  <c r="GB208" i="4"/>
  <c r="GB204" i="4"/>
  <c r="AJ244" i="4"/>
  <c r="FL260" i="4"/>
  <c r="FM256" i="4" s="1"/>
  <c r="FQ249" i="4"/>
  <c r="FQ244" i="4"/>
  <c r="FQ243" i="4"/>
  <c r="Z265" i="4"/>
  <c r="AO234" i="4"/>
  <c r="FY223" i="4"/>
  <c r="FJ267" i="4"/>
  <c r="Z257" i="4" s="1"/>
  <c r="Z261" i="4"/>
  <c r="Z266" i="4" s="1"/>
  <c r="FT235" i="4"/>
  <c r="AJ236" i="4" s="1"/>
  <c r="AJ240" i="4"/>
  <c r="AJ245" i="4" s="1"/>
  <c r="GA216" i="4"/>
  <c r="GB203" i="4"/>
  <c r="GC199" i="4" s="1"/>
  <c r="FW225" i="4" l="1"/>
  <c r="FW227" i="4" s="1"/>
  <c r="FW230" i="4" s="1"/>
  <c r="AD255" i="4"/>
  <c r="FN255" i="4"/>
  <c r="AJ241" i="4"/>
  <c r="FO250" i="4"/>
  <c r="FS239" i="4"/>
  <c r="FS241" i="4" s="1"/>
  <c r="FS242" i="4" s="1"/>
  <c r="FT238" i="4" s="1"/>
  <c r="FK266" i="4"/>
  <c r="AA260" i="4" s="1"/>
  <c r="FK265" i="4"/>
  <c r="FV231" i="4"/>
  <c r="FR249" i="4"/>
  <c r="FR244" i="4"/>
  <c r="FR243" i="4"/>
  <c r="AP234" i="4"/>
  <c r="FZ223" i="4"/>
  <c r="GC200" i="4"/>
  <c r="GC202" i="4" s="1"/>
  <c r="GC203" i="4" s="1"/>
  <c r="GD199" i="4" s="1"/>
  <c r="GB212" i="4"/>
  <c r="GB210" i="4"/>
  <c r="GB209" i="4"/>
  <c r="GC205" i="4" s="1"/>
  <c r="FQ245" i="4"/>
  <c r="GA218" i="4"/>
  <c r="Z262" i="4"/>
  <c r="FM257" i="4"/>
  <c r="FM259" i="4" s="1"/>
  <c r="AK235" i="4"/>
  <c r="FU232" i="4"/>
  <c r="Z267" i="4"/>
  <c r="FT236" i="4"/>
  <c r="AJ246" i="4"/>
  <c r="FL263" i="4"/>
  <c r="FW229" i="4" l="1"/>
  <c r="FO253" i="4"/>
  <c r="FO254" i="4" s="1"/>
  <c r="FO252" i="4"/>
  <c r="FO258" i="4"/>
  <c r="FO251" i="4"/>
  <c r="FP247" i="4" s="1"/>
  <c r="FW228" i="4"/>
  <c r="FX224" i="4" s="1"/>
  <c r="FX225" i="4" s="1"/>
  <c r="FX227" i="4" s="1"/>
  <c r="FX229" i="4" s="1"/>
  <c r="FM262" i="4"/>
  <c r="FM261" i="4"/>
  <c r="FM260" i="4"/>
  <c r="FN256" i="4" s="1"/>
  <c r="GD200" i="4"/>
  <c r="GD202" i="4" s="1"/>
  <c r="GD203" i="4" s="1"/>
  <c r="GE199" i="4" s="1"/>
  <c r="FT239" i="4"/>
  <c r="FT241" i="4" s="1"/>
  <c r="FR245" i="4"/>
  <c r="AG254" i="4"/>
  <c r="FQ246" i="4"/>
  <c r="GA221" i="4"/>
  <c r="GA226" i="4"/>
  <c r="GA220" i="4"/>
  <c r="FU233" i="4"/>
  <c r="FU234" i="4"/>
  <c r="AK239" i="4" s="1"/>
  <c r="AB256" i="4"/>
  <c r="FL264" i="4"/>
  <c r="GC206" i="4"/>
  <c r="FW231" i="4"/>
  <c r="GA219" i="4"/>
  <c r="GB215" i="4" s="1"/>
  <c r="AR233" i="4"/>
  <c r="GB213" i="4"/>
  <c r="AL235" i="4"/>
  <c r="FV232" i="4"/>
  <c r="GC208" i="4"/>
  <c r="GC217" i="4"/>
  <c r="GC204" i="4"/>
  <c r="FK267" i="4"/>
  <c r="AA257" i="4" s="1"/>
  <c r="AA261" i="4"/>
  <c r="AA266" i="4" s="1"/>
  <c r="FS249" i="4"/>
  <c r="FS244" i="4"/>
  <c r="FS243" i="4"/>
  <c r="AA265" i="4"/>
  <c r="GC209" i="4" l="1"/>
  <c r="GD205" i="4" s="1"/>
  <c r="GD206" i="4" s="1"/>
  <c r="FX230" i="4"/>
  <c r="FX231" i="4" s="1"/>
  <c r="FX228" i="4"/>
  <c r="FY224" i="4" s="1"/>
  <c r="FY225" i="4" s="1"/>
  <c r="FY227" i="4" s="1"/>
  <c r="FP248" i="4"/>
  <c r="FP250" i="4" s="1"/>
  <c r="FP251" i="4" s="1"/>
  <c r="FQ247" i="4" s="1"/>
  <c r="AA262" i="4"/>
  <c r="AE255" i="4"/>
  <c r="FO255" i="4"/>
  <c r="FT249" i="4"/>
  <c r="FT244" i="4"/>
  <c r="FT243" i="4"/>
  <c r="AM235" i="4"/>
  <c r="FW232" i="4"/>
  <c r="AH254" i="4"/>
  <c r="FR246" i="4"/>
  <c r="GE200" i="4"/>
  <c r="GE202" i="4" s="1"/>
  <c r="GE203" i="4" s="1"/>
  <c r="GF199" i="4" s="1"/>
  <c r="GA222" i="4"/>
  <c r="GD217" i="4"/>
  <c r="GD208" i="4"/>
  <c r="GD204" i="4"/>
  <c r="FL266" i="4"/>
  <c r="AB260" i="4" s="1"/>
  <c r="FL265" i="4"/>
  <c r="GB216" i="4"/>
  <c r="GB218" i="4" s="1"/>
  <c r="FN257" i="4"/>
  <c r="AK244" i="4"/>
  <c r="GC212" i="4"/>
  <c r="GC210" i="4"/>
  <c r="FV233" i="4"/>
  <c r="FV234" i="4"/>
  <c r="AL239" i="4" s="1"/>
  <c r="FU235" i="4"/>
  <c r="AK236" i="4" s="1"/>
  <c r="AK240" i="4"/>
  <c r="AK245" i="4" s="1"/>
  <c r="FT242" i="4"/>
  <c r="FU238" i="4" s="1"/>
  <c r="FS245" i="4"/>
  <c r="AA267" i="4"/>
  <c r="FM263" i="4"/>
  <c r="FQ248" i="4" l="1"/>
  <c r="FQ250" i="4" s="1"/>
  <c r="FP258" i="4"/>
  <c r="FP252" i="4"/>
  <c r="FP253" i="4"/>
  <c r="FP254" i="4" s="1"/>
  <c r="GD209" i="4"/>
  <c r="GE205" i="4" s="1"/>
  <c r="GE206" i="4" s="1"/>
  <c r="GF200" i="4"/>
  <c r="GF202" i="4" s="1"/>
  <c r="FY230" i="4"/>
  <c r="FY229" i="4"/>
  <c r="GB221" i="4"/>
  <c r="GB226" i="4"/>
  <c r="GB220" i="4"/>
  <c r="GD212" i="4"/>
  <c r="GD210" i="4"/>
  <c r="AQ234" i="4"/>
  <c r="GA223" i="4"/>
  <c r="FW233" i="4"/>
  <c r="FW234" i="4"/>
  <c r="AM239" i="4" s="1"/>
  <c r="GB219" i="4"/>
  <c r="GC215" i="4" s="1"/>
  <c r="AI254" i="4"/>
  <c r="FS246" i="4"/>
  <c r="FU239" i="4"/>
  <c r="FU236" i="4"/>
  <c r="AK246" i="4"/>
  <c r="GE208" i="4"/>
  <c r="GE217" i="4"/>
  <c r="GE204" i="4"/>
  <c r="FT245" i="4"/>
  <c r="AS233" i="4"/>
  <c r="GC213" i="4"/>
  <c r="AK241" i="4"/>
  <c r="FL267" i="4"/>
  <c r="AB257" i="4" s="1"/>
  <c r="AB261" i="4"/>
  <c r="AB266" i="4" s="1"/>
  <c r="FY228" i="4"/>
  <c r="FZ224" i="4" s="1"/>
  <c r="AL244" i="4"/>
  <c r="AN235" i="4"/>
  <c r="FX232" i="4"/>
  <c r="AB265" i="4"/>
  <c r="FN259" i="4"/>
  <c r="FN260" i="4" s="1"/>
  <c r="FO256" i="4" s="1"/>
  <c r="AC256" i="4"/>
  <c r="FM264" i="4"/>
  <c r="FV235" i="4"/>
  <c r="AL236" i="4" s="1"/>
  <c r="AL240" i="4"/>
  <c r="AL245" i="4" s="1"/>
  <c r="FU241" i="4" l="1"/>
  <c r="FU249" i="4" s="1"/>
  <c r="GE209" i="4"/>
  <c r="GF205" i="4" s="1"/>
  <c r="AF255" i="4"/>
  <c r="FP255" i="4"/>
  <c r="FQ253" i="4"/>
  <c r="FQ254" i="4" s="1"/>
  <c r="FQ255" i="4" s="1"/>
  <c r="FQ258" i="4"/>
  <c r="FQ252" i="4"/>
  <c r="FQ251" i="4"/>
  <c r="FR247" i="4" s="1"/>
  <c r="FO257" i="4"/>
  <c r="FO259" i="4" s="1"/>
  <c r="GF206" i="4"/>
  <c r="GF217" i="4"/>
  <c r="GF208" i="4"/>
  <c r="GF204" i="4"/>
  <c r="AJ254" i="4"/>
  <c r="FT246" i="4"/>
  <c r="AB267" i="4"/>
  <c r="GC216" i="4"/>
  <c r="GC218" i="4" s="1"/>
  <c r="AT233" i="4"/>
  <c r="GD213" i="4"/>
  <c r="FZ225" i="4"/>
  <c r="FZ227" i="4" s="1"/>
  <c r="AB262" i="4"/>
  <c r="GE212" i="4"/>
  <c r="GE210" i="4"/>
  <c r="AM244" i="4"/>
  <c r="FY231" i="4"/>
  <c r="FW235" i="4"/>
  <c r="AM236" i="4" s="1"/>
  <c r="AM240" i="4"/>
  <c r="AM245" i="4" s="1"/>
  <c r="GF203" i="4"/>
  <c r="GG199" i="4" s="1"/>
  <c r="FX233" i="4"/>
  <c r="FX234" i="4"/>
  <c r="AN239" i="4" s="1"/>
  <c r="GB222" i="4"/>
  <c r="FN262" i="4"/>
  <c r="FN261" i="4"/>
  <c r="FM265" i="4"/>
  <c r="FM266" i="4"/>
  <c r="AC260" i="4" s="1"/>
  <c r="AL246" i="4"/>
  <c r="FV236" i="4"/>
  <c r="AL241" i="4"/>
  <c r="AG255" i="4" l="1"/>
  <c r="FU242" i="4"/>
  <c r="FV238" i="4" s="1"/>
  <c r="FU243" i="4"/>
  <c r="FU244" i="4"/>
  <c r="FU245" i="4" s="1"/>
  <c r="GF209" i="4"/>
  <c r="GG205" i="4" s="1"/>
  <c r="GG206" i="4" s="1"/>
  <c r="AM241" i="4"/>
  <c r="FR248" i="4"/>
  <c r="FR250" i="4" s="1"/>
  <c r="FZ228" i="4"/>
  <c r="GA224" i="4" s="1"/>
  <c r="GA225" i="4" s="1"/>
  <c r="GA227" i="4" s="1"/>
  <c r="GC221" i="4"/>
  <c r="GC226" i="4"/>
  <c r="GC220" i="4"/>
  <c r="FO262" i="4"/>
  <c r="FO261" i="4"/>
  <c r="FO260" i="4"/>
  <c r="FP256" i="4" s="1"/>
  <c r="FV239" i="4"/>
  <c r="FV241" i="4" s="1"/>
  <c r="FV242" i="4" s="1"/>
  <c r="FW238" i="4" s="1"/>
  <c r="AC265" i="4"/>
  <c r="AN244" i="4"/>
  <c r="AU233" i="4"/>
  <c r="GE213" i="4"/>
  <c r="FM267" i="4"/>
  <c r="AC257" i="4" s="1"/>
  <c r="AC261" i="4"/>
  <c r="AC266" i="4" s="1"/>
  <c r="GG200" i="4"/>
  <c r="GG202" i="4" s="1"/>
  <c r="GC219" i="4"/>
  <c r="GD215" i="4" s="1"/>
  <c r="AR234" i="4"/>
  <c r="GB223" i="4"/>
  <c r="FX235" i="4"/>
  <c r="AN236" i="4" s="1"/>
  <c r="AN240" i="4"/>
  <c r="AN245" i="4" s="1"/>
  <c r="AO235" i="4"/>
  <c r="FY232" i="4"/>
  <c r="GF212" i="4"/>
  <c r="GF210" i="4"/>
  <c r="FZ230" i="4"/>
  <c r="FZ229" i="4"/>
  <c r="FN263" i="4"/>
  <c r="FW236" i="4"/>
  <c r="AM246" i="4"/>
  <c r="FR251" i="4" l="1"/>
  <c r="FS247" i="4" s="1"/>
  <c r="FR253" i="4"/>
  <c r="FR254" i="4" s="1"/>
  <c r="AH255" i="4" s="1"/>
  <c r="FR258" i="4"/>
  <c r="FR252" i="4"/>
  <c r="GG203" i="4"/>
  <c r="GH199" i="4" s="1"/>
  <c r="GH200" i="4" s="1"/>
  <c r="GH202" i="4" s="1"/>
  <c r="GH203" i="4" s="1"/>
  <c r="GI199" i="4" s="1"/>
  <c r="GA230" i="4"/>
  <c r="GA229" i="4"/>
  <c r="GA228" i="4"/>
  <c r="GB224" i="4" s="1"/>
  <c r="FY233" i="4"/>
  <c r="FY234" i="4"/>
  <c r="AO239" i="4" s="1"/>
  <c r="FP257" i="4"/>
  <c r="FP259" i="4" s="1"/>
  <c r="FW239" i="4"/>
  <c r="FW241" i="4" s="1"/>
  <c r="FV249" i="4"/>
  <c r="FV244" i="4"/>
  <c r="FV243" i="4"/>
  <c r="FO263" i="4"/>
  <c r="AN246" i="4"/>
  <c r="FX236" i="4"/>
  <c r="AN241" i="4"/>
  <c r="FR255" i="4"/>
  <c r="AV233" i="4"/>
  <c r="GF213" i="4"/>
  <c r="AC267" i="4"/>
  <c r="GG217" i="4"/>
  <c r="GG208" i="4"/>
  <c r="GG204" i="4"/>
  <c r="FZ231" i="4"/>
  <c r="AD256" i="4"/>
  <c r="FN264" i="4"/>
  <c r="GD216" i="4"/>
  <c r="GD218" i="4" s="1"/>
  <c r="AK254" i="4"/>
  <c r="FU246" i="4"/>
  <c r="AC262" i="4"/>
  <c r="GC222" i="4"/>
  <c r="FW242" i="4" l="1"/>
  <c r="FX238" i="4" s="1"/>
  <c r="FX239" i="4" s="1"/>
  <c r="FX241" i="4" s="1"/>
  <c r="FX242" i="4" s="1"/>
  <c r="FY238" i="4" s="1"/>
  <c r="FS248" i="4"/>
  <c r="FS250" i="4" s="1"/>
  <c r="GI200" i="4"/>
  <c r="GI202" i="4" s="1"/>
  <c r="FP262" i="4"/>
  <c r="FP261" i="4"/>
  <c r="GG212" i="4"/>
  <c r="GG210" i="4"/>
  <c r="FP260" i="4"/>
  <c r="FQ256" i="4" s="1"/>
  <c r="GA231" i="4"/>
  <c r="GD221" i="4"/>
  <c r="GD226" i="4"/>
  <c r="GD220" i="4"/>
  <c r="FV245" i="4"/>
  <c r="FN265" i="4"/>
  <c r="FN266" i="4"/>
  <c r="AD260" i="4" s="1"/>
  <c r="AO244" i="4"/>
  <c r="FY235" i="4"/>
  <c r="AO236" i="4" s="1"/>
  <c r="AO240" i="4"/>
  <c r="AO245" i="4" s="1"/>
  <c r="GG209" i="4"/>
  <c r="GH205" i="4" s="1"/>
  <c r="AS234" i="4"/>
  <c r="GC223" i="4"/>
  <c r="GB225" i="4"/>
  <c r="GB227" i="4" s="1"/>
  <c r="GB228" i="4" s="1"/>
  <c r="GC224" i="4" s="1"/>
  <c r="AP235" i="4"/>
  <c r="FZ232" i="4"/>
  <c r="FW249" i="4"/>
  <c r="FW244" i="4"/>
  <c r="FW243" i="4"/>
  <c r="GH217" i="4"/>
  <c r="GH208" i="4"/>
  <c r="GH204" i="4"/>
  <c r="GD219" i="4"/>
  <c r="GE215" i="4" s="1"/>
  <c r="AE256" i="4"/>
  <c r="FO264" i="4"/>
  <c r="FS251" i="4" l="1"/>
  <c r="FT247" i="4" s="1"/>
  <c r="FS253" i="4"/>
  <c r="FS254" i="4" s="1"/>
  <c r="FS252" i="4"/>
  <c r="FS258" i="4"/>
  <c r="GI208" i="4"/>
  <c r="GI217" i="4"/>
  <c r="GI204" i="4"/>
  <c r="GI203" i="4"/>
  <c r="GJ199" i="4" s="1"/>
  <c r="FY239" i="4"/>
  <c r="GC225" i="4"/>
  <c r="AW233" i="4"/>
  <c r="GG213" i="4"/>
  <c r="FX249" i="4"/>
  <c r="FX244" i="4"/>
  <c r="FX243" i="4"/>
  <c r="GH212" i="4"/>
  <c r="GH210" i="4"/>
  <c r="GH206" i="4"/>
  <c r="GH209" i="4" s="1"/>
  <c r="GI205" i="4" s="1"/>
  <c r="AD265" i="4"/>
  <c r="FN267" i="4"/>
  <c r="AD257" i="4" s="1"/>
  <c r="AD261" i="4"/>
  <c r="AD266" i="4" s="1"/>
  <c r="GD222" i="4"/>
  <c r="FZ234" i="4"/>
  <c r="AP239" i="4" s="1"/>
  <c r="FZ233" i="4"/>
  <c r="FP263" i="4"/>
  <c r="FO266" i="4"/>
  <c r="AE260" i="4" s="1"/>
  <c r="FO265" i="4"/>
  <c r="FW245" i="4"/>
  <c r="AQ235" i="4"/>
  <c r="GA232" i="4"/>
  <c r="GB230" i="4"/>
  <c r="GB229" i="4"/>
  <c r="AO246" i="4"/>
  <c r="FY236" i="4"/>
  <c r="AL254" i="4"/>
  <c r="FV246" i="4"/>
  <c r="FQ257" i="4"/>
  <c r="FQ259" i="4" s="1"/>
  <c r="GE216" i="4"/>
  <c r="GE218" i="4" s="1"/>
  <c r="AO241" i="4"/>
  <c r="AI255" i="4" l="1"/>
  <c r="FS255" i="4"/>
  <c r="FT248" i="4"/>
  <c r="FT250" i="4" s="1"/>
  <c r="GI206" i="4"/>
  <c r="GI209" i="4" s="1"/>
  <c r="GJ205" i="4" s="1"/>
  <c r="FQ262" i="4"/>
  <c r="FQ261" i="4"/>
  <c r="FQ260" i="4"/>
  <c r="FR256" i="4" s="1"/>
  <c r="GA233" i="4"/>
  <c r="GA234" i="4"/>
  <c r="AQ239" i="4" s="1"/>
  <c r="AX233" i="4"/>
  <c r="GH213" i="4"/>
  <c r="FY241" i="4"/>
  <c r="FY242" i="4" s="1"/>
  <c r="FZ238" i="4" s="1"/>
  <c r="FZ235" i="4"/>
  <c r="AP236" i="4" s="1"/>
  <c r="AP240" i="4"/>
  <c r="AP245" i="4" s="1"/>
  <c r="AP244" i="4"/>
  <c r="GJ200" i="4"/>
  <c r="GJ202" i="4" s="1"/>
  <c r="AM254" i="4"/>
  <c r="FW246" i="4"/>
  <c r="AD267" i="4"/>
  <c r="FX245" i="4"/>
  <c r="AD262" i="4"/>
  <c r="GE221" i="4"/>
  <c r="GE226" i="4"/>
  <c r="GE220" i="4"/>
  <c r="AE265" i="4"/>
  <c r="GC227" i="4"/>
  <c r="GI212" i="4"/>
  <c r="GI210" i="4"/>
  <c r="GE219" i="4"/>
  <c r="GF215" i="4" s="1"/>
  <c r="FO267" i="4"/>
  <c r="AE257" i="4" s="1"/>
  <c r="AE261" i="4"/>
  <c r="AE266" i="4" s="1"/>
  <c r="GB231" i="4"/>
  <c r="AF256" i="4"/>
  <c r="FP264" i="4"/>
  <c r="AT234" i="4"/>
  <c r="GD223" i="4"/>
  <c r="AP241" i="4" l="1"/>
  <c r="AE262" i="4"/>
  <c r="FT251" i="4"/>
  <c r="FU247" i="4" s="1"/>
  <c r="FT252" i="4"/>
  <c r="FT258" i="4"/>
  <c r="FT253" i="4"/>
  <c r="FT254" i="4" s="1"/>
  <c r="GJ217" i="4"/>
  <c r="GJ208" i="4"/>
  <c r="GJ204" i="4"/>
  <c r="FZ239" i="4"/>
  <c r="FR257" i="4"/>
  <c r="FR259" i="4" s="1"/>
  <c r="FZ236" i="4"/>
  <c r="AP246" i="4"/>
  <c r="GC230" i="4"/>
  <c r="GC229" i="4"/>
  <c r="AQ244" i="4"/>
  <c r="AY233" i="4"/>
  <c r="GI213" i="4"/>
  <c r="AE267" i="4"/>
  <c r="GE222" i="4"/>
  <c r="GA235" i="4"/>
  <c r="AQ236" i="4" s="1"/>
  <c r="AQ240" i="4"/>
  <c r="AQ245" i="4" s="1"/>
  <c r="FQ263" i="4"/>
  <c r="AR235" i="4"/>
  <c r="GB232" i="4"/>
  <c r="GC228" i="4"/>
  <c r="GD224" i="4" s="1"/>
  <c r="GF216" i="4"/>
  <c r="GF218" i="4" s="1"/>
  <c r="GJ203" i="4"/>
  <c r="GK199" i="4" s="1"/>
  <c r="FY249" i="4"/>
  <c r="FY244" i="4"/>
  <c r="FY243" i="4"/>
  <c r="GJ206" i="4"/>
  <c r="FP265" i="4"/>
  <c r="FP266" i="4"/>
  <c r="AF260" i="4" s="1"/>
  <c r="AN254" i="4"/>
  <c r="FX246" i="4"/>
  <c r="GJ209" i="4" l="1"/>
  <c r="GK205" i="4" s="1"/>
  <c r="GK206" i="4" s="1"/>
  <c r="FZ241" i="4"/>
  <c r="FZ243" i="4" s="1"/>
  <c r="AJ255" i="4"/>
  <c r="FT255" i="4"/>
  <c r="FU248" i="4"/>
  <c r="FU250" i="4" s="1"/>
  <c r="GF221" i="4"/>
  <c r="GF226" i="4"/>
  <c r="GF220" i="4"/>
  <c r="FR262" i="4"/>
  <c r="FR261" i="4"/>
  <c r="GF219" i="4"/>
  <c r="GG215" i="4" s="1"/>
  <c r="GA236" i="4"/>
  <c r="AQ246" i="4"/>
  <c r="AG256" i="4"/>
  <c r="FQ264" i="4"/>
  <c r="FY245" i="4"/>
  <c r="AQ241" i="4"/>
  <c r="GJ212" i="4"/>
  <c r="GJ210" i="4"/>
  <c r="GD225" i="4"/>
  <c r="GD227" i="4" s="1"/>
  <c r="GD228" i="4" s="1"/>
  <c r="GE224" i="4" s="1"/>
  <c r="FP267" i="4"/>
  <c r="AF257" i="4" s="1"/>
  <c r="AF261" i="4"/>
  <c r="AF266" i="4" s="1"/>
  <c r="AU234" i="4"/>
  <c r="GE223" i="4"/>
  <c r="FR260" i="4"/>
  <c r="FS256" i="4" s="1"/>
  <c r="AF265" i="4"/>
  <c r="GB234" i="4"/>
  <c r="AR239" i="4" s="1"/>
  <c r="GB233" i="4"/>
  <c r="GC231" i="4"/>
  <c r="GK200" i="4"/>
  <c r="FZ244" i="4" l="1"/>
  <c r="FZ249" i="4"/>
  <c r="FZ242" i="4"/>
  <c r="GA238" i="4" s="1"/>
  <c r="GA239" i="4" s="1"/>
  <c r="GA241" i="4" s="1"/>
  <c r="FU253" i="4"/>
  <c r="FU254" i="4" s="1"/>
  <c r="FU258" i="4"/>
  <c r="FU252" i="4"/>
  <c r="FU251" i="4"/>
  <c r="FV247" i="4" s="1"/>
  <c r="GE225" i="4"/>
  <c r="GE227" i="4" s="1"/>
  <c r="FZ245" i="4"/>
  <c r="FR263" i="4"/>
  <c r="AF267" i="4"/>
  <c r="AF262" i="4"/>
  <c r="AO254" i="4"/>
  <c r="FY246" i="4"/>
  <c r="GG216" i="4"/>
  <c r="GG218" i="4" s="1"/>
  <c r="AR244" i="4"/>
  <c r="GD230" i="4"/>
  <c r="GD229" i="4"/>
  <c r="GK202" i="4"/>
  <c r="FS257" i="4"/>
  <c r="AS235" i="4"/>
  <c r="GC232" i="4"/>
  <c r="GB235" i="4"/>
  <c r="AR236" i="4" s="1"/>
  <c r="AR240" i="4"/>
  <c r="AR245" i="4" s="1"/>
  <c r="AZ233" i="4"/>
  <c r="GJ213" i="4"/>
  <c r="FQ266" i="4"/>
  <c r="AG260" i="4" s="1"/>
  <c r="FQ265" i="4"/>
  <c r="GF222" i="4"/>
  <c r="FV248" i="4" l="1"/>
  <c r="FV250" i="4" s="1"/>
  <c r="FV251" i="4" s="1"/>
  <c r="FW247" i="4" s="1"/>
  <c r="FU255" i="4"/>
  <c r="AK255" i="4"/>
  <c r="GG221" i="4"/>
  <c r="GG226" i="4"/>
  <c r="GG220" i="4"/>
  <c r="GG219" i="4"/>
  <c r="GH215" i="4" s="1"/>
  <c r="GA249" i="4"/>
  <c r="GA244" i="4"/>
  <c r="GA243" i="4"/>
  <c r="GA242" i="4"/>
  <c r="GB238" i="4" s="1"/>
  <c r="GE230" i="4"/>
  <c r="GE229" i="4"/>
  <c r="GK217" i="4"/>
  <c r="GK208" i="4"/>
  <c r="GK204" i="4"/>
  <c r="AR246" i="4"/>
  <c r="GB236" i="4"/>
  <c r="FS259" i="4"/>
  <c r="FS260" i="4" s="1"/>
  <c r="FT256" i="4" s="1"/>
  <c r="AR241" i="4"/>
  <c r="GK203" i="4"/>
  <c r="GL199" i="4" s="1"/>
  <c r="AH256" i="4"/>
  <c r="FR264" i="4"/>
  <c r="AV234" i="4"/>
  <c r="GF223" i="4"/>
  <c r="GC234" i="4"/>
  <c r="AS239" i="4" s="1"/>
  <c r="GC233" i="4"/>
  <c r="GE228" i="4"/>
  <c r="GF224" i="4" s="1"/>
  <c r="AP254" i="4"/>
  <c r="FZ246" i="4"/>
  <c r="GD231" i="4"/>
  <c r="FQ267" i="4"/>
  <c r="AG257" i="4" s="1"/>
  <c r="AG261" i="4"/>
  <c r="AG266" i="4" s="1"/>
  <c r="AG265" i="4"/>
  <c r="AG267" i="4" l="1"/>
  <c r="AG262" i="4"/>
  <c r="FW248" i="4"/>
  <c r="FW250" i="4" s="1"/>
  <c r="FV253" i="4"/>
  <c r="FV254" i="4" s="1"/>
  <c r="FV258" i="4"/>
  <c r="FV252" i="4"/>
  <c r="FT257" i="4"/>
  <c r="FT259" i="4" s="1"/>
  <c r="FT260" i="4" s="1"/>
  <c r="FU256" i="4" s="1"/>
  <c r="GL200" i="4"/>
  <c r="GL202" i="4" s="1"/>
  <c r="GL203" i="4" s="1"/>
  <c r="GM199" i="4" s="1"/>
  <c r="GC235" i="4"/>
  <c r="AS236" i="4" s="1"/>
  <c r="AS240" i="4"/>
  <c r="AS245" i="4" s="1"/>
  <c r="GE231" i="4"/>
  <c r="GH216" i="4"/>
  <c r="GH218" i="4" s="1"/>
  <c r="AS244" i="4"/>
  <c r="GB239" i="4"/>
  <c r="GB241" i="4" s="1"/>
  <c r="FS262" i="4"/>
  <c r="FS261" i="4"/>
  <c r="GF225" i="4"/>
  <c r="AT235" i="4"/>
  <c r="GD232" i="4"/>
  <c r="GK212" i="4"/>
  <c r="GK210" i="4"/>
  <c r="GK209" i="4"/>
  <c r="GL205" i="4" s="1"/>
  <c r="GA245" i="4"/>
  <c r="FR266" i="4"/>
  <c r="AH260" i="4" s="1"/>
  <c r="FR265" i="4"/>
  <c r="GG222" i="4"/>
  <c r="FW251" i="4" l="1"/>
  <c r="FX247" i="4" s="1"/>
  <c r="FW253" i="4"/>
  <c r="FW254" i="4" s="1"/>
  <c r="FW258" i="4"/>
  <c r="FW252" i="4"/>
  <c r="AL255" i="4"/>
  <c r="FV255" i="4"/>
  <c r="AS241" i="4"/>
  <c r="GH221" i="4"/>
  <c r="GH226" i="4"/>
  <c r="GH220" i="4"/>
  <c r="FU257" i="4"/>
  <c r="FU259" i="4" s="1"/>
  <c r="GM200" i="4"/>
  <c r="GM202" i="4" s="1"/>
  <c r="GB249" i="4"/>
  <c r="GB244" i="4"/>
  <c r="GB243" i="4"/>
  <c r="FT262" i="4"/>
  <c r="FT261" i="4"/>
  <c r="AS246" i="4"/>
  <c r="GC236" i="4"/>
  <c r="GL206" i="4"/>
  <c r="BA233" i="4"/>
  <c r="GK213" i="4"/>
  <c r="GH219" i="4"/>
  <c r="GI215" i="4" s="1"/>
  <c r="FR267" i="4"/>
  <c r="AH257" i="4" s="1"/>
  <c r="AH261" i="4"/>
  <c r="AH266" i="4" s="1"/>
  <c r="GF227" i="4"/>
  <c r="AH265" i="4"/>
  <c r="AW234" i="4"/>
  <c r="GG223" i="4"/>
  <c r="GD234" i="4"/>
  <c r="AT239" i="4" s="1"/>
  <c r="GD233" i="4"/>
  <c r="GL217" i="4"/>
  <c r="GL208" i="4"/>
  <c r="GL204" i="4"/>
  <c r="FS263" i="4"/>
  <c r="GB242" i="4"/>
  <c r="GC238" i="4" s="1"/>
  <c r="AQ254" i="4"/>
  <c r="GA246" i="4"/>
  <c r="AU235" i="4"/>
  <c r="GE232" i="4"/>
  <c r="GL209" i="4" l="1"/>
  <c r="GM205" i="4" s="1"/>
  <c r="GM206" i="4" s="1"/>
  <c r="FU260" i="4"/>
  <c r="FV256" i="4" s="1"/>
  <c r="FV257" i="4" s="1"/>
  <c r="FV259" i="4" s="1"/>
  <c r="AH267" i="4"/>
  <c r="AH262" i="4"/>
  <c r="FW255" i="4"/>
  <c r="AM255" i="4"/>
  <c r="FX248" i="4"/>
  <c r="FX250" i="4" s="1"/>
  <c r="GM208" i="4"/>
  <c r="GM217" i="4"/>
  <c r="GM204" i="4"/>
  <c r="GC239" i="4"/>
  <c r="GC241" i="4" s="1"/>
  <c r="GC242" i="4" s="1"/>
  <c r="GD238" i="4" s="1"/>
  <c r="FT263" i="4"/>
  <c r="FU262" i="4"/>
  <c r="FU261" i="4"/>
  <c r="GD235" i="4"/>
  <c r="AT236" i="4" s="1"/>
  <c r="AT240" i="4"/>
  <c r="AT245" i="4" s="1"/>
  <c r="AI256" i="4"/>
  <c r="FS264" i="4"/>
  <c r="GB245" i="4"/>
  <c r="GF230" i="4"/>
  <c r="GF229" i="4"/>
  <c r="GF228" i="4"/>
  <c r="GG224" i="4" s="1"/>
  <c r="AT244" i="4"/>
  <c r="GE233" i="4"/>
  <c r="GE234" i="4"/>
  <c r="AU239" i="4" s="1"/>
  <c r="GM203" i="4"/>
  <c r="GN199" i="4" s="1"/>
  <c r="GL212" i="4"/>
  <c r="GL210" i="4"/>
  <c r="GI216" i="4"/>
  <c r="GI218" i="4" s="1"/>
  <c r="GH222" i="4"/>
  <c r="AT241" i="4" l="1"/>
  <c r="FX251" i="4"/>
  <c r="FY247" i="4" s="1"/>
  <c r="FX253" i="4"/>
  <c r="FX254" i="4" s="1"/>
  <c r="FX252" i="4"/>
  <c r="FX258" i="4"/>
  <c r="GD239" i="4"/>
  <c r="GI221" i="4"/>
  <c r="GI226" i="4"/>
  <c r="GI220" i="4"/>
  <c r="FV262" i="4"/>
  <c r="FV261" i="4"/>
  <c r="GM212" i="4"/>
  <c r="GM210" i="4"/>
  <c r="GF231" i="4"/>
  <c r="BB233" i="4"/>
  <c r="GL213" i="4"/>
  <c r="GN200" i="4"/>
  <c r="GI219" i="4"/>
  <c r="GJ215" i="4" s="1"/>
  <c r="FV260" i="4"/>
  <c r="FW256" i="4" s="1"/>
  <c r="AT246" i="4"/>
  <c r="GD236" i="4"/>
  <c r="FU263" i="4"/>
  <c r="GC249" i="4"/>
  <c r="GC244" i="4"/>
  <c r="GC243" i="4"/>
  <c r="AU244" i="4"/>
  <c r="FS265" i="4"/>
  <c r="FS266" i="4"/>
  <c r="AI260" i="4" s="1"/>
  <c r="GM209" i="4"/>
  <c r="GN205" i="4" s="1"/>
  <c r="AX234" i="4"/>
  <c r="GH223" i="4"/>
  <c r="GG225" i="4"/>
  <c r="GG227" i="4" s="1"/>
  <c r="GG228" i="4" s="1"/>
  <c r="GH224" i="4" s="1"/>
  <c r="AR254" i="4"/>
  <c r="GB246" i="4"/>
  <c r="GE235" i="4"/>
  <c r="AU236" i="4" s="1"/>
  <c r="AU240" i="4"/>
  <c r="AU245" i="4" s="1"/>
  <c r="AJ256" i="4"/>
  <c r="FT264" i="4"/>
  <c r="GD241" i="4" l="1"/>
  <c r="GD249" i="4" s="1"/>
  <c r="FX255" i="4"/>
  <c r="AN255" i="4"/>
  <c r="FY248" i="4"/>
  <c r="GH225" i="4"/>
  <c r="GH227" i="4" s="1"/>
  <c r="GC245" i="4"/>
  <c r="GN202" i="4"/>
  <c r="FV263" i="4"/>
  <c r="BC233" i="4"/>
  <c r="GM213" i="4"/>
  <c r="GN206" i="4"/>
  <c r="AI265" i="4"/>
  <c r="FW257" i="4"/>
  <c r="FW259" i="4" s="1"/>
  <c r="FS267" i="4"/>
  <c r="AI257" i="4" s="1"/>
  <c r="AI261" i="4"/>
  <c r="AI266" i="4" s="1"/>
  <c r="GI222" i="4"/>
  <c r="AU246" i="4"/>
  <c r="GE236" i="4"/>
  <c r="AK256" i="4"/>
  <c r="FU264" i="4"/>
  <c r="GG230" i="4"/>
  <c r="GG229" i="4"/>
  <c r="AU241" i="4"/>
  <c r="GJ216" i="4"/>
  <c r="GJ218" i="4" s="1"/>
  <c r="AV235" i="4"/>
  <c r="GF232" i="4"/>
  <c r="FT265" i="4"/>
  <c r="FT266" i="4"/>
  <c r="AJ260" i="4" s="1"/>
  <c r="GD242" i="4" l="1"/>
  <c r="GE238" i="4" s="1"/>
  <c r="GE239" i="4" s="1"/>
  <c r="GE241" i="4" s="1"/>
  <c r="GD243" i="4"/>
  <c r="GD244" i="4"/>
  <c r="AI267" i="4"/>
  <c r="GH228" i="4"/>
  <c r="GI224" i="4" s="1"/>
  <c r="GI225" i="4" s="1"/>
  <c r="FY250" i="4"/>
  <c r="FW262" i="4"/>
  <c r="FW261" i="4"/>
  <c r="GJ221" i="4"/>
  <c r="GJ226" i="4"/>
  <c r="GJ220" i="4"/>
  <c r="GH230" i="4"/>
  <c r="GH229" i="4"/>
  <c r="FU266" i="4"/>
  <c r="AK260" i="4" s="1"/>
  <c r="FU265" i="4"/>
  <c r="FT267" i="4"/>
  <c r="AJ257" i="4" s="1"/>
  <c r="AJ261" i="4"/>
  <c r="AJ266" i="4" s="1"/>
  <c r="FW260" i="4"/>
  <c r="FX256" i="4" s="1"/>
  <c r="AL256" i="4"/>
  <c r="FV264" i="4"/>
  <c r="AJ265" i="4"/>
  <c r="GF233" i="4"/>
  <c r="GF234" i="4"/>
  <c r="AV239" i="4" s="1"/>
  <c r="GG231" i="4"/>
  <c r="GN208" i="4"/>
  <c r="GN209" i="4" s="1"/>
  <c r="GO205" i="4" s="1"/>
  <c r="GN217" i="4"/>
  <c r="GN204" i="4"/>
  <c r="GD245" i="4"/>
  <c r="AY234" i="4"/>
  <c r="GI223" i="4"/>
  <c r="GJ219" i="4"/>
  <c r="GK215" i="4" s="1"/>
  <c r="AS254" i="4"/>
  <c r="GC246" i="4"/>
  <c r="AI262" i="4"/>
  <c r="GN203" i="4"/>
  <c r="GO199" i="4" s="1"/>
  <c r="GI227" i="4" l="1"/>
  <c r="GI228" i="4" s="1"/>
  <c r="GJ224" i="4" s="1"/>
  <c r="GJ225" i="4" s="1"/>
  <c r="FY258" i="4"/>
  <c r="FY253" i="4"/>
  <c r="FY254" i="4" s="1"/>
  <c r="FY252" i="4"/>
  <c r="FY251" i="4"/>
  <c r="FZ247" i="4" s="1"/>
  <c r="GE244" i="4"/>
  <c r="GE249" i="4"/>
  <c r="GE243" i="4"/>
  <c r="GO206" i="4"/>
  <c r="AK265" i="4"/>
  <c r="AT254" i="4"/>
  <c r="GD246" i="4"/>
  <c r="FX257" i="4"/>
  <c r="FX259" i="4" s="1"/>
  <c r="AW235" i="4"/>
  <c r="GG232" i="4"/>
  <c r="AV244" i="4"/>
  <c r="GH231" i="4"/>
  <c r="GO200" i="4"/>
  <c r="GO202" i="4" s="1"/>
  <c r="GF235" i="4"/>
  <c r="AV236" i="4" s="1"/>
  <c r="AV240" i="4"/>
  <c r="AV245" i="4" s="1"/>
  <c r="GE242" i="4"/>
  <c r="GF238" i="4" s="1"/>
  <c r="AJ267" i="4"/>
  <c r="AJ262" i="4"/>
  <c r="GK216" i="4"/>
  <c r="GK218" i="4" s="1"/>
  <c r="GK219" i="4" s="1"/>
  <c r="GL215" i="4" s="1"/>
  <c r="GN212" i="4"/>
  <c r="GN210" i="4"/>
  <c r="FV266" i="4"/>
  <c r="AL260" i="4" s="1"/>
  <c r="FV265" i="4"/>
  <c r="FU267" i="4"/>
  <c r="AK257" i="4" s="1"/>
  <c r="AK261" i="4"/>
  <c r="AK266" i="4" s="1"/>
  <c r="GJ222" i="4"/>
  <c r="FW263" i="4"/>
  <c r="GI229" i="4" l="1"/>
  <c r="GI230" i="4"/>
  <c r="GI231" i="4" s="1"/>
  <c r="FZ248" i="4"/>
  <c r="FZ250" i="4" s="1"/>
  <c r="FZ251" i="4" s="1"/>
  <c r="GA247" i="4" s="1"/>
  <c r="FY255" i="4"/>
  <c r="AO255" i="4"/>
  <c r="GO217" i="4"/>
  <c r="GO208" i="4"/>
  <c r="GO204" i="4"/>
  <c r="FX262" i="4"/>
  <c r="FX261" i="4"/>
  <c r="FX260" i="4"/>
  <c r="FY256" i="4" s="1"/>
  <c r="GL216" i="4"/>
  <c r="GL218" i="4" s="1"/>
  <c r="GL219" i="4" s="1"/>
  <c r="GM215" i="4" s="1"/>
  <c r="AK267" i="4"/>
  <c r="AZ234" i="4"/>
  <c r="GJ223" i="4"/>
  <c r="AK262" i="4"/>
  <c r="FV267" i="4"/>
  <c r="AL257" i="4" s="1"/>
  <c r="AL261" i="4"/>
  <c r="AL266" i="4" s="1"/>
  <c r="GF239" i="4"/>
  <c r="GK221" i="4"/>
  <c r="GK226" i="4"/>
  <c r="GK220" i="4"/>
  <c r="AX235" i="4"/>
  <c r="GH232" i="4"/>
  <c r="AV246" i="4"/>
  <c r="GF236" i="4"/>
  <c r="AM256" i="4"/>
  <c r="FW264" i="4"/>
  <c r="GO203" i="4"/>
  <c r="GP199" i="4" s="1"/>
  <c r="AV241" i="4"/>
  <c r="AL265" i="4"/>
  <c r="BD233" i="4"/>
  <c r="GN213" i="4"/>
  <c r="GG233" i="4"/>
  <c r="GG234" i="4"/>
  <c r="AW239" i="4" s="1"/>
  <c r="GE245" i="4"/>
  <c r="GF241" i="4" l="1"/>
  <c r="GF243" i="4" s="1"/>
  <c r="AL262" i="4"/>
  <c r="AL267" i="4"/>
  <c r="GA248" i="4"/>
  <c r="GA250" i="4" s="1"/>
  <c r="FZ258" i="4"/>
  <c r="FZ252" i="4"/>
  <c r="FZ253" i="4"/>
  <c r="FZ254" i="4" s="1"/>
  <c r="GM216" i="4"/>
  <c r="GM218" i="4" s="1"/>
  <c r="GL221" i="4"/>
  <c r="GL226" i="4"/>
  <c r="GL220" i="4"/>
  <c r="GK222" i="4"/>
  <c r="GJ227" i="4"/>
  <c r="GO212" i="4"/>
  <c r="GO210" i="4"/>
  <c r="GO209" i="4"/>
  <c r="GP205" i="4" s="1"/>
  <c r="AW244" i="4"/>
  <c r="GG235" i="4"/>
  <c r="AW236" i="4" s="1"/>
  <c r="AW240" i="4"/>
  <c r="AW245" i="4" s="1"/>
  <c r="FW266" i="4"/>
  <c r="AM260" i="4" s="1"/>
  <c r="FW265" i="4"/>
  <c r="GH233" i="4"/>
  <c r="GH234" i="4"/>
  <c r="AX239" i="4" s="1"/>
  <c r="FY257" i="4"/>
  <c r="FY259" i="4" s="1"/>
  <c r="FX263" i="4"/>
  <c r="AU254" i="4"/>
  <c r="GE246" i="4"/>
  <c r="GP200" i="4"/>
  <c r="GP202" i="4" s="1"/>
  <c r="AY235" i="4"/>
  <c r="GI232" i="4"/>
  <c r="GF244" i="4" l="1"/>
  <c r="GF249" i="4"/>
  <c r="GF242" i="4"/>
  <c r="GG238" i="4" s="1"/>
  <c r="GG239" i="4" s="1"/>
  <c r="GA251" i="4"/>
  <c r="GB247" i="4" s="1"/>
  <c r="GB248" i="4" s="1"/>
  <c r="GB250" i="4" s="1"/>
  <c r="GM219" i="4"/>
  <c r="GN215" i="4" s="1"/>
  <c r="GN216" i="4" s="1"/>
  <c r="GN218" i="4" s="1"/>
  <c r="AP255" i="4"/>
  <c r="FZ255" i="4"/>
  <c r="GA253" i="4"/>
  <c r="GA254" i="4" s="1"/>
  <c r="GA258" i="4"/>
  <c r="GA252" i="4"/>
  <c r="AW241" i="4"/>
  <c r="GP208" i="4"/>
  <c r="GP217" i="4"/>
  <c r="GP204" i="4"/>
  <c r="FY262" i="4"/>
  <c r="FY261" i="4"/>
  <c r="GJ230" i="4"/>
  <c r="GJ229" i="4"/>
  <c r="GJ228" i="4"/>
  <c r="GK224" i="4" s="1"/>
  <c r="GM221" i="4"/>
  <c r="GM226" i="4"/>
  <c r="GM220" i="4"/>
  <c r="GH235" i="4"/>
  <c r="AX236" i="4" s="1"/>
  <c r="AX240" i="4"/>
  <c r="AX245" i="4" s="1"/>
  <c r="FW267" i="4"/>
  <c r="AM257" i="4" s="1"/>
  <c r="AM261" i="4"/>
  <c r="AM266" i="4" s="1"/>
  <c r="GP206" i="4"/>
  <c r="GL222" i="4"/>
  <c r="GF245" i="4"/>
  <c r="AM265" i="4"/>
  <c r="AN256" i="4"/>
  <c r="FX264" i="4"/>
  <c r="GP203" i="4"/>
  <c r="GQ199" i="4" s="1"/>
  <c r="FY260" i="4"/>
  <c r="FZ256" i="4" s="1"/>
  <c r="BE233" i="4"/>
  <c r="GO213" i="4"/>
  <c r="BA234" i="4"/>
  <c r="GK223" i="4"/>
  <c r="AX244" i="4"/>
  <c r="GI233" i="4"/>
  <c r="GI234" i="4"/>
  <c r="AY239" i="4" s="1"/>
  <c r="AW246" i="4"/>
  <c r="GG236" i="4"/>
  <c r="GP209" i="4" l="1"/>
  <c r="GQ205" i="4" s="1"/>
  <c r="GQ206" i="4" s="1"/>
  <c r="AQ255" i="4"/>
  <c r="GA255" i="4"/>
  <c r="AX241" i="4"/>
  <c r="GB251" i="4"/>
  <c r="GC247" i="4" s="1"/>
  <c r="GB252" i="4"/>
  <c r="GB258" i="4"/>
  <c r="GB253" i="4"/>
  <c r="GB254" i="4" s="1"/>
  <c r="GG241" i="4"/>
  <c r="GG242" i="4" s="1"/>
  <c r="GH238" i="4" s="1"/>
  <c r="GN221" i="4"/>
  <c r="GN226" i="4"/>
  <c r="GN220" i="4"/>
  <c r="GN219" i="4"/>
  <c r="GO215" i="4" s="1"/>
  <c r="FY263" i="4"/>
  <c r="FZ257" i="4"/>
  <c r="FZ259" i="4" s="1"/>
  <c r="FZ260" i="4" s="1"/>
  <c r="GA256" i="4" s="1"/>
  <c r="GM222" i="4"/>
  <c r="GI235" i="4"/>
  <c r="AY236" i="4" s="1"/>
  <c r="AY240" i="4"/>
  <c r="AY245" i="4" s="1"/>
  <c r="GK225" i="4"/>
  <c r="GK227" i="4" s="1"/>
  <c r="AX246" i="4"/>
  <c r="GH236" i="4"/>
  <c r="FX266" i="4"/>
  <c r="AN260" i="4" s="1"/>
  <c r="FX265" i="4"/>
  <c r="AV254" i="4"/>
  <c r="GF246" i="4"/>
  <c r="GQ200" i="4"/>
  <c r="AM267" i="4"/>
  <c r="BB234" i="4"/>
  <c r="GL223" i="4"/>
  <c r="GJ231" i="4"/>
  <c r="AM262" i="4"/>
  <c r="AY244" i="4"/>
  <c r="GP210" i="4"/>
  <c r="GP212" i="4"/>
  <c r="BF233" i="4" s="1"/>
  <c r="AY241" i="4" l="1"/>
  <c r="AR255" i="4"/>
  <c r="GB255" i="4"/>
  <c r="GG249" i="4"/>
  <c r="GC248" i="4"/>
  <c r="GC250" i="4" s="1"/>
  <c r="GG243" i="4"/>
  <c r="GG244" i="4"/>
  <c r="GG245" i="4" s="1"/>
  <c r="GK230" i="4"/>
  <c r="GK229" i="4"/>
  <c r="GK228" i="4"/>
  <c r="GL224" i="4" s="1"/>
  <c r="GQ202" i="4"/>
  <c r="BC234" i="4"/>
  <c r="GM223" i="4"/>
  <c r="GO216" i="4"/>
  <c r="AY246" i="4"/>
  <c r="GI236" i="4"/>
  <c r="FZ262" i="4"/>
  <c r="FZ261" i="4"/>
  <c r="GH239" i="4"/>
  <c r="GH241" i="4" s="1"/>
  <c r="AZ235" i="4"/>
  <c r="GJ232" i="4"/>
  <c r="FX267" i="4"/>
  <c r="AN257" i="4" s="1"/>
  <c r="AN261" i="4"/>
  <c r="AN266" i="4" s="1"/>
  <c r="AO256" i="4"/>
  <c r="FY264" i="4"/>
  <c r="GN222" i="4"/>
  <c r="GA257" i="4"/>
  <c r="AN265" i="4"/>
  <c r="GP213" i="4"/>
  <c r="GQ203" i="4" l="1"/>
  <c r="GR199" i="4" s="1"/>
  <c r="GR200" i="4" s="1"/>
  <c r="AN267" i="4"/>
  <c r="GC251" i="4"/>
  <c r="GD247" i="4" s="1"/>
  <c r="GD248" i="4" s="1"/>
  <c r="GD250" i="4" s="1"/>
  <c r="AN262" i="4"/>
  <c r="GC258" i="4"/>
  <c r="GC252" i="4"/>
  <c r="GC253" i="4"/>
  <c r="GC254" i="4" s="1"/>
  <c r="GA259" i="4"/>
  <c r="GA260" i="4" s="1"/>
  <c r="GB256" i="4" s="1"/>
  <c r="GB257" i="4" s="1"/>
  <c r="GB259" i="4" s="1"/>
  <c r="GH249" i="4"/>
  <c r="GH244" i="4"/>
  <c r="GH243" i="4"/>
  <c r="FZ263" i="4"/>
  <c r="BD234" i="4"/>
  <c r="GN223" i="4"/>
  <c r="GO218" i="4"/>
  <c r="GJ233" i="4"/>
  <c r="GJ234" i="4"/>
  <c r="AZ239" i="4" s="1"/>
  <c r="GL225" i="4"/>
  <c r="GL227" i="4" s="1"/>
  <c r="AW254" i="4"/>
  <c r="GG246" i="4"/>
  <c r="GH242" i="4"/>
  <c r="GI238" i="4" s="1"/>
  <c r="GQ208" i="4"/>
  <c r="GQ217" i="4"/>
  <c r="GQ204" i="4"/>
  <c r="FY266" i="4"/>
  <c r="AO260" i="4" s="1"/>
  <c r="FY265" i="4"/>
  <c r="GK231" i="4"/>
  <c r="GD251" i="4" l="1"/>
  <c r="GE247" i="4" s="1"/>
  <c r="GE248" i="4" s="1"/>
  <c r="GE250" i="4" s="1"/>
  <c r="AS255" i="4"/>
  <c r="GC255" i="4"/>
  <c r="GD253" i="4"/>
  <c r="GD254" i="4" s="1"/>
  <c r="GD258" i="4"/>
  <c r="GD252" i="4"/>
  <c r="GA262" i="4"/>
  <c r="GA263" i="4" s="1"/>
  <c r="GA261" i="4"/>
  <c r="GL230" i="4"/>
  <c r="GL229" i="4"/>
  <c r="GL228" i="4"/>
  <c r="GM224" i="4" s="1"/>
  <c r="GB262" i="4"/>
  <c r="GB261" i="4"/>
  <c r="AZ244" i="4"/>
  <c r="GR202" i="4"/>
  <c r="GJ235" i="4"/>
  <c r="AZ236" i="4" s="1"/>
  <c r="AZ240" i="4"/>
  <c r="AZ245" i="4" s="1"/>
  <c r="GO221" i="4"/>
  <c r="GO226" i="4"/>
  <c r="GO220" i="4"/>
  <c r="GH245" i="4"/>
  <c r="GB260" i="4"/>
  <c r="GC256" i="4" s="1"/>
  <c r="GI239" i="4"/>
  <c r="GI241" i="4" s="1"/>
  <c r="FY267" i="4"/>
  <c r="AO257" i="4" s="1"/>
  <c r="AO261" i="4"/>
  <c r="AO266" i="4" s="1"/>
  <c r="GQ210" i="4"/>
  <c r="GQ212" i="4"/>
  <c r="BG233" i="4" s="1"/>
  <c r="GQ209" i="4"/>
  <c r="GR205" i="4" s="1"/>
  <c r="BA235" i="4"/>
  <c r="GK232" i="4"/>
  <c r="AP256" i="4"/>
  <c r="FZ264" i="4"/>
  <c r="AO265" i="4"/>
  <c r="GO219" i="4"/>
  <c r="GP215" i="4" s="1"/>
  <c r="AO262" i="4" l="1"/>
  <c r="GE251" i="4"/>
  <c r="GF247" i="4" s="1"/>
  <c r="GE258" i="4"/>
  <c r="GE252" i="4"/>
  <c r="GE253" i="4"/>
  <c r="GE254" i="4" s="1"/>
  <c r="AT255" i="4"/>
  <c r="GD255" i="4"/>
  <c r="AZ241" i="4"/>
  <c r="GI242" i="4"/>
  <c r="GJ238" i="4" s="1"/>
  <c r="GJ239" i="4" s="1"/>
  <c r="GR208" i="4"/>
  <c r="GR217" i="4"/>
  <c r="GR204" i="4"/>
  <c r="AZ246" i="4"/>
  <c r="GJ236" i="4"/>
  <c r="GI249" i="4"/>
  <c r="GI244" i="4"/>
  <c r="GI243" i="4"/>
  <c r="AX254" i="4"/>
  <c r="GH246" i="4"/>
  <c r="FZ266" i="4"/>
  <c r="AP260" i="4" s="1"/>
  <c r="FZ265" i="4"/>
  <c r="AQ256" i="4"/>
  <c r="GA264" i="4"/>
  <c r="GM225" i="4"/>
  <c r="GM227" i="4" s="1"/>
  <c r="GK234" i="4"/>
  <c r="BA239" i="4" s="1"/>
  <c r="GK233" i="4"/>
  <c r="GO222" i="4"/>
  <c r="GB263" i="4"/>
  <c r="GQ213" i="4"/>
  <c r="GP216" i="4"/>
  <c r="GP218" i="4" s="1"/>
  <c r="GR203" i="4"/>
  <c r="GS199" i="4" s="1"/>
  <c r="GC257" i="4"/>
  <c r="GC259" i="4" s="1"/>
  <c r="AO267" i="4"/>
  <c r="GR206" i="4"/>
  <c r="GR209" i="4" s="1"/>
  <c r="GS205" i="4" s="1"/>
  <c r="GL231" i="4"/>
  <c r="GJ241" i="4" l="1"/>
  <c r="GJ244" i="4" s="1"/>
  <c r="GE255" i="4"/>
  <c r="AU255" i="4"/>
  <c r="GF248" i="4"/>
  <c r="GF250" i="4" s="1"/>
  <c r="GP221" i="4"/>
  <c r="GP226" i="4"/>
  <c r="GP220" i="4"/>
  <c r="GC262" i="4"/>
  <c r="GC261" i="4"/>
  <c r="GC260" i="4"/>
  <c r="GD256" i="4" s="1"/>
  <c r="GM230" i="4"/>
  <c r="GM229" i="4"/>
  <c r="GA266" i="4"/>
  <c r="AQ260" i="4" s="1"/>
  <c r="GA265" i="4"/>
  <c r="BB235" i="4"/>
  <c r="GL232" i="4"/>
  <c r="BA244" i="4"/>
  <c r="GI245" i="4"/>
  <c r="GM228" i="4"/>
  <c r="GN224" i="4" s="1"/>
  <c r="FZ267" i="4"/>
  <c r="AP257" i="4" s="1"/>
  <c r="AP261" i="4"/>
  <c r="AP266" i="4" s="1"/>
  <c r="GR212" i="4"/>
  <c r="BH233" i="4" s="1"/>
  <c r="GR210" i="4"/>
  <c r="GS200" i="4"/>
  <c r="GS202" i="4" s="1"/>
  <c r="AP265" i="4"/>
  <c r="GP219" i="4"/>
  <c r="GQ215" i="4" s="1"/>
  <c r="AR256" i="4"/>
  <c r="GB264" i="4"/>
  <c r="GK235" i="4"/>
  <c r="BA236" i="4" s="1"/>
  <c r="BA240" i="4"/>
  <c r="BA245" i="4" s="1"/>
  <c r="GS206" i="4"/>
  <c r="BE234" i="4"/>
  <c r="GO223" i="4"/>
  <c r="GJ242" i="4" l="1"/>
  <c r="GK238" i="4" s="1"/>
  <c r="GK239" i="4" s="1"/>
  <c r="GJ243" i="4"/>
  <c r="GJ249" i="4"/>
  <c r="GP222" i="4"/>
  <c r="GF258" i="4"/>
  <c r="GF252" i="4"/>
  <c r="GF253" i="4"/>
  <c r="GF254" i="4" s="1"/>
  <c r="GF251" i="4"/>
  <c r="GG247" i="4" s="1"/>
  <c r="AP262" i="4"/>
  <c r="GS208" i="4"/>
  <c r="GS217" i="4"/>
  <c r="GS204" i="4"/>
  <c r="GS203" i="4"/>
  <c r="GT199" i="4" s="1"/>
  <c r="GL234" i="4"/>
  <c r="BB239" i="4" s="1"/>
  <c r="GL233" i="4"/>
  <c r="GD257" i="4"/>
  <c r="GD259" i="4" s="1"/>
  <c r="GD260" i="4" s="1"/>
  <c r="GE256" i="4" s="1"/>
  <c r="GN225" i="4"/>
  <c r="GA267" i="4"/>
  <c r="AQ257" i="4" s="1"/>
  <c r="AQ261" i="4"/>
  <c r="AQ266" i="4" s="1"/>
  <c r="AQ265" i="4"/>
  <c r="GB266" i="4"/>
  <c r="AR260" i="4" s="1"/>
  <c r="GB265" i="4"/>
  <c r="AY254" i="4"/>
  <c r="GI246" i="4"/>
  <c r="GC263" i="4"/>
  <c r="GM231" i="4"/>
  <c r="GR213" i="4"/>
  <c r="GJ245" i="4"/>
  <c r="GQ216" i="4"/>
  <c r="GQ218" i="4" s="1"/>
  <c r="BA246" i="4"/>
  <c r="GK236" i="4"/>
  <c r="AP267" i="4"/>
  <c r="BA241" i="4"/>
  <c r="GQ219" i="4" l="1"/>
  <c r="GR215" i="4" s="1"/>
  <c r="GR216" i="4" s="1"/>
  <c r="GR218" i="4" s="1"/>
  <c r="GP223" i="4"/>
  <c r="BF234" i="4"/>
  <c r="AQ267" i="4"/>
  <c r="AQ262" i="4"/>
  <c r="GG248" i="4"/>
  <c r="GG250" i="4" s="1"/>
  <c r="GG251" i="4" s="1"/>
  <c r="GH247" i="4" s="1"/>
  <c r="GF255" i="4"/>
  <c r="AV255" i="4"/>
  <c r="GK241" i="4"/>
  <c r="GK244" i="4" s="1"/>
  <c r="GE257" i="4"/>
  <c r="GN227" i="4"/>
  <c r="GN228" i="4" s="1"/>
  <c r="GO224" i="4" s="1"/>
  <c r="GL235" i="4"/>
  <c r="BB236" i="4" s="1"/>
  <c r="BB240" i="4"/>
  <c r="BB245" i="4" s="1"/>
  <c r="BB244" i="4"/>
  <c r="GT200" i="4"/>
  <c r="GT202" i="4" s="1"/>
  <c r="GB267" i="4"/>
  <c r="AR257" i="4" s="1"/>
  <c r="AR261" i="4"/>
  <c r="AR266" i="4" s="1"/>
  <c r="GD262" i="4"/>
  <c r="GD261" i="4"/>
  <c r="AZ254" i="4"/>
  <c r="GJ246" i="4"/>
  <c r="GQ221" i="4"/>
  <c r="GQ226" i="4"/>
  <c r="GQ220" i="4"/>
  <c r="BC235" i="4"/>
  <c r="GM232" i="4"/>
  <c r="GS212" i="4"/>
  <c r="BI233" i="4" s="1"/>
  <c r="GS210" i="4"/>
  <c r="AR265" i="4"/>
  <c r="AS256" i="4"/>
  <c r="GC264" i="4"/>
  <c r="GS209" i="4"/>
  <c r="GT205" i="4" s="1"/>
  <c r="GQ222" i="4" l="1"/>
  <c r="GK242" i="4"/>
  <c r="GL238" i="4" s="1"/>
  <c r="GK249" i="4"/>
  <c r="GK243" i="4"/>
  <c r="GE259" i="4"/>
  <c r="GE260" i="4" s="1"/>
  <c r="GF256" i="4" s="1"/>
  <c r="GF257" i="4" s="1"/>
  <c r="GF259" i="4" s="1"/>
  <c r="GH248" i="4"/>
  <c r="GH250" i="4" s="1"/>
  <c r="GH251" i="4" s="1"/>
  <c r="GI247" i="4" s="1"/>
  <c r="BB241" i="4"/>
  <c r="GG253" i="4"/>
  <c r="GG254" i="4" s="1"/>
  <c r="GG258" i="4"/>
  <c r="GG252" i="4"/>
  <c r="GT217" i="4"/>
  <c r="GT208" i="4"/>
  <c r="GT204" i="4"/>
  <c r="GR221" i="4"/>
  <c r="GR226" i="4"/>
  <c r="GR220" i="4"/>
  <c r="BB246" i="4"/>
  <c r="GL236" i="4"/>
  <c r="GM233" i="4"/>
  <c r="GM234" i="4"/>
  <c r="BC239" i="4" s="1"/>
  <c r="GO225" i="4"/>
  <c r="GO227" i="4" s="1"/>
  <c r="GO228" i="4" s="1"/>
  <c r="GP224" i="4" s="1"/>
  <c r="GT206" i="4"/>
  <c r="GS213" i="4"/>
  <c r="GC266" i="4"/>
  <c r="AS260" i="4" s="1"/>
  <c r="GC265" i="4"/>
  <c r="GT203" i="4"/>
  <c r="GU199" i="4" s="1"/>
  <c r="GN230" i="4"/>
  <c r="GN229" i="4"/>
  <c r="GK245" i="4"/>
  <c r="GD263" i="4"/>
  <c r="GR219" i="4"/>
  <c r="GS215" i="4" s="1"/>
  <c r="GL239" i="4"/>
  <c r="AR267" i="4"/>
  <c r="AR262" i="4"/>
  <c r="GT209" i="4" l="1"/>
  <c r="GU205" i="4" s="1"/>
  <c r="GU206" i="4" s="1"/>
  <c r="GR222" i="4"/>
  <c r="GQ223" i="4"/>
  <c r="BG234" i="4"/>
  <c r="GE262" i="4"/>
  <c r="GE263" i="4" s="1"/>
  <c r="GE261" i="4"/>
  <c r="GI248" i="4"/>
  <c r="GI250" i="4" s="1"/>
  <c r="AW255" i="4"/>
  <c r="GG255" i="4"/>
  <c r="GH252" i="4"/>
  <c r="GH253" i="4"/>
  <c r="GH254" i="4" s="1"/>
  <c r="GH258" i="4"/>
  <c r="GF262" i="4"/>
  <c r="GF261" i="4"/>
  <c r="GL241" i="4"/>
  <c r="AT256" i="4"/>
  <c r="GD264" i="4"/>
  <c r="GC267" i="4"/>
  <c r="AS257" i="4" s="1"/>
  <c r="AS261" i="4"/>
  <c r="AS266" i="4" s="1"/>
  <c r="AS265" i="4"/>
  <c r="GP225" i="4"/>
  <c r="GP227" i="4" s="1"/>
  <c r="GO230" i="4"/>
  <c r="GO229" i="4"/>
  <c r="BA254" i="4"/>
  <c r="GK246" i="4"/>
  <c r="GU200" i="4"/>
  <c r="GU202" i="4" s="1"/>
  <c r="BC244" i="4"/>
  <c r="GF260" i="4"/>
  <c r="GG256" i="4" s="1"/>
  <c r="GT210" i="4"/>
  <c r="GT212" i="4"/>
  <c r="BJ233" i="4" s="1"/>
  <c r="GN231" i="4"/>
  <c r="GS216" i="4"/>
  <c r="GM235" i="4"/>
  <c r="BC236" i="4" s="1"/>
  <c r="BC240" i="4"/>
  <c r="BC245" i="4" s="1"/>
  <c r="GR223" i="4" l="1"/>
  <c r="BH234" i="4"/>
  <c r="GS218" i="4"/>
  <c r="GH255" i="4"/>
  <c r="AX255" i="4"/>
  <c r="BC241" i="4"/>
  <c r="GI253" i="4"/>
  <c r="GI254" i="4" s="1"/>
  <c r="AY255" i="4" s="1"/>
  <c r="GI258" i="4"/>
  <c r="GI252" i="4"/>
  <c r="GI251" i="4"/>
  <c r="GJ247" i="4" s="1"/>
  <c r="GP230" i="4"/>
  <c r="GP229" i="4"/>
  <c r="GP228" i="4"/>
  <c r="GQ224" i="4" s="1"/>
  <c r="GG257" i="4"/>
  <c r="AU256" i="4"/>
  <c r="GE264" i="4"/>
  <c r="GD266" i="4"/>
  <c r="AT260" i="4" s="1"/>
  <c r="GD265" i="4"/>
  <c r="BD235" i="4"/>
  <c r="GN232" i="4"/>
  <c r="GO231" i="4"/>
  <c r="AS267" i="4"/>
  <c r="GU217" i="4"/>
  <c r="GU204" i="4"/>
  <c r="GU208" i="4"/>
  <c r="GU203" i="4"/>
  <c r="GV199" i="4" s="1"/>
  <c r="AS262" i="4"/>
  <c r="GL249" i="4"/>
  <c r="GL244" i="4"/>
  <c r="GL243" i="4"/>
  <c r="GF263" i="4"/>
  <c r="BC246" i="4"/>
  <c r="GM236" i="4"/>
  <c r="GT213" i="4"/>
  <c r="GL242" i="4"/>
  <c r="GM238" i="4" s="1"/>
  <c r="GP231" i="4" l="1"/>
  <c r="GS219" i="4"/>
  <c r="GT215" i="4" s="1"/>
  <c r="GT216" i="4" s="1"/>
  <c r="GS220" i="4"/>
  <c r="GS226" i="4"/>
  <c r="GS221" i="4"/>
  <c r="GI255" i="4"/>
  <c r="GJ248" i="4"/>
  <c r="GJ250" i="4" s="1"/>
  <c r="GG259" i="4"/>
  <c r="BE235" i="4"/>
  <c r="GO232" i="4"/>
  <c r="GE266" i="4"/>
  <c r="AU260" i="4" s="1"/>
  <c r="GE265" i="4"/>
  <c r="GQ225" i="4"/>
  <c r="GQ227" i="4" s="1"/>
  <c r="GV200" i="4"/>
  <c r="GN234" i="4"/>
  <c r="BD239" i="4" s="1"/>
  <c r="GN233" i="4"/>
  <c r="GU210" i="4"/>
  <c r="GU212" i="4"/>
  <c r="BK233" i="4" s="1"/>
  <c r="GU209" i="4"/>
  <c r="GV205" i="4" s="1"/>
  <c r="GD267" i="4"/>
  <c r="AT257" i="4" s="1"/>
  <c r="AT261" i="4"/>
  <c r="AT266" i="4" s="1"/>
  <c r="GM239" i="4"/>
  <c r="GM241" i="4" s="1"/>
  <c r="AV256" i="4"/>
  <c r="GF264" i="4"/>
  <c r="GL245" i="4"/>
  <c r="AT265" i="4"/>
  <c r="GS222" i="4" l="1"/>
  <c r="GT218" i="4"/>
  <c r="GT219" i="4" s="1"/>
  <c r="GU215" i="4" s="1"/>
  <c r="GU216" i="4" s="1"/>
  <c r="GP232" i="4"/>
  <c r="BF235" i="4"/>
  <c r="AT262" i="4"/>
  <c r="GQ228" i="4"/>
  <c r="GR224" i="4" s="1"/>
  <c r="GR225" i="4" s="1"/>
  <c r="GR227" i="4" s="1"/>
  <c r="AT267" i="4"/>
  <c r="GJ251" i="4"/>
  <c r="GK247" i="4" s="1"/>
  <c r="GJ253" i="4"/>
  <c r="GJ254" i="4" s="1"/>
  <c r="GJ258" i="4"/>
  <c r="GJ252" i="4"/>
  <c r="GV202" i="4"/>
  <c r="GO233" i="4"/>
  <c r="GO234" i="4"/>
  <c r="BE239" i="4" s="1"/>
  <c r="GG262" i="4"/>
  <c r="GG261" i="4"/>
  <c r="GG260" i="4"/>
  <c r="GH256" i="4" s="1"/>
  <c r="GQ230" i="4"/>
  <c r="GQ229" i="4"/>
  <c r="GU213" i="4"/>
  <c r="GN235" i="4"/>
  <c r="BD236" i="4" s="1"/>
  <c r="BD240" i="4"/>
  <c r="BD245" i="4" s="1"/>
  <c r="GV206" i="4"/>
  <c r="GM244" i="4"/>
  <c r="GM249" i="4"/>
  <c r="GM243" i="4"/>
  <c r="BD244" i="4"/>
  <c r="GE267" i="4"/>
  <c r="AU257" i="4" s="1"/>
  <c r="AU261" i="4"/>
  <c r="AU266" i="4" s="1"/>
  <c r="GF266" i="4"/>
  <c r="AV260" i="4" s="1"/>
  <c r="GF265" i="4"/>
  <c r="GM242" i="4"/>
  <c r="GN238" i="4" s="1"/>
  <c r="BB254" i="4"/>
  <c r="GL246" i="4"/>
  <c r="AU265" i="4"/>
  <c r="GT221" i="4" l="1"/>
  <c r="GT222" i="4" s="1"/>
  <c r="GP233" i="4"/>
  <c r="GP234" i="4"/>
  <c r="BF239" i="4" s="1"/>
  <c r="GT226" i="4"/>
  <c r="GQ231" i="4"/>
  <c r="GT220" i="4"/>
  <c r="GS223" i="4"/>
  <c r="BI234" i="4"/>
  <c r="GU218" i="4"/>
  <c r="GU221" i="4" s="1"/>
  <c r="AZ255" i="4"/>
  <c r="GJ255" i="4"/>
  <c r="GK248" i="4"/>
  <c r="GK250" i="4" s="1"/>
  <c r="GK251" i="4" s="1"/>
  <c r="GL247" i="4" s="1"/>
  <c r="AU262" i="4"/>
  <c r="AU267" i="4"/>
  <c r="GR230" i="4"/>
  <c r="GR229" i="4"/>
  <c r="GG263" i="4"/>
  <c r="BD241" i="4"/>
  <c r="GR228" i="4"/>
  <c r="GS224" i="4" s="1"/>
  <c r="BE244" i="4"/>
  <c r="GM245" i="4"/>
  <c r="GO235" i="4"/>
  <c r="BE236" i="4" s="1"/>
  <c r="BE240" i="4"/>
  <c r="BE241" i="4" s="1"/>
  <c r="AV265" i="4"/>
  <c r="GH257" i="4"/>
  <c r="GH259" i="4" s="1"/>
  <c r="GH260" i="4" s="1"/>
  <c r="GI256" i="4" s="1"/>
  <c r="GV217" i="4"/>
  <c r="GV204" i="4"/>
  <c r="GV208" i="4"/>
  <c r="GN239" i="4"/>
  <c r="GF267" i="4"/>
  <c r="AV257" i="4" s="1"/>
  <c r="AV261" i="4"/>
  <c r="AV266" i="4" s="1"/>
  <c r="BD246" i="4"/>
  <c r="GN236" i="4"/>
  <c r="GV203" i="4"/>
  <c r="GW199" i="4" s="1"/>
  <c r="GQ232" i="4" l="1"/>
  <c r="BG235" i="4"/>
  <c r="GU222" i="4"/>
  <c r="GU226" i="4"/>
  <c r="GR231" i="4"/>
  <c r="BF244" i="4"/>
  <c r="BF240" i="4"/>
  <c r="BF245" i="4" s="1"/>
  <c r="GP235" i="4"/>
  <c r="BF236" i="4" s="1"/>
  <c r="GT223" i="4"/>
  <c r="BJ234" i="4"/>
  <c r="GU219" i="4"/>
  <c r="GV215" i="4" s="1"/>
  <c r="GV216" i="4" s="1"/>
  <c r="GU220" i="4"/>
  <c r="GL248" i="4"/>
  <c r="GL250" i="4" s="1"/>
  <c r="GK253" i="4"/>
  <c r="GK254" i="4" s="1"/>
  <c r="GK258" i="4"/>
  <c r="GK252" i="4"/>
  <c r="GN241" i="4"/>
  <c r="GN249" i="4" s="1"/>
  <c r="AV267" i="4"/>
  <c r="GI257" i="4"/>
  <c r="GI259" i="4" s="1"/>
  <c r="GO236" i="4"/>
  <c r="BE245" i="4"/>
  <c r="GS225" i="4"/>
  <c r="GS227" i="4" s="1"/>
  <c r="AV262" i="4"/>
  <c r="GH262" i="4"/>
  <c r="GH261" i="4"/>
  <c r="BC254" i="4"/>
  <c r="GM246" i="4"/>
  <c r="GW200" i="4"/>
  <c r="GV210" i="4"/>
  <c r="GV212" i="4"/>
  <c r="BL233" i="4" s="1"/>
  <c r="GV209" i="4"/>
  <c r="GW205" i="4" s="1"/>
  <c r="AW256" i="4"/>
  <c r="GG264" i="4"/>
  <c r="GR232" i="4" l="1"/>
  <c r="BH235" i="4"/>
  <c r="BF246" i="4"/>
  <c r="GP236" i="4"/>
  <c r="GU223" i="4"/>
  <c r="BK234" i="4"/>
  <c r="BF241" i="4"/>
  <c r="GQ233" i="4"/>
  <c r="GQ234" i="4"/>
  <c r="BG239" i="4" s="1"/>
  <c r="GL253" i="4"/>
  <c r="GL254" i="4" s="1"/>
  <c r="GL252" i="4"/>
  <c r="GL258" i="4"/>
  <c r="GL251" i="4"/>
  <c r="GM247" i="4" s="1"/>
  <c r="GM248" i="4" s="1"/>
  <c r="GM250" i="4" s="1"/>
  <c r="GM251" i="4" s="1"/>
  <c r="GN247" i="4" s="1"/>
  <c r="GN242" i="4"/>
  <c r="GO238" i="4" s="1"/>
  <c r="GO239" i="4" s="1"/>
  <c r="GO241" i="4" s="1"/>
  <c r="BA255" i="4"/>
  <c r="GK255" i="4"/>
  <c r="GN244" i="4"/>
  <c r="GN245" i="4" s="1"/>
  <c r="GN243" i="4"/>
  <c r="GS230" i="4"/>
  <c r="GS229" i="4"/>
  <c r="GS228" i="4"/>
  <c r="GT224" i="4" s="1"/>
  <c r="GI262" i="4"/>
  <c r="GI261" i="4"/>
  <c r="GI260" i="4"/>
  <c r="GJ256" i="4" s="1"/>
  <c r="GW202" i="4"/>
  <c r="GV213" i="4"/>
  <c r="GV218" i="4" s="1"/>
  <c r="GG266" i="4"/>
  <c r="AW260" i="4" s="1"/>
  <c r="GG265" i="4"/>
  <c r="GH263" i="4"/>
  <c r="BE246" i="4"/>
  <c r="GW206" i="4"/>
  <c r="GS231" i="4" l="1"/>
  <c r="BG244" i="4"/>
  <c r="BG240" i="4"/>
  <c r="GQ235" i="4"/>
  <c r="BG236" i="4" s="1"/>
  <c r="GR234" i="4"/>
  <c r="BH239" i="4" s="1"/>
  <c r="GR233" i="4"/>
  <c r="GN248" i="4"/>
  <c r="GV221" i="4"/>
  <c r="GV226" i="4"/>
  <c r="GV220" i="4"/>
  <c r="GV219" i="4"/>
  <c r="GW215" i="4" s="1"/>
  <c r="GO249" i="4"/>
  <c r="GO244" i="4"/>
  <c r="GO243" i="4"/>
  <c r="GO242" i="4"/>
  <c r="GP238" i="4" s="1"/>
  <c r="GI263" i="4"/>
  <c r="AX256" i="4"/>
  <c r="GH264" i="4"/>
  <c r="GT225" i="4"/>
  <c r="GT227" i="4" s="1"/>
  <c r="GW208" i="4"/>
  <c r="GW217" i="4"/>
  <c r="GW204" i="4"/>
  <c r="GG267" i="4"/>
  <c r="AW257" i="4" s="1"/>
  <c r="AW261" i="4"/>
  <c r="AW266" i="4" s="1"/>
  <c r="BB255" i="4"/>
  <c r="GL255" i="4"/>
  <c r="GM253" i="4"/>
  <c r="GM258" i="4"/>
  <c r="GM252" i="4"/>
  <c r="AW265" i="4"/>
  <c r="BD254" i="4"/>
  <c r="GN246" i="4"/>
  <c r="GJ257" i="4"/>
  <c r="GJ259" i="4" s="1"/>
  <c r="GW203" i="4"/>
  <c r="GX199" i="4" s="1"/>
  <c r="BG245" i="4" l="1"/>
  <c r="BG246" i="4" s="1"/>
  <c r="GV222" i="4"/>
  <c r="GQ236" i="4"/>
  <c r="BG241" i="4"/>
  <c r="BH240" i="4"/>
  <c r="BH245" i="4" s="1"/>
  <c r="GR235" i="4"/>
  <c r="BH236" i="4" s="1"/>
  <c r="GW209" i="4"/>
  <c r="GX205" i="4" s="1"/>
  <c r="GX206" i="4" s="1"/>
  <c r="GT228" i="4"/>
  <c r="GU224" i="4" s="1"/>
  <c r="GU225" i="4" s="1"/>
  <c r="GU227" i="4" s="1"/>
  <c r="BH244" i="4"/>
  <c r="GS232" i="4"/>
  <c r="BI235" i="4"/>
  <c r="AW267" i="4"/>
  <c r="AW262" i="4"/>
  <c r="GN250" i="4"/>
  <c r="GN251" i="4" s="1"/>
  <c r="GO247" i="4" s="1"/>
  <c r="GJ262" i="4"/>
  <c r="GJ261" i="4"/>
  <c r="GT230" i="4"/>
  <c r="GT229" i="4"/>
  <c r="GW216" i="4"/>
  <c r="GP239" i="4"/>
  <c r="GP241" i="4" s="1"/>
  <c r="GX200" i="4"/>
  <c r="GO245" i="4"/>
  <c r="GM254" i="4"/>
  <c r="GJ260" i="4"/>
  <c r="GK256" i="4" s="1"/>
  <c r="GH265" i="4"/>
  <c r="GH266" i="4"/>
  <c r="AX260" i="4" s="1"/>
  <c r="GW212" i="4"/>
  <c r="BM233" i="4" s="1"/>
  <c r="GW210" i="4"/>
  <c r="AY256" i="4"/>
  <c r="GI264" i="4"/>
  <c r="BH241" i="4" l="1"/>
  <c r="GP242" i="4"/>
  <c r="GQ238" i="4" s="1"/>
  <c r="GQ239" i="4" s="1"/>
  <c r="GQ241" i="4" s="1"/>
  <c r="GR236" i="4"/>
  <c r="BH246" i="4"/>
  <c r="GT231" i="4"/>
  <c r="GS233" i="4"/>
  <c r="GS234" i="4"/>
  <c r="BI239" i="4" s="1"/>
  <c r="GV223" i="4"/>
  <c r="BL234" i="4"/>
  <c r="GN253" i="4"/>
  <c r="GN254" i="4" s="1"/>
  <c r="GN252" i="4"/>
  <c r="GN258" i="4"/>
  <c r="GX202" i="4"/>
  <c r="GU230" i="4"/>
  <c r="GU229" i="4"/>
  <c r="GU228" i="4"/>
  <c r="GV224" i="4" s="1"/>
  <c r="AX265" i="4"/>
  <c r="GH267" i="4"/>
  <c r="AX257" i="4" s="1"/>
  <c r="AX261" i="4"/>
  <c r="AX266" i="4" s="1"/>
  <c r="BC255" i="4"/>
  <c r="GM255" i="4"/>
  <c r="GP249" i="4"/>
  <c r="GP243" i="4"/>
  <c r="GP244" i="4"/>
  <c r="BE254" i="4"/>
  <c r="GO246" i="4"/>
  <c r="GO248" i="4"/>
  <c r="GK257" i="4"/>
  <c r="GK259" i="4" s="1"/>
  <c r="GW213" i="4"/>
  <c r="GW218" i="4" s="1"/>
  <c r="GI266" i="4"/>
  <c r="AY260" i="4" s="1"/>
  <c r="GI265" i="4"/>
  <c r="GJ263" i="4"/>
  <c r="GW219" i="4" l="1"/>
  <c r="GX215" i="4" s="1"/>
  <c r="GX216" i="4" s="1"/>
  <c r="GU231" i="4"/>
  <c r="GX203" i="4"/>
  <c r="GY199" i="4" s="1"/>
  <c r="GY200" i="4" s="1"/>
  <c r="GP245" i="4"/>
  <c r="BI244" i="4"/>
  <c r="BI240" i="4"/>
  <c r="GS235" i="4"/>
  <c r="BI236" i="4" s="1"/>
  <c r="GT232" i="4"/>
  <c r="BJ235" i="4"/>
  <c r="GX208" i="4"/>
  <c r="GX217" i="4"/>
  <c r="GX204" i="4"/>
  <c r="GO250" i="4"/>
  <c r="GO253" i="4" s="1"/>
  <c r="GK262" i="4"/>
  <c r="GK261" i="4"/>
  <c r="GQ249" i="4"/>
  <c r="GQ244" i="4"/>
  <c r="GQ243" i="4"/>
  <c r="GQ242" i="4"/>
  <c r="GR238" i="4" s="1"/>
  <c r="GK260" i="4"/>
  <c r="GL256" i="4" s="1"/>
  <c r="AZ256" i="4"/>
  <c r="GJ264" i="4"/>
  <c r="AX267" i="4"/>
  <c r="GI267" i="4"/>
  <c r="AY257" i="4" s="1"/>
  <c r="AY261" i="4"/>
  <c r="AY266" i="4" s="1"/>
  <c r="AX262" i="4"/>
  <c r="GV225" i="4"/>
  <c r="AY265" i="4"/>
  <c r="GW221" i="4"/>
  <c r="GW226" i="4"/>
  <c r="GW220" i="4"/>
  <c r="BD255" i="4"/>
  <c r="GN255" i="4"/>
  <c r="BI245" i="4" l="1"/>
  <c r="BI246" i="4" s="1"/>
  <c r="GU232" i="4"/>
  <c r="BK235" i="4"/>
  <c r="GS236" i="4"/>
  <c r="GQ245" i="4"/>
  <c r="GX210" i="4"/>
  <c r="BI241" i="4"/>
  <c r="GW222" i="4"/>
  <c r="GT234" i="4"/>
  <c r="BJ239" i="4" s="1"/>
  <c r="GT233" i="4"/>
  <c r="BF254" i="4"/>
  <c r="GP246" i="4"/>
  <c r="GX212" i="4"/>
  <c r="GX209" i="4"/>
  <c r="GY205" i="4" s="1"/>
  <c r="GY206" i="4" s="1"/>
  <c r="GO251" i="4"/>
  <c r="GP247" i="4" s="1"/>
  <c r="GP248" i="4" s="1"/>
  <c r="GP250" i="4" s="1"/>
  <c r="GO252" i="4"/>
  <c r="GO258" i="4"/>
  <c r="GV227" i="4"/>
  <c r="GY202" i="4"/>
  <c r="AY267" i="4"/>
  <c r="AY262" i="4"/>
  <c r="GK263" i="4"/>
  <c r="GJ265" i="4"/>
  <c r="GJ266" i="4"/>
  <c r="AZ260" i="4" s="1"/>
  <c r="GR239" i="4"/>
  <c r="GL257" i="4"/>
  <c r="GL259" i="4" s="1"/>
  <c r="GL260" i="4" s="1"/>
  <c r="GM256" i="4" s="1"/>
  <c r="GO254" i="4"/>
  <c r="GP251" i="4" l="1"/>
  <c r="GQ247" i="4" s="1"/>
  <c r="GQ248" i="4" s="1"/>
  <c r="GW223" i="4"/>
  <c r="BM234" i="4"/>
  <c r="GX213" i="4"/>
  <c r="GX218" i="4" s="1"/>
  <c r="GX219" i="4" s="1"/>
  <c r="GY215" i="4" s="1"/>
  <c r="BN233" i="4"/>
  <c r="BJ244" i="4"/>
  <c r="GU234" i="4"/>
  <c r="BK239" i="4" s="1"/>
  <c r="GU233" i="4"/>
  <c r="GV228" i="4"/>
  <c r="GW224" i="4" s="1"/>
  <c r="GW225" i="4" s="1"/>
  <c r="BJ240" i="4"/>
  <c r="GT235" i="4"/>
  <c r="BJ236" i="4" s="1"/>
  <c r="BG254" i="4"/>
  <c r="GQ246" i="4"/>
  <c r="GV230" i="4"/>
  <c r="GV229" i="4"/>
  <c r="GY217" i="4"/>
  <c r="GY208" i="4"/>
  <c r="GY204" i="4"/>
  <c r="GY203" i="4"/>
  <c r="GZ199" i="4" s="1"/>
  <c r="GM257" i="4"/>
  <c r="GM259" i="4" s="1"/>
  <c r="GR241" i="4"/>
  <c r="AZ265" i="4"/>
  <c r="GJ267" i="4"/>
  <c r="AZ257" i="4" s="1"/>
  <c r="AZ261" i="4"/>
  <c r="AZ266" i="4" s="1"/>
  <c r="BA256" i="4"/>
  <c r="GK264" i="4"/>
  <c r="BE255" i="4"/>
  <c r="GO255" i="4"/>
  <c r="GL262" i="4"/>
  <c r="GL261" i="4"/>
  <c r="GP253" i="4"/>
  <c r="GP258" i="4"/>
  <c r="GP252" i="4"/>
  <c r="GX226" i="4" l="1"/>
  <c r="GW227" i="4"/>
  <c r="GW230" i="4" s="1"/>
  <c r="GQ250" i="4"/>
  <c r="GQ258" i="4" s="1"/>
  <c r="GX221" i="4"/>
  <c r="GX222" i="4" s="1"/>
  <c r="BJ245" i="4"/>
  <c r="BJ241" i="4"/>
  <c r="GR242" i="4"/>
  <c r="GS238" i="4" s="1"/>
  <c r="GS239" i="4" s="1"/>
  <c r="GS241" i="4" s="1"/>
  <c r="GV231" i="4"/>
  <c r="BK244" i="4"/>
  <c r="GP254" i="4"/>
  <c r="BK240" i="4"/>
  <c r="BK245" i="4" s="1"/>
  <c r="GU235" i="4"/>
  <c r="BK236" i="4" s="1"/>
  <c r="GX220" i="4"/>
  <c r="GT236" i="4"/>
  <c r="BJ246" i="4"/>
  <c r="AZ262" i="4"/>
  <c r="GZ200" i="4"/>
  <c r="GZ202" i="4" s="1"/>
  <c r="GY212" i="4"/>
  <c r="GY210" i="4"/>
  <c r="GY209" i="4"/>
  <c r="GZ205" i="4" s="1"/>
  <c r="GZ206" i="4" s="1"/>
  <c r="AZ267" i="4"/>
  <c r="GM262" i="4"/>
  <c r="GM261" i="4"/>
  <c r="GM260" i="4"/>
  <c r="GN256" i="4" s="1"/>
  <c r="GR249" i="4"/>
  <c r="GR244" i="4"/>
  <c r="GR243" i="4"/>
  <c r="GK265" i="4"/>
  <c r="GK266" i="4"/>
  <c r="BA260" i="4" s="1"/>
  <c r="GY216" i="4"/>
  <c r="GL263" i="4"/>
  <c r="GQ251" i="4" l="1"/>
  <c r="GR247" i="4" s="1"/>
  <c r="GQ252" i="4"/>
  <c r="GW228" i="4"/>
  <c r="GX224" i="4" s="1"/>
  <c r="GX225" i="4" s="1"/>
  <c r="GW229" i="4"/>
  <c r="GQ253" i="4"/>
  <c r="GQ254" i="4" s="1"/>
  <c r="GS242" i="4"/>
  <c r="GT238" i="4" s="1"/>
  <c r="GT239" i="4" s="1"/>
  <c r="GT241" i="4" s="1"/>
  <c r="GP255" i="4"/>
  <c r="BF255" i="4"/>
  <c r="GZ203" i="4"/>
  <c r="HA199" i="4" s="1"/>
  <c r="HA200" i="4" s="1"/>
  <c r="HA202" i="4" s="1"/>
  <c r="GW231" i="4"/>
  <c r="BK246" i="4"/>
  <c r="GU236" i="4"/>
  <c r="GX223" i="4"/>
  <c r="BN234" i="4"/>
  <c r="GR245" i="4"/>
  <c r="BK241" i="4"/>
  <c r="GY213" i="4"/>
  <c r="GY218" i="4" s="1"/>
  <c r="BO233" i="4"/>
  <c r="GV232" i="4"/>
  <c r="BL235" i="4"/>
  <c r="GZ217" i="4"/>
  <c r="GZ204" i="4"/>
  <c r="GZ208" i="4"/>
  <c r="GR248" i="4"/>
  <c r="GM263" i="4"/>
  <c r="BA265" i="4"/>
  <c r="GS249" i="4"/>
  <c r="GS243" i="4"/>
  <c r="GS244" i="4"/>
  <c r="GK267" i="4"/>
  <c r="BA257" i="4" s="1"/>
  <c r="BA261" i="4"/>
  <c r="BA266" i="4" s="1"/>
  <c r="GN257" i="4"/>
  <c r="GN259" i="4" s="1"/>
  <c r="BB256" i="4"/>
  <c r="GL264" i="4"/>
  <c r="GX227" i="4" l="1"/>
  <c r="GX229" i="4" s="1"/>
  <c r="GY226" i="4"/>
  <c r="GY219" i="4"/>
  <c r="GZ215" i="4" s="1"/>
  <c r="GZ216" i="4" s="1"/>
  <c r="GY221" i="4"/>
  <c r="GQ255" i="4"/>
  <c r="BG255" i="4"/>
  <c r="GS245" i="4"/>
  <c r="GT242" i="4"/>
  <c r="GU238" i="4" s="1"/>
  <c r="GU239" i="4" s="1"/>
  <c r="GU241" i="4" s="1"/>
  <c r="GV234" i="4"/>
  <c r="BL239" i="4" s="1"/>
  <c r="GV233" i="4"/>
  <c r="BH254" i="4"/>
  <c r="GR246" i="4"/>
  <c r="GR250" i="4" s="1"/>
  <c r="GR252" i="4" s="1"/>
  <c r="GZ209" i="4"/>
  <c r="HA205" i="4" s="1"/>
  <c r="HA206" i="4" s="1"/>
  <c r="GW232" i="4"/>
  <c r="BM235" i="4"/>
  <c r="GY220" i="4"/>
  <c r="HA203" i="4"/>
  <c r="HB199" i="4" s="1"/>
  <c r="HA208" i="4"/>
  <c r="HA217" i="4"/>
  <c r="HA204" i="4"/>
  <c r="GZ212" i="4"/>
  <c r="GZ210" i="4"/>
  <c r="BA267" i="4"/>
  <c r="GN262" i="4"/>
  <c r="GN261" i="4"/>
  <c r="BA262" i="4"/>
  <c r="GL265" i="4"/>
  <c r="GL266" i="4"/>
  <c r="BB260" i="4" s="1"/>
  <c r="GN260" i="4"/>
  <c r="GO256" i="4" s="1"/>
  <c r="BC256" i="4"/>
  <c r="GM264" i="4"/>
  <c r="GT249" i="4"/>
  <c r="GT244" i="4"/>
  <c r="GT243" i="4"/>
  <c r="GX228" i="4" l="1"/>
  <c r="GY224" i="4" s="1"/>
  <c r="GY225" i="4" s="1"/>
  <c r="GX230" i="4"/>
  <c r="GX231" i="4" s="1"/>
  <c r="GY222" i="4"/>
  <c r="GZ213" i="4"/>
  <c r="BP233" i="4"/>
  <c r="GR258" i="4"/>
  <c r="GR253" i="4"/>
  <c r="BI254" i="4"/>
  <c r="GS246" i="4"/>
  <c r="GR251" i="4"/>
  <c r="GS247" i="4" s="1"/>
  <c r="GS248" i="4" s="1"/>
  <c r="GW234" i="4"/>
  <c r="BM239" i="4" s="1"/>
  <c r="GW233" i="4"/>
  <c r="GT245" i="4"/>
  <c r="GV235" i="4"/>
  <c r="BL236" i="4" s="1"/>
  <c r="BL240" i="4"/>
  <c r="BL241" i="4" s="1"/>
  <c r="BL244" i="4"/>
  <c r="HA209" i="4"/>
  <c r="HB205" i="4" s="1"/>
  <c r="HB206" i="4" s="1"/>
  <c r="HA212" i="4"/>
  <c r="HA210" i="4"/>
  <c r="HB200" i="4"/>
  <c r="HB202" i="4" s="1"/>
  <c r="GZ218" i="4"/>
  <c r="GU249" i="4"/>
  <c r="GU244" i="4"/>
  <c r="GU243" i="4"/>
  <c r="GU242" i="4"/>
  <c r="GV238" i="4" s="1"/>
  <c r="GL267" i="4"/>
  <c r="BB257" i="4" s="1"/>
  <c r="BB261" i="4"/>
  <c r="BB266" i="4" s="1"/>
  <c r="GO257" i="4"/>
  <c r="GM266" i="4"/>
  <c r="BC260" i="4" s="1"/>
  <c r="GM265" i="4"/>
  <c r="BB265" i="4"/>
  <c r="GN263" i="4"/>
  <c r="GS250" i="4" l="1"/>
  <c r="GX232" i="4"/>
  <c r="BN235" i="4"/>
  <c r="BJ254" i="4"/>
  <c r="GT246" i="4"/>
  <c r="GR254" i="4"/>
  <c r="BM240" i="4"/>
  <c r="BM245" i="4" s="1"/>
  <c r="GW235" i="4"/>
  <c r="BM236" i="4" s="1"/>
  <c r="GZ219" i="4"/>
  <c r="HA215" i="4" s="1"/>
  <c r="HA216" i="4" s="1"/>
  <c r="GV236" i="4"/>
  <c r="BM244" i="4"/>
  <c r="GS251" i="4"/>
  <c r="GT247" i="4" s="1"/>
  <c r="GT248" i="4" s="1"/>
  <c r="HA213" i="4"/>
  <c r="BQ233" i="4"/>
  <c r="BL245" i="4"/>
  <c r="BL246" i="4" s="1"/>
  <c r="GY223" i="4"/>
  <c r="GY227" i="4" s="1"/>
  <c r="BO234" i="4"/>
  <c r="GU245" i="4"/>
  <c r="GZ220" i="4"/>
  <c r="BB267" i="4"/>
  <c r="BB262" i="4"/>
  <c r="HB203" i="4"/>
  <c r="HC199" i="4" s="1"/>
  <c r="HB217" i="4"/>
  <c r="HB208" i="4"/>
  <c r="HB204" i="4"/>
  <c r="GZ226" i="4"/>
  <c r="GZ221" i="4"/>
  <c r="BD256" i="4"/>
  <c r="GN264" i="4"/>
  <c r="GO259" i="4"/>
  <c r="GS253" i="4"/>
  <c r="GS258" i="4"/>
  <c r="GS252" i="4"/>
  <c r="GM267" i="4"/>
  <c r="BC257" i="4" s="1"/>
  <c r="BC261" i="4"/>
  <c r="BC266" i="4" s="1"/>
  <c r="BC265" i="4"/>
  <c r="GV239" i="4"/>
  <c r="GV241" i="4" s="1"/>
  <c r="HA218" i="4" l="1"/>
  <c r="HA219" i="4" s="1"/>
  <c r="HB215" i="4" s="1"/>
  <c r="GT250" i="4"/>
  <c r="GT258" i="4" s="1"/>
  <c r="BM241" i="4"/>
  <c r="GY230" i="4"/>
  <c r="GY228" i="4"/>
  <c r="GZ224" i="4" s="1"/>
  <c r="GZ225" i="4" s="1"/>
  <c r="GY229" i="4"/>
  <c r="GW236" i="4"/>
  <c r="BM246" i="4"/>
  <c r="GR255" i="4"/>
  <c r="BH255" i="4"/>
  <c r="GV242" i="4"/>
  <c r="GW238" i="4" s="1"/>
  <c r="GW239" i="4" s="1"/>
  <c r="GS254" i="4"/>
  <c r="GZ222" i="4"/>
  <c r="BK254" i="4"/>
  <c r="GU246" i="4"/>
  <c r="GX234" i="4"/>
  <c r="BN239" i="4" s="1"/>
  <c r="GX233" i="4"/>
  <c r="BC262" i="4"/>
  <c r="HB210" i="4"/>
  <c r="HB212" i="4"/>
  <c r="HB209" i="4"/>
  <c r="HC205" i="4" s="1"/>
  <c r="HC206" i="4" s="1"/>
  <c r="HC200" i="4"/>
  <c r="HC202" i="4" s="1"/>
  <c r="HA221" i="4"/>
  <c r="HA226" i="4"/>
  <c r="HA220" i="4"/>
  <c r="GV244" i="4"/>
  <c r="GV249" i="4"/>
  <c r="GV243" i="4"/>
  <c r="GO262" i="4"/>
  <c r="GO261" i="4"/>
  <c r="GN265" i="4"/>
  <c r="GN266" i="4"/>
  <c r="BD260" i="4" s="1"/>
  <c r="BC267" i="4"/>
  <c r="GO260" i="4"/>
  <c r="GP256" i="4" s="1"/>
  <c r="GT253" i="4" l="1"/>
  <c r="GT254" i="4" s="1"/>
  <c r="GT251" i="4"/>
  <c r="GU247" i="4" s="1"/>
  <c r="GU248" i="4" s="1"/>
  <c r="GT252" i="4"/>
  <c r="GW241" i="4"/>
  <c r="GW242" i="4" s="1"/>
  <c r="GX238" i="4" s="1"/>
  <c r="GX239" i="4" s="1"/>
  <c r="HB213" i="4"/>
  <c r="BR233" i="4"/>
  <c r="GZ223" i="4"/>
  <c r="GZ227" i="4" s="1"/>
  <c r="GZ228" i="4" s="1"/>
  <c r="HA224" i="4" s="1"/>
  <c r="HA225" i="4" s="1"/>
  <c r="BP234" i="4"/>
  <c r="GY231" i="4"/>
  <c r="HA222" i="4"/>
  <c r="BN244" i="4"/>
  <c r="GV245" i="4"/>
  <c r="BN240" i="4"/>
  <c r="BN245" i="4" s="1"/>
  <c r="GX235" i="4"/>
  <c r="BN236" i="4" s="1"/>
  <c r="GS255" i="4"/>
  <c r="BI255" i="4"/>
  <c r="HC203" i="4"/>
  <c r="HD199" i="4" s="1"/>
  <c r="HC204" i="4"/>
  <c r="HC217" i="4"/>
  <c r="HC208" i="4"/>
  <c r="BD265" i="4"/>
  <c r="GN267" i="4"/>
  <c r="BD257" i="4" s="1"/>
  <c r="BD261" i="4"/>
  <c r="BD266" i="4" s="1"/>
  <c r="GO263" i="4"/>
  <c r="HB216" i="4"/>
  <c r="GP257" i="4"/>
  <c r="GP259" i="4" s="1"/>
  <c r="GW244" i="4" l="1"/>
  <c r="GW243" i="4"/>
  <c r="GW249" i="4"/>
  <c r="HB218" i="4"/>
  <c r="HB219" i="4" s="1"/>
  <c r="HC215" i="4" s="1"/>
  <c r="GZ230" i="4"/>
  <c r="GZ231" i="4" s="1"/>
  <c r="BN241" i="4"/>
  <c r="GY232" i="4"/>
  <c r="BO235" i="4"/>
  <c r="GZ229" i="4"/>
  <c r="GX236" i="4"/>
  <c r="GX241" i="4" s="1"/>
  <c r="BN246" i="4"/>
  <c r="GT255" i="4"/>
  <c r="BJ255" i="4"/>
  <c r="HC209" i="4"/>
  <c r="HD205" i="4" s="1"/>
  <c r="HD206" i="4" s="1"/>
  <c r="HA223" i="4"/>
  <c r="HA227" i="4" s="1"/>
  <c r="BQ234" i="4"/>
  <c r="GW245" i="4"/>
  <c r="BL254" i="4"/>
  <c r="GV246" i="4"/>
  <c r="HC212" i="4"/>
  <c r="HC210" i="4"/>
  <c r="HD200" i="4"/>
  <c r="HD202" i="4" s="1"/>
  <c r="BD267" i="4"/>
  <c r="BD262" i="4"/>
  <c r="GU250" i="4"/>
  <c r="GP262" i="4"/>
  <c r="GP261" i="4"/>
  <c r="BE256" i="4"/>
  <c r="GO264" i="4"/>
  <c r="GP260" i="4"/>
  <c r="GQ256" i="4" s="1"/>
  <c r="HB226" i="4" l="1"/>
  <c r="HB220" i="4"/>
  <c r="HB221" i="4"/>
  <c r="HA230" i="4"/>
  <c r="HA231" i="4" s="1"/>
  <c r="HA228" i="4"/>
  <c r="HB224" i="4" s="1"/>
  <c r="HB225" i="4" s="1"/>
  <c r="HA229" i="4"/>
  <c r="GX242" i="4"/>
  <c r="GY238" i="4" s="1"/>
  <c r="GY239" i="4" s="1"/>
  <c r="HB222" i="4"/>
  <c r="BM254" i="4"/>
  <c r="GW246" i="4"/>
  <c r="GP263" i="4"/>
  <c r="GX244" i="4"/>
  <c r="GX243" i="4"/>
  <c r="HC213" i="4"/>
  <c r="BS233" i="4"/>
  <c r="GY234" i="4"/>
  <c r="BO239" i="4" s="1"/>
  <c r="GY233" i="4"/>
  <c r="GU251" i="4"/>
  <c r="GV247" i="4" s="1"/>
  <c r="GV248" i="4" s="1"/>
  <c r="GV250" i="4" s="1"/>
  <c r="GX249" i="4"/>
  <c r="GZ232" i="4"/>
  <c r="BP235" i="4"/>
  <c r="HD203" i="4"/>
  <c r="HE199" i="4" s="1"/>
  <c r="HD208" i="4"/>
  <c r="HD204" i="4"/>
  <c r="HD217" i="4"/>
  <c r="GO265" i="4"/>
  <c r="GO266" i="4"/>
  <c r="BE260" i="4" s="1"/>
  <c r="HC216" i="4"/>
  <c r="GQ257" i="4"/>
  <c r="GQ259" i="4" s="1"/>
  <c r="GU253" i="4"/>
  <c r="GU258" i="4"/>
  <c r="GU252" i="4"/>
  <c r="HC218" i="4" l="1"/>
  <c r="HC219" i="4" s="1"/>
  <c r="HD215" i="4" s="1"/>
  <c r="GV251" i="4"/>
  <c r="GW247" i="4" s="1"/>
  <c r="GW248" i="4" s="1"/>
  <c r="GW250" i="4" s="1"/>
  <c r="GX245" i="4"/>
  <c r="HA232" i="4"/>
  <c r="BQ235" i="4"/>
  <c r="GZ234" i="4"/>
  <c r="BP239" i="4" s="1"/>
  <c r="GZ233" i="4"/>
  <c r="GU254" i="4"/>
  <c r="HB223" i="4"/>
  <c r="HB227" i="4" s="1"/>
  <c r="BR234" i="4"/>
  <c r="GQ260" i="4"/>
  <c r="GR256" i="4" s="1"/>
  <c r="GR257" i="4" s="1"/>
  <c r="GR259" i="4" s="1"/>
  <c r="BO240" i="4"/>
  <c r="BO245" i="4" s="1"/>
  <c r="GY235" i="4"/>
  <c r="BO236" i="4" s="1"/>
  <c r="BO244" i="4"/>
  <c r="GP264" i="4"/>
  <c r="BF256" i="4"/>
  <c r="HD212" i="4"/>
  <c r="HD210" i="4"/>
  <c r="HD209" i="4"/>
  <c r="HE205" i="4" s="1"/>
  <c r="HE200" i="4"/>
  <c r="HE202" i="4" s="1"/>
  <c r="GQ262" i="4"/>
  <c r="GQ261" i="4"/>
  <c r="GV253" i="4"/>
  <c r="GV258" i="4"/>
  <c r="GV252" i="4"/>
  <c r="BE265" i="4"/>
  <c r="GO267" i="4"/>
  <c r="BE257" i="4" s="1"/>
  <c r="BE261" i="4"/>
  <c r="BE262" i="4" s="1"/>
  <c r="HC220" i="4" l="1"/>
  <c r="HC226" i="4"/>
  <c r="HC221" i="4"/>
  <c r="HB229" i="4"/>
  <c r="HB230" i="4"/>
  <c r="HB231" i="4" s="1"/>
  <c r="HB228" i="4"/>
  <c r="HC224" i="4" s="1"/>
  <c r="HC225" i="4" s="1"/>
  <c r="GZ235" i="4"/>
  <c r="BP236" i="4" s="1"/>
  <c r="BP240" i="4"/>
  <c r="BP245" i="4" s="1"/>
  <c r="GQ263" i="4"/>
  <c r="BP244" i="4"/>
  <c r="GP266" i="4"/>
  <c r="BF260" i="4" s="1"/>
  <c r="GP265" i="4"/>
  <c r="HE203" i="4"/>
  <c r="HF199" i="4" s="1"/>
  <c r="HF200" i="4" s="1"/>
  <c r="HF202" i="4" s="1"/>
  <c r="BO246" i="4"/>
  <c r="GY236" i="4"/>
  <c r="GY241" i="4" s="1"/>
  <c r="HA234" i="4"/>
  <c r="BQ239" i="4" s="1"/>
  <c r="HA233" i="4"/>
  <c r="BO241" i="4"/>
  <c r="GR260" i="4"/>
  <c r="GS256" i="4" s="1"/>
  <c r="GS257" i="4" s="1"/>
  <c r="BN254" i="4"/>
  <c r="GX246" i="4"/>
  <c r="GV254" i="4"/>
  <c r="HC222" i="4"/>
  <c r="HD213" i="4"/>
  <c r="BT233" i="4"/>
  <c r="GU255" i="4"/>
  <c r="BK255" i="4"/>
  <c r="HE204" i="4"/>
  <c r="HE217" i="4"/>
  <c r="HE208" i="4"/>
  <c r="HE206" i="4"/>
  <c r="GW253" i="4"/>
  <c r="GW258" i="4"/>
  <c r="GW252" i="4"/>
  <c r="GW251" i="4"/>
  <c r="GX247" i="4" s="1"/>
  <c r="HD216" i="4"/>
  <c r="GR262" i="4"/>
  <c r="GR261" i="4"/>
  <c r="BE266" i="4"/>
  <c r="BE267" i="4" s="1"/>
  <c r="BP241" i="4" l="1"/>
  <c r="BQ240" i="4"/>
  <c r="BQ245" i="4" s="1"/>
  <c r="HA235" i="4"/>
  <c r="BQ236" i="4" s="1"/>
  <c r="BF265" i="4"/>
  <c r="BP246" i="4"/>
  <c r="GZ236" i="4"/>
  <c r="GR263" i="4"/>
  <c r="GY242" i="4"/>
  <c r="GZ238" i="4" s="1"/>
  <c r="GZ239" i="4" s="1"/>
  <c r="GZ241" i="4" s="1"/>
  <c r="GY244" i="4"/>
  <c r="GY249" i="4"/>
  <c r="GY243" i="4"/>
  <c r="BQ241" i="4"/>
  <c r="BQ244" i="4"/>
  <c r="HC223" i="4"/>
  <c r="HC227" i="4" s="1"/>
  <c r="BS234" i="4"/>
  <c r="GQ264" i="4"/>
  <c r="BG256" i="4"/>
  <c r="GW254" i="4"/>
  <c r="GV255" i="4"/>
  <c r="BL255" i="4"/>
  <c r="HB232" i="4"/>
  <c r="BR235" i="4"/>
  <c r="BF261" i="4"/>
  <c r="BF262" i="4" s="1"/>
  <c r="GP267" i="4"/>
  <c r="BF257" i="4" s="1"/>
  <c r="HE209" i="4"/>
  <c r="HF205" i="4" s="1"/>
  <c r="HF206" i="4" s="1"/>
  <c r="HF203" i="4"/>
  <c r="HG199" i="4" s="1"/>
  <c r="HF217" i="4"/>
  <c r="HF204" i="4"/>
  <c r="HF208" i="4"/>
  <c r="HE210" i="4"/>
  <c r="HE212" i="4"/>
  <c r="HD218" i="4"/>
  <c r="GS259" i="4"/>
  <c r="GX248" i="4"/>
  <c r="GX250" i="4" s="1"/>
  <c r="HC230" i="4" l="1"/>
  <c r="HC229" i="4"/>
  <c r="HC228" i="4"/>
  <c r="HD224" i="4" s="1"/>
  <c r="HD225" i="4" s="1"/>
  <c r="GY245" i="4"/>
  <c r="GZ242" i="4"/>
  <c r="HA238" i="4" s="1"/>
  <c r="GZ249" i="4"/>
  <c r="GZ244" i="4"/>
  <c r="GZ243" i="4"/>
  <c r="HB234" i="4"/>
  <c r="BR239" i="4" s="1"/>
  <c r="HB233" i="4"/>
  <c r="GQ265" i="4"/>
  <c r="GQ266" i="4"/>
  <c r="BG260" i="4" s="1"/>
  <c r="HA236" i="4"/>
  <c r="BQ246" i="4"/>
  <c r="HD219" i="4"/>
  <c r="HE215" i="4" s="1"/>
  <c r="HE216" i="4" s="1"/>
  <c r="HE218" i="4" s="1"/>
  <c r="GW255" i="4"/>
  <c r="BM255" i="4"/>
  <c r="GR264" i="4"/>
  <c r="BH256" i="4"/>
  <c r="BF266" i="4"/>
  <c r="HE213" i="4"/>
  <c r="BU233" i="4"/>
  <c r="HD220" i="4"/>
  <c r="HD226" i="4"/>
  <c r="HD221" i="4"/>
  <c r="HF209" i="4"/>
  <c r="HG205" i="4" s="1"/>
  <c r="HG206" i="4" s="1"/>
  <c r="HF210" i="4"/>
  <c r="HF212" i="4"/>
  <c r="HG200" i="4"/>
  <c r="HG202" i="4" s="1"/>
  <c r="GX253" i="4"/>
  <c r="GX258" i="4"/>
  <c r="GX252" i="4"/>
  <c r="GX251" i="4"/>
  <c r="GY247" i="4" s="1"/>
  <c r="GS262" i="4"/>
  <c r="GS261" i="4"/>
  <c r="GS260" i="4"/>
  <c r="GT256" i="4" s="1"/>
  <c r="BG261" i="4" l="1"/>
  <c r="BG262" i="4" s="1"/>
  <c r="GQ267" i="4"/>
  <c r="BG257" i="4" s="1"/>
  <c r="HD222" i="4"/>
  <c r="BR240" i="4"/>
  <c r="BR245" i="4" s="1"/>
  <c r="HB235" i="4"/>
  <c r="BR236" i="4" s="1"/>
  <c r="BO254" i="4"/>
  <c r="GY246" i="4"/>
  <c r="HG203" i="4"/>
  <c r="HH199" i="4" s="1"/>
  <c r="HH200" i="4" s="1"/>
  <c r="HH202" i="4" s="1"/>
  <c r="GR266" i="4"/>
  <c r="BH260" i="4" s="1"/>
  <c r="GR265" i="4"/>
  <c r="BR244" i="4"/>
  <c r="GX254" i="4"/>
  <c r="GS263" i="4"/>
  <c r="HF213" i="4"/>
  <c r="BV233" i="4"/>
  <c r="GZ245" i="4"/>
  <c r="HA239" i="4"/>
  <c r="HA241" i="4" s="1"/>
  <c r="BF267" i="4"/>
  <c r="BG265" i="4"/>
  <c r="HC231" i="4"/>
  <c r="HE221" i="4"/>
  <c r="HE226" i="4"/>
  <c r="HE220" i="4"/>
  <c r="HG208" i="4"/>
  <c r="HG204" i="4"/>
  <c r="HG217" i="4"/>
  <c r="HE219" i="4"/>
  <c r="HF215" i="4" s="1"/>
  <c r="HF216" i="4" s="1"/>
  <c r="GY248" i="4"/>
  <c r="GT257" i="4"/>
  <c r="GT259" i="4" s="1"/>
  <c r="HF218" i="4" l="1"/>
  <c r="HF220" i="4" s="1"/>
  <c r="GY250" i="4"/>
  <c r="GY252" i="4" s="1"/>
  <c r="BR241" i="4"/>
  <c r="HA249" i="4"/>
  <c r="HA243" i="4"/>
  <c r="HA244" i="4"/>
  <c r="BP254" i="4"/>
  <c r="GZ246" i="4"/>
  <c r="BH261" i="4"/>
  <c r="BH266" i="4" s="1"/>
  <c r="GR267" i="4"/>
  <c r="BH257" i="4" s="1"/>
  <c r="BH265" i="4"/>
  <c r="HD223" i="4"/>
  <c r="HD227" i="4" s="1"/>
  <c r="BT234" i="4"/>
  <c r="GX255" i="4"/>
  <c r="BN255" i="4"/>
  <c r="HE222" i="4"/>
  <c r="GS264" i="4"/>
  <c r="BI256" i="4"/>
  <c r="BG266" i="4"/>
  <c r="HB236" i="4"/>
  <c r="BR246" i="4"/>
  <c r="HA242" i="4"/>
  <c r="HB238" i="4" s="1"/>
  <c r="HC232" i="4"/>
  <c r="BS235" i="4"/>
  <c r="HH203" i="4"/>
  <c r="HI199" i="4" s="1"/>
  <c r="HG212" i="4"/>
  <c r="HG210" i="4"/>
  <c r="HG209" i="4"/>
  <c r="HH205" i="4" s="1"/>
  <c r="HH206" i="4" s="1"/>
  <c r="HH204" i="4"/>
  <c r="HH217" i="4"/>
  <c r="HH208" i="4"/>
  <c r="GT262" i="4"/>
  <c r="GT261" i="4"/>
  <c r="GT260" i="4"/>
  <c r="GU256" i="4" s="1"/>
  <c r="HF221" i="4" l="1"/>
  <c r="HF222" i="4" s="1"/>
  <c r="HF219" i="4"/>
  <c r="HG215" i="4" s="1"/>
  <c r="HG216" i="4" s="1"/>
  <c r="HF226" i="4"/>
  <c r="GY258" i="4"/>
  <c r="GY253" i="4"/>
  <c r="GY254" i="4" s="1"/>
  <c r="GY251" i="4"/>
  <c r="GZ247" i="4" s="1"/>
  <c r="GZ248" i="4" s="1"/>
  <c r="GZ250" i="4" s="1"/>
  <c r="BH262" i="4"/>
  <c r="HE223" i="4"/>
  <c r="BU234" i="4"/>
  <c r="HA245" i="4"/>
  <c r="HC233" i="4"/>
  <c r="HC234" i="4"/>
  <c r="BS239" i="4" s="1"/>
  <c r="HB239" i="4"/>
  <c r="HB241" i="4" s="1"/>
  <c r="HB242" i="4" s="1"/>
  <c r="HC238" i="4" s="1"/>
  <c r="HC239" i="4" s="1"/>
  <c r="HD230" i="4"/>
  <c r="HD229" i="4"/>
  <c r="HD228" i="4"/>
  <c r="HE224" i="4" s="1"/>
  <c r="HE225" i="4" s="1"/>
  <c r="HE227" i="4" s="1"/>
  <c r="GT263" i="4"/>
  <c r="HG213" i="4"/>
  <c r="BW233" i="4"/>
  <c r="GS265" i="4"/>
  <c r="GS266" i="4"/>
  <c r="BI260" i="4" s="1"/>
  <c r="BH267" i="4"/>
  <c r="BG267" i="4"/>
  <c r="HH209" i="4"/>
  <c r="HI205" i="4" s="1"/>
  <c r="HH210" i="4"/>
  <c r="HH212" i="4"/>
  <c r="HI200" i="4"/>
  <c r="HI202" i="4" s="1"/>
  <c r="GU257" i="4"/>
  <c r="HG218" i="4" l="1"/>
  <c r="HG226" i="4" s="1"/>
  <c r="BI261" i="4"/>
  <c r="GS267" i="4"/>
  <c r="BI257" i="4" s="1"/>
  <c r="HD231" i="4"/>
  <c r="BQ254" i="4"/>
  <c r="HA246" i="4"/>
  <c r="HH213" i="4"/>
  <c r="BX233" i="4"/>
  <c r="HB244" i="4"/>
  <c r="HB249" i="4"/>
  <c r="HB243" i="4"/>
  <c r="GZ251" i="4"/>
  <c r="HA247" i="4" s="1"/>
  <c r="HA248" i="4" s="1"/>
  <c r="GY255" i="4"/>
  <c r="BO255" i="4"/>
  <c r="HE228" i="4"/>
  <c r="HF224" i="4" s="1"/>
  <c r="HF225" i="4" s="1"/>
  <c r="BS244" i="4"/>
  <c r="GT264" i="4"/>
  <c r="BJ256" i="4"/>
  <c r="HE229" i="4"/>
  <c r="BS240" i="4"/>
  <c r="BS245" i="4" s="1"/>
  <c r="HC235" i="4"/>
  <c r="BS236" i="4" s="1"/>
  <c r="HE230" i="4"/>
  <c r="BI265" i="4"/>
  <c r="HF223" i="4"/>
  <c r="BV234" i="4"/>
  <c r="HI203" i="4"/>
  <c r="HJ199" i="4" s="1"/>
  <c r="HI208" i="4"/>
  <c r="HI204" i="4"/>
  <c r="HI217" i="4"/>
  <c r="HI206" i="4"/>
  <c r="GU259" i="4"/>
  <c r="GZ253" i="4"/>
  <c r="GZ258" i="4"/>
  <c r="GZ252" i="4"/>
  <c r="HG220" i="4" l="1"/>
  <c r="HG219" i="4"/>
  <c r="HH215" i="4" s="1"/>
  <c r="HH216" i="4" s="1"/>
  <c r="HH218" i="4" s="1"/>
  <c r="HH221" i="4" s="1"/>
  <c r="HG221" i="4"/>
  <c r="HA250" i="4"/>
  <c r="HA252" i="4" s="1"/>
  <c r="HI209" i="4"/>
  <c r="HJ205" i="4" s="1"/>
  <c r="HJ206" i="4" s="1"/>
  <c r="HB245" i="4"/>
  <c r="HD232" i="4"/>
  <c r="BT235" i="4"/>
  <c r="GU260" i="4"/>
  <c r="GV256" i="4" s="1"/>
  <c r="GV257" i="4" s="1"/>
  <c r="GV259" i="4" s="1"/>
  <c r="HF227" i="4"/>
  <c r="BI262" i="4"/>
  <c r="BI266" i="4"/>
  <c r="GT266" i="4"/>
  <c r="BJ260" i="4" s="1"/>
  <c r="GT265" i="4"/>
  <c r="HG222" i="4"/>
  <c r="BI267" i="4"/>
  <c r="BS246" i="4"/>
  <c r="HC236" i="4"/>
  <c r="HC241" i="4" s="1"/>
  <c r="GZ254" i="4"/>
  <c r="HE231" i="4"/>
  <c r="BS241" i="4"/>
  <c r="HI212" i="4"/>
  <c r="HI210" i="4"/>
  <c r="HJ200" i="4"/>
  <c r="HJ202" i="4" s="1"/>
  <c r="GU262" i="4"/>
  <c r="GU261" i="4"/>
  <c r="HA251" i="4" l="1"/>
  <c r="HB247" i="4" s="1"/>
  <c r="HB248" i="4" s="1"/>
  <c r="HA258" i="4"/>
  <c r="HA253" i="4"/>
  <c r="HH219" i="4"/>
  <c r="HI215" i="4" s="1"/>
  <c r="HI216" i="4" s="1"/>
  <c r="HH220" i="4"/>
  <c r="HH226" i="4"/>
  <c r="GU263" i="4"/>
  <c r="BJ261" i="4"/>
  <c r="GT267" i="4"/>
  <c r="BJ257" i="4" s="1"/>
  <c r="HF228" i="4"/>
  <c r="HG224" i="4" s="1"/>
  <c r="HG225" i="4" s="1"/>
  <c r="HH222" i="4"/>
  <c r="HI213" i="4"/>
  <c r="BY233" i="4"/>
  <c r="HA254" i="4"/>
  <c r="HF230" i="4"/>
  <c r="HD234" i="4"/>
  <c r="BT239" i="4" s="1"/>
  <c r="HD233" i="4"/>
  <c r="HC249" i="4"/>
  <c r="HC243" i="4"/>
  <c r="HC244" i="4"/>
  <c r="HC242" i="4"/>
  <c r="HD238" i="4" s="1"/>
  <c r="BJ265" i="4"/>
  <c r="HF229" i="4"/>
  <c r="HE232" i="4"/>
  <c r="BU235" i="4"/>
  <c r="GZ255" i="4"/>
  <c r="BP255" i="4"/>
  <c r="HG223" i="4"/>
  <c r="BW234" i="4"/>
  <c r="BR254" i="4"/>
  <c r="HB246" i="4"/>
  <c r="HJ203" i="4"/>
  <c r="HK199" i="4" s="1"/>
  <c r="HJ208" i="4"/>
  <c r="HJ217" i="4"/>
  <c r="HJ204" i="4"/>
  <c r="GV262" i="4"/>
  <c r="GV261" i="4"/>
  <c r="GV260" i="4"/>
  <c r="GW256" i="4" s="1"/>
  <c r="HB250" i="4" l="1"/>
  <c r="HB251" i="4" s="1"/>
  <c r="HC247" i="4" s="1"/>
  <c r="HC248" i="4" s="1"/>
  <c r="HI218" i="4"/>
  <c r="HI219" i="4" s="1"/>
  <c r="HJ215" i="4" s="1"/>
  <c r="HJ216" i="4" s="1"/>
  <c r="HG227" i="4"/>
  <c r="HG230" i="4" s="1"/>
  <c r="HB253" i="4"/>
  <c r="HB258" i="4"/>
  <c r="HB252" i="4"/>
  <c r="HH223" i="4"/>
  <c r="BX234" i="4"/>
  <c r="HF231" i="4"/>
  <c r="HE233" i="4"/>
  <c r="HE234" i="4"/>
  <c r="BU239" i="4" s="1"/>
  <c r="HA255" i="4"/>
  <c r="BQ255" i="4"/>
  <c r="BJ266" i="4"/>
  <c r="BJ267" i="4" s="1"/>
  <c r="GV263" i="4"/>
  <c r="HD235" i="4"/>
  <c r="BT236" i="4" s="1"/>
  <c r="BT240" i="4"/>
  <c r="BT245" i="4" s="1"/>
  <c r="HC245" i="4"/>
  <c r="BT244" i="4"/>
  <c r="GU264" i="4"/>
  <c r="BK256" i="4"/>
  <c r="HD239" i="4"/>
  <c r="BJ262" i="4"/>
  <c r="HI220" i="4"/>
  <c r="HJ212" i="4"/>
  <c r="HJ210" i="4"/>
  <c r="HJ209" i="4"/>
  <c r="HK205" i="4" s="1"/>
  <c r="HK206" i="4" s="1"/>
  <c r="HK200" i="4"/>
  <c r="HK202" i="4" s="1"/>
  <c r="GW257" i="4"/>
  <c r="GW259" i="4" s="1"/>
  <c r="HG228" i="4" l="1"/>
  <c r="HH224" i="4" s="1"/>
  <c r="HH225" i="4" s="1"/>
  <c r="HH227" i="4" s="1"/>
  <c r="HH230" i="4" s="1"/>
  <c r="HH231" i="4" s="1"/>
  <c r="HI226" i="4"/>
  <c r="HI221" i="4"/>
  <c r="HI222" i="4" s="1"/>
  <c r="HG229" i="4"/>
  <c r="GU266" i="4"/>
  <c r="BK260" i="4" s="1"/>
  <c r="GU265" i="4"/>
  <c r="BU244" i="4"/>
  <c r="HK203" i="4"/>
  <c r="HL199" i="4" s="1"/>
  <c r="HL200" i="4" s="1"/>
  <c r="HL202" i="4" s="1"/>
  <c r="HD236" i="4"/>
  <c r="HD241" i="4" s="1"/>
  <c r="BT246" i="4"/>
  <c r="BT241" i="4"/>
  <c r="GV264" i="4"/>
  <c r="BL256" i="4"/>
  <c r="BU240" i="4"/>
  <c r="BU245" i="4" s="1"/>
  <c r="HE235" i="4"/>
  <c r="BU236" i="4" s="1"/>
  <c r="HB254" i="4"/>
  <c r="HJ213" i="4"/>
  <c r="HJ218" i="4" s="1"/>
  <c r="BZ233" i="4"/>
  <c r="HG231" i="4"/>
  <c r="BS254" i="4"/>
  <c r="HC246" i="4"/>
  <c r="HC250" i="4" s="1"/>
  <c r="HF232" i="4"/>
  <c r="BV235" i="4"/>
  <c r="HK217" i="4"/>
  <c r="HK208" i="4"/>
  <c r="HK204" i="4"/>
  <c r="GW262" i="4"/>
  <c r="GW261" i="4"/>
  <c r="GW260" i="4"/>
  <c r="GX256" i="4" s="1"/>
  <c r="HH228" i="4" l="1"/>
  <c r="HI224" i="4" s="1"/>
  <c r="HI225" i="4" s="1"/>
  <c r="HH229" i="4"/>
  <c r="BU241" i="4"/>
  <c r="HC252" i="4"/>
  <c r="HC251" i="4"/>
  <c r="HD247" i="4" s="1"/>
  <c r="HD248" i="4" s="1"/>
  <c r="HC253" i="4"/>
  <c r="HC258" i="4"/>
  <c r="HJ219" i="4"/>
  <c r="HK215" i="4" s="1"/>
  <c r="HK216" i="4" s="1"/>
  <c r="HE236" i="4"/>
  <c r="BU246" i="4"/>
  <c r="GV266" i="4"/>
  <c r="BL260" i="4" s="1"/>
  <c r="GV265" i="4"/>
  <c r="HH232" i="4"/>
  <c r="BX235" i="4"/>
  <c r="HJ220" i="4"/>
  <c r="GW263" i="4"/>
  <c r="HJ221" i="4"/>
  <c r="BK261" i="4"/>
  <c r="BK262" i="4" s="1"/>
  <c r="GU267" i="4"/>
  <c r="BK257" i="4" s="1"/>
  <c r="BK265" i="4"/>
  <c r="HJ226" i="4"/>
  <c r="HK209" i="4"/>
  <c r="HL205" i="4" s="1"/>
  <c r="HL206" i="4" s="1"/>
  <c r="HF233" i="4"/>
  <c r="HF234" i="4"/>
  <c r="BV239" i="4" s="1"/>
  <c r="HB255" i="4"/>
  <c r="BR255" i="4"/>
  <c r="HD249" i="4"/>
  <c r="HD244" i="4"/>
  <c r="HD243" i="4"/>
  <c r="HG232" i="4"/>
  <c r="BW235" i="4"/>
  <c r="HI223" i="4"/>
  <c r="HI227" i="4" s="1"/>
  <c r="BY234" i="4"/>
  <c r="HL203" i="4"/>
  <c r="HM199" i="4" s="1"/>
  <c r="HM200" i="4" s="1"/>
  <c r="HM202" i="4" s="1"/>
  <c r="HD242" i="4"/>
  <c r="HE238" i="4" s="1"/>
  <c r="HK212" i="4"/>
  <c r="HK210" i="4"/>
  <c r="HL204" i="4"/>
  <c r="HL208" i="4"/>
  <c r="HL217" i="4"/>
  <c r="GX257" i="4"/>
  <c r="GX259" i="4" s="1"/>
  <c r="HL209" i="4" l="1"/>
  <c r="HM205" i="4" s="1"/>
  <c r="GW264" i="4"/>
  <c r="BM256" i="4"/>
  <c r="HH233" i="4"/>
  <c r="HH234" i="4"/>
  <c r="BX239" i="4" s="1"/>
  <c r="HK213" i="4"/>
  <c r="HK218" i="4" s="1"/>
  <c r="HK221" i="4" s="1"/>
  <c r="CA233" i="4"/>
  <c r="BV244" i="4"/>
  <c r="BL261" i="4"/>
  <c r="BL266" i="4" s="1"/>
  <c r="GV267" i="4"/>
  <c r="BL257" i="4" s="1"/>
  <c r="HC254" i="4"/>
  <c r="HG233" i="4"/>
  <c r="HG234" i="4"/>
  <c r="BW239" i="4" s="1"/>
  <c r="BV240" i="4"/>
  <c r="BV245" i="4" s="1"/>
  <c r="HF235" i="4"/>
  <c r="BV236" i="4" s="1"/>
  <c r="BK266" i="4"/>
  <c r="BL265" i="4"/>
  <c r="HJ222" i="4"/>
  <c r="HE239" i="4"/>
  <c r="HE241" i="4" s="1"/>
  <c r="HD245" i="4"/>
  <c r="HM208" i="4"/>
  <c r="HM204" i="4"/>
  <c r="HM217" i="4"/>
  <c r="HM203" i="4"/>
  <c r="HN199" i="4" s="1"/>
  <c r="HM206" i="4"/>
  <c r="HL212" i="4"/>
  <c r="HL210" i="4"/>
  <c r="GX262" i="4"/>
  <c r="GX261" i="4"/>
  <c r="HI230" i="4"/>
  <c r="HI229" i="4"/>
  <c r="HI228" i="4"/>
  <c r="HJ224" i="4" s="1"/>
  <c r="GX260" i="4"/>
  <c r="GY256" i="4" s="1"/>
  <c r="HK219" i="4" l="1"/>
  <c r="HL215" i="4" s="1"/>
  <c r="HL216" i="4" s="1"/>
  <c r="HK220" i="4"/>
  <c r="HK226" i="4"/>
  <c r="HE244" i="4"/>
  <c r="HE249" i="4"/>
  <c r="HE243" i="4"/>
  <c r="BV241" i="4"/>
  <c r="HI231" i="4"/>
  <c r="HJ223" i="4"/>
  <c r="BZ234" i="4"/>
  <c r="BW244" i="4"/>
  <c r="BW240" i="4"/>
  <c r="BW245" i="4" s="1"/>
  <c r="HG235" i="4"/>
  <c r="BW236" i="4" s="1"/>
  <c r="GW266" i="4"/>
  <c r="BM260" i="4" s="1"/>
  <c r="GW265" i="4"/>
  <c r="BL267" i="4"/>
  <c r="BX244" i="4"/>
  <c r="HL213" i="4"/>
  <c r="CB233" i="4"/>
  <c r="BL262" i="4"/>
  <c r="HC255" i="4"/>
  <c r="BS255" i="4"/>
  <c r="BX240" i="4"/>
  <c r="BX245" i="4" s="1"/>
  <c r="HH235" i="4"/>
  <c r="BX236" i="4" s="1"/>
  <c r="BT254" i="4"/>
  <c r="HD246" i="4"/>
  <c r="HD250" i="4" s="1"/>
  <c r="HK222" i="4"/>
  <c r="GX263" i="4"/>
  <c r="HE242" i="4"/>
  <c r="HF238" i="4" s="1"/>
  <c r="HF239" i="4" s="1"/>
  <c r="HF236" i="4"/>
  <c r="BV246" i="4"/>
  <c r="BK267" i="4"/>
  <c r="HM209" i="4"/>
  <c r="HN205" i="4" s="1"/>
  <c r="HN206" i="4" s="1"/>
  <c r="HN200" i="4"/>
  <c r="HM210" i="4"/>
  <c r="HM212" i="4"/>
  <c r="GY257" i="4"/>
  <c r="GY259" i="4" s="1"/>
  <c r="HJ225" i="4"/>
  <c r="HJ227" i="4" s="1"/>
  <c r="HL218" i="4" l="1"/>
  <c r="HL219" i="4" s="1"/>
  <c r="HM215" i="4" s="1"/>
  <c r="HM216" i="4" s="1"/>
  <c r="HF241" i="4"/>
  <c r="HF249" i="4" s="1"/>
  <c r="HK223" i="4"/>
  <c r="CA234" i="4"/>
  <c r="BM261" i="4"/>
  <c r="BM266" i="4" s="1"/>
  <c r="GW267" i="4"/>
  <c r="BM257" i="4" s="1"/>
  <c r="BM262" i="4"/>
  <c r="BM265" i="4"/>
  <c r="HJ228" i="4"/>
  <c r="HK224" i="4" s="1"/>
  <c r="HK225" i="4" s="1"/>
  <c r="HK227" i="4" s="1"/>
  <c r="HM213" i="4"/>
  <c r="CC233" i="4"/>
  <c r="HI232" i="4"/>
  <c r="BY235" i="4"/>
  <c r="BX246" i="4"/>
  <c r="HH236" i="4"/>
  <c r="HD253" i="4"/>
  <c r="HD258" i="4"/>
  <c r="HD252" i="4"/>
  <c r="HD251" i="4"/>
  <c r="HE247" i="4" s="1"/>
  <c r="HE248" i="4" s="1"/>
  <c r="BX241" i="4"/>
  <c r="BW246" i="4"/>
  <c r="HG236" i="4"/>
  <c r="BW241" i="4"/>
  <c r="HE245" i="4"/>
  <c r="GX264" i="4"/>
  <c r="BN256" i="4"/>
  <c r="HN202" i="4"/>
  <c r="GY262" i="4"/>
  <c r="GY261" i="4"/>
  <c r="GY260" i="4"/>
  <c r="GZ256" i="4" s="1"/>
  <c r="HJ230" i="4"/>
  <c r="HJ229" i="4"/>
  <c r="HL220" i="4" l="1"/>
  <c r="HL221" i="4"/>
  <c r="HL222" i="4" s="1"/>
  <c r="HL226" i="4"/>
  <c r="HF243" i="4"/>
  <c r="HF244" i="4"/>
  <c r="HF245" i="4" s="1"/>
  <c r="HF242" i="4"/>
  <c r="HG238" i="4" s="1"/>
  <c r="HG239" i="4" s="1"/>
  <c r="BM267" i="4"/>
  <c r="HK228" i="4"/>
  <c r="HL224" i="4" s="1"/>
  <c r="HL225" i="4" s="1"/>
  <c r="BU254" i="4"/>
  <c r="HE246" i="4"/>
  <c r="HE250" i="4" s="1"/>
  <c r="HI234" i="4"/>
  <c r="BY239" i="4" s="1"/>
  <c r="HI233" i="4"/>
  <c r="HD254" i="4"/>
  <c r="HJ231" i="4"/>
  <c r="GY263" i="4"/>
  <c r="GX266" i="4"/>
  <c r="BN260" i="4" s="1"/>
  <c r="GX265" i="4"/>
  <c r="HM218" i="4"/>
  <c r="HN217" i="4"/>
  <c r="HN204" i="4"/>
  <c r="HN208" i="4"/>
  <c r="HN203" i="4"/>
  <c r="HO199" i="4" s="1"/>
  <c r="GZ257" i="4"/>
  <c r="GZ259" i="4" s="1"/>
  <c r="HK230" i="4"/>
  <c r="HK229" i="4"/>
  <c r="HG241" i="4" l="1"/>
  <c r="HJ232" i="4"/>
  <c r="BZ235" i="4"/>
  <c r="HL223" i="4"/>
  <c r="HL227" i="4" s="1"/>
  <c r="CB234" i="4"/>
  <c r="BN261" i="4"/>
  <c r="BN266" i="4" s="1"/>
  <c r="GX267" i="4"/>
  <c r="BN257" i="4" s="1"/>
  <c r="HD255" i="4"/>
  <c r="BT255" i="4"/>
  <c r="HE253" i="4"/>
  <c r="HE252" i="4"/>
  <c r="HE258" i="4"/>
  <c r="BY240" i="4"/>
  <c r="BY245" i="4" s="1"/>
  <c r="HI235" i="4"/>
  <c r="BY236" i="4" s="1"/>
  <c r="GY264" i="4"/>
  <c r="BO256" i="4"/>
  <c r="BY244" i="4"/>
  <c r="BN265" i="4"/>
  <c r="HE251" i="4"/>
  <c r="HF247" i="4" s="1"/>
  <c r="HF248" i="4" s="1"/>
  <c r="BV254" i="4"/>
  <c r="HF246" i="4"/>
  <c r="HK231" i="4"/>
  <c r="HM219" i="4"/>
  <c r="HN215" i="4" s="1"/>
  <c r="HN216" i="4" s="1"/>
  <c r="HM220" i="4"/>
  <c r="HM226" i="4"/>
  <c r="HM221" i="4"/>
  <c r="HO200" i="4"/>
  <c r="HO202" i="4" s="1"/>
  <c r="HN212" i="4"/>
  <c r="HN210" i="4"/>
  <c r="HN209" i="4"/>
  <c r="HO205" i="4" s="1"/>
  <c r="GZ262" i="4"/>
  <c r="GZ261" i="4"/>
  <c r="GZ260" i="4"/>
  <c r="HA256" i="4" s="1"/>
  <c r="HG242" i="4" l="1"/>
  <c r="HH238" i="4" s="1"/>
  <c r="HH239" i="4" s="1"/>
  <c r="HH241" i="4" s="1"/>
  <c r="HH243" i="4" s="1"/>
  <c r="HG249" i="4"/>
  <c r="HG244" i="4"/>
  <c r="HG245" i="4" s="1"/>
  <c r="HG243" i="4"/>
  <c r="BN262" i="4"/>
  <c r="HL229" i="4"/>
  <c r="HI236" i="4"/>
  <c r="BY246" i="4"/>
  <c r="HL230" i="4"/>
  <c r="HK232" i="4"/>
  <c r="CA235" i="4"/>
  <c r="BY241" i="4"/>
  <c r="BW254" i="4"/>
  <c r="HG246" i="4"/>
  <c r="HN213" i="4"/>
  <c r="HN218" i="4" s="1"/>
  <c r="HN226" i="4" s="1"/>
  <c r="CD233" i="4"/>
  <c r="HE254" i="4"/>
  <c r="GZ263" i="4"/>
  <c r="HM222" i="4"/>
  <c r="GY266" i="4"/>
  <c r="BO260" i="4" s="1"/>
  <c r="GY265" i="4"/>
  <c r="HF250" i="4"/>
  <c r="HL228" i="4"/>
  <c r="HM224" i="4" s="1"/>
  <c r="HM225" i="4" s="1"/>
  <c r="BN267" i="4"/>
  <c r="HJ234" i="4"/>
  <c r="BZ239" i="4" s="1"/>
  <c r="HJ233" i="4"/>
  <c r="HO206" i="4"/>
  <c r="HO203" i="4"/>
  <c r="HP199" i="4" s="1"/>
  <c r="HO208" i="4"/>
  <c r="HO204" i="4"/>
  <c r="HO217" i="4"/>
  <c r="HA257" i="4"/>
  <c r="HH244" i="4" l="1"/>
  <c r="HH249" i="4"/>
  <c r="HH242" i="4"/>
  <c r="HI238" i="4" s="1"/>
  <c r="HN220" i="4"/>
  <c r="HN219" i="4"/>
  <c r="HO215" i="4" s="1"/>
  <c r="HO216" i="4" s="1"/>
  <c r="HF253" i="4"/>
  <c r="HF258" i="4"/>
  <c r="HF251" i="4"/>
  <c r="HG247" i="4" s="1"/>
  <c r="HG248" i="4" s="1"/>
  <c r="HG250" i="4" s="1"/>
  <c r="HG253" i="4" s="1"/>
  <c r="HF252" i="4"/>
  <c r="HK233" i="4"/>
  <c r="HK234" i="4"/>
  <c r="CA239" i="4" s="1"/>
  <c r="HL231" i="4"/>
  <c r="BO261" i="4"/>
  <c r="BO266" i="4" s="1"/>
  <c r="GY267" i="4"/>
  <c r="BO257" i="4" s="1"/>
  <c r="BO265" i="4"/>
  <c r="HN221" i="4"/>
  <c r="HH245" i="4"/>
  <c r="BZ240" i="4"/>
  <c r="BZ245" i="4" s="1"/>
  <c r="HJ235" i="4"/>
  <c r="BZ236" i="4" s="1"/>
  <c r="BZ244" i="4"/>
  <c r="HM223" i="4"/>
  <c r="HM227" i="4" s="1"/>
  <c r="CC234" i="4"/>
  <c r="HE255" i="4"/>
  <c r="BU255" i="4"/>
  <c r="GZ264" i="4"/>
  <c r="BP256" i="4"/>
  <c r="HO209" i="4"/>
  <c r="HP205" i="4" s="1"/>
  <c r="HP206" i="4" s="1"/>
  <c r="HO210" i="4"/>
  <c r="HO212" i="4"/>
  <c r="HP200" i="4"/>
  <c r="HP202" i="4" s="1"/>
  <c r="HA259" i="4"/>
  <c r="HI239" i="4"/>
  <c r="HI241" i="4" s="1"/>
  <c r="BO267" i="4" l="1"/>
  <c r="HG251" i="4"/>
  <c r="HH247" i="4" s="1"/>
  <c r="HH248" i="4" s="1"/>
  <c r="HG252" i="4"/>
  <c r="BO262" i="4"/>
  <c r="BZ241" i="4"/>
  <c r="HG254" i="4"/>
  <c r="HM228" i="4"/>
  <c r="HN224" i="4" s="1"/>
  <c r="HN225" i="4" s="1"/>
  <c r="HM229" i="4"/>
  <c r="HM230" i="4"/>
  <c r="HL232" i="4"/>
  <c r="CB235" i="4"/>
  <c r="CA244" i="4"/>
  <c r="BZ246" i="4"/>
  <c r="HJ236" i="4"/>
  <c r="HN222" i="4"/>
  <c r="CA240" i="4"/>
  <c r="CA245" i="4" s="1"/>
  <c r="HK235" i="4"/>
  <c r="CA236" i="4" s="1"/>
  <c r="HG258" i="4"/>
  <c r="GZ265" i="4"/>
  <c r="GZ266" i="4"/>
  <c r="BP260" i="4" s="1"/>
  <c r="HF254" i="4"/>
  <c r="HO213" i="4"/>
  <c r="HO218" i="4" s="1"/>
  <c r="HO226" i="4" s="1"/>
  <c r="CE233" i="4"/>
  <c r="BX254" i="4"/>
  <c r="HH246" i="4"/>
  <c r="HP203" i="4"/>
  <c r="HQ199" i="4" s="1"/>
  <c r="HP208" i="4"/>
  <c r="HP204" i="4"/>
  <c r="HP217" i="4"/>
  <c r="HI249" i="4"/>
  <c r="HI243" i="4"/>
  <c r="HI244" i="4"/>
  <c r="HI242" i="4"/>
  <c r="HJ238" i="4" s="1"/>
  <c r="HA262" i="4"/>
  <c r="HA261" i="4"/>
  <c r="HA260" i="4"/>
  <c r="HB256" i="4" s="1"/>
  <c r="HO220" i="4" l="1"/>
  <c r="HF255" i="4"/>
  <c r="BV255" i="4"/>
  <c r="HL234" i="4"/>
  <c r="CB239" i="4" s="1"/>
  <c r="HL233" i="4"/>
  <c r="BP265" i="4"/>
  <c r="HN223" i="4"/>
  <c r="HN227" i="4" s="1"/>
  <c r="CD234" i="4"/>
  <c r="HM231" i="4"/>
  <c r="HO219" i="4"/>
  <c r="HP215" i="4" s="1"/>
  <c r="HP216" i="4" s="1"/>
  <c r="BP261" i="4"/>
  <c r="BP266" i="4" s="1"/>
  <c r="GZ267" i="4"/>
  <c r="BP257" i="4" s="1"/>
  <c r="HA263" i="4"/>
  <c r="CA246" i="4"/>
  <c r="HK236" i="4"/>
  <c r="HO221" i="4"/>
  <c r="HI245" i="4"/>
  <c r="CA241" i="4"/>
  <c r="HG255" i="4"/>
  <c r="BW255" i="4"/>
  <c r="HP210" i="4"/>
  <c r="HP212" i="4"/>
  <c r="HP209" i="4"/>
  <c r="HQ205" i="4" s="1"/>
  <c r="HQ200" i="4"/>
  <c r="HQ202" i="4" s="1"/>
  <c r="HH250" i="4"/>
  <c r="HJ239" i="4"/>
  <c r="HJ241" i="4" s="1"/>
  <c r="HB257" i="4"/>
  <c r="BP267" i="4" l="1"/>
  <c r="BP262" i="4"/>
  <c r="HJ242" i="4"/>
  <c r="HK238" i="4" s="1"/>
  <c r="HK239" i="4" s="1"/>
  <c r="BY254" i="4"/>
  <c r="HI246" i="4"/>
  <c r="HA264" i="4"/>
  <c r="BQ256" i="4"/>
  <c r="HP213" i="4"/>
  <c r="HP218" i="4" s="1"/>
  <c r="HP219" i="4" s="1"/>
  <c r="HQ215" i="4" s="1"/>
  <c r="CF233" i="4"/>
  <c r="CB240" i="4"/>
  <c r="CB245" i="4" s="1"/>
  <c r="HL235" i="4"/>
  <c r="CB236" i="4" s="1"/>
  <c r="CB244" i="4"/>
  <c r="HN229" i="4"/>
  <c r="HN228" i="4"/>
  <c r="HO224" i="4" s="1"/>
  <c r="HO225" i="4" s="1"/>
  <c r="HN230" i="4"/>
  <c r="HM232" i="4"/>
  <c r="CC235" i="4"/>
  <c r="HO222" i="4"/>
  <c r="HQ203" i="4"/>
  <c r="HR199" i="4" s="1"/>
  <c r="HQ208" i="4"/>
  <c r="HQ204" i="4"/>
  <c r="HQ217" i="4"/>
  <c r="HQ206" i="4"/>
  <c r="HH253" i="4"/>
  <c r="HH258" i="4"/>
  <c r="HH252" i="4"/>
  <c r="HB259" i="4"/>
  <c r="HJ244" i="4"/>
  <c r="HJ249" i="4"/>
  <c r="HJ243" i="4"/>
  <c r="HH251" i="4"/>
  <c r="HI247" i="4" s="1"/>
  <c r="HP226" i="4" l="1"/>
  <c r="HP220" i="4"/>
  <c r="CB241" i="4"/>
  <c r="HP221" i="4"/>
  <c r="HP222" i="4" s="1"/>
  <c r="HH254" i="4"/>
  <c r="HL236" i="4"/>
  <c r="CB246" i="4"/>
  <c r="HA266" i="4"/>
  <c r="BQ260" i="4" s="1"/>
  <c r="HA265" i="4"/>
  <c r="HO223" i="4"/>
  <c r="HO227" i="4" s="1"/>
  <c r="CE234" i="4"/>
  <c r="HM234" i="4"/>
  <c r="CC239" i="4" s="1"/>
  <c r="HM233" i="4"/>
  <c r="HJ245" i="4"/>
  <c r="HN231" i="4"/>
  <c r="HB260" i="4"/>
  <c r="HC256" i="4" s="1"/>
  <c r="HC257" i="4" s="1"/>
  <c r="HC259" i="4" s="1"/>
  <c r="HQ209" i="4"/>
  <c r="HR205" i="4" s="1"/>
  <c r="HR206" i="4" s="1"/>
  <c r="HQ216" i="4"/>
  <c r="HQ212" i="4"/>
  <c r="HQ210" i="4"/>
  <c r="HR200" i="4"/>
  <c r="HR202" i="4" s="1"/>
  <c r="HI248" i="4"/>
  <c r="HI250" i="4" s="1"/>
  <c r="HK241" i="4"/>
  <c r="HB262" i="4"/>
  <c r="HB261" i="4"/>
  <c r="HP223" i="4" l="1"/>
  <c r="CF234" i="4"/>
  <c r="BZ254" i="4"/>
  <c r="HJ246" i="4"/>
  <c r="BQ265" i="4"/>
  <c r="HK242" i="4"/>
  <c r="HL238" i="4" s="1"/>
  <c r="HL239" i="4" s="1"/>
  <c r="BQ261" i="4"/>
  <c r="BQ266" i="4" s="1"/>
  <c r="HA267" i="4"/>
  <c r="BQ257" i="4" s="1"/>
  <c r="CC244" i="4"/>
  <c r="HO230" i="4"/>
  <c r="HQ213" i="4"/>
  <c r="HQ218" i="4" s="1"/>
  <c r="CG233" i="4"/>
  <c r="HO228" i="4"/>
  <c r="HP224" i="4" s="1"/>
  <c r="HP225" i="4" s="1"/>
  <c r="HP227" i="4" s="1"/>
  <c r="HP230" i="4" s="1"/>
  <c r="HN232" i="4"/>
  <c r="CD235" i="4"/>
  <c r="CC240" i="4"/>
  <c r="CC245" i="4" s="1"/>
  <c r="HM235" i="4"/>
  <c r="CC236" i="4" s="1"/>
  <c r="HO229" i="4"/>
  <c r="HB263" i="4"/>
  <c r="HH255" i="4"/>
  <c r="BX255" i="4"/>
  <c r="HR217" i="4"/>
  <c r="HR204" i="4"/>
  <c r="HR208" i="4"/>
  <c r="HR203" i="4"/>
  <c r="HS199" i="4" s="1"/>
  <c r="HC262" i="4"/>
  <c r="HC261" i="4"/>
  <c r="HC260" i="4"/>
  <c r="HD256" i="4" s="1"/>
  <c r="HI253" i="4"/>
  <c r="HI258" i="4"/>
  <c r="HI252" i="4"/>
  <c r="HK249" i="4"/>
  <c r="HK243" i="4"/>
  <c r="HK244" i="4"/>
  <c r="HI251" i="4"/>
  <c r="HJ247" i="4" s="1"/>
  <c r="HP229" i="4" l="1"/>
  <c r="BQ267" i="4"/>
  <c r="BQ262" i="4"/>
  <c r="HQ219" i="4"/>
  <c r="HR215" i="4" s="1"/>
  <c r="HR216" i="4" s="1"/>
  <c r="HO231" i="4"/>
  <c r="HP231" i="4"/>
  <c r="HM236" i="4"/>
  <c r="CC246" i="4"/>
  <c r="HK245" i="4"/>
  <c r="HN234" i="4"/>
  <c r="CD239" i="4" s="1"/>
  <c r="HN233" i="4"/>
  <c r="CC241" i="4"/>
  <c r="HB264" i="4"/>
  <c r="BR256" i="4"/>
  <c r="HC263" i="4"/>
  <c r="HP228" i="4"/>
  <c r="HQ224" i="4" s="1"/>
  <c r="HQ225" i="4" s="1"/>
  <c r="HI254" i="4"/>
  <c r="HQ220" i="4"/>
  <c r="HQ226" i="4"/>
  <c r="HQ221" i="4"/>
  <c r="HS200" i="4"/>
  <c r="HS202" i="4" s="1"/>
  <c r="HR212" i="4"/>
  <c r="HR210" i="4"/>
  <c r="HR209" i="4"/>
  <c r="HS205" i="4" s="1"/>
  <c r="HL241" i="4"/>
  <c r="HD257" i="4"/>
  <c r="HJ248" i="4"/>
  <c r="HJ250" i="4" s="1"/>
  <c r="HB265" i="4" l="1"/>
  <c r="HB266" i="4"/>
  <c r="BR260" i="4" s="1"/>
  <c r="HI255" i="4"/>
  <c r="BY255" i="4"/>
  <c r="CD240" i="4"/>
  <c r="CD245" i="4" s="1"/>
  <c r="HN235" i="4"/>
  <c r="CD236" i="4" s="1"/>
  <c r="HP232" i="4"/>
  <c r="CF235" i="4"/>
  <c r="HR213" i="4"/>
  <c r="HR218" i="4" s="1"/>
  <c r="CH233" i="4"/>
  <c r="CD244" i="4"/>
  <c r="HO232" i="4"/>
  <c r="CE235" i="4"/>
  <c r="HQ222" i="4"/>
  <c r="HC264" i="4"/>
  <c r="BS256" i="4"/>
  <c r="CA254" i="4"/>
  <c r="HK246" i="4"/>
  <c r="HS206" i="4"/>
  <c r="HJ251" i="4"/>
  <c r="HK247" i="4" s="1"/>
  <c r="HS203" i="4"/>
  <c r="HT199" i="4" s="1"/>
  <c r="HS208" i="4"/>
  <c r="HS217" i="4"/>
  <c r="HS204" i="4"/>
  <c r="HL244" i="4"/>
  <c r="HL243" i="4"/>
  <c r="HL249" i="4"/>
  <c r="HD259" i="4"/>
  <c r="HJ253" i="4"/>
  <c r="HJ258" i="4"/>
  <c r="HJ252" i="4"/>
  <c r="HL242" i="4"/>
  <c r="HM238" i="4" s="1"/>
  <c r="HO234" i="4" l="1"/>
  <c r="CE239" i="4" s="1"/>
  <c r="HO233" i="4"/>
  <c r="HP233" i="4"/>
  <c r="HP234" i="4"/>
  <c r="CF239" i="4" s="1"/>
  <c r="HJ254" i="4"/>
  <c r="CD246" i="4"/>
  <c r="HN236" i="4"/>
  <c r="CD241" i="4"/>
  <c r="HC265" i="4"/>
  <c r="HC266" i="4"/>
  <c r="BS260" i="4" s="1"/>
  <c r="BR265" i="4"/>
  <c r="HD260" i="4"/>
  <c r="HE256" i="4" s="1"/>
  <c r="HE257" i="4" s="1"/>
  <c r="HE259" i="4" s="1"/>
  <c r="HL245" i="4"/>
  <c r="HR220" i="4"/>
  <c r="HQ223" i="4"/>
  <c r="HQ227" i="4" s="1"/>
  <c r="CG234" i="4"/>
  <c r="BR261" i="4"/>
  <c r="BR266" i="4" s="1"/>
  <c r="HB267" i="4"/>
  <c r="BR257" i="4" s="1"/>
  <c r="HR219" i="4"/>
  <c r="HS215" i="4" s="1"/>
  <c r="HS216" i="4" s="1"/>
  <c r="HK248" i="4"/>
  <c r="HK250" i="4" s="1"/>
  <c r="HR226" i="4"/>
  <c r="HR221" i="4"/>
  <c r="HS209" i="4"/>
  <c r="HT205" i="4" s="1"/>
  <c r="HT206" i="4" s="1"/>
  <c r="HT200" i="4"/>
  <c r="HT202" i="4" s="1"/>
  <c r="HS210" i="4"/>
  <c r="HS212" i="4"/>
  <c r="HM239" i="4"/>
  <c r="HM241" i="4" s="1"/>
  <c r="HD262" i="4"/>
  <c r="HD261" i="4"/>
  <c r="HE260" i="4" l="1"/>
  <c r="HF256" i="4" s="1"/>
  <c r="HQ230" i="4"/>
  <c r="BR262" i="4"/>
  <c r="HR222" i="4"/>
  <c r="HM242" i="4"/>
  <c r="HN238" i="4" s="1"/>
  <c r="HN239" i="4" s="1"/>
  <c r="HN241" i="4" s="1"/>
  <c r="BS265" i="4"/>
  <c r="BS267" i="4" s="1"/>
  <c r="HJ255" i="4"/>
  <c r="BZ255" i="4"/>
  <c r="CF244" i="4"/>
  <c r="HQ229" i="4"/>
  <c r="BS261" i="4"/>
  <c r="BS266" i="4" s="1"/>
  <c r="HC267" i="4"/>
  <c r="BS257" i="4" s="1"/>
  <c r="HS213" i="4"/>
  <c r="HS218" i="4" s="1"/>
  <c r="CI233" i="4"/>
  <c r="HQ228" i="4"/>
  <c r="HR224" i="4" s="1"/>
  <c r="HR225" i="4" s="1"/>
  <c r="CF240" i="4"/>
  <c r="CF245" i="4" s="1"/>
  <c r="HP235" i="4"/>
  <c r="CF236" i="4" s="1"/>
  <c r="BR267" i="4"/>
  <c r="CB254" i="4"/>
  <c r="HL246" i="4"/>
  <c r="CE240" i="4"/>
  <c r="CE245" i="4" s="1"/>
  <c r="HO235" i="4"/>
  <c r="CE236" i="4" s="1"/>
  <c r="HD263" i="4"/>
  <c r="CE244" i="4"/>
  <c r="HK258" i="4"/>
  <c r="HK252" i="4"/>
  <c r="HK251" i="4"/>
  <c r="HL247" i="4" s="1"/>
  <c r="HL248" i="4" s="1"/>
  <c r="HK253" i="4"/>
  <c r="HT203" i="4"/>
  <c r="HU199" i="4" s="1"/>
  <c r="HT204" i="4"/>
  <c r="HT217" i="4"/>
  <c r="HT208" i="4"/>
  <c r="HF257" i="4"/>
  <c r="HF259" i="4" s="1"/>
  <c r="HM249" i="4"/>
  <c r="HM243" i="4"/>
  <c r="HM244" i="4"/>
  <c r="HE262" i="4"/>
  <c r="HE261" i="4"/>
  <c r="HL250" i="4" l="1"/>
  <c r="CF246" i="4"/>
  <c r="HP236" i="4"/>
  <c r="CF241" i="4"/>
  <c r="HR223" i="4"/>
  <c r="HR227" i="4" s="1"/>
  <c r="HR230" i="4" s="1"/>
  <c r="CH234" i="4"/>
  <c r="HE263" i="4"/>
  <c r="HQ231" i="4"/>
  <c r="HL251" i="4"/>
  <c r="HM247" i="4" s="1"/>
  <c r="HM248" i="4" s="1"/>
  <c r="HO236" i="4"/>
  <c r="CE246" i="4"/>
  <c r="BS262" i="4"/>
  <c r="HD264" i="4"/>
  <c r="BT256" i="4"/>
  <c r="CE241" i="4"/>
  <c r="HK254" i="4"/>
  <c r="HS221" i="4"/>
  <c r="HM245" i="4"/>
  <c r="HS219" i="4"/>
  <c r="HT215" i="4" s="1"/>
  <c r="HT216" i="4" s="1"/>
  <c r="HS220" i="4"/>
  <c r="HS226" i="4"/>
  <c r="HL258" i="4"/>
  <c r="HL253" i="4"/>
  <c r="HL252" i="4"/>
  <c r="HN242" i="4"/>
  <c r="HO238" i="4" s="1"/>
  <c r="HO239" i="4" s="1"/>
  <c r="HO241" i="4" s="1"/>
  <c r="HT212" i="4"/>
  <c r="HT210" i="4"/>
  <c r="HU200" i="4"/>
  <c r="HU202" i="4" s="1"/>
  <c r="HT209" i="4"/>
  <c r="HU205" i="4" s="1"/>
  <c r="HF262" i="4"/>
  <c r="HF261" i="4"/>
  <c r="HF260" i="4"/>
  <c r="HG256" i="4" s="1"/>
  <c r="HN249" i="4"/>
  <c r="HN244" i="4"/>
  <c r="HN243" i="4"/>
  <c r="HR231" i="4" l="1"/>
  <c r="HT213" i="4"/>
  <c r="CJ233" i="4"/>
  <c r="HK255" i="4"/>
  <c r="CA255" i="4"/>
  <c r="HE264" i="4"/>
  <c r="BU256" i="4"/>
  <c r="HN245" i="4"/>
  <c r="HD265" i="4"/>
  <c r="HD266" i="4"/>
  <c r="BT260" i="4" s="1"/>
  <c r="HF263" i="4"/>
  <c r="CC254" i="4"/>
  <c r="HM246" i="4"/>
  <c r="HM250" i="4" s="1"/>
  <c r="HM252" i="4" s="1"/>
  <c r="HQ232" i="4"/>
  <c r="CG235" i="4"/>
  <c r="HR228" i="4"/>
  <c r="HS224" i="4" s="1"/>
  <c r="HR229" i="4"/>
  <c r="HL254" i="4"/>
  <c r="HS222" i="4"/>
  <c r="HT218" i="4"/>
  <c r="HU203" i="4"/>
  <c r="HV199" i="4" s="1"/>
  <c r="HV200" i="4" s="1"/>
  <c r="HV202" i="4" s="1"/>
  <c r="HU206" i="4"/>
  <c r="HU208" i="4"/>
  <c r="HU204" i="4"/>
  <c r="HU217" i="4"/>
  <c r="HO244" i="4"/>
  <c r="HO243" i="4"/>
  <c r="HO249" i="4"/>
  <c r="HO242" i="4"/>
  <c r="HP238" i="4" s="1"/>
  <c r="HG257" i="4"/>
  <c r="HG259" i="4" s="1"/>
  <c r="HM251" i="4" l="1"/>
  <c r="HN247" i="4" s="1"/>
  <c r="HN248" i="4" s="1"/>
  <c r="HM253" i="4"/>
  <c r="HS225" i="4"/>
  <c r="BT265" i="4"/>
  <c r="BT261" i="4"/>
  <c r="BT266" i="4" s="1"/>
  <c r="HD267" i="4"/>
  <c r="BT257" i="4" s="1"/>
  <c r="HQ234" i="4"/>
  <c r="CG239" i="4" s="1"/>
  <c r="HQ233" i="4"/>
  <c r="HF264" i="4"/>
  <c r="BV256" i="4"/>
  <c r="HS223" i="4"/>
  <c r="CI234" i="4"/>
  <c r="HM258" i="4"/>
  <c r="CD254" i="4"/>
  <c r="HN246" i="4"/>
  <c r="HM254" i="4"/>
  <c r="HO245" i="4"/>
  <c r="HT219" i="4"/>
  <c r="HU215" i="4" s="1"/>
  <c r="HU216" i="4" s="1"/>
  <c r="HL255" i="4"/>
  <c r="CB255" i="4"/>
  <c r="HE265" i="4"/>
  <c r="HE266" i="4"/>
  <c r="BU260" i="4" s="1"/>
  <c r="HR232" i="4"/>
  <c r="CH235" i="4"/>
  <c r="HT221" i="4"/>
  <c r="HT220" i="4"/>
  <c r="HT226" i="4"/>
  <c r="HU209" i="4"/>
  <c r="HV205" i="4" s="1"/>
  <c r="HV206" i="4" s="1"/>
  <c r="HV208" i="4"/>
  <c r="HV204" i="4"/>
  <c r="HV217" i="4"/>
  <c r="HU210" i="4"/>
  <c r="HU212" i="4"/>
  <c r="HV203" i="4"/>
  <c r="HW199" i="4" s="1"/>
  <c r="HG262" i="4"/>
  <c r="HG261" i="4"/>
  <c r="HG260" i="4"/>
  <c r="HH256" i="4" s="1"/>
  <c r="HP239" i="4"/>
  <c r="HS227" i="4" l="1"/>
  <c r="HS228" i="4" s="1"/>
  <c r="HT224" i="4" s="1"/>
  <c r="HN250" i="4"/>
  <c r="HN251" i="4" s="1"/>
  <c r="HO247" i="4" s="1"/>
  <c r="BU265" i="4"/>
  <c r="BU267" i="4" s="1"/>
  <c r="CE254" i="4"/>
  <c r="HO246" i="4"/>
  <c r="HR233" i="4"/>
  <c r="CH240" i="4" s="1"/>
  <c r="CH245" i="4" s="1"/>
  <c r="HR234" i="4"/>
  <c r="BU261" i="4"/>
  <c r="BU266" i="4" s="1"/>
  <c r="HE267" i="4"/>
  <c r="BU257" i="4" s="1"/>
  <c r="BT267" i="4"/>
  <c r="HU213" i="4"/>
  <c r="HU218" i="4" s="1"/>
  <c r="CK233" i="4"/>
  <c r="HM255" i="4"/>
  <c r="CC255" i="4"/>
  <c r="BT262" i="4"/>
  <c r="HF265" i="4"/>
  <c r="HF266" i="4"/>
  <c r="BV260" i="4" s="1"/>
  <c r="HQ235" i="4"/>
  <c r="CG236" i="4" s="1"/>
  <c r="CG240" i="4"/>
  <c r="CG245" i="4" s="1"/>
  <c r="HG263" i="4"/>
  <c r="HN252" i="4"/>
  <c r="HT222" i="4"/>
  <c r="CG244" i="4"/>
  <c r="HW200" i="4"/>
  <c r="HW202" i="4" s="1"/>
  <c r="HV210" i="4"/>
  <c r="HV212" i="4"/>
  <c r="HP241" i="4"/>
  <c r="HV209" i="4"/>
  <c r="HW205" i="4" s="1"/>
  <c r="HO248" i="4"/>
  <c r="HH257" i="4"/>
  <c r="HH259" i="4" s="1"/>
  <c r="HS230" i="4" l="1"/>
  <c r="HS229" i="4"/>
  <c r="HN258" i="4"/>
  <c r="HN253" i="4"/>
  <c r="HN254" i="4" s="1"/>
  <c r="BU262" i="4"/>
  <c r="CG241" i="4"/>
  <c r="HU221" i="4"/>
  <c r="HT223" i="4"/>
  <c r="CJ234" i="4"/>
  <c r="BV265" i="4"/>
  <c r="HR235" i="4"/>
  <c r="CH236" i="4" s="1"/>
  <c r="CH239" i="4"/>
  <c r="HS231" i="4"/>
  <c r="HG264" i="4"/>
  <c r="BW256" i="4"/>
  <c r="HV213" i="4"/>
  <c r="CL233" i="4"/>
  <c r="BV261" i="4"/>
  <c r="BV266" i="4" s="1"/>
  <c r="HF267" i="4"/>
  <c r="BV257" i="4" s="1"/>
  <c r="HP242" i="4"/>
  <c r="HQ238" i="4" s="1"/>
  <c r="HQ239" i="4" s="1"/>
  <c r="HQ236" i="4"/>
  <c r="CG246" i="4"/>
  <c r="HT225" i="4"/>
  <c r="HU220" i="4"/>
  <c r="HU219" i="4"/>
  <c r="HV215" i="4" s="1"/>
  <c r="HV216" i="4" s="1"/>
  <c r="HU226" i="4"/>
  <c r="HW208" i="4"/>
  <c r="HW204" i="4"/>
  <c r="HW217" i="4"/>
  <c r="HW203" i="4"/>
  <c r="HX199" i="4" s="1"/>
  <c r="HP243" i="4"/>
  <c r="HW206" i="4"/>
  <c r="HP249" i="4"/>
  <c r="HP244" i="4"/>
  <c r="HH262" i="4"/>
  <c r="HH261" i="4"/>
  <c r="HH260" i="4"/>
  <c r="HI256" i="4" s="1"/>
  <c r="HO250" i="4"/>
  <c r="HT227" i="4" l="1"/>
  <c r="HV218" i="4"/>
  <c r="HH263" i="4"/>
  <c r="HG266" i="4"/>
  <c r="BW260" i="4" s="1"/>
  <c r="HG265" i="4"/>
  <c r="HO251" i="4"/>
  <c r="HP247" i="4" s="1"/>
  <c r="HP248" i="4" s="1"/>
  <c r="HN255" i="4"/>
  <c r="CD255" i="4"/>
  <c r="HP245" i="4"/>
  <c r="HQ241" i="4"/>
  <c r="HS232" i="4"/>
  <c r="CI235" i="4"/>
  <c r="CH241" i="4"/>
  <c r="CH244" i="4"/>
  <c r="HT230" i="4"/>
  <c r="HT229" i="4"/>
  <c r="HT228" i="4"/>
  <c r="HU224" i="4" s="1"/>
  <c r="HU225" i="4" s="1"/>
  <c r="BV267" i="4"/>
  <c r="BV262" i="4"/>
  <c r="HU222" i="4"/>
  <c r="HW209" i="4"/>
  <c r="HX205" i="4" s="1"/>
  <c r="HX206" i="4" s="1"/>
  <c r="HX200" i="4"/>
  <c r="HX202" i="4" s="1"/>
  <c r="HV219" i="4"/>
  <c r="HW215" i="4" s="1"/>
  <c r="HV221" i="4"/>
  <c r="HV226" i="4"/>
  <c r="HV220" i="4"/>
  <c r="HW210" i="4"/>
  <c r="HW212" i="4"/>
  <c r="HI257" i="4"/>
  <c r="HI259" i="4" s="1"/>
  <c r="HO253" i="4"/>
  <c r="HO258" i="4"/>
  <c r="HO252" i="4"/>
  <c r="HS234" i="4" l="1"/>
  <c r="CI239" i="4" s="1"/>
  <c r="HS233" i="4"/>
  <c r="HQ244" i="4"/>
  <c r="HQ249" i="4"/>
  <c r="HQ243" i="4"/>
  <c r="HQ242" i="4"/>
  <c r="HR238" i="4" s="1"/>
  <c r="HR239" i="4" s="1"/>
  <c r="BW261" i="4"/>
  <c r="BW266" i="4" s="1"/>
  <c r="HG267" i="4"/>
  <c r="BW257" i="4" s="1"/>
  <c r="HW213" i="4"/>
  <c r="CM233" i="4"/>
  <c r="BW265" i="4"/>
  <c r="HO254" i="4"/>
  <c r="HV222" i="4"/>
  <c r="CF254" i="4"/>
  <c r="HP246" i="4"/>
  <c r="HP250" i="4" s="1"/>
  <c r="HU223" i="4"/>
  <c r="HU227" i="4" s="1"/>
  <c r="CK234" i="4"/>
  <c r="HT231" i="4"/>
  <c r="HH264" i="4"/>
  <c r="BX256" i="4"/>
  <c r="CH246" i="4"/>
  <c r="HR236" i="4"/>
  <c r="HX203" i="4"/>
  <c r="HY199" i="4" s="1"/>
  <c r="HX204" i="4"/>
  <c r="HX217" i="4"/>
  <c r="HX208" i="4"/>
  <c r="HW216" i="4"/>
  <c r="HI262" i="4"/>
  <c r="HI261" i="4"/>
  <c r="HI260" i="4"/>
  <c r="HJ256" i="4" s="1"/>
  <c r="HW218" i="4" l="1"/>
  <c r="HW226" i="4" s="1"/>
  <c r="BW267" i="4"/>
  <c r="BW262" i="4"/>
  <c r="HU230" i="4"/>
  <c r="HU229" i="4"/>
  <c r="HU228" i="4"/>
  <c r="HV224" i="4" s="1"/>
  <c r="HI263" i="4"/>
  <c r="HO255" i="4"/>
  <c r="CE255" i="4"/>
  <c r="HQ245" i="4"/>
  <c r="HS235" i="4"/>
  <c r="CI236" i="4" s="1"/>
  <c r="CI240" i="4"/>
  <c r="CI245" i="4" s="1"/>
  <c r="HH265" i="4"/>
  <c r="HH266" i="4"/>
  <c r="BX260" i="4" s="1"/>
  <c r="CI241" i="4"/>
  <c r="CI244" i="4"/>
  <c r="HP251" i="4"/>
  <c r="HQ247" i="4" s="1"/>
  <c r="HQ248" i="4" s="1"/>
  <c r="HV223" i="4"/>
  <c r="CL234" i="4"/>
  <c r="HT232" i="4"/>
  <c r="CJ235" i="4"/>
  <c r="HR241" i="4"/>
  <c r="HP252" i="4"/>
  <c r="HP258" i="4"/>
  <c r="HX210" i="4"/>
  <c r="HX212" i="4"/>
  <c r="HY200" i="4"/>
  <c r="HY202" i="4" s="1"/>
  <c r="HP253" i="4"/>
  <c r="HX209" i="4"/>
  <c r="HY205" i="4" s="1"/>
  <c r="HJ257" i="4"/>
  <c r="HJ259" i="4" s="1"/>
  <c r="HW219" i="4" l="1"/>
  <c r="HX215" i="4" s="1"/>
  <c r="HX216" i="4" s="1"/>
  <c r="HW221" i="4"/>
  <c r="HW220" i="4"/>
  <c r="HT233" i="4"/>
  <c r="HT234" i="4"/>
  <c r="CJ239" i="4" s="1"/>
  <c r="BX265" i="4"/>
  <c r="HP254" i="4"/>
  <c r="BX261" i="4"/>
  <c r="BX266" i="4" s="1"/>
  <c r="HH267" i="4"/>
  <c r="BX257" i="4" s="1"/>
  <c r="HI264" i="4"/>
  <c r="BY256" i="4"/>
  <c r="HV225" i="4"/>
  <c r="HV227" i="4" s="1"/>
  <c r="HW222" i="4"/>
  <c r="HU231" i="4"/>
  <c r="HX213" i="4"/>
  <c r="HX218" i="4" s="1"/>
  <c r="CN233" i="4"/>
  <c r="HR249" i="4"/>
  <c r="HR243" i="4"/>
  <c r="HR244" i="4"/>
  <c r="HR242" i="4"/>
  <c r="HS238" i="4" s="1"/>
  <c r="HS239" i="4" s="1"/>
  <c r="CI246" i="4"/>
  <c r="HS236" i="4"/>
  <c r="CG254" i="4"/>
  <c r="HQ246" i="4"/>
  <c r="HQ250" i="4" s="1"/>
  <c r="HY206" i="4"/>
  <c r="HY203" i="4"/>
  <c r="HZ199" i="4" s="1"/>
  <c r="HY208" i="4"/>
  <c r="HY217" i="4"/>
  <c r="HY204" i="4"/>
  <c r="HJ262" i="4"/>
  <c r="HJ261" i="4"/>
  <c r="HJ260" i="4"/>
  <c r="HK256" i="4" s="1"/>
  <c r="HS241" i="4" l="1"/>
  <c r="HS244" i="4" s="1"/>
  <c r="HS245" i="4" s="1"/>
  <c r="CI254" i="4" s="1"/>
  <c r="HQ258" i="4"/>
  <c r="HQ252" i="4"/>
  <c r="HQ251" i="4"/>
  <c r="HR247" i="4" s="1"/>
  <c r="HR248" i="4" s="1"/>
  <c r="HQ253" i="4"/>
  <c r="HV228" i="4"/>
  <c r="HW224" i="4" s="1"/>
  <c r="HV229" i="4"/>
  <c r="HV230" i="4"/>
  <c r="HW223" i="4"/>
  <c r="CM234" i="4"/>
  <c r="HP255" i="4"/>
  <c r="CF255" i="4"/>
  <c r="BX267" i="4"/>
  <c r="BX262" i="4"/>
  <c r="HI265" i="4"/>
  <c r="HI266" i="4"/>
  <c r="BY260" i="4" s="1"/>
  <c r="CJ244" i="4"/>
  <c r="HJ263" i="4"/>
  <c r="HS243" i="4"/>
  <c r="HR245" i="4"/>
  <c r="HU232" i="4"/>
  <c r="CK235" i="4"/>
  <c r="HT235" i="4"/>
  <c r="CJ236" i="4" s="1"/>
  <c r="CJ240" i="4"/>
  <c r="CJ245" i="4" s="1"/>
  <c r="HY209" i="4"/>
  <c r="HZ205" i="4" s="1"/>
  <c r="HZ206" i="4" s="1"/>
  <c r="HX221" i="4"/>
  <c r="HX226" i="4"/>
  <c r="HX219" i="4"/>
  <c r="HY215" i="4" s="1"/>
  <c r="HX220" i="4"/>
  <c r="HY210" i="4"/>
  <c r="HY212" i="4"/>
  <c r="HZ200" i="4"/>
  <c r="HZ202" i="4" s="1"/>
  <c r="HK257" i="4"/>
  <c r="HK259" i="4" s="1"/>
  <c r="HS249" i="4" l="1"/>
  <c r="HS242" i="4"/>
  <c r="HT238" i="4" s="1"/>
  <c r="HT239" i="4" s="1"/>
  <c r="CJ241" i="4"/>
  <c r="HU233" i="4"/>
  <c r="CK240" i="4" s="1"/>
  <c r="CK245" i="4" s="1"/>
  <c r="HU234" i="4"/>
  <c r="HK260" i="4"/>
  <c r="HL256" i="4" s="1"/>
  <c r="HL257" i="4" s="1"/>
  <c r="HL259" i="4" s="1"/>
  <c r="HW225" i="4"/>
  <c r="HW227" i="4" s="1"/>
  <c r="CH254" i="4"/>
  <c r="HR246" i="4"/>
  <c r="HR250" i="4" s="1"/>
  <c r="HT236" i="4"/>
  <c r="CJ246" i="4"/>
  <c r="HQ254" i="4"/>
  <c r="BY265" i="4"/>
  <c r="BY261" i="4"/>
  <c r="BY266" i="4" s="1"/>
  <c r="HI267" i="4"/>
  <c r="BY257" i="4" s="1"/>
  <c r="HJ264" i="4"/>
  <c r="BZ256" i="4"/>
  <c r="HV231" i="4"/>
  <c r="HX222" i="4"/>
  <c r="HY213" i="4"/>
  <c r="CO233" i="4"/>
  <c r="HS246" i="4"/>
  <c r="HY216" i="4"/>
  <c r="HY218" i="4" s="1"/>
  <c r="HZ203" i="4"/>
  <c r="IA199" i="4" s="1"/>
  <c r="HZ217" i="4"/>
  <c r="HZ208" i="4"/>
  <c r="HZ204" i="4"/>
  <c r="HK262" i="4"/>
  <c r="HK261" i="4"/>
  <c r="HT241" i="4" l="1"/>
  <c r="HT242" i="4" s="1"/>
  <c r="HU238" i="4" s="1"/>
  <c r="HU239" i="4" s="1"/>
  <c r="HW228" i="4"/>
  <c r="HX224" i="4" s="1"/>
  <c r="HX225" i="4" s="1"/>
  <c r="BY267" i="4"/>
  <c r="BY262" i="4"/>
  <c r="HV232" i="4"/>
  <c r="CL235" i="4"/>
  <c r="HW229" i="4"/>
  <c r="HW230" i="4"/>
  <c r="HJ266" i="4"/>
  <c r="BZ260" i="4" s="1"/>
  <c r="HJ265" i="4"/>
  <c r="HQ255" i="4"/>
  <c r="CG255" i="4"/>
  <c r="HR252" i="4"/>
  <c r="HR253" i="4"/>
  <c r="HU235" i="4"/>
  <c r="CK236" i="4" s="1"/>
  <c r="CK239" i="4"/>
  <c r="HX223" i="4"/>
  <c r="CN234" i="4"/>
  <c r="HK263" i="4"/>
  <c r="HR258" i="4"/>
  <c r="HR251" i="4"/>
  <c r="HS247" i="4" s="1"/>
  <c r="HS248" i="4" s="1"/>
  <c r="HS250" i="4" s="1"/>
  <c r="HY221" i="4"/>
  <c r="HY226" i="4"/>
  <c r="HY220" i="4"/>
  <c r="IA200" i="4"/>
  <c r="IA202" i="4" s="1"/>
  <c r="HZ212" i="4"/>
  <c r="HZ210" i="4"/>
  <c r="HZ209" i="4"/>
  <c r="IA205" i="4" s="1"/>
  <c r="IA206" i="4" s="1"/>
  <c r="HY219" i="4"/>
  <c r="HZ215" i="4" s="1"/>
  <c r="HL262" i="4"/>
  <c r="HL261" i="4"/>
  <c r="HL260" i="4"/>
  <c r="HM256" i="4" s="1"/>
  <c r="HT244" i="4" l="1"/>
  <c r="HT245" i="4" s="1"/>
  <c r="HT249" i="4"/>
  <c r="HT243" i="4"/>
  <c r="HX227" i="4"/>
  <c r="HX230" i="4" s="1"/>
  <c r="HR254" i="4"/>
  <c r="HW231" i="4"/>
  <c r="HK264" i="4"/>
  <c r="CA256" i="4"/>
  <c r="HY222" i="4"/>
  <c r="BZ261" i="4"/>
  <c r="BZ266" i="4" s="1"/>
  <c r="HJ267" i="4"/>
  <c r="BZ257" i="4" s="1"/>
  <c r="HV234" i="4"/>
  <c r="CL239" i="4" s="1"/>
  <c r="HV233" i="4"/>
  <c r="CK241" i="4"/>
  <c r="CK244" i="4"/>
  <c r="BZ265" i="4"/>
  <c r="CJ254" i="4"/>
  <c r="HT246" i="4"/>
  <c r="HZ213" i="4"/>
  <c r="CP233" i="4"/>
  <c r="HL263" i="4"/>
  <c r="HZ216" i="4"/>
  <c r="IA217" i="4"/>
  <c r="IA204" i="4"/>
  <c r="IA208" i="4"/>
  <c r="IA203" i="4"/>
  <c r="IB199" i="4" s="1"/>
  <c r="HS253" i="4"/>
  <c r="HS258" i="4"/>
  <c r="HS252" i="4"/>
  <c r="HS251" i="4"/>
  <c r="HT247" i="4" s="1"/>
  <c r="HM257" i="4"/>
  <c r="HM259" i="4" s="1"/>
  <c r="HZ218" i="4" l="1"/>
  <c r="HZ219" i="4" s="1"/>
  <c r="IA215" i="4" s="1"/>
  <c r="IA216" i="4" s="1"/>
  <c r="BZ262" i="4"/>
  <c r="HX228" i="4"/>
  <c r="HY224" i="4" s="1"/>
  <c r="HY225" i="4" s="1"/>
  <c r="HX229" i="4"/>
  <c r="BZ267" i="4"/>
  <c r="HV235" i="4"/>
  <c r="CL236" i="4" s="1"/>
  <c r="CL240" i="4"/>
  <c r="CL245" i="4" s="1"/>
  <c r="CL244" i="4"/>
  <c r="HW232" i="4"/>
  <c r="CM235" i="4"/>
  <c r="HR255" i="4"/>
  <c r="CH255" i="4"/>
  <c r="CK246" i="4"/>
  <c r="HU236" i="4"/>
  <c r="HU241" i="4" s="1"/>
  <c r="HY223" i="4"/>
  <c r="CO234" i="4"/>
  <c r="HL264" i="4"/>
  <c r="CB256" i="4"/>
  <c r="HS254" i="4"/>
  <c r="HK266" i="4"/>
  <c r="CA260" i="4" s="1"/>
  <c r="HK265" i="4"/>
  <c r="HX231" i="4"/>
  <c r="IA209" i="4"/>
  <c r="IB205" i="4" s="1"/>
  <c r="IA212" i="4"/>
  <c r="IA210" i="4"/>
  <c r="IB200" i="4"/>
  <c r="IB202" i="4" s="1"/>
  <c r="HM262" i="4"/>
  <c r="HM261" i="4"/>
  <c r="HM260" i="4"/>
  <c r="HN256" i="4" s="1"/>
  <c r="HT248" i="4"/>
  <c r="HT250" i="4" s="1"/>
  <c r="HY227" i="4" l="1"/>
  <c r="HY230" i="4" s="1"/>
  <c r="HZ220" i="4"/>
  <c r="HZ226" i="4"/>
  <c r="HZ221" i="4"/>
  <c r="HZ222" i="4" s="1"/>
  <c r="CL241" i="4"/>
  <c r="CA261" i="4"/>
  <c r="CA266" i="4" s="1"/>
  <c r="HK267" i="4"/>
  <c r="CA257" i="4" s="1"/>
  <c r="HU242" i="4"/>
  <c r="HV238" i="4" s="1"/>
  <c r="HU244" i="4"/>
  <c r="HU243" i="4"/>
  <c r="HU249" i="4"/>
  <c r="IA213" i="4"/>
  <c r="IA218" i="4" s="1"/>
  <c r="CQ233" i="4"/>
  <c r="HS255" i="4"/>
  <c r="CI255" i="4"/>
  <c r="HW234" i="4"/>
  <c r="CM239" i="4" s="1"/>
  <c r="HW233" i="4"/>
  <c r="CL246" i="4"/>
  <c r="HV236" i="4"/>
  <c r="CA265" i="4"/>
  <c r="HL266" i="4"/>
  <c r="CB260" i="4" s="1"/>
  <c r="HL265" i="4"/>
  <c r="HM263" i="4"/>
  <c r="HX232" i="4"/>
  <c r="CN235" i="4"/>
  <c r="IB217" i="4"/>
  <c r="IB208" i="4"/>
  <c r="IB204" i="4"/>
  <c r="IB203" i="4"/>
  <c r="IC199" i="4" s="1"/>
  <c r="IB206" i="4"/>
  <c r="HT253" i="4"/>
  <c r="HT258" i="4"/>
  <c r="HT252" i="4"/>
  <c r="HN257" i="4"/>
  <c r="HN259" i="4" s="1"/>
  <c r="HT251" i="4"/>
  <c r="HU247" i="4" s="1"/>
  <c r="HY228" i="4" l="1"/>
  <c r="HZ224" i="4" s="1"/>
  <c r="HZ225" i="4" s="1"/>
  <c r="HY229" i="4"/>
  <c r="CA267" i="4"/>
  <c r="CA262" i="4"/>
  <c r="IA221" i="4"/>
  <c r="HZ223" i="4"/>
  <c r="CP234" i="4"/>
  <c r="HM264" i="4"/>
  <c r="CC256" i="4"/>
  <c r="HW235" i="4"/>
  <c r="CM236" i="4" s="1"/>
  <c r="CM240" i="4"/>
  <c r="CM245" i="4" s="1"/>
  <c r="HU245" i="4"/>
  <c r="HX233" i="4"/>
  <c r="HX234" i="4"/>
  <c r="CN239" i="4" s="1"/>
  <c r="HT254" i="4"/>
  <c r="CB261" i="4"/>
  <c r="CB266" i="4" s="1"/>
  <c r="HL267" i="4"/>
  <c r="CB257" i="4" s="1"/>
  <c r="CM244" i="4"/>
  <c r="IB209" i="4"/>
  <c r="IC205" i="4" s="1"/>
  <c r="IC206" i="4" s="1"/>
  <c r="CB265" i="4"/>
  <c r="HV239" i="4"/>
  <c r="HV241" i="4" s="1"/>
  <c r="HV242" i="4" s="1"/>
  <c r="HW238" i="4" s="1"/>
  <c r="HW239" i="4" s="1"/>
  <c r="HY231" i="4"/>
  <c r="IA219" i="4"/>
  <c r="IB215" i="4" s="1"/>
  <c r="IB216" i="4" s="1"/>
  <c r="IA220" i="4"/>
  <c r="IA226" i="4"/>
  <c r="IB212" i="4"/>
  <c r="IB210" i="4"/>
  <c r="IC200" i="4"/>
  <c r="IC202" i="4" s="1"/>
  <c r="HN262" i="4"/>
  <c r="HN261" i="4"/>
  <c r="HN260" i="4"/>
  <c r="HO256" i="4" s="1"/>
  <c r="HU248" i="4"/>
  <c r="HZ227" i="4" l="1"/>
  <c r="HZ230" i="4" s="1"/>
  <c r="CM241" i="4"/>
  <c r="CB267" i="4"/>
  <c r="CB262" i="4"/>
  <c r="HT255" i="4"/>
  <c r="CJ255" i="4"/>
  <c r="HM266" i="4"/>
  <c r="CC260" i="4" s="1"/>
  <c r="HM265" i="4"/>
  <c r="CN244" i="4"/>
  <c r="HX235" i="4"/>
  <c r="CN236" i="4" s="1"/>
  <c r="CN240" i="4"/>
  <c r="CN245" i="4" s="1"/>
  <c r="IB213" i="4"/>
  <c r="IB218" i="4" s="1"/>
  <c r="CR233" i="4"/>
  <c r="CM246" i="4"/>
  <c r="HW236" i="4"/>
  <c r="CK254" i="4"/>
  <c r="HU246" i="4"/>
  <c r="HU250" i="4" s="1"/>
  <c r="HN263" i="4"/>
  <c r="HY232" i="4"/>
  <c r="CO235" i="4"/>
  <c r="HV249" i="4"/>
  <c r="HV244" i="4"/>
  <c r="HV243" i="4"/>
  <c r="IA222" i="4"/>
  <c r="IC203" i="4"/>
  <c r="ID199" i="4" s="1"/>
  <c r="IC217" i="4"/>
  <c r="IC204" i="4"/>
  <c r="IC208" i="4"/>
  <c r="HO257" i="4"/>
  <c r="HZ228" i="4" l="1"/>
  <c r="IA224" i="4" s="1"/>
  <c r="IA225" i="4" s="1"/>
  <c r="HZ229" i="4"/>
  <c r="HU253" i="4"/>
  <c r="HU258" i="4"/>
  <c r="HU252" i="4"/>
  <c r="HU251" i="4"/>
  <c r="HV247" i="4" s="1"/>
  <c r="HV248" i="4" s="1"/>
  <c r="CC261" i="4"/>
  <c r="CC266" i="4" s="1"/>
  <c r="HM267" i="4"/>
  <c r="CC257" i="4" s="1"/>
  <c r="CC265" i="4"/>
  <c r="IA223" i="4"/>
  <c r="CQ234" i="4"/>
  <c r="HV245" i="4"/>
  <c r="HN264" i="4"/>
  <c r="CD256" i="4"/>
  <c r="HY233" i="4"/>
  <c r="HY234" i="4"/>
  <c r="CO239" i="4" s="1"/>
  <c r="CN246" i="4"/>
  <c r="HX236" i="4"/>
  <c r="HZ231" i="4"/>
  <c r="HW241" i="4"/>
  <c r="CN241" i="4"/>
  <c r="IC209" i="4"/>
  <c r="ID205" i="4" s="1"/>
  <c r="ID206" i="4" s="1"/>
  <c r="IC210" i="4"/>
  <c r="IC212" i="4"/>
  <c r="ID200" i="4"/>
  <c r="ID202" i="4" s="1"/>
  <c r="IB221" i="4"/>
  <c r="IB226" i="4"/>
  <c r="IB220" i="4"/>
  <c r="IB219" i="4"/>
  <c r="IC215" i="4" s="1"/>
  <c r="HO259" i="4"/>
  <c r="IA227" i="4" l="1"/>
  <c r="IA229" i="4" s="1"/>
  <c r="IC213" i="4"/>
  <c r="CS233" i="4"/>
  <c r="HZ232" i="4"/>
  <c r="CP235" i="4"/>
  <c r="CL254" i="4"/>
  <c r="HV246" i="4"/>
  <c r="HV250" i="4" s="1"/>
  <c r="CO244" i="4"/>
  <c r="IB222" i="4"/>
  <c r="HW249" i="4"/>
  <c r="HW244" i="4"/>
  <c r="HW243" i="4"/>
  <c r="HW242" i="4"/>
  <c r="HX238" i="4" s="1"/>
  <c r="CO240" i="4"/>
  <c r="CO245" i="4" s="1"/>
  <c r="HY235" i="4"/>
  <c r="CO236" i="4" s="1"/>
  <c r="HO260" i="4"/>
  <c r="HP256" i="4" s="1"/>
  <c r="HP257" i="4" s="1"/>
  <c r="CC267" i="4"/>
  <c r="HU254" i="4"/>
  <c r="HN265" i="4"/>
  <c r="HN266" i="4"/>
  <c r="CD260" i="4" s="1"/>
  <c r="CC262" i="4"/>
  <c r="ID204" i="4"/>
  <c r="ID208" i="4"/>
  <c r="ID217" i="4"/>
  <c r="ID203" i="4"/>
  <c r="IE199" i="4" s="1"/>
  <c r="IC216" i="4"/>
  <c r="IC218" i="4" s="1"/>
  <c r="HO262" i="4"/>
  <c r="HO261" i="4"/>
  <c r="IA228" i="4" l="1"/>
  <c r="IB224" i="4" s="1"/>
  <c r="IB225" i="4" s="1"/>
  <c r="IA230" i="4"/>
  <c r="HZ233" i="4"/>
  <c r="HZ234" i="4"/>
  <c r="CP239" i="4" s="1"/>
  <c r="ID209" i="4"/>
  <c r="IE205" i="4" s="1"/>
  <c r="IE206" i="4" s="1"/>
  <c r="HO263" i="4"/>
  <c r="CD265" i="4"/>
  <c r="IB223" i="4"/>
  <c r="IB227" i="4" s="1"/>
  <c r="CR234" i="4"/>
  <c r="HV251" i="4"/>
  <c r="HW247" i="4" s="1"/>
  <c r="HW248" i="4" s="1"/>
  <c r="HX239" i="4"/>
  <c r="HX241" i="4" s="1"/>
  <c r="CO241" i="4"/>
  <c r="IA231" i="4"/>
  <c r="CD261" i="4"/>
  <c r="CD266" i="4" s="1"/>
  <c r="HN267" i="4"/>
  <c r="CD257" i="4" s="1"/>
  <c r="CO246" i="4"/>
  <c r="HY236" i="4"/>
  <c r="HU255" i="4"/>
  <c r="CK255" i="4"/>
  <c r="HW245" i="4"/>
  <c r="HV258" i="4"/>
  <c r="HV253" i="4"/>
  <c r="HV252" i="4"/>
  <c r="ID212" i="4"/>
  <c r="ID210" i="4"/>
  <c r="IC221" i="4"/>
  <c r="IC226" i="4"/>
  <c r="IC220" i="4"/>
  <c r="IE200" i="4"/>
  <c r="IE202" i="4" s="1"/>
  <c r="IC219" i="4"/>
  <c r="ID215" i="4" s="1"/>
  <c r="HP259" i="4"/>
  <c r="CD267" i="4" l="1"/>
  <c r="CD262" i="4"/>
  <c r="IB230" i="4"/>
  <c r="IA232" i="4"/>
  <c r="CQ235" i="4"/>
  <c r="ID213" i="4"/>
  <c r="CT233" i="4"/>
  <c r="HX242" i="4"/>
  <c r="HY238" i="4" s="1"/>
  <c r="HX244" i="4"/>
  <c r="HX243" i="4"/>
  <c r="HX249" i="4"/>
  <c r="IB229" i="4"/>
  <c r="HO264" i="4"/>
  <c r="CE256" i="4"/>
  <c r="CM254" i="4"/>
  <c r="HW246" i="4"/>
  <c r="HW250" i="4" s="1"/>
  <c r="IB228" i="4"/>
  <c r="IC224" i="4" s="1"/>
  <c r="IC225" i="4" s="1"/>
  <c r="CP244" i="4"/>
  <c r="IC222" i="4"/>
  <c r="HV254" i="4"/>
  <c r="CP240" i="4"/>
  <c r="CP245" i="4" s="1"/>
  <c r="HZ235" i="4"/>
  <c r="CP236" i="4" s="1"/>
  <c r="IE208" i="4"/>
  <c r="IE204" i="4"/>
  <c r="IE217" i="4"/>
  <c r="IE203" i="4"/>
  <c r="IF199" i="4" s="1"/>
  <c r="ID216" i="4"/>
  <c r="HP262" i="4"/>
  <c r="HP261" i="4"/>
  <c r="HP260" i="4"/>
  <c r="HQ256" i="4" s="1"/>
  <c r="ID218" i="4" l="1"/>
  <c r="ID219" i="4" s="1"/>
  <c r="IE215" i="4" s="1"/>
  <c r="HY239" i="4"/>
  <c r="HY241" i="4" s="1"/>
  <c r="HY242" i="4" s="1"/>
  <c r="HZ238" i="4" s="1"/>
  <c r="HO265" i="4"/>
  <c r="HO266" i="4"/>
  <c r="CE260" i="4" s="1"/>
  <c r="HZ236" i="4"/>
  <c r="CP246" i="4"/>
  <c r="CP241" i="4"/>
  <c r="IC223" i="4"/>
  <c r="IC227" i="4" s="1"/>
  <c r="IC230" i="4" s="1"/>
  <c r="CS234" i="4"/>
  <c r="IA233" i="4"/>
  <c r="IA234" i="4"/>
  <c r="CQ239" i="4" s="1"/>
  <c r="HP263" i="4"/>
  <c r="HW252" i="4"/>
  <c r="HW258" i="4"/>
  <c r="HW251" i="4"/>
  <c r="HX247" i="4" s="1"/>
  <c r="HX248" i="4" s="1"/>
  <c r="HW253" i="4"/>
  <c r="HV255" i="4"/>
  <c r="CL255" i="4"/>
  <c r="HX245" i="4"/>
  <c r="IB231" i="4"/>
  <c r="IF200" i="4"/>
  <c r="IF202" i="4" s="1"/>
  <c r="IE209" i="4"/>
  <c r="IF205" i="4" s="1"/>
  <c r="IE212" i="4"/>
  <c r="IE210" i="4"/>
  <c r="HQ257" i="4"/>
  <c r="HQ259" i="4" s="1"/>
  <c r="ID220" i="4" l="1"/>
  <c r="ID226" i="4"/>
  <c r="ID221" i="4"/>
  <c r="ID222" i="4" s="1"/>
  <c r="IC229" i="4"/>
  <c r="HZ239" i="4"/>
  <c r="HZ241" i="4" s="1"/>
  <c r="HZ242" i="4" s="1"/>
  <c r="IA238" i="4" s="1"/>
  <c r="IA239" i="4" s="1"/>
  <c r="CN254" i="4"/>
  <c r="HX246" i="4"/>
  <c r="HX250" i="4" s="1"/>
  <c r="IE213" i="4"/>
  <c r="CU233" i="4"/>
  <c r="HP264" i="4"/>
  <c r="CF256" i="4"/>
  <c r="IC231" i="4"/>
  <c r="CQ244" i="4"/>
  <c r="HW254" i="4"/>
  <c r="CQ240" i="4"/>
  <c r="CQ245" i="4" s="1"/>
  <c r="IA235" i="4"/>
  <c r="CQ236" i="4" s="1"/>
  <c r="CE265" i="4"/>
  <c r="CE261" i="4"/>
  <c r="CE266" i="4" s="1"/>
  <c r="HO267" i="4"/>
  <c r="CE257" i="4" s="1"/>
  <c r="IB232" i="4"/>
  <c r="CR235" i="4"/>
  <c r="IC228" i="4"/>
  <c r="ID224" i="4" s="1"/>
  <c r="ID225" i="4" s="1"/>
  <c r="HQ260" i="4"/>
  <c r="HR256" i="4" s="1"/>
  <c r="HR257" i="4" s="1"/>
  <c r="HR259" i="4" s="1"/>
  <c r="HY249" i="4"/>
  <c r="HY244" i="4"/>
  <c r="HY243" i="4"/>
  <c r="IF204" i="4"/>
  <c r="IF217" i="4"/>
  <c r="IF208" i="4"/>
  <c r="IF206" i="4"/>
  <c r="IE216" i="4"/>
  <c r="IF203" i="4"/>
  <c r="IG199" i="4" s="1"/>
  <c r="HQ262" i="4"/>
  <c r="HQ261" i="4"/>
  <c r="IE218" i="4" l="1"/>
  <c r="IE221" i="4" s="1"/>
  <c r="HW255" i="4"/>
  <c r="CM255" i="4"/>
  <c r="ID223" i="4"/>
  <c r="ID227" i="4" s="1"/>
  <c r="CT234" i="4"/>
  <c r="HX253" i="4"/>
  <c r="HX258" i="4"/>
  <c r="HX252" i="4"/>
  <c r="HX251" i="4"/>
  <c r="HY247" i="4" s="1"/>
  <c r="HY248" i="4" s="1"/>
  <c r="IA236" i="4"/>
  <c r="IA241" i="4" s="1"/>
  <c r="CQ246" i="4"/>
  <c r="HQ263" i="4"/>
  <c r="CE267" i="4"/>
  <c r="CQ241" i="4"/>
  <c r="CE262" i="4"/>
  <c r="IC232" i="4"/>
  <c r="CS235" i="4"/>
  <c r="IF209" i="4"/>
  <c r="IG205" i="4" s="1"/>
  <c r="IG206" i="4" s="1"/>
  <c r="HY245" i="4"/>
  <c r="IB234" i="4"/>
  <c r="CR239" i="4" s="1"/>
  <c r="IB233" i="4"/>
  <c r="HP265" i="4"/>
  <c r="HP266" i="4"/>
  <c r="CF260" i="4" s="1"/>
  <c r="HZ249" i="4"/>
  <c r="HZ244" i="4"/>
  <c r="HZ243" i="4"/>
  <c r="IF212" i="4"/>
  <c r="IF210" i="4"/>
  <c r="IG200" i="4"/>
  <c r="IG202" i="4" s="1"/>
  <c r="HR262" i="4"/>
  <c r="HR261" i="4"/>
  <c r="HR260" i="4"/>
  <c r="HS256" i="4" s="1"/>
  <c r="IE219" i="4" l="1"/>
  <c r="IF215" i="4" s="1"/>
  <c r="IE220" i="4"/>
  <c r="IE226" i="4"/>
  <c r="IA242" i="4"/>
  <c r="IB238" i="4" s="1"/>
  <c r="IB239" i="4" s="1"/>
  <c r="IA243" i="4"/>
  <c r="IA244" i="4"/>
  <c r="IA249" i="4"/>
  <c r="HX254" i="4"/>
  <c r="CF262" i="4"/>
  <c r="CF265" i="4"/>
  <c r="HQ264" i="4"/>
  <c r="CG256" i="4"/>
  <c r="CF261" i="4"/>
  <c r="CF266" i="4" s="1"/>
  <c r="HP267" i="4"/>
  <c r="CF257" i="4" s="1"/>
  <c r="IE222" i="4"/>
  <c r="IB235" i="4"/>
  <c r="CR236" i="4" s="1"/>
  <c r="CR240" i="4"/>
  <c r="CR245" i="4" s="1"/>
  <c r="IC233" i="4"/>
  <c r="IC234" i="4"/>
  <c r="CS239" i="4" s="1"/>
  <c r="CR244" i="4"/>
  <c r="ID230" i="4"/>
  <c r="ID228" i="4"/>
  <c r="IE224" i="4" s="1"/>
  <c r="IE225" i="4" s="1"/>
  <c r="ID229" i="4"/>
  <c r="IG203" i="4"/>
  <c r="IH199" i="4" s="1"/>
  <c r="IH200" i="4" s="1"/>
  <c r="IH202" i="4" s="1"/>
  <c r="IF213" i="4"/>
  <c r="CV233" i="4"/>
  <c r="HZ245" i="4"/>
  <c r="CO254" i="4"/>
  <c r="HY246" i="4"/>
  <c r="HY250" i="4" s="1"/>
  <c r="HR263" i="4"/>
  <c r="IF216" i="4"/>
  <c r="IG217" i="4"/>
  <c r="IG204" i="4"/>
  <c r="IG208" i="4"/>
  <c r="HS257" i="4"/>
  <c r="IF218" i="4" l="1"/>
  <c r="IF226" i="4" s="1"/>
  <c r="CR241" i="4"/>
  <c r="HY251" i="4"/>
  <c r="HZ247" i="4" s="1"/>
  <c r="HZ248" i="4" s="1"/>
  <c r="HY253" i="4"/>
  <c r="HY252" i="4"/>
  <c r="HY258" i="4"/>
  <c r="ID231" i="4"/>
  <c r="IE223" i="4"/>
  <c r="IE227" i="4" s="1"/>
  <c r="CU234" i="4"/>
  <c r="HX255" i="4"/>
  <c r="CN255" i="4"/>
  <c r="CR246" i="4"/>
  <c r="IB236" i="4"/>
  <c r="IB241" i="4" s="1"/>
  <c r="IA245" i="4"/>
  <c r="IH203" i="4"/>
  <c r="II199" i="4" s="1"/>
  <c r="II200" i="4" s="1"/>
  <c r="II202" i="4" s="1"/>
  <c r="HR264" i="4"/>
  <c r="CH256" i="4"/>
  <c r="CS244" i="4"/>
  <c r="CS240" i="4"/>
  <c r="CS245" i="4" s="1"/>
  <c r="IC235" i="4"/>
  <c r="CS236" i="4" s="1"/>
  <c r="HQ266" i="4"/>
  <c r="CG260" i="4" s="1"/>
  <c r="HQ265" i="4"/>
  <c r="CP254" i="4"/>
  <c r="HZ246" i="4"/>
  <c r="CF267" i="4"/>
  <c r="IH204" i="4"/>
  <c r="IH208" i="4"/>
  <c r="IH217" i="4"/>
  <c r="IG210" i="4"/>
  <c r="IG212" i="4"/>
  <c r="IG209" i="4"/>
  <c r="IH205" i="4" s="1"/>
  <c r="HS259" i="4"/>
  <c r="IF221" i="4" l="1"/>
  <c r="IF222" i="4" s="1"/>
  <c r="IF220" i="4"/>
  <c r="IF219" i="4"/>
  <c r="IG215" i="4" s="1"/>
  <c r="IG216" i="4" s="1"/>
  <c r="CS241" i="4"/>
  <c r="IG213" i="4"/>
  <c r="CW233" i="4"/>
  <c r="ID232" i="4"/>
  <c r="CT235" i="4"/>
  <c r="II203" i="4"/>
  <c r="IJ199" i="4" s="1"/>
  <c r="IJ200" i="4" s="1"/>
  <c r="HR265" i="4"/>
  <c r="HR266" i="4"/>
  <c r="CH260" i="4" s="1"/>
  <c r="IE230" i="4"/>
  <c r="CG261" i="4"/>
  <c r="CG266" i="4" s="1"/>
  <c r="HQ267" i="4"/>
  <c r="CG257" i="4" s="1"/>
  <c r="IE228" i="4"/>
  <c r="IF224" i="4" s="1"/>
  <c r="IF225" i="4" s="1"/>
  <c r="CG262" i="4"/>
  <c r="CG265" i="4"/>
  <c r="CG267" i="4" s="1"/>
  <c r="HS260" i="4"/>
  <c r="HT256" i="4" s="1"/>
  <c r="HT257" i="4" s="1"/>
  <c r="HT259" i="4" s="1"/>
  <c r="IE229" i="4"/>
  <c r="HY254" i="4"/>
  <c r="CQ254" i="4"/>
  <c r="IA246" i="4"/>
  <c r="HZ250" i="4"/>
  <c r="IB242" i="4"/>
  <c r="IC238" i="4" s="1"/>
  <c r="IB249" i="4"/>
  <c r="IB243" i="4"/>
  <c r="IB244" i="4"/>
  <c r="IC236" i="4"/>
  <c r="CS246" i="4"/>
  <c r="IG218" i="4"/>
  <c r="IH206" i="4"/>
  <c r="IH209" i="4" s="1"/>
  <c r="II205" i="4" s="1"/>
  <c r="II217" i="4"/>
  <c r="II208" i="4"/>
  <c r="II204" i="4"/>
  <c r="IH210" i="4"/>
  <c r="IH212" i="4"/>
  <c r="HS262" i="4"/>
  <c r="HS261" i="4"/>
  <c r="IB245" i="4" l="1"/>
  <c r="CH261" i="4"/>
  <c r="CH266" i="4" s="1"/>
  <c r="HR267" i="4"/>
  <c r="CH257" i="4" s="1"/>
  <c r="HY255" i="4"/>
  <c r="CO255" i="4"/>
  <c r="IG219" i="4"/>
  <c r="IH215" i="4" s="1"/>
  <c r="IH216" i="4" s="1"/>
  <c r="IH218" i="4" s="1"/>
  <c r="ID234" i="4"/>
  <c r="CT239" i="4" s="1"/>
  <c r="ID233" i="4"/>
  <c r="IC239" i="4"/>
  <c r="IC241" i="4" s="1"/>
  <c r="IH213" i="4"/>
  <c r="CX233" i="4"/>
  <c r="HS263" i="4"/>
  <c r="IF223" i="4"/>
  <c r="IF227" i="4" s="1"/>
  <c r="IF229" i="4" s="1"/>
  <c r="CV234" i="4"/>
  <c r="IE231" i="4"/>
  <c r="HZ251" i="4"/>
  <c r="IA247" i="4" s="1"/>
  <c r="IA248" i="4" s="1"/>
  <c r="HZ253" i="4"/>
  <c r="HZ258" i="4"/>
  <c r="HZ252" i="4"/>
  <c r="CH262" i="4"/>
  <c r="CH265" i="4"/>
  <c r="CH267" i="4" s="1"/>
  <c r="IG220" i="4"/>
  <c r="IG226" i="4"/>
  <c r="IG221" i="4"/>
  <c r="IJ202" i="4"/>
  <c r="II206" i="4"/>
  <c r="II209" i="4" s="1"/>
  <c r="IJ205" i="4" s="1"/>
  <c r="IJ206" i="4" s="1"/>
  <c r="II212" i="4"/>
  <c r="II210" i="4"/>
  <c r="HT262" i="4"/>
  <c r="HT261" i="4"/>
  <c r="HT260" i="4"/>
  <c r="HU256" i="4" s="1"/>
  <c r="IF228" i="4" l="1"/>
  <c r="IG224" i="4" s="1"/>
  <c r="IG225" i="4" s="1"/>
  <c r="IA250" i="4"/>
  <c r="IA253" i="4" s="1"/>
  <c r="HS264" i="4"/>
  <c r="CI256" i="4"/>
  <c r="II213" i="4"/>
  <c r="CY233" i="4"/>
  <c r="IC242" i="4"/>
  <c r="ID238" i="4" s="1"/>
  <c r="ID239" i="4" s="1"/>
  <c r="IC243" i="4"/>
  <c r="IC244" i="4"/>
  <c r="IC249" i="4"/>
  <c r="IJ203" i="4"/>
  <c r="IK199" i="4" s="1"/>
  <c r="IK200" i="4" s="1"/>
  <c r="IK202" i="4" s="1"/>
  <c r="ID235" i="4"/>
  <c r="CT236" i="4" s="1"/>
  <c r="CT240" i="4"/>
  <c r="CT245" i="4" s="1"/>
  <c r="HZ254" i="4"/>
  <c r="IF230" i="4"/>
  <c r="CT244" i="4"/>
  <c r="CR254" i="4"/>
  <c r="IB246" i="4"/>
  <c r="IE232" i="4"/>
  <c r="CU235" i="4"/>
  <c r="HT263" i="4"/>
  <c r="IG222" i="4"/>
  <c r="IJ204" i="4"/>
  <c r="IJ217" i="4"/>
  <c r="IJ208" i="4"/>
  <c r="IH219" i="4"/>
  <c r="II215" i="4" s="1"/>
  <c r="IH221" i="4"/>
  <c r="IH220" i="4"/>
  <c r="IH226" i="4"/>
  <c r="IA258" i="4"/>
  <c r="HU257" i="4"/>
  <c r="IA251" i="4"/>
  <c r="IB247" i="4" s="1"/>
  <c r="IA252" i="4" l="1"/>
  <c r="IJ209" i="4"/>
  <c r="IK205" i="4" s="1"/>
  <c r="IK206" i="4" s="1"/>
  <c r="IE234" i="4"/>
  <c r="CU239" i="4" s="1"/>
  <c r="IE233" i="4"/>
  <c r="HZ255" i="4"/>
  <c r="CP255" i="4"/>
  <c r="ID236" i="4"/>
  <c r="ID241" i="4" s="1"/>
  <c r="CT246" i="4"/>
  <c r="IG223" i="4"/>
  <c r="IG227" i="4" s="1"/>
  <c r="IG229" i="4" s="1"/>
  <c r="CW234" i="4"/>
  <c r="CT241" i="4"/>
  <c r="IK217" i="4"/>
  <c r="IA254" i="4"/>
  <c r="IK204" i="4"/>
  <c r="HT264" i="4"/>
  <c r="CJ256" i="4"/>
  <c r="IF231" i="4"/>
  <c r="IC245" i="4"/>
  <c r="HS265" i="4"/>
  <c r="HS266" i="4"/>
  <c r="CI260" i="4" s="1"/>
  <c r="IK208" i="4"/>
  <c r="IK209" i="4" s="1"/>
  <c r="IL205" i="4" s="1"/>
  <c r="IH222" i="4"/>
  <c r="IK203" i="4"/>
  <c r="IL199" i="4" s="1"/>
  <c r="IL200" i="4" s="1"/>
  <c r="IL202" i="4" s="1"/>
  <c r="IJ212" i="4"/>
  <c r="IJ210" i="4"/>
  <c r="II216" i="4"/>
  <c r="II218" i="4" s="1"/>
  <c r="IB248" i="4"/>
  <c r="IB250" i="4" s="1"/>
  <c r="HU259" i="4"/>
  <c r="IK210" i="4" l="1"/>
  <c r="IK212" i="4"/>
  <c r="IK213" i="4" s="1"/>
  <c r="IJ213" i="4"/>
  <c r="CZ233" i="4"/>
  <c r="IA255" i="4"/>
  <c r="CQ255" i="4"/>
  <c r="ID242" i="4"/>
  <c r="IE238" i="4" s="1"/>
  <c r="ID244" i="4"/>
  <c r="ID249" i="4"/>
  <c r="ID243" i="4"/>
  <c r="HU260" i="4"/>
  <c r="HV256" i="4" s="1"/>
  <c r="HV257" i="4" s="1"/>
  <c r="HV259" i="4" s="1"/>
  <c r="IH223" i="4"/>
  <c r="CX234" i="4"/>
  <c r="IF232" i="4"/>
  <c r="CV235" i="4"/>
  <c r="IE235" i="4"/>
  <c r="CU236" i="4" s="1"/>
  <c r="CU240" i="4"/>
  <c r="CU245" i="4" s="1"/>
  <c r="HT266" i="4"/>
  <c r="CJ260" i="4" s="1"/>
  <c r="HT265" i="4"/>
  <c r="CU244" i="4"/>
  <c r="IG228" i="4"/>
  <c r="IH224" i="4" s="1"/>
  <c r="IH225" i="4" s="1"/>
  <c r="IH227" i="4" s="1"/>
  <c r="CI265" i="4"/>
  <c r="CS254" i="4"/>
  <c r="IC246" i="4"/>
  <c r="IG230" i="4"/>
  <c r="CI261" i="4"/>
  <c r="CI266" i="4" s="1"/>
  <c r="HS267" i="4"/>
  <c r="CI257" i="4" s="1"/>
  <c r="II219" i="4"/>
  <c r="IJ215" i="4" s="1"/>
  <c r="II226" i="4"/>
  <c r="II221" i="4"/>
  <c r="II220" i="4"/>
  <c r="IL206" i="4"/>
  <c r="IL203" i="4"/>
  <c r="IM199" i="4" s="1"/>
  <c r="IL217" i="4"/>
  <c r="IL204" i="4"/>
  <c r="IL208" i="4"/>
  <c r="IB253" i="4"/>
  <c r="IB258" i="4"/>
  <c r="IB252" i="4"/>
  <c r="IB251" i="4"/>
  <c r="IC247" i="4" s="1"/>
  <c r="HU262" i="4"/>
  <c r="HU261" i="4"/>
  <c r="CI262" i="4" l="1"/>
  <c r="DA233" i="4"/>
  <c r="CI267" i="4"/>
  <c r="HV260" i="4"/>
  <c r="HW256" i="4" s="1"/>
  <c r="HW257" i="4" s="1"/>
  <c r="IE239" i="4"/>
  <c r="IB254" i="4"/>
  <c r="II222" i="4"/>
  <c r="IE236" i="4"/>
  <c r="CU246" i="4"/>
  <c r="HU263" i="4"/>
  <c r="IG231" i="4"/>
  <c r="CU241" i="4"/>
  <c r="IF234" i="4"/>
  <c r="CV239" i="4" s="1"/>
  <c r="IF233" i="4"/>
  <c r="IL209" i="4"/>
  <c r="IM205" i="4" s="1"/>
  <c r="IM206" i="4" s="1"/>
  <c r="CJ261" i="4"/>
  <c r="CJ266" i="4" s="1"/>
  <c r="HT267" i="4"/>
  <c r="CJ257" i="4" s="1"/>
  <c r="ID245" i="4"/>
  <c r="CJ265" i="4"/>
  <c r="IH230" i="4"/>
  <c r="IH229" i="4"/>
  <c r="IH228" i="4"/>
  <c r="II224" i="4" s="1"/>
  <c r="IM200" i="4"/>
  <c r="IM202" i="4" s="1"/>
  <c r="IL210" i="4"/>
  <c r="IL212" i="4"/>
  <c r="IJ216" i="4"/>
  <c r="IJ218" i="4" s="1"/>
  <c r="IC248" i="4"/>
  <c r="IC250" i="4" s="1"/>
  <c r="HV262" i="4"/>
  <c r="HV261" i="4"/>
  <c r="IE241" i="4" l="1"/>
  <c r="IE244" i="4" s="1"/>
  <c r="CT254" i="4"/>
  <c r="ID246" i="4"/>
  <c r="IG232" i="4"/>
  <c r="CW235" i="4"/>
  <c r="II223" i="4"/>
  <c r="CY234" i="4"/>
  <c r="HU264" i="4"/>
  <c r="CK256" i="4"/>
  <c r="IB255" i="4"/>
  <c r="CR255" i="4"/>
  <c r="IE243" i="4"/>
  <c r="IL213" i="4"/>
  <c r="DB233" i="4"/>
  <c r="CJ267" i="4"/>
  <c r="CV244" i="4"/>
  <c r="IH231" i="4"/>
  <c r="CV240" i="4"/>
  <c r="CV245" i="4" s="1"/>
  <c r="IF235" i="4"/>
  <c r="CV236" i="4" s="1"/>
  <c r="CJ262" i="4"/>
  <c r="HV263" i="4"/>
  <c r="IJ219" i="4"/>
  <c r="IK215" i="4" s="1"/>
  <c r="IK216" i="4" s="1"/>
  <c r="IK218" i="4" s="1"/>
  <c r="IM204" i="4"/>
  <c r="IM208" i="4"/>
  <c r="IM217" i="4"/>
  <c r="IM203" i="4"/>
  <c r="IN199" i="4" s="1"/>
  <c r="II225" i="4"/>
  <c r="IJ221" i="4"/>
  <c r="IJ226" i="4"/>
  <c r="IJ220" i="4"/>
  <c r="HW259" i="4"/>
  <c r="IC253" i="4"/>
  <c r="IC258" i="4"/>
  <c r="IC252" i="4"/>
  <c r="IC251" i="4"/>
  <c r="ID247" i="4" s="1"/>
  <c r="II227" i="4" l="1"/>
  <c r="II229" i="4" s="1"/>
  <c r="IE249" i="4"/>
  <c r="IE242" i="4"/>
  <c r="IF238" i="4" s="1"/>
  <c r="IF239" i="4" s="1"/>
  <c r="CV241" i="4"/>
  <c r="HW262" i="4"/>
  <c r="IE245" i="4"/>
  <c r="IC254" i="4"/>
  <c r="CV246" i="4"/>
  <c r="IF236" i="4"/>
  <c r="IJ222" i="4"/>
  <c r="HV264" i="4"/>
  <c r="CL256" i="4"/>
  <c r="IG234" i="4"/>
  <c r="CW239" i="4" s="1"/>
  <c r="IG233" i="4"/>
  <c r="IH232" i="4"/>
  <c r="CX235" i="4"/>
  <c r="HU265" i="4"/>
  <c r="HU266" i="4"/>
  <c r="CK260" i="4" s="1"/>
  <c r="HW261" i="4"/>
  <c r="IK219" i="4"/>
  <c r="IL215" i="4" s="1"/>
  <c r="IL216" i="4" s="1"/>
  <c r="IL218" i="4" s="1"/>
  <c r="IN200" i="4"/>
  <c r="IN202" i="4" s="1"/>
  <c r="HW260" i="4"/>
  <c r="HX256" i="4" s="1"/>
  <c r="HX257" i="4" s="1"/>
  <c r="HX259" i="4" s="1"/>
  <c r="IK226" i="4"/>
  <c r="IK221" i="4"/>
  <c r="IK220" i="4"/>
  <c r="IM212" i="4"/>
  <c r="IM210" i="4"/>
  <c r="IM209" i="4"/>
  <c r="IN205" i="4" s="1"/>
  <c r="ID248" i="4"/>
  <c r="ID250" i="4" s="1"/>
  <c r="II228" i="4" l="1"/>
  <c r="IJ224" i="4" s="1"/>
  <c r="II230" i="4"/>
  <c r="IF241" i="4"/>
  <c r="IF242" i="4" s="1"/>
  <c r="IG238" i="4" s="1"/>
  <c r="HX261" i="4"/>
  <c r="CK261" i="4"/>
  <c r="CK266" i="4" s="1"/>
  <c r="HU267" i="4"/>
  <c r="CK257" i="4" s="1"/>
  <c r="IL221" i="4"/>
  <c r="HV265" i="4"/>
  <c r="HV266" i="4"/>
  <c r="CL260" i="4" s="1"/>
  <c r="IC255" i="4"/>
  <c r="CS255" i="4"/>
  <c r="CK265" i="4"/>
  <c r="IH233" i="4"/>
  <c r="IH234" i="4"/>
  <c r="CX239" i="4" s="1"/>
  <c r="IJ223" i="4"/>
  <c r="CZ234" i="4"/>
  <c r="CU254" i="4"/>
  <c r="IE246" i="4"/>
  <c r="IK222" i="4"/>
  <c r="II231" i="4"/>
  <c r="CW240" i="4"/>
  <c r="CW245" i="4" s="1"/>
  <c r="IG235" i="4"/>
  <c r="CW236" i="4" s="1"/>
  <c r="ID251" i="4"/>
  <c r="IE247" i="4" s="1"/>
  <c r="IE248" i="4" s="1"/>
  <c r="IM213" i="4"/>
  <c r="DC233" i="4"/>
  <c r="CW244" i="4"/>
  <c r="HW263" i="4"/>
  <c r="HX262" i="4"/>
  <c r="IN203" i="4"/>
  <c r="IO199" i="4" s="1"/>
  <c r="IN208" i="4"/>
  <c r="IN217" i="4"/>
  <c r="IN204" i="4"/>
  <c r="IN206" i="4"/>
  <c r="IL220" i="4"/>
  <c r="IJ225" i="4"/>
  <c r="IL219" i="4"/>
  <c r="IM215" i="4" s="1"/>
  <c r="IM216" i="4" s="1"/>
  <c r="HX260" i="4"/>
  <c r="HY256" i="4" s="1"/>
  <c r="HY257" i="4" s="1"/>
  <c r="IL226" i="4"/>
  <c r="ID253" i="4"/>
  <c r="ID258" i="4"/>
  <c r="ID252" i="4"/>
  <c r="IM218" i="4" l="1"/>
  <c r="IM226" i="4" s="1"/>
  <c r="IF243" i="4"/>
  <c r="IF249" i="4"/>
  <c r="IF244" i="4"/>
  <c r="IF245" i="4" s="1"/>
  <c r="IJ227" i="4"/>
  <c r="IJ228" i="4" s="1"/>
  <c r="IK224" i="4" s="1"/>
  <c r="IK225" i="4" s="1"/>
  <c r="IK227" i="4" s="1"/>
  <c r="IN209" i="4"/>
  <c r="IO205" i="4" s="1"/>
  <c r="IO206" i="4" s="1"/>
  <c r="IE250" i="4"/>
  <c r="IE258" i="4" s="1"/>
  <c r="HX263" i="4"/>
  <c r="CL265" i="4"/>
  <c r="IG236" i="4"/>
  <c r="CW246" i="4"/>
  <c r="CX244" i="4"/>
  <c r="CL261" i="4"/>
  <c r="CL266" i="4" s="1"/>
  <c r="HV267" i="4"/>
  <c r="CL257" i="4" s="1"/>
  <c r="HW264" i="4"/>
  <c r="CM256" i="4"/>
  <c r="CW241" i="4"/>
  <c r="II232" i="4"/>
  <c r="CY235" i="4"/>
  <c r="CX240" i="4"/>
  <c r="CX245" i="4" s="1"/>
  <c r="IH235" i="4"/>
  <c r="CX236" i="4" s="1"/>
  <c r="IG239" i="4"/>
  <c r="IG241" i="4" s="1"/>
  <c r="ID254" i="4"/>
  <c r="IL222" i="4"/>
  <c r="IK223" i="4"/>
  <c r="DA234" i="4"/>
  <c r="CK267" i="4"/>
  <c r="CK262" i="4"/>
  <c r="IN212" i="4"/>
  <c r="IN210" i="4"/>
  <c r="IO200" i="4"/>
  <c r="IO202" i="4" s="1"/>
  <c r="IM221" i="4"/>
  <c r="HY259" i="4"/>
  <c r="IM219" i="4" l="1"/>
  <c r="IN215" i="4" s="1"/>
  <c r="IM220" i="4"/>
  <c r="IE252" i="4"/>
  <c r="IJ229" i="4"/>
  <c r="IE253" i="4"/>
  <c r="IE254" i="4" s="1"/>
  <c r="IE251" i="4"/>
  <c r="IF247" i="4" s="1"/>
  <c r="IF248" i="4" s="1"/>
  <c r="IJ230" i="4"/>
  <c r="IJ231" i="4" s="1"/>
  <c r="CL267" i="4"/>
  <c r="IG242" i="4"/>
  <c r="IH238" i="4" s="1"/>
  <c r="HW266" i="4"/>
  <c r="CM260" i="4" s="1"/>
  <c r="HW265" i="4"/>
  <c r="CL262" i="4"/>
  <c r="IG244" i="4"/>
  <c r="IG249" i="4"/>
  <c r="IG243" i="4"/>
  <c r="IH236" i="4"/>
  <c r="CX246" i="4"/>
  <c r="HY260" i="4"/>
  <c r="HZ256" i="4" s="1"/>
  <c r="HZ257" i="4" s="1"/>
  <c r="HZ259" i="4" s="1"/>
  <c r="CX241" i="4"/>
  <c r="HX264" i="4"/>
  <c r="CN256" i="4"/>
  <c r="IM222" i="4"/>
  <c r="IL223" i="4"/>
  <c r="DB234" i="4"/>
  <c r="II233" i="4"/>
  <c r="II234" i="4"/>
  <c r="CY239" i="4" s="1"/>
  <c r="IN213" i="4"/>
  <c r="DD233" i="4"/>
  <c r="CV254" i="4"/>
  <c r="IF246" i="4"/>
  <c r="ID255" i="4"/>
  <c r="CT255" i="4"/>
  <c r="IO208" i="4"/>
  <c r="IO217" i="4"/>
  <c r="IO204" i="4"/>
  <c r="IO203" i="4"/>
  <c r="IP199" i="4" s="1"/>
  <c r="IK228" i="4"/>
  <c r="IL224" i="4" s="1"/>
  <c r="IK229" i="4"/>
  <c r="IK230" i="4"/>
  <c r="IN216" i="4"/>
  <c r="IN218" i="4" s="1"/>
  <c r="HY262" i="4"/>
  <c r="HY261" i="4"/>
  <c r="IF250" i="4" l="1"/>
  <c r="IF253" i="4" s="1"/>
  <c r="HX265" i="4"/>
  <c r="HX266" i="4"/>
  <c r="CN260" i="4" s="1"/>
  <c r="IG245" i="4"/>
  <c r="CY244" i="4"/>
  <c r="CY240" i="4"/>
  <c r="CY245" i="4" s="1"/>
  <c r="II235" i="4"/>
  <c r="CY236" i="4" s="1"/>
  <c r="IJ232" i="4"/>
  <c r="CZ235" i="4"/>
  <c r="HW267" i="4"/>
  <c r="CM257" i="4" s="1"/>
  <c r="CM261" i="4"/>
  <c r="CM266" i="4" s="1"/>
  <c r="CM265" i="4"/>
  <c r="HY263" i="4"/>
  <c r="IK231" i="4"/>
  <c r="IE255" i="4"/>
  <c r="CU255" i="4"/>
  <c r="IM223" i="4"/>
  <c r="DC234" i="4"/>
  <c r="IH239" i="4"/>
  <c r="IH241" i="4" s="1"/>
  <c r="IL225" i="4"/>
  <c r="IL227" i="4" s="1"/>
  <c r="IP200" i="4"/>
  <c r="IP202" i="4" s="1"/>
  <c r="IN219" i="4"/>
  <c r="IO215" i="4" s="1"/>
  <c r="IO216" i="4" s="1"/>
  <c r="IO212" i="4"/>
  <c r="IO210" i="4"/>
  <c r="IO209" i="4"/>
  <c r="IP205" i="4" s="1"/>
  <c r="IP206" i="4" s="1"/>
  <c r="HZ262" i="4"/>
  <c r="HZ261" i="4"/>
  <c r="HZ260" i="4"/>
  <c r="IA256" i="4" s="1"/>
  <c r="IN221" i="4"/>
  <c r="IN226" i="4"/>
  <c r="IN220" i="4"/>
  <c r="IF251" i="4" l="1"/>
  <c r="IG247" i="4" s="1"/>
  <c r="IF252" i="4"/>
  <c r="IF258" i="4"/>
  <c r="CY241" i="4"/>
  <c r="CY246" i="4"/>
  <c r="II236" i="4"/>
  <c r="IF254" i="4"/>
  <c r="IK232" i="4"/>
  <c r="DA235" i="4"/>
  <c r="IN222" i="4"/>
  <c r="IH242" i="4"/>
  <c r="II238" i="4" s="1"/>
  <c r="IJ233" i="4"/>
  <c r="IJ234" i="4"/>
  <c r="CZ239" i="4" s="1"/>
  <c r="CW254" i="4"/>
  <c r="IG246" i="4"/>
  <c r="IH243" i="4"/>
  <c r="IH244" i="4"/>
  <c r="IH249" i="4"/>
  <c r="HY264" i="4"/>
  <c r="CO256" i="4"/>
  <c r="CN265" i="4"/>
  <c r="IO213" i="4"/>
  <c r="IO218" i="4" s="1"/>
  <c r="DE233" i="4"/>
  <c r="HZ263" i="4"/>
  <c r="CM267" i="4"/>
  <c r="CN261" i="4"/>
  <c r="CN266" i="4" s="1"/>
  <c r="HX267" i="4"/>
  <c r="CN257" i="4" s="1"/>
  <c r="CM262" i="4"/>
  <c r="IP217" i="4"/>
  <c r="IP208" i="4"/>
  <c r="IP204" i="4"/>
  <c r="IL228" i="4"/>
  <c r="IM224" i="4" s="1"/>
  <c r="IP203" i="4"/>
  <c r="IQ199" i="4" s="1"/>
  <c r="IL230" i="4"/>
  <c r="IL229" i="4"/>
  <c r="IG248" i="4"/>
  <c r="IA257" i="4"/>
  <c r="IA259" i="4" s="1"/>
  <c r="CN267" i="4" l="1"/>
  <c r="CN262" i="4"/>
  <c r="IO219" i="4"/>
  <c r="IP215" i="4" s="1"/>
  <c r="IP216" i="4" s="1"/>
  <c r="IL231" i="4"/>
  <c r="IK234" i="4"/>
  <c r="DA239" i="4" s="1"/>
  <c r="IK233" i="4"/>
  <c r="CZ241" i="4"/>
  <c r="CZ244" i="4"/>
  <c r="IF255" i="4"/>
  <c r="CV255" i="4"/>
  <c r="CZ240" i="4"/>
  <c r="CZ245" i="4" s="1"/>
  <c r="IJ235" i="4"/>
  <c r="CZ236" i="4" s="1"/>
  <c r="HY265" i="4"/>
  <c r="HY266" i="4"/>
  <c r="CO260" i="4" s="1"/>
  <c r="II239" i="4"/>
  <c r="II241" i="4" s="1"/>
  <c r="HZ264" i="4"/>
  <c r="CP256" i="4"/>
  <c r="IH245" i="4"/>
  <c r="IN223" i="4"/>
  <c r="DD234" i="4"/>
  <c r="IO226" i="4"/>
  <c r="IO220" i="4"/>
  <c r="IO221" i="4"/>
  <c r="IQ200" i="4"/>
  <c r="IQ202" i="4" s="1"/>
  <c r="IP209" i="4"/>
  <c r="IQ205" i="4" s="1"/>
  <c r="IQ206" i="4" s="1"/>
  <c r="IP210" i="4"/>
  <c r="IP212" i="4"/>
  <c r="IM225" i="4"/>
  <c r="IM227" i="4" s="1"/>
  <c r="IA262" i="4"/>
  <c r="IA261" i="4"/>
  <c r="IG250" i="4"/>
  <c r="IA260" i="4"/>
  <c r="IB256" i="4" s="1"/>
  <c r="II243" i="4" l="1"/>
  <c r="II244" i="4"/>
  <c r="II249" i="4"/>
  <c r="IJ236" i="4"/>
  <c r="CZ246" i="4"/>
  <c r="IP213" i="4"/>
  <c r="IP218" i="4" s="1"/>
  <c r="DF233" i="4"/>
  <c r="IG251" i="4"/>
  <c r="IH247" i="4" s="1"/>
  <c r="IH248" i="4" s="1"/>
  <c r="IH250" i="4" s="1"/>
  <c r="CO261" i="4"/>
  <c r="CO266" i="4" s="1"/>
  <c r="HY267" i="4"/>
  <c r="CO257" i="4" s="1"/>
  <c r="DA240" i="4"/>
  <c r="DA245" i="4" s="1"/>
  <c r="IK235" i="4"/>
  <c r="DA236" i="4" s="1"/>
  <c r="DA241" i="4"/>
  <c r="DA244" i="4"/>
  <c r="CO265" i="4"/>
  <c r="CX254" i="4"/>
  <c r="IH246" i="4"/>
  <c r="IA263" i="4"/>
  <c r="IO222" i="4"/>
  <c r="IL232" i="4"/>
  <c r="DB235" i="4"/>
  <c r="HZ265" i="4"/>
  <c r="HZ266" i="4"/>
  <c r="CP260" i="4" s="1"/>
  <c r="II242" i="4"/>
  <c r="IJ238" i="4" s="1"/>
  <c r="IQ203" i="4"/>
  <c r="IR199" i="4" s="1"/>
  <c r="IQ204" i="4"/>
  <c r="IQ208" i="4"/>
  <c r="IQ217" i="4"/>
  <c r="IM230" i="4"/>
  <c r="IM229" i="4"/>
  <c r="IM228" i="4"/>
  <c r="IN224" i="4" s="1"/>
  <c r="IB257" i="4"/>
  <c r="IB259" i="4" s="1"/>
  <c r="IG253" i="4"/>
  <c r="IG258" i="4"/>
  <c r="IG252" i="4"/>
  <c r="DA246" i="4" l="1"/>
  <c r="IO223" i="4"/>
  <c r="DE234" i="4"/>
  <c r="CP265" i="4"/>
  <c r="IA264" i="4"/>
  <c r="CQ256" i="4"/>
  <c r="IG254" i="4"/>
  <c r="IP221" i="4"/>
  <c r="CP261" i="4"/>
  <c r="CP266" i="4" s="1"/>
  <c r="HZ267" i="4"/>
  <c r="CP257" i="4" s="1"/>
  <c r="IJ239" i="4"/>
  <c r="IJ241" i="4" s="1"/>
  <c r="IJ242" i="4" s="1"/>
  <c r="IK238" i="4" s="1"/>
  <c r="IP226" i="4"/>
  <c r="IP219" i="4"/>
  <c r="IQ215" i="4" s="1"/>
  <c r="IQ216" i="4" s="1"/>
  <c r="CO267" i="4"/>
  <c r="II245" i="4"/>
  <c r="IM231" i="4"/>
  <c r="IP220" i="4"/>
  <c r="IL233" i="4"/>
  <c r="IL234" i="4"/>
  <c r="DB239" i="4" s="1"/>
  <c r="CO262" i="4"/>
  <c r="IK236" i="4"/>
  <c r="IQ209" i="4"/>
  <c r="IR205" i="4" s="1"/>
  <c r="IQ210" i="4"/>
  <c r="IQ212" i="4"/>
  <c r="IR200" i="4"/>
  <c r="IR202" i="4" s="1"/>
  <c r="IN225" i="4"/>
  <c r="IN227" i="4" s="1"/>
  <c r="IH253" i="4"/>
  <c r="IH258" i="4"/>
  <c r="IH252" i="4"/>
  <c r="IH251" i="4"/>
  <c r="II247" i="4" s="1"/>
  <c r="IB262" i="4"/>
  <c r="IB261" i="4"/>
  <c r="IB260" i="4"/>
  <c r="IC256" i="4" s="1"/>
  <c r="CP267" i="4" l="1"/>
  <c r="CP262" i="4"/>
  <c r="IK239" i="4"/>
  <c r="IK241" i="4" s="1"/>
  <c r="IK242" i="4" s="1"/>
  <c r="IL238" i="4" s="1"/>
  <c r="IH254" i="4"/>
  <c r="IG255" i="4"/>
  <c r="CW255" i="4"/>
  <c r="IM232" i="4"/>
  <c r="DC235" i="4"/>
  <c r="IA266" i="4"/>
  <c r="CQ260" i="4" s="1"/>
  <c r="IA265" i="4"/>
  <c r="IJ244" i="4"/>
  <c r="IJ249" i="4"/>
  <c r="IJ243" i="4"/>
  <c r="IB263" i="4"/>
  <c r="IR203" i="4"/>
  <c r="IS199" i="4" s="1"/>
  <c r="IS200" i="4" s="1"/>
  <c r="IS202" i="4" s="1"/>
  <c r="CY254" i="4"/>
  <c r="II246" i="4"/>
  <c r="IQ213" i="4"/>
  <c r="IQ218" i="4" s="1"/>
  <c r="DG233" i="4"/>
  <c r="DB244" i="4"/>
  <c r="IP222" i="4"/>
  <c r="DB240" i="4"/>
  <c r="DB245" i="4" s="1"/>
  <c r="IL235" i="4"/>
  <c r="DB236" i="4" s="1"/>
  <c r="IN228" i="4"/>
  <c r="IO224" i="4" s="1"/>
  <c r="IR217" i="4"/>
  <c r="IR208" i="4"/>
  <c r="IR204" i="4"/>
  <c r="IN229" i="4"/>
  <c r="IN230" i="4"/>
  <c r="IR206" i="4"/>
  <c r="II248" i="4"/>
  <c r="II250" i="4" s="1"/>
  <c r="IC257" i="4"/>
  <c r="IC259" i="4" s="1"/>
  <c r="IL239" i="4" l="1"/>
  <c r="IS203" i="4"/>
  <c r="IT199" i="4" s="1"/>
  <c r="IT200" i="4" s="1"/>
  <c r="IT202" i="4" s="1"/>
  <c r="IB264" i="4"/>
  <c r="CR256" i="4"/>
  <c r="IM234" i="4"/>
  <c r="DC239" i="4" s="1"/>
  <c r="IM233" i="4"/>
  <c r="IQ226" i="4"/>
  <c r="IQ219" i="4"/>
  <c r="IR215" i="4" s="1"/>
  <c r="IR216" i="4" s="1"/>
  <c r="IJ245" i="4"/>
  <c r="IH255" i="4"/>
  <c r="CX255" i="4"/>
  <c r="IP223" i="4"/>
  <c r="DF234" i="4"/>
  <c r="CQ261" i="4"/>
  <c r="CQ266" i="4" s="1"/>
  <c r="IA267" i="4"/>
  <c r="CQ257" i="4" s="1"/>
  <c r="IQ220" i="4"/>
  <c r="CQ265" i="4"/>
  <c r="IK249" i="4"/>
  <c r="IK243" i="4"/>
  <c r="IK244" i="4"/>
  <c r="IQ221" i="4"/>
  <c r="IL236" i="4"/>
  <c r="DB246" i="4"/>
  <c r="IN231" i="4"/>
  <c r="DB241" i="4"/>
  <c r="IR209" i="4"/>
  <c r="IS205" i="4" s="1"/>
  <c r="IS206" i="4" s="1"/>
  <c r="IR212" i="4"/>
  <c r="IR210" i="4"/>
  <c r="IO225" i="4"/>
  <c r="IO227" i="4" s="1"/>
  <c r="IC260" i="4"/>
  <c r="ID256" i="4" s="1"/>
  <c r="ID257" i="4" s="1"/>
  <c r="ID259" i="4" s="1"/>
  <c r="IS208" i="4"/>
  <c r="IS217" i="4"/>
  <c r="IS204" i="4"/>
  <c r="II253" i="4"/>
  <c r="II258" i="4"/>
  <c r="II252" i="4"/>
  <c r="IC262" i="4"/>
  <c r="IC261" i="4"/>
  <c r="II251" i="4"/>
  <c r="IJ247" i="4" s="1"/>
  <c r="CQ262" i="4" l="1"/>
  <c r="IR213" i="4"/>
  <c r="IR218" i="4" s="1"/>
  <c r="IR219" i="4" s="1"/>
  <c r="IS215" i="4" s="1"/>
  <c r="IS216" i="4" s="1"/>
  <c r="DH233" i="4"/>
  <c r="DC240" i="4"/>
  <c r="DC245" i="4" s="1"/>
  <c r="IM235" i="4"/>
  <c r="DC236" i="4" s="1"/>
  <c r="DC241" i="4"/>
  <c r="DC244" i="4"/>
  <c r="IQ222" i="4"/>
  <c r="IK245" i="4"/>
  <c r="CZ254" i="4"/>
  <c r="IJ246" i="4"/>
  <c r="IB266" i="4"/>
  <c r="CR260" i="4" s="1"/>
  <c r="IB265" i="4"/>
  <c r="IC263" i="4"/>
  <c r="IN232" i="4"/>
  <c r="DD235" i="4"/>
  <c r="II254" i="4"/>
  <c r="CQ267" i="4"/>
  <c r="IL241" i="4"/>
  <c r="IT203" i="4"/>
  <c r="IU199" i="4" s="1"/>
  <c r="IT208" i="4"/>
  <c r="IT204" i="4"/>
  <c r="IT217" i="4"/>
  <c r="IS210" i="4"/>
  <c r="IS212" i="4"/>
  <c r="IO228" i="4"/>
  <c r="IP224" i="4" s="1"/>
  <c r="IS209" i="4"/>
  <c r="IT205" i="4" s="1"/>
  <c r="IO230" i="4"/>
  <c r="IO229" i="4"/>
  <c r="ID262" i="4"/>
  <c r="ID261" i="4"/>
  <c r="ID260" i="4"/>
  <c r="IE256" i="4" s="1"/>
  <c r="IJ248" i="4"/>
  <c r="IR221" i="4" l="1"/>
  <c r="IR222" i="4" s="1"/>
  <c r="IR226" i="4"/>
  <c r="IR220" i="4"/>
  <c r="II255" i="4"/>
  <c r="CY255" i="4"/>
  <c r="CR265" i="4"/>
  <c r="DC246" i="4"/>
  <c r="IM236" i="4"/>
  <c r="IN233" i="4"/>
  <c r="IN234" i="4"/>
  <c r="DD239" i="4" s="1"/>
  <c r="IC264" i="4"/>
  <c r="CS256" i="4"/>
  <c r="DA254" i="4"/>
  <c r="IK246" i="4"/>
  <c r="ID263" i="4"/>
  <c r="IL243" i="4"/>
  <c r="IL249" i="4"/>
  <c r="IL244" i="4"/>
  <c r="IL242" i="4"/>
  <c r="IM238" i="4" s="1"/>
  <c r="IS213" i="4"/>
  <c r="IS218" i="4" s="1"/>
  <c r="DI233" i="4"/>
  <c r="IO231" i="4"/>
  <c r="CR261" i="4"/>
  <c r="CR266" i="4" s="1"/>
  <c r="IB267" i="4"/>
  <c r="CR257" i="4" s="1"/>
  <c r="IQ223" i="4"/>
  <c r="DG234" i="4"/>
  <c r="IU200" i="4"/>
  <c r="IU202" i="4" s="1"/>
  <c r="IT210" i="4"/>
  <c r="IT212" i="4"/>
  <c r="IT206" i="4"/>
  <c r="IT209" i="4" s="1"/>
  <c r="IU205" i="4" s="1"/>
  <c r="IU206" i="4" s="1"/>
  <c r="IP225" i="4"/>
  <c r="IP227" i="4" s="1"/>
  <c r="IJ250" i="4"/>
  <c r="IE257" i="4"/>
  <c r="IE259" i="4" s="1"/>
  <c r="IS221" i="4" l="1"/>
  <c r="IS226" i="4"/>
  <c r="IS220" i="4"/>
  <c r="IS219" i="4"/>
  <c r="IT215" i="4" s="1"/>
  <c r="IT216" i="4" s="1"/>
  <c r="IL245" i="4"/>
  <c r="IC265" i="4"/>
  <c r="IC266" i="4"/>
  <c r="CS260" i="4" s="1"/>
  <c r="CR267" i="4"/>
  <c r="IM239" i="4"/>
  <c r="IM241" i="4" s="1"/>
  <c r="IM242" i="4" s="1"/>
  <c r="IN238" i="4" s="1"/>
  <c r="IT213" i="4"/>
  <c r="DJ233" i="4"/>
  <c r="DD244" i="4"/>
  <c r="CR262" i="4"/>
  <c r="IO232" i="4"/>
  <c r="DE235" i="4"/>
  <c r="DD240" i="4"/>
  <c r="DD245" i="4" s="1"/>
  <c r="IN235" i="4"/>
  <c r="DD236" i="4" s="1"/>
  <c r="IU203" i="4"/>
  <c r="IV199" i="4" s="1"/>
  <c r="IV200" i="4" s="1"/>
  <c r="IV202" i="4" s="1"/>
  <c r="IJ251" i="4"/>
  <c r="IK247" i="4" s="1"/>
  <c r="IK248" i="4" s="1"/>
  <c r="IK250" i="4" s="1"/>
  <c r="ID264" i="4"/>
  <c r="CT256" i="4"/>
  <c r="IR223" i="4"/>
  <c r="DH234" i="4"/>
  <c r="IP230" i="4"/>
  <c r="IP229" i="4"/>
  <c r="IP228" i="4"/>
  <c r="IQ224" i="4" s="1"/>
  <c r="IU217" i="4"/>
  <c r="IU208" i="4"/>
  <c r="IU204" i="4"/>
  <c r="IE262" i="4"/>
  <c r="IE261" i="4"/>
  <c r="IE260" i="4"/>
  <c r="IF256" i="4" s="1"/>
  <c r="IJ253" i="4"/>
  <c r="IJ258" i="4"/>
  <c r="IJ252" i="4"/>
  <c r="IT218" i="4" l="1"/>
  <c r="IT220" i="4" s="1"/>
  <c r="DB254" i="4"/>
  <c r="IL246" i="4"/>
  <c r="IN239" i="4"/>
  <c r="ID265" i="4"/>
  <c r="ID266" i="4"/>
  <c r="CT260" i="4" s="1"/>
  <c r="IM249" i="4"/>
  <c r="IM243" i="4"/>
  <c r="IM244" i="4"/>
  <c r="DD246" i="4"/>
  <c r="IN236" i="4"/>
  <c r="CS265" i="4"/>
  <c r="IS222" i="4"/>
  <c r="IP231" i="4"/>
  <c r="IE263" i="4"/>
  <c r="DD241" i="4"/>
  <c r="CS261" i="4"/>
  <c r="CS266" i="4" s="1"/>
  <c r="IC267" i="4"/>
  <c r="CS257" i="4" s="1"/>
  <c r="IO234" i="4"/>
  <c r="DE239" i="4" s="1"/>
  <c r="IO233" i="4"/>
  <c r="IJ254" i="4"/>
  <c r="IV208" i="4"/>
  <c r="IV217" i="4"/>
  <c r="IV204" i="4"/>
  <c r="IV203" i="4"/>
  <c r="IW199" i="4" s="1"/>
  <c r="IQ225" i="4"/>
  <c r="IQ227" i="4" s="1"/>
  <c r="IU212" i="4"/>
  <c r="IU210" i="4"/>
  <c r="IU209" i="4"/>
  <c r="IV205" i="4" s="1"/>
  <c r="IK253" i="4"/>
  <c r="IK258" i="4"/>
  <c r="IK252" i="4"/>
  <c r="IT221" i="4"/>
  <c r="IT226" i="4"/>
  <c r="IK251" i="4"/>
  <c r="IL247" i="4" s="1"/>
  <c r="IT219" i="4"/>
  <c r="IU215" i="4" s="1"/>
  <c r="IF257" i="4"/>
  <c r="IF259" i="4" s="1"/>
  <c r="IU213" i="4" l="1"/>
  <c r="DK233" i="4"/>
  <c r="IE264" i="4"/>
  <c r="CU256" i="4"/>
  <c r="IJ255" i="4"/>
  <c r="CZ255" i="4"/>
  <c r="CT265" i="4"/>
  <c r="DE240" i="4"/>
  <c r="DE245" i="4" s="1"/>
  <c r="IO235" i="4"/>
  <c r="DE236" i="4" s="1"/>
  <c r="IP232" i="4"/>
  <c r="DF235" i="4"/>
  <c r="CT261" i="4"/>
  <c r="CT266" i="4" s="1"/>
  <c r="ID267" i="4"/>
  <c r="CT257" i="4" s="1"/>
  <c r="DE244" i="4"/>
  <c r="IS223" i="4"/>
  <c r="DI234" i="4"/>
  <c r="IN241" i="4"/>
  <c r="CS267" i="4"/>
  <c r="IM245" i="4"/>
  <c r="CS262" i="4"/>
  <c r="IK254" i="4"/>
  <c r="IT222" i="4"/>
  <c r="IQ228" i="4"/>
  <c r="IR224" i="4" s="1"/>
  <c r="IQ229" i="4"/>
  <c r="IQ230" i="4"/>
  <c r="IW200" i="4"/>
  <c r="IW202" i="4" s="1"/>
  <c r="IV206" i="4"/>
  <c r="IV209" i="4" s="1"/>
  <c r="IW205" i="4" s="1"/>
  <c r="IW206" i="4" s="1"/>
  <c r="IV212" i="4"/>
  <c r="IV210" i="4"/>
  <c r="IF262" i="4"/>
  <c r="IF261" i="4"/>
  <c r="IL248" i="4"/>
  <c r="IF260" i="4"/>
  <c r="IG256" i="4" s="1"/>
  <c r="IU216" i="4"/>
  <c r="IU218" i="4" s="1"/>
  <c r="IT223" i="4" l="1"/>
  <c r="DJ234" i="4"/>
  <c r="IP234" i="4"/>
  <c r="DF239" i="4" s="1"/>
  <c r="IP233" i="4"/>
  <c r="IE265" i="4"/>
  <c r="IE266" i="4"/>
  <c r="CU260" i="4" s="1"/>
  <c r="IV213" i="4"/>
  <c r="DL233" i="4"/>
  <c r="IK255" i="4"/>
  <c r="DA255" i="4"/>
  <c r="IO236" i="4"/>
  <c r="DE246" i="4"/>
  <c r="IN249" i="4"/>
  <c r="IN243" i="4"/>
  <c r="IN244" i="4"/>
  <c r="IQ231" i="4"/>
  <c r="DE241" i="4"/>
  <c r="CT267" i="4"/>
  <c r="IN242" i="4"/>
  <c r="IO238" i="4" s="1"/>
  <c r="IF263" i="4"/>
  <c r="DC254" i="4"/>
  <c r="IM246" i="4"/>
  <c r="CT262" i="4"/>
  <c r="IW203" i="4"/>
  <c r="IX199" i="4" s="1"/>
  <c r="IW217" i="4"/>
  <c r="IW204" i="4"/>
  <c r="IW208" i="4"/>
  <c r="IU219" i="4"/>
  <c r="IV215" i="4" s="1"/>
  <c r="IV216" i="4" s="1"/>
  <c r="IR225" i="4"/>
  <c r="IR227" i="4" s="1"/>
  <c r="IU221" i="4"/>
  <c r="IU226" i="4"/>
  <c r="IU220" i="4"/>
  <c r="IL250" i="4"/>
  <c r="IG257" i="4"/>
  <c r="CU265" i="4" l="1"/>
  <c r="CU261" i="4"/>
  <c r="CU266" i="4" s="1"/>
  <c r="IE267" i="4"/>
  <c r="CU257" i="4" s="1"/>
  <c r="IU222" i="4"/>
  <c r="DF240" i="4"/>
  <c r="DF245" i="4" s="1"/>
  <c r="IP235" i="4"/>
  <c r="DF236" i="4" s="1"/>
  <c r="IQ232" i="4"/>
  <c r="DG235" i="4"/>
  <c r="DF244" i="4"/>
  <c r="IO239" i="4"/>
  <c r="IO241" i="4" s="1"/>
  <c r="IN245" i="4"/>
  <c r="IW209" i="4"/>
  <c r="IX205" i="4" s="1"/>
  <c r="IX206" i="4" s="1"/>
  <c r="IF264" i="4"/>
  <c r="CV256" i="4"/>
  <c r="IV218" i="4"/>
  <c r="IW212" i="4"/>
  <c r="IW210" i="4"/>
  <c r="IR228" i="4"/>
  <c r="IS224" i="4" s="1"/>
  <c r="IR229" i="4"/>
  <c r="IR230" i="4"/>
  <c r="IX200" i="4"/>
  <c r="IX202" i="4" s="1"/>
  <c r="IG259" i="4"/>
  <c r="IL253" i="4"/>
  <c r="IL258" i="4"/>
  <c r="IL252" i="4"/>
  <c r="IL251" i="4"/>
  <c r="IM247" i="4" s="1"/>
  <c r="IO242" i="4" l="1"/>
  <c r="IP238" i="4" s="1"/>
  <c r="IP239" i="4" s="1"/>
  <c r="IL254" i="4"/>
  <c r="DF246" i="4"/>
  <c r="IP236" i="4"/>
  <c r="IU223" i="4"/>
  <c r="DK234" i="4"/>
  <c r="IF266" i="4"/>
  <c r="CV260" i="4" s="1"/>
  <c r="IF265" i="4"/>
  <c r="DF241" i="4"/>
  <c r="IR231" i="4"/>
  <c r="IQ233" i="4"/>
  <c r="IQ234" i="4"/>
  <c r="DG239" i="4" s="1"/>
  <c r="IX203" i="4"/>
  <c r="IY199" i="4" s="1"/>
  <c r="IY200" i="4" s="1"/>
  <c r="IY202" i="4" s="1"/>
  <c r="IW213" i="4"/>
  <c r="DM233" i="4"/>
  <c r="CU267" i="4"/>
  <c r="IO244" i="4"/>
  <c r="IO243" i="4"/>
  <c r="IO249" i="4"/>
  <c r="IV219" i="4"/>
  <c r="IW215" i="4" s="1"/>
  <c r="IW216" i="4" s="1"/>
  <c r="DD254" i="4"/>
  <c r="IN246" i="4"/>
  <c r="CU262" i="4"/>
  <c r="IV221" i="4"/>
  <c r="IV220" i="4"/>
  <c r="IV226" i="4"/>
  <c r="IS225" i="4"/>
  <c r="IS227" i="4" s="1"/>
  <c r="IX208" i="4"/>
  <c r="IX217" i="4"/>
  <c r="IX204" i="4"/>
  <c r="IG262" i="4"/>
  <c r="IG261" i="4"/>
  <c r="IM248" i="4"/>
  <c r="IG260" i="4"/>
  <c r="IH256" i="4" s="1"/>
  <c r="IW218" i="4" l="1"/>
  <c r="IW221" i="4" s="1"/>
  <c r="DG244" i="4"/>
  <c r="IV222" i="4"/>
  <c r="DG240" i="4"/>
  <c r="DG245" i="4" s="1"/>
  <c r="IQ235" i="4"/>
  <c r="DG236" i="4" s="1"/>
  <c r="IO245" i="4"/>
  <c r="IG263" i="4"/>
  <c r="IR232" i="4"/>
  <c r="DH235" i="4"/>
  <c r="CV261" i="4"/>
  <c r="CV266" i="4" s="1"/>
  <c r="IF267" i="4"/>
  <c r="CV257" i="4" s="1"/>
  <c r="CV265" i="4"/>
  <c r="IL255" i="4"/>
  <c r="DB255" i="4"/>
  <c r="IP241" i="4"/>
  <c r="IS228" i="4"/>
  <c r="IT224" i="4" s="1"/>
  <c r="IT225" i="4" s="1"/>
  <c r="IT227" i="4" s="1"/>
  <c r="IX212" i="4"/>
  <c r="IX210" i="4"/>
  <c r="IY203" i="4"/>
  <c r="IZ199" i="4" s="1"/>
  <c r="IY204" i="4"/>
  <c r="IY208" i="4"/>
  <c r="IY217" i="4"/>
  <c r="IS229" i="4"/>
  <c r="IS230" i="4"/>
  <c r="IX209" i="4"/>
  <c r="IY205" i="4" s="1"/>
  <c r="IY206" i="4" s="1"/>
  <c r="IM250" i="4"/>
  <c r="IH257" i="4"/>
  <c r="IH259" i="4" s="1"/>
  <c r="IW220" i="4" l="1"/>
  <c r="CV267" i="4"/>
  <c r="IW226" i="4"/>
  <c r="IW219" i="4"/>
  <c r="IX215" i="4" s="1"/>
  <c r="IX216" i="4" s="1"/>
  <c r="DG241" i="4"/>
  <c r="IR234" i="4"/>
  <c r="DH239" i="4" s="1"/>
  <c r="IR233" i="4"/>
  <c r="IV223" i="4"/>
  <c r="DL234" i="4"/>
  <c r="CV262" i="4"/>
  <c r="DG246" i="4"/>
  <c r="IQ236" i="4"/>
  <c r="IX213" i="4"/>
  <c r="DN233" i="4"/>
  <c r="IG264" i="4"/>
  <c r="CW256" i="4"/>
  <c r="IT229" i="4"/>
  <c r="DE254" i="4"/>
  <c r="IO246" i="4"/>
  <c r="IW222" i="4"/>
  <c r="IS231" i="4"/>
  <c r="IP242" i="4"/>
  <c r="IQ238" i="4" s="1"/>
  <c r="IQ239" i="4" s="1"/>
  <c r="IP249" i="4"/>
  <c r="IP244" i="4"/>
  <c r="IP243" i="4"/>
  <c r="IT228" i="4"/>
  <c r="IU224" i="4" s="1"/>
  <c r="IU225" i="4" s="1"/>
  <c r="IU227" i="4" s="1"/>
  <c r="IT230" i="4"/>
  <c r="IY210" i="4"/>
  <c r="IY212" i="4"/>
  <c r="IZ200" i="4"/>
  <c r="IZ202" i="4" s="1"/>
  <c r="IY209" i="4"/>
  <c r="IZ205" i="4" s="1"/>
  <c r="IZ206" i="4" s="1"/>
  <c r="IH262" i="4"/>
  <c r="IH261" i="4"/>
  <c r="IH260" i="4"/>
  <c r="II256" i="4" s="1"/>
  <c r="IM253" i="4"/>
  <c r="IM258" i="4"/>
  <c r="IM252" i="4"/>
  <c r="IM251" i="4"/>
  <c r="IN247" i="4" s="1"/>
  <c r="IX218" i="4" l="1"/>
  <c r="IX219" i="4" s="1"/>
  <c r="IY215" i="4" s="1"/>
  <c r="IY216" i="4" s="1"/>
  <c r="IQ241" i="4"/>
  <c r="IQ249" i="4" s="1"/>
  <c r="IT231" i="4"/>
  <c r="IS232" i="4"/>
  <c r="DI235" i="4"/>
  <c r="IG266" i="4"/>
  <c r="CW260" i="4" s="1"/>
  <c r="IG265" i="4"/>
  <c r="IH263" i="4"/>
  <c r="IM254" i="4"/>
  <c r="DH240" i="4"/>
  <c r="DH245" i="4" s="1"/>
  <c r="IR235" i="4"/>
  <c r="DH236" i="4" s="1"/>
  <c r="IX221" i="4"/>
  <c r="IY213" i="4"/>
  <c r="DO233" i="4"/>
  <c r="IP245" i="4"/>
  <c r="IW223" i="4"/>
  <c r="DM234" i="4"/>
  <c r="DH244" i="4"/>
  <c r="IZ203" i="4"/>
  <c r="JA199" i="4" s="1"/>
  <c r="IZ204" i="4"/>
  <c r="IZ217" i="4"/>
  <c r="IZ208" i="4"/>
  <c r="IU230" i="4"/>
  <c r="IU229" i="4"/>
  <c r="IU228" i="4"/>
  <c r="IV224" i="4" s="1"/>
  <c r="II257" i="4"/>
  <c r="II259" i="4" s="1"/>
  <c r="IN248" i="4"/>
  <c r="IX226" i="4" l="1"/>
  <c r="IX220" i="4"/>
  <c r="IQ243" i="4"/>
  <c r="IQ244" i="4"/>
  <c r="IQ245" i="4" s="1"/>
  <c r="IQ242" i="4"/>
  <c r="IR238" i="4" s="1"/>
  <c r="IR239" i="4" s="1"/>
  <c r="IY218" i="4"/>
  <c r="IY219" i="4" s="1"/>
  <c r="IZ215" i="4" s="1"/>
  <c r="IZ216" i="4" s="1"/>
  <c r="DH241" i="4"/>
  <c r="IM255" i="4"/>
  <c r="DC255" i="4"/>
  <c r="IT232" i="4"/>
  <c r="DJ235" i="4"/>
  <c r="DH246" i="4"/>
  <c r="IR236" i="4"/>
  <c r="IH264" i="4"/>
  <c r="CX256" i="4"/>
  <c r="IX222" i="4"/>
  <c r="CW261" i="4"/>
  <c r="CW266" i="4" s="1"/>
  <c r="IG267" i="4"/>
  <c r="CW257" i="4" s="1"/>
  <c r="IZ209" i="4"/>
  <c r="JA205" i="4" s="1"/>
  <c r="JA206" i="4" s="1"/>
  <c r="CW265" i="4"/>
  <c r="IS234" i="4"/>
  <c r="DI239" i="4" s="1"/>
  <c r="IS233" i="4"/>
  <c r="IU231" i="4"/>
  <c r="DF254" i="4"/>
  <c r="IP246" i="4"/>
  <c r="IZ210" i="4"/>
  <c r="IZ212" i="4"/>
  <c r="JA200" i="4"/>
  <c r="JA202" i="4" s="1"/>
  <c r="II262" i="4"/>
  <c r="II261" i="4"/>
  <c r="II260" i="4"/>
  <c r="IJ256" i="4" s="1"/>
  <c r="IN250" i="4"/>
  <c r="IV225" i="4"/>
  <c r="IV227" i="4" s="1"/>
  <c r="IY220" i="4" l="1"/>
  <c r="IY221" i="4"/>
  <c r="IY222" i="4" s="1"/>
  <c r="IY226" i="4"/>
  <c r="IR241" i="4"/>
  <c r="IR244" i="4" s="1"/>
  <c r="DG254" i="4"/>
  <c r="IQ246" i="4"/>
  <c r="DI244" i="4"/>
  <c r="DI240" i="4"/>
  <c r="DI245" i="4" s="1"/>
  <c r="IS235" i="4"/>
  <c r="DI236" i="4" s="1"/>
  <c r="CW267" i="4"/>
  <c r="IT233" i="4"/>
  <c r="IT234" i="4"/>
  <c r="DJ239" i="4" s="1"/>
  <c r="CW262" i="4"/>
  <c r="IX223" i="4"/>
  <c r="DN234" i="4"/>
  <c r="II263" i="4"/>
  <c r="IU232" i="4"/>
  <c r="DK235" i="4"/>
  <c r="IH266" i="4"/>
  <c r="CX260" i="4" s="1"/>
  <c r="IH265" i="4"/>
  <c r="IZ213" i="4"/>
  <c r="IZ218" i="4" s="1"/>
  <c r="DP233" i="4"/>
  <c r="JA203" i="4"/>
  <c r="JB199" i="4" s="1"/>
  <c r="JA217" i="4"/>
  <c r="JA204" i="4"/>
  <c r="JA208" i="4"/>
  <c r="IV230" i="4"/>
  <c r="IV229" i="4"/>
  <c r="IV228" i="4"/>
  <c r="IW224" i="4" s="1"/>
  <c r="IN253" i="4"/>
  <c r="IN258" i="4"/>
  <c r="IN252" i="4"/>
  <c r="IJ257" i="4"/>
  <c r="IN251" i="4"/>
  <c r="IO247" i="4" s="1"/>
  <c r="IR242" i="4" l="1"/>
  <c r="IS238" i="4" s="1"/>
  <c r="IR243" i="4"/>
  <c r="DI241" i="4"/>
  <c r="IR249" i="4"/>
  <c r="IZ226" i="4"/>
  <c r="IZ219" i="4"/>
  <c r="JA215" i="4" s="1"/>
  <c r="JA216" i="4" s="1"/>
  <c r="IZ220" i="4"/>
  <c r="IZ221" i="4"/>
  <c r="IS239" i="4"/>
  <c r="IY223" i="4"/>
  <c r="DO234" i="4"/>
  <c r="IU233" i="4"/>
  <c r="IU234" i="4"/>
  <c r="DK239" i="4" s="1"/>
  <c r="DJ244" i="4"/>
  <c r="IN254" i="4"/>
  <c r="DJ240" i="4"/>
  <c r="DJ245" i="4" s="1"/>
  <c r="IT235" i="4"/>
  <c r="DJ236" i="4" s="1"/>
  <c r="CX261" i="4"/>
  <c r="CX266" i="4" s="1"/>
  <c r="IH267" i="4"/>
  <c r="CX257" i="4" s="1"/>
  <c r="II264" i="4"/>
  <c r="CY256" i="4"/>
  <c r="CX265" i="4"/>
  <c r="IR245" i="4"/>
  <c r="IV231" i="4"/>
  <c r="IS236" i="4"/>
  <c r="DI246" i="4"/>
  <c r="JA210" i="4"/>
  <c r="JA212" i="4"/>
  <c r="JB200" i="4"/>
  <c r="JB202" i="4" s="1"/>
  <c r="JA209" i="4"/>
  <c r="JB205" i="4" s="1"/>
  <c r="JB206" i="4" s="1"/>
  <c r="IJ259" i="4"/>
  <c r="IW225" i="4"/>
  <c r="IW227" i="4" s="1"/>
  <c r="IO248" i="4"/>
  <c r="IO250" i="4" s="1"/>
  <c r="IS241" i="4" l="1"/>
  <c r="IS242" i="4" s="1"/>
  <c r="IT238" i="4" s="1"/>
  <c r="IT239" i="4" s="1"/>
  <c r="CX267" i="4"/>
  <c r="CX262" i="4"/>
  <c r="DJ241" i="4"/>
  <c r="IN255" i="4"/>
  <c r="DD255" i="4"/>
  <c r="II265" i="4"/>
  <c r="II266" i="4"/>
  <c r="CY260" i="4" s="1"/>
  <c r="IT236" i="4"/>
  <c r="DJ246" i="4"/>
  <c r="IZ222" i="4"/>
  <c r="IV232" i="4"/>
  <c r="DL235" i="4"/>
  <c r="DK244" i="4"/>
  <c r="JB203" i="4"/>
  <c r="JC199" i="4" s="1"/>
  <c r="JC200" i="4" s="1"/>
  <c r="JC202" i="4" s="1"/>
  <c r="DK240" i="4"/>
  <c r="DK245" i="4" s="1"/>
  <c r="IU235" i="4"/>
  <c r="DK236" i="4" s="1"/>
  <c r="JA213" i="4"/>
  <c r="JA218" i="4" s="1"/>
  <c r="DQ233" i="4"/>
  <c r="DH254" i="4"/>
  <c r="IR246" i="4"/>
  <c r="JB204" i="4"/>
  <c r="JB217" i="4"/>
  <c r="JB208" i="4"/>
  <c r="IW230" i="4"/>
  <c r="IW229" i="4"/>
  <c r="IW228" i="4"/>
  <c r="IX224" i="4" s="1"/>
  <c r="IO253" i="4"/>
  <c r="IO258" i="4"/>
  <c r="IO252" i="4"/>
  <c r="IO251" i="4"/>
  <c r="IP247" i="4" s="1"/>
  <c r="IJ262" i="4"/>
  <c r="IJ261" i="4"/>
  <c r="IJ260" i="4"/>
  <c r="IK256" i="4" s="1"/>
  <c r="IS249" i="4" l="1"/>
  <c r="IS243" i="4"/>
  <c r="IS244" i="4"/>
  <c r="IS245" i="4" s="1"/>
  <c r="IT241" i="4"/>
  <c r="IT242" i="4" s="1"/>
  <c r="IU238" i="4" s="1"/>
  <c r="IU239" i="4" s="1"/>
  <c r="IV234" i="4"/>
  <c r="DL239" i="4" s="1"/>
  <c r="IV233" i="4"/>
  <c r="JA220" i="4"/>
  <c r="IZ223" i="4"/>
  <c r="DP234" i="4"/>
  <c r="IJ263" i="4"/>
  <c r="IO254" i="4"/>
  <c r="DK246" i="4"/>
  <c r="IU236" i="4"/>
  <c r="IW231" i="4"/>
  <c r="DK241" i="4"/>
  <c r="CY265" i="4"/>
  <c r="CY261" i="4"/>
  <c r="CY266" i="4" s="1"/>
  <c r="II267" i="4"/>
  <c r="CY257" i="4" s="1"/>
  <c r="JA219" i="4"/>
  <c r="JB215" i="4" s="1"/>
  <c r="JB216" i="4" s="1"/>
  <c r="JA221" i="4"/>
  <c r="JA226" i="4"/>
  <c r="JB210" i="4"/>
  <c r="JB212" i="4"/>
  <c r="JB209" i="4"/>
  <c r="JC205" i="4" s="1"/>
  <c r="JC203" i="4"/>
  <c r="JD199" i="4" s="1"/>
  <c r="JC208" i="4"/>
  <c r="JC204" i="4"/>
  <c r="JC217" i="4"/>
  <c r="IP248" i="4"/>
  <c r="IP250" i="4" s="1"/>
  <c r="IX225" i="4"/>
  <c r="IX227" i="4" s="1"/>
  <c r="IK257" i="4"/>
  <c r="IK259" i="4" s="1"/>
  <c r="IT249" i="4" l="1"/>
  <c r="IT244" i="4"/>
  <c r="IT245" i="4" s="1"/>
  <c r="IT243" i="4"/>
  <c r="CY267" i="4"/>
  <c r="CY262" i="4"/>
  <c r="JA222" i="4"/>
  <c r="DI254" i="4"/>
  <c r="IS246" i="4"/>
  <c r="DL240" i="4"/>
  <c r="DL245" i="4" s="1"/>
  <c r="IV235" i="4"/>
  <c r="DL236" i="4" s="1"/>
  <c r="IP251" i="4"/>
  <c r="IQ247" i="4" s="1"/>
  <c r="IQ248" i="4" s="1"/>
  <c r="IQ250" i="4" s="1"/>
  <c r="JB213" i="4"/>
  <c r="JB218" i="4" s="1"/>
  <c r="DR233" i="4"/>
  <c r="IW232" i="4"/>
  <c r="DM235" i="4"/>
  <c r="IO255" i="4"/>
  <c r="DE255" i="4"/>
  <c r="DL244" i="4"/>
  <c r="IJ264" i="4"/>
  <c r="CZ256" i="4"/>
  <c r="IU241" i="4"/>
  <c r="JC210" i="4"/>
  <c r="JC212" i="4"/>
  <c r="JD200" i="4"/>
  <c r="JD202" i="4" s="1"/>
  <c r="JC206" i="4"/>
  <c r="JC209" i="4" s="1"/>
  <c r="JD205" i="4" s="1"/>
  <c r="JD206" i="4" s="1"/>
  <c r="IX230" i="4"/>
  <c r="IX229" i="4"/>
  <c r="IX228" i="4"/>
  <c r="IY224" i="4" s="1"/>
  <c r="IK262" i="4"/>
  <c r="IK261" i="4"/>
  <c r="IP253" i="4"/>
  <c r="IP258" i="4"/>
  <c r="IP252" i="4"/>
  <c r="IK260" i="4"/>
  <c r="IL256" i="4" s="1"/>
  <c r="DL241" i="4" l="1"/>
  <c r="IW233" i="4"/>
  <c r="IW234" i="4"/>
  <c r="DM239" i="4" s="1"/>
  <c r="DJ254" i="4"/>
  <c r="IT246" i="4"/>
  <c r="IP254" i="4"/>
  <c r="IQ251" i="4"/>
  <c r="IR247" i="4" s="1"/>
  <c r="IR248" i="4" s="1"/>
  <c r="IR250" i="4" s="1"/>
  <c r="JB219" i="4"/>
  <c r="JC215" i="4" s="1"/>
  <c r="JC216" i="4" s="1"/>
  <c r="JC218" i="4" s="1"/>
  <c r="JC221" i="4" s="1"/>
  <c r="DL246" i="4"/>
  <c r="IV236" i="4"/>
  <c r="IJ265" i="4"/>
  <c r="IJ266" i="4"/>
  <c r="CZ260" i="4" s="1"/>
  <c r="IK263" i="4"/>
  <c r="JC213" i="4"/>
  <c r="DS233" i="4"/>
  <c r="IX231" i="4"/>
  <c r="JA223" i="4"/>
  <c r="DQ234" i="4"/>
  <c r="IU244" i="4"/>
  <c r="IU249" i="4"/>
  <c r="IU243" i="4"/>
  <c r="IU242" i="4"/>
  <c r="IV238" i="4" s="1"/>
  <c r="JD203" i="4"/>
  <c r="JE199" i="4" s="1"/>
  <c r="JD217" i="4"/>
  <c r="JD208" i="4"/>
  <c r="JD204" i="4"/>
  <c r="JB221" i="4"/>
  <c r="JB226" i="4"/>
  <c r="JB220" i="4"/>
  <c r="IQ253" i="4"/>
  <c r="IQ258" i="4"/>
  <c r="IQ252" i="4"/>
  <c r="IL257" i="4"/>
  <c r="IY225" i="4"/>
  <c r="JC220" i="4" l="1"/>
  <c r="JC226" i="4"/>
  <c r="JC219" i="4"/>
  <c r="JD215" i="4" s="1"/>
  <c r="JD216" i="4" s="1"/>
  <c r="IR251" i="4"/>
  <c r="IS247" i="4" s="1"/>
  <c r="IS248" i="4" s="1"/>
  <c r="IS250" i="4" s="1"/>
  <c r="CZ265" i="4"/>
  <c r="IQ254" i="4"/>
  <c r="JC222" i="4"/>
  <c r="IV239" i="4"/>
  <c r="IV241" i="4" s="1"/>
  <c r="IX232" i="4"/>
  <c r="DN235" i="4"/>
  <c r="IP255" i="4"/>
  <c r="DF255" i="4"/>
  <c r="CZ261" i="4"/>
  <c r="CZ266" i="4" s="1"/>
  <c r="IJ267" i="4"/>
  <c r="CZ257" i="4" s="1"/>
  <c r="JB222" i="4"/>
  <c r="IU245" i="4"/>
  <c r="DM244" i="4"/>
  <c r="IK264" i="4"/>
  <c r="DA256" i="4"/>
  <c r="DM240" i="4"/>
  <c r="DM245" i="4" s="1"/>
  <c r="IW235" i="4"/>
  <c r="DM236" i="4" s="1"/>
  <c r="JD210" i="4"/>
  <c r="JD212" i="4"/>
  <c r="JE200" i="4"/>
  <c r="JE202" i="4" s="1"/>
  <c r="JD209" i="4"/>
  <c r="JE205" i="4" s="1"/>
  <c r="IY227" i="4"/>
  <c r="IR253" i="4"/>
  <c r="IR258" i="4"/>
  <c r="IR252" i="4"/>
  <c r="IL259" i="4"/>
  <c r="DM241" i="4" l="1"/>
  <c r="IK265" i="4"/>
  <c r="IK266" i="4"/>
  <c r="DA260" i="4" s="1"/>
  <c r="JC223" i="4"/>
  <c r="DS234" i="4"/>
  <c r="DM246" i="4"/>
  <c r="IW236" i="4"/>
  <c r="JD213" i="4"/>
  <c r="JD218" i="4" s="1"/>
  <c r="DT233" i="4"/>
  <c r="IR254" i="4"/>
  <c r="IY228" i="4"/>
  <c r="IZ224" i="4" s="1"/>
  <c r="IZ225" i="4" s="1"/>
  <c r="IZ227" i="4" s="1"/>
  <c r="IQ255" i="4"/>
  <c r="DG255" i="4"/>
  <c r="DK254" i="4"/>
  <c r="IU246" i="4"/>
  <c r="CZ267" i="4"/>
  <c r="IX233" i="4"/>
  <c r="IX234" i="4"/>
  <c r="DN239" i="4" s="1"/>
  <c r="CZ262" i="4"/>
  <c r="JB223" i="4"/>
  <c r="DR234" i="4"/>
  <c r="IV242" i="4"/>
  <c r="IW238" i="4" s="1"/>
  <c r="IV243" i="4"/>
  <c r="IV249" i="4"/>
  <c r="IV244" i="4"/>
  <c r="IS251" i="4"/>
  <c r="IT247" i="4" s="1"/>
  <c r="IT248" i="4" s="1"/>
  <c r="IT250" i="4" s="1"/>
  <c r="JE206" i="4"/>
  <c r="JE203" i="4"/>
  <c r="JF199" i="4" s="1"/>
  <c r="JE217" i="4"/>
  <c r="JE208" i="4"/>
  <c r="JE204" i="4"/>
  <c r="IL262" i="4"/>
  <c r="IL261" i="4"/>
  <c r="IS253" i="4"/>
  <c r="IS258" i="4"/>
  <c r="IS252" i="4"/>
  <c r="IY230" i="4"/>
  <c r="IY229" i="4"/>
  <c r="IL260" i="4"/>
  <c r="IM256" i="4" s="1"/>
  <c r="JD219" i="4" l="1"/>
  <c r="JE215" i="4" s="1"/>
  <c r="JD221" i="4"/>
  <c r="JD222" i="4" s="1"/>
  <c r="JD226" i="4"/>
  <c r="IV245" i="4"/>
  <c r="DN244" i="4"/>
  <c r="IL263" i="4"/>
  <c r="DN240" i="4"/>
  <c r="DN245" i="4" s="1"/>
  <c r="IX235" i="4"/>
  <c r="DN236" i="4" s="1"/>
  <c r="IS254" i="4"/>
  <c r="IW239" i="4"/>
  <c r="IW241" i="4" s="1"/>
  <c r="IR255" i="4"/>
  <c r="DH255" i="4"/>
  <c r="IY231" i="4"/>
  <c r="JD220" i="4"/>
  <c r="DA265" i="4"/>
  <c r="DA261" i="4"/>
  <c r="DA266" i="4" s="1"/>
  <c r="IK267" i="4"/>
  <c r="DA257" i="4" s="1"/>
  <c r="JE212" i="4"/>
  <c r="JE210" i="4"/>
  <c r="JF200" i="4"/>
  <c r="JF202" i="4" s="1"/>
  <c r="JE209" i="4"/>
  <c r="JF205" i="4" s="1"/>
  <c r="IT253" i="4"/>
  <c r="IT258" i="4"/>
  <c r="IT252" i="4"/>
  <c r="IZ230" i="4"/>
  <c r="IZ229" i="4"/>
  <c r="IZ228" i="4"/>
  <c r="JA224" i="4" s="1"/>
  <c r="IM257" i="4"/>
  <c r="IM259" i="4" s="1"/>
  <c r="IT251" i="4"/>
  <c r="IU247" i="4" s="1"/>
  <c r="JE216" i="4"/>
  <c r="IW242" i="4" l="1"/>
  <c r="IX238" i="4" s="1"/>
  <c r="DN241" i="4"/>
  <c r="DA267" i="4"/>
  <c r="DA262" i="4"/>
  <c r="IW244" i="4"/>
  <c r="IW243" i="4"/>
  <c r="IW249" i="4"/>
  <c r="IL264" i="4"/>
  <c r="DB256" i="4"/>
  <c r="DN246" i="4"/>
  <c r="IX236" i="4"/>
  <c r="IX239" i="4"/>
  <c r="JE213" i="4"/>
  <c r="JE218" i="4" s="1"/>
  <c r="DU233" i="4"/>
  <c r="IY232" i="4"/>
  <c r="DO235" i="4"/>
  <c r="IS255" i="4"/>
  <c r="DI255" i="4"/>
  <c r="IZ231" i="4"/>
  <c r="IT254" i="4"/>
  <c r="JD223" i="4"/>
  <c r="DT234" i="4"/>
  <c r="DL254" i="4"/>
  <c r="IV246" i="4"/>
  <c r="JF208" i="4"/>
  <c r="JF204" i="4"/>
  <c r="JF217" i="4"/>
  <c r="JF203" i="4"/>
  <c r="JG199" i="4" s="1"/>
  <c r="JF206" i="4"/>
  <c r="IM262" i="4"/>
  <c r="IM261" i="4"/>
  <c r="IM260" i="4"/>
  <c r="IN256" i="4" s="1"/>
  <c r="JA225" i="4"/>
  <c r="JA227" i="4" s="1"/>
  <c r="IU248" i="4"/>
  <c r="IU250" i="4" s="1"/>
  <c r="IX241" i="4" l="1"/>
  <c r="IX242" i="4" s="1"/>
  <c r="IY238" i="4" s="1"/>
  <c r="IY239" i="4" s="1"/>
  <c r="JE220" i="4"/>
  <c r="JE219" i="4"/>
  <c r="JF215" i="4" s="1"/>
  <c r="JE221" i="4"/>
  <c r="JE226" i="4"/>
  <c r="IY233" i="4"/>
  <c r="IY234" i="4"/>
  <c r="DO239" i="4" s="1"/>
  <c r="IL265" i="4"/>
  <c r="IL266" i="4"/>
  <c r="DB260" i="4" s="1"/>
  <c r="IZ232" i="4"/>
  <c r="DP235" i="4"/>
  <c r="IX249" i="4"/>
  <c r="IX244" i="4"/>
  <c r="IX243" i="4"/>
  <c r="IW245" i="4"/>
  <c r="IT255" i="4"/>
  <c r="DJ255" i="4"/>
  <c r="IM263" i="4"/>
  <c r="JF209" i="4"/>
  <c r="JG205" i="4" s="1"/>
  <c r="JG206" i="4" s="1"/>
  <c r="JG200" i="4"/>
  <c r="JG202" i="4" s="1"/>
  <c r="JF210" i="4"/>
  <c r="JF212" i="4"/>
  <c r="JA230" i="4"/>
  <c r="JA229" i="4"/>
  <c r="IU253" i="4"/>
  <c r="IU258" i="4"/>
  <c r="IU252" i="4"/>
  <c r="IU251" i="4"/>
  <c r="IV247" i="4" s="1"/>
  <c r="IN257" i="4"/>
  <c r="JF216" i="4"/>
  <c r="JA228" i="4"/>
  <c r="JB224" i="4" s="1"/>
  <c r="IM264" i="4" l="1"/>
  <c r="DC256" i="4"/>
  <c r="DO240" i="4"/>
  <c r="DO245" i="4" s="1"/>
  <c r="IY235" i="4"/>
  <c r="DO236" i="4" s="1"/>
  <c r="JF213" i="4"/>
  <c r="DV233" i="4"/>
  <c r="IZ233" i="4"/>
  <c r="IZ234" i="4"/>
  <c r="DP239" i="4" s="1"/>
  <c r="DB265" i="4"/>
  <c r="JE222" i="4"/>
  <c r="DM254" i="4"/>
  <c r="IW246" i="4"/>
  <c r="DB261" i="4"/>
  <c r="DB266" i="4" s="1"/>
  <c r="IL267" i="4"/>
  <c r="DB257" i="4" s="1"/>
  <c r="JA231" i="4"/>
  <c r="IX245" i="4"/>
  <c r="IU254" i="4"/>
  <c r="DO244" i="4"/>
  <c r="JG204" i="4"/>
  <c r="JG208" i="4"/>
  <c r="JG217" i="4"/>
  <c r="JG203" i="4"/>
  <c r="JH199" i="4" s="1"/>
  <c r="JF218" i="4"/>
  <c r="IV248" i="4"/>
  <c r="IV250" i="4" s="1"/>
  <c r="JB225" i="4"/>
  <c r="JB227" i="4" s="1"/>
  <c r="IN259" i="4"/>
  <c r="DO241" i="4" l="1"/>
  <c r="DP244" i="4"/>
  <c r="DP240" i="4"/>
  <c r="DP245" i="4" s="1"/>
  <c r="IZ235" i="4"/>
  <c r="DP236" i="4" s="1"/>
  <c r="IU255" i="4"/>
  <c r="DK255" i="4"/>
  <c r="JF220" i="4"/>
  <c r="DN254" i="4"/>
  <c r="IX246" i="4"/>
  <c r="JE223" i="4"/>
  <c r="DU234" i="4"/>
  <c r="JB228" i="4"/>
  <c r="JC224" i="4" s="1"/>
  <c r="JC225" i="4" s="1"/>
  <c r="JC227" i="4" s="1"/>
  <c r="DB267" i="4"/>
  <c r="IY236" i="4"/>
  <c r="IY241" i="4" s="1"/>
  <c r="DO246" i="4"/>
  <c r="JA232" i="4"/>
  <c r="DQ235" i="4"/>
  <c r="DB262" i="4"/>
  <c r="IM266" i="4"/>
  <c r="DC260" i="4" s="1"/>
  <c r="IM265" i="4"/>
  <c r="JF221" i="4"/>
  <c r="JH200" i="4"/>
  <c r="JH202" i="4" s="1"/>
  <c r="JF219" i="4"/>
  <c r="JG215" i="4" s="1"/>
  <c r="JG216" i="4" s="1"/>
  <c r="JG210" i="4"/>
  <c r="JG212" i="4"/>
  <c r="JG209" i="4"/>
  <c r="JH205" i="4" s="1"/>
  <c r="JF226" i="4"/>
  <c r="IV253" i="4"/>
  <c r="IV258" i="4"/>
  <c r="IV252" i="4"/>
  <c r="IN262" i="4"/>
  <c r="IN261" i="4"/>
  <c r="IN260" i="4"/>
  <c r="IO256" i="4" s="1"/>
  <c r="JB230" i="4"/>
  <c r="JB229" i="4"/>
  <c r="IV251" i="4"/>
  <c r="IW247" i="4" s="1"/>
  <c r="JG213" i="4" l="1"/>
  <c r="JG218" i="4" s="1"/>
  <c r="DW233" i="4"/>
  <c r="IV254" i="4"/>
  <c r="JA233" i="4"/>
  <c r="JA234" i="4"/>
  <c r="DQ239" i="4" s="1"/>
  <c r="JB231" i="4"/>
  <c r="IY242" i="4"/>
  <c r="IZ238" i="4" s="1"/>
  <c r="IY243" i="4"/>
  <c r="IY249" i="4"/>
  <c r="IY244" i="4"/>
  <c r="JF222" i="4"/>
  <c r="DC261" i="4"/>
  <c r="DC266" i="4" s="1"/>
  <c r="IM267" i="4"/>
  <c r="DC257" i="4" s="1"/>
  <c r="DP246" i="4"/>
  <c r="IZ236" i="4"/>
  <c r="IN263" i="4"/>
  <c r="DC265" i="4"/>
  <c r="DP241" i="4"/>
  <c r="JH206" i="4"/>
  <c r="JH203" i="4"/>
  <c r="JI199" i="4" s="1"/>
  <c r="JH217" i="4"/>
  <c r="JH204" i="4"/>
  <c r="JH208" i="4"/>
  <c r="JC230" i="4"/>
  <c r="JC229" i="4"/>
  <c r="JC228" i="4"/>
  <c r="JD224" i="4" s="1"/>
  <c r="IW248" i="4"/>
  <c r="IW250" i="4" s="1"/>
  <c r="IO257" i="4"/>
  <c r="IO259" i="4" s="1"/>
  <c r="DC267" i="4" l="1"/>
  <c r="JF223" i="4"/>
  <c r="DV234" i="4"/>
  <c r="JB232" i="4"/>
  <c r="DR235" i="4"/>
  <c r="DQ244" i="4"/>
  <c r="IN264" i="4"/>
  <c r="DD256" i="4"/>
  <c r="IY245" i="4"/>
  <c r="DQ240" i="4"/>
  <c r="DQ245" i="4" s="1"/>
  <c r="JA235" i="4"/>
  <c r="DQ236" i="4" s="1"/>
  <c r="IV255" i="4"/>
  <c r="DL255" i="4"/>
  <c r="JC231" i="4"/>
  <c r="IZ239" i="4"/>
  <c r="IZ241" i="4" s="1"/>
  <c r="JG226" i="4"/>
  <c r="DC262" i="4"/>
  <c r="JH209" i="4"/>
  <c r="JI205" i="4" s="1"/>
  <c r="JI206" i="4" s="1"/>
  <c r="JG221" i="4"/>
  <c r="JH210" i="4"/>
  <c r="JH212" i="4"/>
  <c r="JI200" i="4"/>
  <c r="JI202" i="4" s="1"/>
  <c r="JG220" i="4"/>
  <c r="JG219" i="4"/>
  <c r="JH215" i="4" s="1"/>
  <c r="JH216" i="4" s="1"/>
  <c r="IW253" i="4"/>
  <c r="IW258" i="4"/>
  <c r="IW252" i="4"/>
  <c r="IO262" i="4"/>
  <c r="IO261" i="4"/>
  <c r="IO260" i="4"/>
  <c r="IP256" i="4" s="1"/>
  <c r="JD225" i="4"/>
  <c r="JD227" i="4" s="1"/>
  <c r="IW251" i="4"/>
  <c r="IX247" i="4" s="1"/>
  <c r="IN266" i="4" l="1"/>
  <c r="DD260" i="4" s="1"/>
  <c r="IN265" i="4"/>
  <c r="JA236" i="4"/>
  <c r="DQ246" i="4"/>
  <c r="JI203" i="4"/>
  <c r="JJ199" i="4" s="1"/>
  <c r="JJ200" i="4" s="1"/>
  <c r="JJ202" i="4" s="1"/>
  <c r="DQ241" i="4"/>
  <c r="JH213" i="4"/>
  <c r="JH218" i="4" s="1"/>
  <c r="DX233" i="4"/>
  <c r="IZ242" i="4"/>
  <c r="JA238" i="4" s="1"/>
  <c r="IO263" i="4"/>
  <c r="JB234" i="4"/>
  <c r="DR239" i="4" s="1"/>
  <c r="JB233" i="4"/>
  <c r="JG222" i="4"/>
  <c r="JC232" i="4"/>
  <c r="DS235" i="4"/>
  <c r="DO254" i="4"/>
  <c r="IY246" i="4"/>
  <c r="IZ249" i="4"/>
  <c r="IZ244" i="4"/>
  <c r="IZ243" i="4"/>
  <c r="IW254" i="4"/>
  <c r="JI217" i="4"/>
  <c r="JI208" i="4"/>
  <c r="JI204" i="4"/>
  <c r="JD230" i="4"/>
  <c r="JD229" i="4"/>
  <c r="IP257" i="4"/>
  <c r="JD228" i="4"/>
  <c r="JE224" i="4" s="1"/>
  <c r="IX248" i="4"/>
  <c r="IX250" i="4" s="1"/>
  <c r="JH226" i="4" l="1"/>
  <c r="JH220" i="4"/>
  <c r="JH219" i="4"/>
  <c r="JI215" i="4" s="1"/>
  <c r="JI216" i="4" s="1"/>
  <c r="DR244" i="4"/>
  <c r="JD231" i="4"/>
  <c r="IO264" i="4"/>
  <c r="DE256" i="4"/>
  <c r="JA239" i="4"/>
  <c r="JA241" i="4" s="1"/>
  <c r="JC233" i="4"/>
  <c r="JC234" i="4"/>
  <c r="DS239" i="4" s="1"/>
  <c r="JH221" i="4"/>
  <c r="IW255" i="4"/>
  <c r="DM255" i="4"/>
  <c r="IZ245" i="4"/>
  <c r="JG223" i="4"/>
  <c r="DW234" i="4"/>
  <c r="DD261" i="4"/>
  <c r="DD266" i="4" s="1"/>
  <c r="IN267" i="4"/>
  <c r="DD257" i="4" s="1"/>
  <c r="DR240" i="4"/>
  <c r="DR245" i="4" s="1"/>
  <c r="JB235" i="4"/>
  <c r="DR236" i="4" s="1"/>
  <c r="DD265" i="4"/>
  <c r="JI210" i="4"/>
  <c r="JI212" i="4"/>
  <c r="JI209" i="4"/>
  <c r="JJ205" i="4" s="1"/>
  <c r="JJ206" i="4" s="1"/>
  <c r="IP259" i="4"/>
  <c r="JJ203" i="4"/>
  <c r="JK199" i="4" s="1"/>
  <c r="JJ204" i="4"/>
  <c r="JJ208" i="4"/>
  <c r="JJ217" i="4"/>
  <c r="IX253" i="4"/>
  <c r="IX258" i="4"/>
  <c r="IX252" i="4"/>
  <c r="JE225" i="4"/>
  <c r="JE227" i="4" s="1"/>
  <c r="IX251" i="4"/>
  <c r="IY247" i="4" s="1"/>
  <c r="IX254" i="4" l="1"/>
  <c r="JH222" i="4"/>
  <c r="IO265" i="4"/>
  <c r="IO266" i="4"/>
  <c r="DE260" i="4" s="1"/>
  <c r="JI213" i="4"/>
  <c r="DY233" i="4"/>
  <c r="DS244" i="4"/>
  <c r="IP260" i="4"/>
  <c r="IQ256" i="4" s="1"/>
  <c r="IQ257" i="4" s="1"/>
  <c r="IQ259" i="4" s="1"/>
  <c r="DS240" i="4"/>
  <c r="DS245" i="4" s="1"/>
  <c r="JC235" i="4"/>
  <c r="DS236" i="4" s="1"/>
  <c r="JD232" i="4"/>
  <c r="DT235" i="4"/>
  <c r="DD267" i="4"/>
  <c r="DD262" i="4"/>
  <c r="JA242" i="4"/>
  <c r="JB238" i="4" s="1"/>
  <c r="JB236" i="4"/>
  <c r="DR246" i="4"/>
  <c r="DP254" i="4"/>
  <c r="IZ246" i="4"/>
  <c r="JA244" i="4"/>
  <c r="JA249" i="4"/>
  <c r="JA243" i="4"/>
  <c r="DR241" i="4"/>
  <c r="JI218" i="4"/>
  <c r="IP261" i="4"/>
  <c r="IP262" i="4"/>
  <c r="JK200" i="4"/>
  <c r="JK202" i="4" s="1"/>
  <c r="JJ210" i="4"/>
  <c r="JJ212" i="4"/>
  <c r="JJ209" i="4"/>
  <c r="JK205" i="4" s="1"/>
  <c r="JK206" i="4" s="1"/>
  <c r="JE230" i="4"/>
  <c r="JE229" i="4"/>
  <c r="JE228" i="4"/>
  <c r="JF224" i="4" s="1"/>
  <c r="IY248" i="4"/>
  <c r="IY250" i="4" s="1"/>
  <c r="JE231" i="4" l="1"/>
  <c r="DE265" i="4"/>
  <c r="JD234" i="4"/>
  <c r="DT239" i="4" s="1"/>
  <c r="JD233" i="4"/>
  <c r="JJ213" i="4"/>
  <c r="DZ233" i="4"/>
  <c r="JB239" i="4"/>
  <c r="JB241" i="4" s="1"/>
  <c r="JB242" i="4" s="1"/>
  <c r="JC238" i="4" s="1"/>
  <c r="DE261" i="4"/>
  <c r="DE266" i="4" s="1"/>
  <c r="IO267" i="4"/>
  <c r="DE257" i="4" s="1"/>
  <c r="JI219" i="4"/>
  <c r="JJ215" i="4" s="1"/>
  <c r="JJ216" i="4" s="1"/>
  <c r="JA245" i="4"/>
  <c r="JH223" i="4"/>
  <c r="DX234" i="4"/>
  <c r="DS246" i="4"/>
  <c r="JC236" i="4"/>
  <c r="IP263" i="4"/>
  <c r="DS241" i="4"/>
  <c r="IX255" i="4"/>
  <c r="DN255" i="4"/>
  <c r="JI220" i="4"/>
  <c r="JI226" i="4"/>
  <c r="JI221" i="4"/>
  <c r="IQ261" i="4"/>
  <c r="IQ260" i="4"/>
  <c r="IR256" i="4" s="1"/>
  <c r="IR257" i="4" s="1"/>
  <c r="IR259" i="4" s="1"/>
  <c r="IQ262" i="4"/>
  <c r="JK208" i="4"/>
  <c r="JK217" i="4"/>
  <c r="JK204" i="4"/>
  <c r="JK203" i="4"/>
  <c r="JL199" i="4" s="1"/>
  <c r="IY253" i="4"/>
  <c r="IY258" i="4"/>
  <c r="IY252" i="4"/>
  <c r="IY251" i="4"/>
  <c r="IZ247" i="4" s="1"/>
  <c r="JF225" i="4"/>
  <c r="DE267" i="4" l="1"/>
  <c r="JC239" i="4"/>
  <c r="JC241" i="4" s="1"/>
  <c r="JC242" i="4" s="1"/>
  <c r="JD238" i="4" s="1"/>
  <c r="JI222" i="4"/>
  <c r="DQ254" i="4"/>
  <c r="JA246" i="4"/>
  <c r="DT240" i="4"/>
  <c r="DT245" i="4" s="1"/>
  <c r="JD235" i="4"/>
  <c r="DT236" i="4" s="1"/>
  <c r="DT244" i="4"/>
  <c r="IY254" i="4"/>
  <c r="IR262" i="4"/>
  <c r="DE262" i="4"/>
  <c r="IQ263" i="4"/>
  <c r="JJ218" i="4"/>
  <c r="JJ226" i="4" s="1"/>
  <c r="IP264" i="4"/>
  <c r="DF256" i="4"/>
  <c r="JB249" i="4"/>
  <c r="JB244" i="4"/>
  <c r="JB243" i="4"/>
  <c r="JE232" i="4"/>
  <c r="DU235" i="4"/>
  <c r="IR260" i="4"/>
  <c r="IS256" i="4" s="1"/>
  <c r="IS257" i="4" s="1"/>
  <c r="IS259" i="4" s="1"/>
  <c r="IR261" i="4"/>
  <c r="JL200" i="4"/>
  <c r="JL202" i="4" s="1"/>
  <c r="JK209" i="4"/>
  <c r="JL205" i="4" s="1"/>
  <c r="JL206" i="4" s="1"/>
  <c r="JK212" i="4"/>
  <c r="JK210" i="4"/>
  <c r="IZ248" i="4"/>
  <c r="IZ250" i="4" s="1"/>
  <c r="JF227" i="4"/>
  <c r="JJ219" i="4" l="1"/>
  <c r="JK215" i="4" s="1"/>
  <c r="JK216" i="4" s="1"/>
  <c r="JJ220" i="4"/>
  <c r="JJ221" i="4"/>
  <c r="JD239" i="4"/>
  <c r="JB245" i="4"/>
  <c r="IR263" i="4"/>
  <c r="JJ222" i="4"/>
  <c r="IP266" i="4"/>
  <c r="DF260" i="4" s="1"/>
  <c r="IP265" i="4"/>
  <c r="IY255" i="4"/>
  <c r="DO255" i="4"/>
  <c r="JF228" i="4"/>
  <c r="JG224" i="4" s="1"/>
  <c r="JG225" i="4" s="1"/>
  <c r="JG227" i="4" s="1"/>
  <c r="JD236" i="4"/>
  <c r="DT246" i="4"/>
  <c r="JI223" i="4"/>
  <c r="DY234" i="4"/>
  <c r="JK213" i="4"/>
  <c r="EA233" i="4"/>
  <c r="JE234" i="4"/>
  <c r="DU239" i="4" s="1"/>
  <c r="JE233" i="4"/>
  <c r="DT241" i="4"/>
  <c r="JL203" i="4"/>
  <c r="JM199" i="4" s="1"/>
  <c r="JM200" i="4" s="1"/>
  <c r="IQ264" i="4"/>
  <c r="DG256" i="4"/>
  <c r="JC244" i="4"/>
  <c r="JC243" i="4"/>
  <c r="JC249" i="4"/>
  <c r="IZ251" i="4"/>
  <c r="JA247" i="4" s="1"/>
  <c r="JA248" i="4" s="1"/>
  <c r="JA250" i="4" s="1"/>
  <c r="JL217" i="4"/>
  <c r="JL204" i="4"/>
  <c r="ET204" i="4" s="1"/>
  <c r="JL208" i="4"/>
  <c r="IS262" i="4"/>
  <c r="IS261" i="4"/>
  <c r="IS260" i="4"/>
  <c r="IT256" i="4" s="1"/>
  <c r="JF230" i="4"/>
  <c r="JF229" i="4"/>
  <c r="IZ253" i="4"/>
  <c r="IZ258" i="4"/>
  <c r="IZ252" i="4"/>
  <c r="JK218" i="4" l="1"/>
  <c r="JL209" i="4"/>
  <c r="JM205" i="4" s="1"/>
  <c r="JM206" i="4" s="1"/>
  <c r="JJ223" i="4"/>
  <c r="DZ234" i="4"/>
  <c r="IQ265" i="4"/>
  <c r="IQ266" i="4"/>
  <c r="DG260" i="4" s="1"/>
  <c r="IR264" i="4"/>
  <c r="DH256" i="4"/>
  <c r="IP267" i="4"/>
  <c r="DF257" i="4" s="1"/>
  <c r="DF261" i="4"/>
  <c r="DF266" i="4" s="1"/>
  <c r="DR254" i="4"/>
  <c r="JB246" i="4"/>
  <c r="IZ254" i="4"/>
  <c r="DU240" i="4"/>
  <c r="DU245" i="4" s="1"/>
  <c r="JE235" i="4"/>
  <c r="DU236" i="4" s="1"/>
  <c r="DF262" i="4"/>
  <c r="DF265" i="4"/>
  <c r="DF267" i="4" s="1"/>
  <c r="JF231" i="4"/>
  <c r="IS263" i="4"/>
  <c r="JC245" i="4"/>
  <c r="DU244" i="4"/>
  <c r="JD241" i="4"/>
  <c r="JL212" i="4"/>
  <c r="JL210" i="4"/>
  <c r="ET210" i="4" s="1"/>
  <c r="JM202" i="4"/>
  <c r="JM203" i="4" s="1"/>
  <c r="JN199" i="4" s="1"/>
  <c r="JG230" i="4"/>
  <c r="JG229" i="4"/>
  <c r="JA253" i="4"/>
  <c r="JA258" i="4"/>
  <c r="JA252" i="4"/>
  <c r="JA251" i="4"/>
  <c r="JB247" i="4" s="1"/>
  <c r="JK221" i="4"/>
  <c r="JK226" i="4"/>
  <c r="JK220" i="4"/>
  <c r="IT257" i="4"/>
  <c r="JK219" i="4"/>
  <c r="JL215" i="4" s="1"/>
  <c r="JG228" i="4"/>
  <c r="JH224" i="4" s="1"/>
  <c r="DU241" i="4" l="1"/>
  <c r="IZ255" i="4"/>
  <c r="DP255" i="4"/>
  <c r="DG265" i="4"/>
  <c r="JF232" i="4"/>
  <c r="DV235" i="4"/>
  <c r="DG261" i="4"/>
  <c r="DG266" i="4" s="1"/>
  <c r="IQ267" i="4"/>
  <c r="DG257" i="4" s="1"/>
  <c r="JA254" i="4"/>
  <c r="DU246" i="4"/>
  <c r="JE236" i="4"/>
  <c r="JD244" i="4"/>
  <c r="JD249" i="4"/>
  <c r="JD243" i="4"/>
  <c r="JD242" i="4"/>
  <c r="JE238" i="4" s="1"/>
  <c r="JG231" i="4"/>
  <c r="DS254" i="4"/>
  <c r="JC246" i="4"/>
  <c r="IR266" i="4"/>
  <c r="DH260" i="4" s="1"/>
  <c r="IR265" i="4"/>
  <c r="JK222" i="4"/>
  <c r="JL213" i="4"/>
  <c r="EB233" i="4"/>
  <c r="IS264" i="4"/>
  <c r="DI256" i="4"/>
  <c r="JN200" i="4"/>
  <c r="JN202" i="4" s="1"/>
  <c r="JM208" i="4"/>
  <c r="JM204" i="4"/>
  <c r="JM217" i="4"/>
  <c r="JB248" i="4"/>
  <c r="JB250" i="4" s="1"/>
  <c r="JL216" i="4"/>
  <c r="IT259" i="4"/>
  <c r="JH225" i="4"/>
  <c r="JH227" i="4" s="1"/>
  <c r="DH261" i="4" l="1"/>
  <c r="DH266" i="4" s="1"/>
  <c r="IR267" i="4"/>
  <c r="DH257" i="4" s="1"/>
  <c r="DH262" i="4"/>
  <c r="DH265" i="4"/>
  <c r="DH267" i="4" s="1"/>
  <c r="IS266" i="4"/>
  <c r="DI260" i="4" s="1"/>
  <c r="IS265" i="4"/>
  <c r="JF234" i="4"/>
  <c r="DV239" i="4" s="1"/>
  <c r="JF233" i="4"/>
  <c r="DG267" i="4"/>
  <c r="JB251" i="4"/>
  <c r="JC247" i="4" s="1"/>
  <c r="JC248" i="4" s="1"/>
  <c r="JC250" i="4" s="1"/>
  <c r="JG232" i="4"/>
  <c r="DW235" i="4"/>
  <c r="DG262" i="4"/>
  <c r="JD245" i="4"/>
  <c r="JE239" i="4"/>
  <c r="JE241" i="4" s="1"/>
  <c r="JK223" i="4"/>
  <c r="EA234" i="4"/>
  <c r="JA255" i="4"/>
  <c r="DQ255" i="4"/>
  <c r="JM210" i="4"/>
  <c r="JM212" i="4"/>
  <c r="JM213" i="4" s="1"/>
  <c r="JM209" i="4"/>
  <c r="JN205" i="4" s="1"/>
  <c r="JN206" i="4" s="1"/>
  <c r="JN203" i="4"/>
  <c r="JO199" i="4" s="1"/>
  <c r="JN217" i="4"/>
  <c r="JN204" i="4"/>
  <c r="JN208" i="4"/>
  <c r="JH230" i="4"/>
  <c r="JH229" i="4"/>
  <c r="JB253" i="4"/>
  <c r="JB258" i="4"/>
  <c r="JB252" i="4"/>
  <c r="JH228" i="4"/>
  <c r="JI224" i="4" s="1"/>
  <c r="JL218" i="4"/>
  <c r="IT262" i="4"/>
  <c r="IT261" i="4"/>
  <c r="IT260" i="4"/>
  <c r="IU256" i="4" s="1"/>
  <c r="DT254" i="4" l="1"/>
  <c r="JD246" i="4"/>
  <c r="DV244" i="4"/>
  <c r="DI261" i="4"/>
  <c r="DI266" i="4" s="1"/>
  <c r="IS267" i="4"/>
  <c r="DI257" i="4" s="1"/>
  <c r="DI262" i="4"/>
  <c r="DI265" i="4"/>
  <c r="DI267" i="4" s="1"/>
  <c r="JG234" i="4"/>
  <c r="DW239" i="4" s="1"/>
  <c r="JG233" i="4"/>
  <c r="JH231" i="4"/>
  <c r="JE242" i="4"/>
  <c r="JF238" i="4" s="1"/>
  <c r="JF239" i="4" s="1"/>
  <c r="JB254" i="4"/>
  <c r="JE249" i="4"/>
  <c r="JE243" i="4"/>
  <c r="JE244" i="4"/>
  <c r="IT263" i="4"/>
  <c r="JL219" i="4"/>
  <c r="JM215" i="4" s="1"/>
  <c r="JM216" i="4" s="1"/>
  <c r="JM218" i="4" s="1"/>
  <c r="DV240" i="4"/>
  <c r="DV245" i="4" s="1"/>
  <c r="JF235" i="4"/>
  <c r="DV236" i="4" s="1"/>
  <c r="JN210" i="4"/>
  <c r="JN212" i="4"/>
  <c r="JN213" i="4" s="1"/>
  <c r="JO200" i="4"/>
  <c r="JO202" i="4" s="1"/>
  <c r="JN209" i="4"/>
  <c r="JO205" i="4" s="1"/>
  <c r="JC253" i="4"/>
  <c r="JC258" i="4"/>
  <c r="JC252" i="4"/>
  <c r="JC251" i="4"/>
  <c r="JD247" i="4" s="1"/>
  <c r="JI225" i="4"/>
  <c r="JI227" i="4" s="1"/>
  <c r="IU257" i="4"/>
  <c r="IU259" i="4" s="1"/>
  <c r="JL221" i="4"/>
  <c r="JL226" i="4"/>
  <c r="JL220" i="4"/>
  <c r="ET220" i="4" s="1"/>
  <c r="JB255" i="4" l="1"/>
  <c r="DR255" i="4"/>
  <c r="IT264" i="4"/>
  <c r="DJ256" i="4"/>
  <c r="JL222" i="4"/>
  <c r="JC254" i="4"/>
  <c r="JE245" i="4"/>
  <c r="JH232" i="4"/>
  <c r="DX235" i="4"/>
  <c r="JF236" i="4"/>
  <c r="DV246" i="4"/>
  <c r="DW240" i="4"/>
  <c r="DW245" i="4" s="1"/>
  <c r="JG235" i="4"/>
  <c r="DW236" i="4" s="1"/>
  <c r="DV241" i="4"/>
  <c r="DW241" i="4"/>
  <c r="DW244" i="4"/>
  <c r="JO206" i="4"/>
  <c r="JO203" i="4"/>
  <c r="JP199" i="4" s="1"/>
  <c r="JO217" i="4"/>
  <c r="JO204" i="4"/>
  <c r="JO208" i="4"/>
  <c r="JM221" i="4"/>
  <c r="JM222" i="4" s="1"/>
  <c r="JM223" i="4" s="1"/>
  <c r="JM226" i="4"/>
  <c r="JM220" i="4"/>
  <c r="JM219" i="4"/>
  <c r="JN215" i="4" s="1"/>
  <c r="IU262" i="4"/>
  <c r="IU261" i="4"/>
  <c r="IU260" i="4"/>
  <c r="IV256" i="4" s="1"/>
  <c r="JI230" i="4"/>
  <c r="JI229" i="4"/>
  <c r="JI228" i="4"/>
  <c r="JJ224" i="4" s="1"/>
  <c r="JD248" i="4"/>
  <c r="JD250" i="4" s="1"/>
  <c r="JL223" i="4" l="1"/>
  <c r="EB234" i="4"/>
  <c r="JG236" i="4"/>
  <c r="DW246" i="4"/>
  <c r="JI231" i="4"/>
  <c r="JH234" i="4"/>
  <c r="DX239" i="4" s="1"/>
  <c r="JH233" i="4"/>
  <c r="IT266" i="4"/>
  <c r="DJ260" i="4" s="1"/>
  <c r="IT265" i="4"/>
  <c r="JF241" i="4"/>
  <c r="DU254" i="4"/>
  <c r="JE246" i="4"/>
  <c r="IU263" i="4"/>
  <c r="JC255" i="4"/>
  <c r="DS255" i="4"/>
  <c r="JO209" i="4"/>
  <c r="JP205" i="4" s="1"/>
  <c r="JP206" i="4" s="1"/>
  <c r="JO210" i="4"/>
  <c r="JO212" i="4"/>
  <c r="JO213" i="4" s="1"/>
  <c r="JP200" i="4"/>
  <c r="JP202" i="4" s="1"/>
  <c r="JP203" i="4" s="1"/>
  <c r="JQ199" i="4" s="1"/>
  <c r="JD253" i="4"/>
  <c r="JD258" i="4"/>
  <c r="JD252" i="4"/>
  <c r="IV257" i="4"/>
  <c r="IV259" i="4" s="1"/>
  <c r="JD251" i="4"/>
  <c r="JE247" i="4" s="1"/>
  <c r="JN216" i="4"/>
  <c r="JN218" i="4" s="1"/>
  <c r="JN219" i="4" s="1"/>
  <c r="JO215" i="4" s="1"/>
  <c r="JJ225" i="4"/>
  <c r="JJ227" i="4" s="1"/>
  <c r="IU264" i="4" l="1"/>
  <c r="DK256" i="4"/>
  <c r="JI232" i="4"/>
  <c r="DY235" i="4"/>
  <c r="JF242" i="4"/>
  <c r="JG238" i="4" s="1"/>
  <c r="JF249" i="4"/>
  <c r="JF243" i="4"/>
  <c r="JF244" i="4"/>
  <c r="DJ261" i="4"/>
  <c r="DJ266" i="4" s="1"/>
  <c r="IT267" i="4"/>
  <c r="DJ257" i="4" s="1"/>
  <c r="DJ265" i="4"/>
  <c r="DJ267" i="4" s="1"/>
  <c r="DX240" i="4"/>
  <c r="DX245" i="4" s="1"/>
  <c r="JH235" i="4"/>
  <c r="DX236" i="4" s="1"/>
  <c r="JD254" i="4"/>
  <c r="DX244" i="4"/>
  <c r="JQ200" i="4"/>
  <c r="JQ202" i="4" s="1"/>
  <c r="JP217" i="4"/>
  <c r="JP204" i="4"/>
  <c r="JP208" i="4"/>
  <c r="JJ230" i="4"/>
  <c r="JJ229" i="4"/>
  <c r="JO216" i="4"/>
  <c r="JO218" i="4" s="1"/>
  <c r="JO219" i="4" s="1"/>
  <c r="JP215" i="4" s="1"/>
  <c r="IV262" i="4"/>
  <c r="IV261" i="4"/>
  <c r="IV260" i="4"/>
  <c r="IW256" i="4" s="1"/>
  <c r="JJ228" i="4"/>
  <c r="JK224" i="4" s="1"/>
  <c r="JN221" i="4"/>
  <c r="JN222" i="4" s="1"/>
  <c r="JN223" i="4" s="1"/>
  <c r="JN226" i="4"/>
  <c r="JN220" i="4"/>
  <c r="JE248" i="4"/>
  <c r="JE250" i="4" s="1"/>
  <c r="JG239" i="4" l="1"/>
  <c r="JG241" i="4" s="1"/>
  <c r="JG242" i="4" s="1"/>
  <c r="JH238" i="4" s="1"/>
  <c r="DJ262" i="4"/>
  <c r="IV263" i="4"/>
  <c r="JH236" i="4"/>
  <c r="DX246" i="4"/>
  <c r="JI234" i="4"/>
  <c r="DY239" i="4" s="1"/>
  <c r="JI233" i="4"/>
  <c r="JJ231" i="4"/>
  <c r="DX241" i="4"/>
  <c r="JF245" i="4"/>
  <c r="JD255" i="4"/>
  <c r="DT255" i="4"/>
  <c r="IU265" i="4"/>
  <c r="IU266" i="4"/>
  <c r="DK260" i="4" s="1"/>
  <c r="JP210" i="4"/>
  <c r="JP212" i="4"/>
  <c r="JP213" i="4" s="1"/>
  <c r="JQ203" i="4"/>
  <c r="JR199" i="4" s="1"/>
  <c r="JQ208" i="4"/>
  <c r="JQ217" i="4"/>
  <c r="JQ204" i="4"/>
  <c r="JP209" i="4"/>
  <c r="JQ205" i="4" s="1"/>
  <c r="JQ206" i="4" s="1"/>
  <c r="JP216" i="4"/>
  <c r="IW257" i="4"/>
  <c r="IW259" i="4" s="1"/>
  <c r="JO221" i="4"/>
  <c r="JO222" i="4" s="1"/>
  <c r="JO223" i="4" s="1"/>
  <c r="JO226" i="4"/>
  <c r="JO220" i="4"/>
  <c r="JE253" i="4"/>
  <c r="JE258" i="4"/>
  <c r="JE252" i="4"/>
  <c r="JE251" i="4"/>
  <c r="JF247" i="4" s="1"/>
  <c r="JK225" i="4"/>
  <c r="JK227" i="4" s="1"/>
  <c r="JP218" i="4" l="1"/>
  <c r="JP226" i="4" s="1"/>
  <c r="JH239" i="4"/>
  <c r="JH241" i="4" s="1"/>
  <c r="JH242" i="4" s="1"/>
  <c r="JI238" i="4" s="1"/>
  <c r="JI239" i="4" s="1"/>
  <c r="DV254" i="4"/>
  <c r="JF246" i="4"/>
  <c r="JE254" i="4"/>
  <c r="DK262" i="4"/>
  <c r="DK265" i="4"/>
  <c r="DK267" i="4" s="1"/>
  <c r="IV264" i="4"/>
  <c r="DL256" i="4"/>
  <c r="JQ209" i="4"/>
  <c r="JR205" i="4" s="1"/>
  <c r="JR206" i="4" s="1"/>
  <c r="DK261" i="4"/>
  <c r="DK266" i="4" s="1"/>
  <c r="IU267" i="4"/>
  <c r="DK257" i="4" s="1"/>
  <c r="JJ232" i="4"/>
  <c r="DZ235" i="4"/>
  <c r="DY240" i="4"/>
  <c r="DY245" i="4" s="1"/>
  <c r="JI235" i="4"/>
  <c r="DY236" i="4" s="1"/>
  <c r="DY244" i="4"/>
  <c r="JG249" i="4"/>
  <c r="JG244" i="4"/>
  <c r="JG243" i="4"/>
  <c r="JQ210" i="4"/>
  <c r="JQ212" i="4"/>
  <c r="JQ213" i="4" s="1"/>
  <c r="JR200" i="4"/>
  <c r="JR202" i="4" s="1"/>
  <c r="IW262" i="4"/>
  <c r="IW261" i="4"/>
  <c r="JK230" i="4"/>
  <c r="JK229" i="4"/>
  <c r="JK228" i="4"/>
  <c r="JL224" i="4" s="1"/>
  <c r="JP221" i="4"/>
  <c r="JP222" i="4" s="1"/>
  <c r="JP223" i="4" s="1"/>
  <c r="JP220" i="4"/>
  <c r="JP219" i="4"/>
  <c r="JQ215" i="4" s="1"/>
  <c r="JF248" i="4"/>
  <c r="JF250" i="4" s="1"/>
  <c r="IW260" i="4"/>
  <c r="IX256" i="4" s="1"/>
  <c r="DY241" i="4" l="1"/>
  <c r="JG245" i="4"/>
  <c r="JJ233" i="4"/>
  <c r="JJ234" i="4"/>
  <c r="DZ239" i="4" s="1"/>
  <c r="JI236" i="4"/>
  <c r="JI241" i="4" s="1"/>
  <c r="DY246" i="4"/>
  <c r="JE255" i="4"/>
  <c r="DU255" i="4"/>
  <c r="IW263" i="4"/>
  <c r="JK231" i="4"/>
  <c r="IV265" i="4"/>
  <c r="IV266" i="4"/>
  <c r="DL260" i="4" s="1"/>
  <c r="JH244" i="4"/>
  <c r="JH243" i="4"/>
  <c r="JH249" i="4"/>
  <c r="JR217" i="4"/>
  <c r="JR204" i="4"/>
  <c r="JR208" i="4"/>
  <c r="JR209" i="4" s="1"/>
  <c r="JS205" i="4" s="1"/>
  <c r="JS206" i="4" s="1"/>
  <c r="JR203" i="4"/>
  <c r="JS199" i="4" s="1"/>
  <c r="JF251" i="4"/>
  <c r="JG247" i="4" s="1"/>
  <c r="JG248" i="4" s="1"/>
  <c r="JF253" i="4"/>
  <c r="JF258" i="4"/>
  <c r="JF252" i="4"/>
  <c r="JL225" i="4"/>
  <c r="JL227" i="4" s="1"/>
  <c r="IX257" i="4"/>
  <c r="JQ216" i="4"/>
  <c r="JI242" i="4" l="1"/>
  <c r="JJ238" i="4" s="1"/>
  <c r="JI249" i="4"/>
  <c r="JI243" i="4"/>
  <c r="JI244" i="4"/>
  <c r="DL261" i="4"/>
  <c r="DL266" i="4" s="1"/>
  <c r="IV267" i="4"/>
  <c r="DL257" i="4" s="1"/>
  <c r="JK232" i="4"/>
  <c r="EA235" i="4"/>
  <c r="DZ244" i="4"/>
  <c r="DZ240" i="4"/>
  <c r="DZ245" i="4" s="1"/>
  <c r="JJ235" i="4"/>
  <c r="DZ236" i="4" s="1"/>
  <c r="JF254" i="4"/>
  <c r="JH245" i="4"/>
  <c r="IW264" i="4"/>
  <c r="DM256" i="4"/>
  <c r="DW254" i="4"/>
  <c r="JG246" i="4"/>
  <c r="JG250" i="4" s="1"/>
  <c r="DL265" i="4"/>
  <c r="JS200" i="4"/>
  <c r="JS202" i="4" s="1"/>
  <c r="JS203" i="4" s="1"/>
  <c r="JT199" i="4" s="1"/>
  <c r="JQ218" i="4"/>
  <c r="JQ219" i="4" s="1"/>
  <c r="JR215" i="4" s="1"/>
  <c r="JR216" i="4" s="1"/>
  <c r="JR212" i="4"/>
  <c r="JR213" i="4" s="1"/>
  <c r="JR210" i="4"/>
  <c r="JL230" i="4"/>
  <c r="JL229" i="4"/>
  <c r="ET229" i="4" s="1"/>
  <c r="IX259" i="4"/>
  <c r="JL228" i="4"/>
  <c r="JM224" i="4" s="1"/>
  <c r="JQ220" i="4" l="1"/>
  <c r="DL262" i="4"/>
  <c r="JG253" i="4"/>
  <c r="JG258" i="4"/>
  <c r="JG252" i="4"/>
  <c r="JG251" i="4"/>
  <c r="JH247" i="4" s="1"/>
  <c r="JH248" i="4" s="1"/>
  <c r="JH250" i="4" s="1"/>
  <c r="JL231" i="4"/>
  <c r="JI245" i="4"/>
  <c r="JJ236" i="4"/>
  <c r="DZ246" i="4"/>
  <c r="IW265" i="4"/>
  <c r="IW266" i="4"/>
  <c r="DM260" i="4" s="1"/>
  <c r="DZ241" i="4"/>
  <c r="JF255" i="4"/>
  <c r="DV255" i="4"/>
  <c r="DL267" i="4"/>
  <c r="DX254" i="4"/>
  <c r="JH246" i="4"/>
  <c r="JK233" i="4"/>
  <c r="JK234" i="4"/>
  <c r="EA239" i="4" s="1"/>
  <c r="JJ239" i="4"/>
  <c r="JJ241" i="4" s="1"/>
  <c r="JR218" i="4"/>
  <c r="JR219" i="4" s="1"/>
  <c r="JS215" i="4" s="1"/>
  <c r="JT200" i="4"/>
  <c r="JT202" i="4" s="1"/>
  <c r="JS208" i="4"/>
  <c r="JS204" i="4"/>
  <c r="JS217" i="4"/>
  <c r="JQ226" i="4"/>
  <c r="JQ221" i="4"/>
  <c r="JQ222" i="4" s="1"/>
  <c r="JQ223" i="4" s="1"/>
  <c r="IX262" i="4"/>
  <c r="IX261" i="4"/>
  <c r="IX260" i="4"/>
  <c r="IY256" i="4" s="1"/>
  <c r="JM225" i="4"/>
  <c r="JM227" i="4" s="1"/>
  <c r="EA244" i="4" l="1"/>
  <c r="JJ244" i="4"/>
  <c r="JJ249" i="4"/>
  <c r="JJ243" i="4"/>
  <c r="EA240" i="4"/>
  <c r="EA245" i="4" s="1"/>
  <c r="JK235" i="4"/>
  <c r="EA236" i="4" s="1"/>
  <c r="DM261" i="4"/>
  <c r="DM266" i="4" s="1"/>
  <c r="IW267" i="4"/>
  <c r="DM257" i="4" s="1"/>
  <c r="JL232" i="4"/>
  <c r="EB235" i="4"/>
  <c r="DM265" i="4"/>
  <c r="JG254" i="4"/>
  <c r="JH251" i="4"/>
  <c r="JI247" i="4" s="1"/>
  <c r="JI248" i="4" s="1"/>
  <c r="JI250" i="4" s="1"/>
  <c r="IX263" i="4"/>
  <c r="JJ242" i="4"/>
  <c r="JK238" i="4" s="1"/>
  <c r="DY254" i="4"/>
  <c r="JI246" i="4"/>
  <c r="JR226" i="4"/>
  <c r="JR221" i="4"/>
  <c r="JR222" i="4" s="1"/>
  <c r="JR223" i="4" s="1"/>
  <c r="JR220" i="4"/>
  <c r="JT203" i="4"/>
  <c r="JU199" i="4" s="1"/>
  <c r="JT217" i="4"/>
  <c r="JT208" i="4"/>
  <c r="JT204" i="4"/>
  <c r="JS209" i="4"/>
  <c r="JT205" i="4" s="1"/>
  <c r="JT206" i="4" s="1"/>
  <c r="JS210" i="4"/>
  <c r="JS212" i="4"/>
  <c r="JS213" i="4" s="1"/>
  <c r="JM230" i="4"/>
  <c r="JM231" i="4" s="1"/>
  <c r="JM232" i="4" s="1"/>
  <c r="JM229" i="4"/>
  <c r="JH253" i="4"/>
  <c r="JH258" i="4"/>
  <c r="JH252" i="4"/>
  <c r="JS216" i="4"/>
  <c r="JM228" i="4"/>
  <c r="JN224" i="4" s="1"/>
  <c r="IY257" i="4"/>
  <c r="IY259" i="4" s="1"/>
  <c r="DM267" i="4" l="1"/>
  <c r="DM262" i="4"/>
  <c r="JG255" i="4"/>
  <c r="DW255" i="4"/>
  <c r="JH254" i="4"/>
  <c r="JK239" i="4"/>
  <c r="JJ245" i="4"/>
  <c r="IX264" i="4"/>
  <c r="DN256" i="4"/>
  <c r="JL234" i="4"/>
  <c r="EB239" i="4" s="1"/>
  <c r="JL233" i="4"/>
  <c r="EA246" i="4"/>
  <c r="JK236" i="4"/>
  <c r="EA241" i="4"/>
  <c r="JS218" i="4"/>
  <c r="JS220" i="4" s="1"/>
  <c r="JT209" i="4"/>
  <c r="JU205" i="4" s="1"/>
  <c r="JU206" i="4" s="1"/>
  <c r="JT210" i="4"/>
  <c r="JT212" i="4"/>
  <c r="JT213" i="4" s="1"/>
  <c r="JU200" i="4"/>
  <c r="JU202" i="4" s="1"/>
  <c r="IY262" i="4"/>
  <c r="IY261" i="4"/>
  <c r="IY260" i="4"/>
  <c r="IZ256" i="4" s="1"/>
  <c r="JI253" i="4"/>
  <c r="JI258" i="4"/>
  <c r="JI252" i="4"/>
  <c r="JI251" i="4"/>
  <c r="JJ247" i="4" s="1"/>
  <c r="JN225" i="4"/>
  <c r="JN227" i="4" s="1"/>
  <c r="JM234" i="4"/>
  <c r="JM233" i="4"/>
  <c r="JS221" i="4" l="1"/>
  <c r="JS222" i="4" s="1"/>
  <c r="JS223" i="4" s="1"/>
  <c r="JS219" i="4"/>
  <c r="JT215" i="4" s="1"/>
  <c r="JT216" i="4" s="1"/>
  <c r="IY263" i="4"/>
  <c r="DZ254" i="4"/>
  <c r="JJ246" i="4"/>
  <c r="EB240" i="4"/>
  <c r="JL235" i="4"/>
  <c r="EB236" i="4" s="1"/>
  <c r="EB241" i="4"/>
  <c r="EB244" i="4"/>
  <c r="I239" i="4"/>
  <c r="JK241" i="4"/>
  <c r="IX265" i="4"/>
  <c r="IX266" i="4"/>
  <c r="DN260" i="4" s="1"/>
  <c r="JH255" i="4"/>
  <c r="DX255" i="4"/>
  <c r="JI254" i="4"/>
  <c r="JM235" i="4"/>
  <c r="JS226" i="4"/>
  <c r="JU217" i="4"/>
  <c r="JU204" i="4"/>
  <c r="JU208" i="4"/>
  <c r="JU209" i="4" s="1"/>
  <c r="JV205" i="4" s="1"/>
  <c r="JU203" i="4"/>
  <c r="JV199" i="4" s="1"/>
  <c r="JN230" i="4"/>
  <c r="JN231" i="4" s="1"/>
  <c r="JN232" i="4" s="1"/>
  <c r="JN229" i="4"/>
  <c r="JN228" i="4"/>
  <c r="JO224" i="4" s="1"/>
  <c r="IZ257" i="4"/>
  <c r="IZ259" i="4" s="1"/>
  <c r="JJ248" i="4"/>
  <c r="JJ250" i="4" s="1"/>
  <c r="EB245" i="4" l="1"/>
  <c r="I240" i="4"/>
  <c r="JI255" i="4"/>
  <c r="DY255" i="4"/>
  <c r="DN265" i="4"/>
  <c r="DN261" i="4"/>
  <c r="DN266" i="4" s="1"/>
  <c r="IX267" i="4"/>
  <c r="DN257" i="4" s="1"/>
  <c r="JK243" i="4"/>
  <c r="JK249" i="4"/>
  <c r="JK244" i="4"/>
  <c r="JK242" i="4"/>
  <c r="JL238" i="4" s="1"/>
  <c r="JL239" i="4" s="1"/>
  <c r="F244" i="4"/>
  <c r="IY264" i="4"/>
  <c r="DO256" i="4"/>
  <c r="JL236" i="4"/>
  <c r="EB246" i="4"/>
  <c r="G246" i="4" s="1"/>
  <c r="I244" i="4"/>
  <c r="G244" i="4"/>
  <c r="JV206" i="4"/>
  <c r="JV200" i="4"/>
  <c r="JV202" i="4" s="1"/>
  <c r="JU210" i="4"/>
  <c r="JU212" i="4"/>
  <c r="JU213" i="4" s="1"/>
  <c r="JJ253" i="4"/>
  <c r="JJ258" i="4"/>
  <c r="JJ252" i="4"/>
  <c r="JJ251" i="4"/>
  <c r="JK247" i="4" s="1"/>
  <c r="IZ262" i="4"/>
  <c r="IZ261" i="4"/>
  <c r="JT218" i="4"/>
  <c r="JN234" i="4"/>
  <c r="JN233" i="4"/>
  <c r="IZ260" i="4"/>
  <c r="JA256" i="4" s="1"/>
  <c r="JO225" i="4"/>
  <c r="JO227" i="4" s="1"/>
  <c r="DN267" i="4" l="1"/>
  <c r="JL241" i="4"/>
  <c r="JL242" i="4" s="1"/>
  <c r="JM238" i="4" s="1"/>
  <c r="JM239" i="4" s="1"/>
  <c r="JM241" i="4" s="1"/>
  <c r="DN262" i="4"/>
  <c r="JK245" i="4"/>
  <c r="JJ254" i="4"/>
  <c r="I241" i="4"/>
  <c r="H240" i="4" s="1"/>
  <c r="F245" i="4"/>
  <c r="H223" i="4" s="1"/>
  <c r="O21" i="1" s="1"/>
  <c r="IZ263" i="4"/>
  <c r="G245" i="4"/>
  <c r="I223" i="4" s="1"/>
  <c r="P21" i="1" s="1"/>
  <c r="I245" i="4"/>
  <c r="E223" i="4" s="1"/>
  <c r="G223" i="4" s="1"/>
  <c r="N21" i="1" s="1"/>
  <c r="IY266" i="4"/>
  <c r="DO260" i="4" s="1"/>
  <c r="IY265" i="4"/>
  <c r="JV208" i="4"/>
  <c r="JV204" i="4"/>
  <c r="JV217" i="4"/>
  <c r="JV203" i="4"/>
  <c r="JW199" i="4" s="1"/>
  <c r="JO230" i="4"/>
  <c r="JO231" i="4" s="1"/>
  <c r="JO232" i="4" s="1"/>
  <c r="JO229" i="4"/>
  <c r="JT221" i="4"/>
  <c r="JT222" i="4" s="1"/>
  <c r="JT223" i="4" s="1"/>
  <c r="JT226" i="4"/>
  <c r="JT220" i="4"/>
  <c r="JK248" i="4"/>
  <c r="JA257" i="4"/>
  <c r="JA259" i="4" s="1"/>
  <c r="JO228" i="4"/>
  <c r="JP224" i="4" s="1"/>
  <c r="JN235" i="4"/>
  <c r="JT219" i="4"/>
  <c r="JU215" i="4" s="1"/>
  <c r="JL243" i="4" l="1"/>
  <c r="ET243" i="4" s="1"/>
  <c r="JL249" i="4"/>
  <c r="JL244" i="4"/>
  <c r="EA254" i="4"/>
  <c r="JK246" i="4"/>
  <c r="JK250" i="4" s="1"/>
  <c r="DO261" i="4"/>
  <c r="DO266" i="4" s="1"/>
  <c r="IY267" i="4"/>
  <c r="DO257" i="4" s="1"/>
  <c r="IZ264" i="4"/>
  <c r="DP256" i="4"/>
  <c r="DO265" i="4"/>
  <c r="I246" i="4"/>
  <c r="H241" i="4"/>
  <c r="F246" i="4"/>
  <c r="H239" i="4"/>
  <c r="JL245" i="4"/>
  <c r="JJ255" i="4"/>
  <c r="DZ255" i="4"/>
  <c r="JM242" i="4"/>
  <c r="JN238" i="4" s="1"/>
  <c r="JM244" i="4"/>
  <c r="JM245" i="4" s="1"/>
  <c r="JM249" i="4"/>
  <c r="JM243" i="4"/>
  <c r="JW200" i="4"/>
  <c r="JW202" i="4" s="1"/>
  <c r="JA260" i="4"/>
  <c r="JB256" i="4" s="1"/>
  <c r="JB257" i="4" s="1"/>
  <c r="JV212" i="4"/>
  <c r="JV213" i="4" s="1"/>
  <c r="JV210" i="4"/>
  <c r="JV209" i="4"/>
  <c r="JW205" i="4" s="1"/>
  <c r="JA262" i="4"/>
  <c r="JA261" i="4"/>
  <c r="JU216" i="4"/>
  <c r="JU218" i="4" s="1"/>
  <c r="JP225" i="4"/>
  <c r="JP227" i="4" s="1"/>
  <c r="JP228" i="4" s="1"/>
  <c r="JQ224" i="4" s="1"/>
  <c r="JO234" i="4"/>
  <c r="JO233" i="4"/>
  <c r="JK258" i="4" l="1"/>
  <c r="JK251" i="4"/>
  <c r="JL247" i="4" s="1"/>
  <c r="JL248" i="4" s="1"/>
  <c r="JK253" i="4"/>
  <c r="JK254" i="4" s="1"/>
  <c r="JK252" i="4"/>
  <c r="DO262" i="4"/>
  <c r="JA263" i="4"/>
  <c r="EB254" i="4"/>
  <c r="JL246" i="4"/>
  <c r="JL250" i="4" s="1"/>
  <c r="IZ266" i="4"/>
  <c r="DP260" i="4" s="1"/>
  <c r="IZ265" i="4"/>
  <c r="JN239" i="4"/>
  <c r="JN241" i="4" s="1"/>
  <c r="H245" i="4"/>
  <c r="H246" i="4"/>
  <c r="H244" i="4"/>
  <c r="DO267" i="4"/>
  <c r="JO235" i="4"/>
  <c r="JW208" i="4"/>
  <c r="JW204" i="4"/>
  <c r="JW217" i="4"/>
  <c r="JW203" i="4"/>
  <c r="JX199" i="4" s="1"/>
  <c r="JW206" i="4"/>
  <c r="JB259" i="4"/>
  <c r="JU221" i="4"/>
  <c r="JU222" i="4" s="1"/>
  <c r="JU223" i="4" s="1"/>
  <c r="JU226" i="4"/>
  <c r="JU220" i="4"/>
  <c r="JQ225" i="4"/>
  <c r="JQ227" i="4" s="1"/>
  <c r="JQ228" i="4" s="1"/>
  <c r="JR224" i="4" s="1"/>
  <c r="JU219" i="4"/>
  <c r="JV215" i="4" s="1"/>
  <c r="JP230" i="4"/>
  <c r="JP231" i="4" s="1"/>
  <c r="JP232" i="4" s="1"/>
  <c r="JP229" i="4"/>
  <c r="JW209" i="4" l="1"/>
  <c r="JX205" i="4" s="1"/>
  <c r="JX206" i="4" s="1"/>
  <c r="JN244" i="4"/>
  <c r="JN245" i="4" s="1"/>
  <c r="JN249" i="4"/>
  <c r="JN243" i="4"/>
  <c r="JL253" i="4"/>
  <c r="JL258" i="4"/>
  <c r="JL252" i="4"/>
  <c r="ET252" i="4" s="1"/>
  <c r="JL251" i="4"/>
  <c r="JM247" i="4" s="1"/>
  <c r="JM248" i="4" s="1"/>
  <c r="JM250" i="4" s="1"/>
  <c r="DP261" i="4"/>
  <c r="DP266" i="4" s="1"/>
  <c r="IZ267" i="4"/>
  <c r="DP257" i="4" s="1"/>
  <c r="DP265" i="4"/>
  <c r="JB260" i="4"/>
  <c r="JC256" i="4" s="1"/>
  <c r="JC257" i="4" s="1"/>
  <c r="JK255" i="4"/>
  <c r="EA255" i="4"/>
  <c r="JN242" i="4"/>
  <c r="JO238" i="4" s="1"/>
  <c r="JA264" i="4"/>
  <c r="DQ256" i="4"/>
  <c r="JX200" i="4"/>
  <c r="JX202" i="4" s="1"/>
  <c r="JB261" i="4"/>
  <c r="JB262" i="4"/>
  <c r="JW212" i="4"/>
  <c r="JW213" i="4" s="1"/>
  <c r="JW210" i="4"/>
  <c r="JR225" i="4"/>
  <c r="JR227" i="4" s="1"/>
  <c r="JQ230" i="4"/>
  <c r="JQ231" i="4" s="1"/>
  <c r="JQ232" i="4" s="1"/>
  <c r="JQ229" i="4"/>
  <c r="JV216" i="4"/>
  <c r="JP234" i="4"/>
  <c r="JP233" i="4"/>
  <c r="DP267" i="4" l="1"/>
  <c r="JC259" i="4"/>
  <c r="JC260" i="4" s="1"/>
  <c r="JD256" i="4" s="1"/>
  <c r="JL254" i="4"/>
  <c r="DP262" i="4"/>
  <c r="JA265" i="4"/>
  <c r="JA266" i="4"/>
  <c r="DQ260" i="4" s="1"/>
  <c r="JB263" i="4"/>
  <c r="JO239" i="4"/>
  <c r="JO241" i="4" s="1"/>
  <c r="JP235" i="4"/>
  <c r="JV218" i="4"/>
  <c r="JV219" i="4" s="1"/>
  <c r="JW215" i="4" s="1"/>
  <c r="JX203" i="4"/>
  <c r="JX217" i="4"/>
  <c r="JX204" i="4"/>
  <c r="JX208" i="4"/>
  <c r="JM253" i="4"/>
  <c r="JM254" i="4" s="1"/>
  <c r="JM255" i="4" s="1"/>
  <c r="JM258" i="4"/>
  <c r="JM252" i="4"/>
  <c r="JR230" i="4"/>
  <c r="JR231" i="4" s="1"/>
  <c r="JR232" i="4" s="1"/>
  <c r="JR229" i="4"/>
  <c r="JR228" i="4"/>
  <c r="JS224" i="4" s="1"/>
  <c r="JM251" i="4"/>
  <c r="JN247" i="4" s="1"/>
  <c r="JQ233" i="4"/>
  <c r="JQ234" i="4"/>
  <c r="JC262" i="4" l="1"/>
  <c r="JC261" i="4"/>
  <c r="JD257" i="4"/>
  <c r="JD259" i="4" s="1"/>
  <c r="JD260" i="4" s="1"/>
  <c r="JE256" i="4" s="1"/>
  <c r="JE257" i="4" s="1"/>
  <c r="JB264" i="4"/>
  <c r="DR256" i="4"/>
  <c r="DQ261" i="4"/>
  <c r="DQ266" i="4" s="1"/>
  <c r="JA267" i="4"/>
  <c r="DQ257" i="4" s="1"/>
  <c r="DQ265" i="4"/>
  <c r="JC263" i="4"/>
  <c r="JO242" i="4"/>
  <c r="JP238" i="4" s="1"/>
  <c r="JL255" i="4"/>
  <c r="EB255" i="4"/>
  <c r="JO249" i="4"/>
  <c r="JO244" i="4"/>
  <c r="JO245" i="4" s="1"/>
  <c r="JO243" i="4"/>
  <c r="JV226" i="4"/>
  <c r="JV220" i="4"/>
  <c r="JV221" i="4"/>
  <c r="JV222" i="4" s="1"/>
  <c r="JV223" i="4" s="1"/>
  <c r="JW216" i="4"/>
  <c r="JW218" i="4" s="1"/>
  <c r="JX210" i="4"/>
  <c r="JX212" i="4"/>
  <c r="JX213" i="4" s="1"/>
  <c r="JX209" i="4"/>
  <c r="JS225" i="4"/>
  <c r="JR234" i="4"/>
  <c r="JR233" i="4"/>
  <c r="JQ235" i="4"/>
  <c r="JN248" i="4"/>
  <c r="JN250" i="4" s="1"/>
  <c r="JN251" i="4" s="1"/>
  <c r="JO247" i="4" s="1"/>
  <c r="DQ262" i="4" l="1"/>
  <c r="DQ267" i="4"/>
  <c r="JD262" i="4"/>
  <c r="JD263" i="4" s="1"/>
  <c r="JD264" i="4" s="1"/>
  <c r="JD261" i="4"/>
  <c r="JP239" i="4"/>
  <c r="JP241" i="4" s="1"/>
  <c r="JP242" i="4" s="1"/>
  <c r="JQ238" i="4" s="1"/>
  <c r="JB266" i="4"/>
  <c r="DR260" i="4" s="1"/>
  <c r="JB265" i="4"/>
  <c r="JC264" i="4"/>
  <c r="DS256" i="4"/>
  <c r="JR235" i="4"/>
  <c r="JW220" i="4"/>
  <c r="JW219" i="4"/>
  <c r="JX215" i="4" s="1"/>
  <c r="JX216" i="4" s="1"/>
  <c r="JW226" i="4"/>
  <c r="JW221" i="4"/>
  <c r="JW222" i="4" s="1"/>
  <c r="JW223" i="4" s="1"/>
  <c r="JO248" i="4"/>
  <c r="JO250" i="4" s="1"/>
  <c r="JE259" i="4"/>
  <c r="JS227" i="4"/>
  <c r="JN253" i="4"/>
  <c r="JN254" i="4" s="1"/>
  <c r="JN255" i="4" s="1"/>
  <c r="JN258" i="4"/>
  <c r="JN252" i="4"/>
  <c r="DT256" i="4" l="1"/>
  <c r="JQ239" i="4"/>
  <c r="JQ241" i="4" s="1"/>
  <c r="JQ242" i="4" s="1"/>
  <c r="JR238" i="4" s="1"/>
  <c r="JC265" i="4"/>
  <c r="DS261" i="4" s="1"/>
  <c r="DS266" i="4" s="1"/>
  <c r="JC266" i="4"/>
  <c r="JB267" i="4"/>
  <c r="DR257" i="4" s="1"/>
  <c r="DR261" i="4"/>
  <c r="DR266" i="4" s="1"/>
  <c r="DR265" i="4"/>
  <c r="JD265" i="4"/>
  <c r="JD266" i="4"/>
  <c r="DT260" i="4" s="1"/>
  <c r="JP243" i="4"/>
  <c r="JP244" i="4"/>
  <c r="JP245" i="4" s="1"/>
  <c r="JP249" i="4"/>
  <c r="JO253" i="4"/>
  <c r="JO254" i="4" s="1"/>
  <c r="JO255" i="4" s="1"/>
  <c r="JO258" i="4"/>
  <c r="JO252" i="4"/>
  <c r="JO251" i="4"/>
  <c r="JP247" i="4" s="1"/>
  <c r="JS230" i="4"/>
  <c r="JS231" i="4" s="1"/>
  <c r="JS232" i="4" s="1"/>
  <c r="JS229" i="4"/>
  <c r="JE262" i="4"/>
  <c r="JE261" i="4"/>
  <c r="JE260" i="4"/>
  <c r="JF256" i="4" s="1"/>
  <c r="JS228" i="4"/>
  <c r="JT224" i="4" s="1"/>
  <c r="JX218" i="4"/>
  <c r="DR267" i="4" l="1"/>
  <c r="DR262" i="4"/>
  <c r="JR239" i="4"/>
  <c r="JR241" i="4" s="1"/>
  <c r="JR242" i="4" s="1"/>
  <c r="JS238" i="4" s="1"/>
  <c r="JE263" i="4"/>
  <c r="JC267" i="4"/>
  <c r="DS257" i="4" s="1"/>
  <c r="DS260" i="4"/>
  <c r="DT265" i="4"/>
  <c r="DT261" i="4"/>
  <c r="DT266" i="4" s="1"/>
  <c r="JD267" i="4"/>
  <c r="DT257" i="4" s="1"/>
  <c r="JQ249" i="4"/>
  <c r="JQ243" i="4"/>
  <c r="JQ244" i="4"/>
  <c r="JQ245" i="4" s="1"/>
  <c r="JP248" i="4"/>
  <c r="JP250" i="4" s="1"/>
  <c r="JX221" i="4"/>
  <c r="JX222" i="4" s="1"/>
  <c r="JX223" i="4" s="1"/>
  <c r="JX226" i="4"/>
  <c r="JX220" i="4"/>
  <c r="JT225" i="4"/>
  <c r="JT227" i="4" s="1"/>
  <c r="JF257" i="4"/>
  <c r="JF259" i="4" s="1"/>
  <c r="JS234" i="4"/>
  <c r="JS233" i="4"/>
  <c r="JX219" i="4"/>
  <c r="DT267" i="4" l="1"/>
  <c r="DT262" i="4"/>
  <c r="JS239" i="4"/>
  <c r="JS241" i="4" s="1"/>
  <c r="JE264" i="4"/>
  <c r="DU256" i="4"/>
  <c r="DS262" i="4"/>
  <c r="DS265" i="4"/>
  <c r="DS267" i="4" s="1"/>
  <c r="JR244" i="4"/>
  <c r="JR245" i="4" s="1"/>
  <c r="JR243" i="4"/>
  <c r="JR249" i="4"/>
  <c r="JS235" i="4"/>
  <c r="JF262" i="4"/>
  <c r="JF261" i="4"/>
  <c r="JF260" i="4"/>
  <c r="JG256" i="4" s="1"/>
  <c r="JT230" i="4"/>
  <c r="JT231" i="4" s="1"/>
  <c r="JT232" i="4" s="1"/>
  <c r="JT229" i="4"/>
  <c r="JP253" i="4"/>
  <c r="JP254" i="4" s="1"/>
  <c r="JP255" i="4" s="1"/>
  <c r="JP258" i="4"/>
  <c r="JP252" i="4"/>
  <c r="JP251" i="4"/>
  <c r="JQ247" i="4" s="1"/>
  <c r="JT228" i="4"/>
  <c r="JU224" i="4" s="1"/>
  <c r="JS242" i="4" l="1"/>
  <c r="JT238" i="4" s="1"/>
  <c r="JT239" i="4" s="1"/>
  <c r="JT241" i="4" s="1"/>
  <c r="JS249" i="4"/>
  <c r="JS243" i="4"/>
  <c r="JS244" i="4"/>
  <c r="JS245" i="4" s="1"/>
  <c r="JF263" i="4"/>
  <c r="JE265" i="4"/>
  <c r="JE266" i="4"/>
  <c r="DU260" i="4" s="1"/>
  <c r="JU225" i="4"/>
  <c r="JU227" i="4" s="1"/>
  <c r="JT233" i="4"/>
  <c r="JT234" i="4"/>
  <c r="JG257" i="4"/>
  <c r="JG259" i="4" s="1"/>
  <c r="JQ248" i="4"/>
  <c r="JQ250" i="4" s="1"/>
  <c r="JQ251" i="4" s="1"/>
  <c r="JR247" i="4" s="1"/>
  <c r="DU265" i="4" l="1"/>
  <c r="DU261" i="4"/>
  <c r="DU266" i="4" s="1"/>
  <c r="JE267" i="4"/>
  <c r="DU257" i="4" s="1"/>
  <c r="JG260" i="4"/>
  <c r="JH256" i="4" s="1"/>
  <c r="JH257" i="4" s="1"/>
  <c r="JH259" i="4" s="1"/>
  <c r="JF264" i="4"/>
  <c r="DV256" i="4"/>
  <c r="JT242" i="4"/>
  <c r="JU238" i="4" s="1"/>
  <c r="JT243" i="4"/>
  <c r="JT249" i="4"/>
  <c r="JT244" i="4"/>
  <c r="JT245" i="4" s="1"/>
  <c r="JT235" i="4"/>
  <c r="JR248" i="4"/>
  <c r="JR250" i="4" s="1"/>
  <c r="JR251" i="4" s="1"/>
  <c r="JS247" i="4" s="1"/>
  <c r="JU230" i="4"/>
  <c r="JU231" i="4" s="1"/>
  <c r="JU232" i="4" s="1"/>
  <c r="JU229" i="4"/>
  <c r="JQ253" i="4"/>
  <c r="JQ254" i="4" s="1"/>
  <c r="JQ255" i="4" s="1"/>
  <c r="JQ258" i="4"/>
  <c r="JQ252" i="4"/>
  <c r="JG262" i="4"/>
  <c r="JG261" i="4"/>
  <c r="JU228" i="4"/>
  <c r="JV224" i="4" s="1"/>
  <c r="JF266" i="4" l="1"/>
  <c r="DV260" i="4" s="1"/>
  <c r="JF265" i="4"/>
  <c r="JG263" i="4"/>
  <c r="DU267" i="4"/>
  <c r="JU239" i="4"/>
  <c r="JU241" i="4" s="1"/>
  <c r="DU262" i="4"/>
  <c r="JH260" i="4"/>
  <c r="JI256" i="4" s="1"/>
  <c r="JI257" i="4" s="1"/>
  <c r="JS248" i="4"/>
  <c r="JS250" i="4" s="1"/>
  <c r="JS251" i="4" s="1"/>
  <c r="JT247" i="4" s="1"/>
  <c r="JU234" i="4"/>
  <c r="JU233" i="4"/>
  <c r="JV225" i="4"/>
  <c r="JV227" i="4" s="1"/>
  <c r="JR253" i="4"/>
  <c r="JR254" i="4" s="1"/>
  <c r="JR255" i="4" s="1"/>
  <c r="JR258" i="4"/>
  <c r="JR252" i="4"/>
  <c r="JH262" i="4"/>
  <c r="JH261" i="4"/>
  <c r="JU242" i="4" l="1"/>
  <c r="JV238" i="4" s="1"/>
  <c r="JU243" i="4"/>
  <c r="JU249" i="4"/>
  <c r="JU244" i="4"/>
  <c r="JU245" i="4" s="1"/>
  <c r="JH263" i="4"/>
  <c r="JG264" i="4"/>
  <c r="DW256" i="4"/>
  <c r="DV261" i="4"/>
  <c r="DV266" i="4" s="1"/>
  <c r="JF267" i="4"/>
  <c r="DV257" i="4" s="1"/>
  <c r="DV265" i="4"/>
  <c r="JU235" i="4"/>
  <c r="JI259" i="4"/>
  <c r="JT248" i="4"/>
  <c r="JT250" i="4" s="1"/>
  <c r="JV230" i="4"/>
  <c r="JV231" i="4" s="1"/>
  <c r="JV232" i="4" s="1"/>
  <c r="JV229" i="4"/>
  <c r="JV228" i="4"/>
  <c r="JW224" i="4" s="1"/>
  <c r="JS253" i="4"/>
  <c r="JS254" i="4" s="1"/>
  <c r="JS255" i="4" s="1"/>
  <c r="JS258" i="4"/>
  <c r="JS252" i="4"/>
  <c r="DV267" i="4" l="1"/>
  <c r="JH264" i="4"/>
  <c r="DX256" i="4"/>
  <c r="JI260" i="4"/>
  <c r="JJ256" i="4" s="1"/>
  <c r="JJ257" i="4" s="1"/>
  <c r="JJ259" i="4" s="1"/>
  <c r="JG265" i="4"/>
  <c r="JG266" i="4"/>
  <c r="DW260" i="4" s="1"/>
  <c r="DV262" i="4"/>
  <c r="JV239" i="4"/>
  <c r="JV241" i="4" s="1"/>
  <c r="JI261" i="4"/>
  <c r="JI262" i="4"/>
  <c r="JT253" i="4"/>
  <c r="JT254" i="4" s="1"/>
  <c r="JT255" i="4" s="1"/>
  <c r="JT258" i="4"/>
  <c r="JT252" i="4"/>
  <c r="JT251" i="4"/>
  <c r="JU247" i="4" s="1"/>
  <c r="JV234" i="4"/>
  <c r="JV233" i="4"/>
  <c r="JW225" i="4"/>
  <c r="JW227" i="4" s="1"/>
  <c r="JV244" i="4" l="1"/>
  <c r="JV245" i="4" s="1"/>
  <c r="JV249" i="4"/>
  <c r="JV243" i="4"/>
  <c r="DW265" i="4"/>
  <c r="DW261" i="4"/>
  <c r="DW266" i="4" s="1"/>
  <c r="JG267" i="4"/>
  <c r="DW257" i="4" s="1"/>
  <c r="JJ262" i="4"/>
  <c r="JI263" i="4"/>
  <c r="JV242" i="4"/>
  <c r="JW238" i="4" s="1"/>
  <c r="JH265" i="4"/>
  <c r="JH266" i="4"/>
  <c r="DX260" i="4" s="1"/>
  <c r="JJ261" i="4"/>
  <c r="JJ260" i="4"/>
  <c r="JK256" i="4" s="1"/>
  <c r="JK257" i="4" s="1"/>
  <c r="JK259" i="4" s="1"/>
  <c r="JW230" i="4"/>
  <c r="JW231" i="4" s="1"/>
  <c r="JW232" i="4" s="1"/>
  <c r="JW229" i="4"/>
  <c r="JW228" i="4"/>
  <c r="JX224" i="4" s="1"/>
  <c r="JV235" i="4"/>
  <c r="JU248" i="4"/>
  <c r="JU250" i="4" s="1"/>
  <c r="DX265" i="4" l="1"/>
  <c r="JK261" i="4"/>
  <c r="DW267" i="4"/>
  <c r="JW239" i="4"/>
  <c r="JW241" i="4" s="1"/>
  <c r="DX261" i="4"/>
  <c r="DX266" i="4" s="1"/>
  <c r="JH267" i="4"/>
  <c r="DX257" i="4" s="1"/>
  <c r="DW262" i="4"/>
  <c r="JI264" i="4"/>
  <c r="DY256" i="4"/>
  <c r="JJ263" i="4"/>
  <c r="JK260" i="4"/>
  <c r="JL256" i="4" s="1"/>
  <c r="JL257" i="4" s="1"/>
  <c r="JK262" i="4"/>
  <c r="JU251" i="4"/>
  <c r="JV247" i="4" s="1"/>
  <c r="JV248" i="4" s="1"/>
  <c r="JU253" i="4"/>
  <c r="JU254" i="4" s="1"/>
  <c r="JU255" i="4" s="1"/>
  <c r="JU258" i="4"/>
  <c r="JU252" i="4"/>
  <c r="JW233" i="4"/>
  <c r="JW234" i="4"/>
  <c r="JX225" i="4"/>
  <c r="JW242" i="4" l="1"/>
  <c r="JX238" i="4" s="1"/>
  <c r="JW243" i="4"/>
  <c r="JW249" i="4"/>
  <c r="JW244" i="4"/>
  <c r="JW245" i="4" s="1"/>
  <c r="JJ264" i="4"/>
  <c r="DZ256" i="4"/>
  <c r="JI265" i="4"/>
  <c r="JI266" i="4"/>
  <c r="DY260" i="4" s="1"/>
  <c r="JK263" i="4"/>
  <c r="DX267" i="4"/>
  <c r="DX262" i="4"/>
  <c r="JV250" i="4"/>
  <c r="JV252" i="4" s="1"/>
  <c r="JL259" i="4"/>
  <c r="JX227" i="4"/>
  <c r="JW235" i="4"/>
  <c r="DY261" i="4" l="1"/>
  <c r="DY266" i="4" s="1"/>
  <c r="JI267" i="4"/>
  <c r="DY257" i="4" s="1"/>
  <c r="JJ266" i="4"/>
  <c r="DZ260" i="4" s="1"/>
  <c r="JJ265" i="4"/>
  <c r="DY262" i="4"/>
  <c r="DY265" i="4"/>
  <c r="DY267" i="4" s="1"/>
  <c r="JK264" i="4"/>
  <c r="EA256" i="4"/>
  <c r="JX239" i="4"/>
  <c r="JX241" i="4" s="1"/>
  <c r="JX242" i="4" s="1"/>
  <c r="JV253" i="4"/>
  <c r="JV254" i="4" s="1"/>
  <c r="JV255" i="4" s="1"/>
  <c r="JV258" i="4"/>
  <c r="JV251" i="4"/>
  <c r="JW247" i="4" s="1"/>
  <c r="JW248" i="4" s="1"/>
  <c r="JW250" i="4" s="1"/>
  <c r="JW253" i="4" s="1"/>
  <c r="JW254" i="4" s="1"/>
  <c r="JW255" i="4" s="1"/>
  <c r="JX230" i="4"/>
  <c r="JX231" i="4" s="1"/>
  <c r="JX232" i="4" s="1"/>
  <c r="JX229" i="4"/>
  <c r="JL262" i="4"/>
  <c r="JL261" i="4"/>
  <c r="ET261" i="4" s="1"/>
  <c r="JX228" i="4"/>
  <c r="JL260" i="4"/>
  <c r="JM256" i="4" s="1"/>
  <c r="JK266" i="4" l="1"/>
  <c r="EA260" i="4" s="1"/>
  <c r="JK265" i="4"/>
  <c r="DZ265" i="4"/>
  <c r="DZ261" i="4"/>
  <c r="DZ266" i="4" s="1"/>
  <c r="JJ267" i="4"/>
  <c r="DZ257" i="4" s="1"/>
  <c r="JX249" i="4"/>
  <c r="JX244" i="4"/>
  <c r="JX245" i="4" s="1"/>
  <c r="JX243" i="4"/>
  <c r="JL263" i="4"/>
  <c r="JW251" i="4"/>
  <c r="JX247" i="4" s="1"/>
  <c r="JX248" i="4" s="1"/>
  <c r="JW258" i="4"/>
  <c r="JW252" i="4"/>
  <c r="JX233" i="4"/>
  <c r="JX234" i="4"/>
  <c r="JM257" i="4"/>
  <c r="JM259" i="4" s="1"/>
  <c r="JX250" i="4" l="1"/>
  <c r="JX253" i="4" s="1"/>
  <c r="JX254" i="4" s="1"/>
  <c r="JX255" i="4" s="1"/>
  <c r="DZ267" i="4"/>
  <c r="DZ262" i="4"/>
  <c r="JL264" i="4"/>
  <c r="EB256" i="4"/>
  <c r="JK267" i="4"/>
  <c r="EA257" i="4" s="1"/>
  <c r="EA261" i="4"/>
  <c r="EA266" i="4" s="1"/>
  <c r="EA265" i="4"/>
  <c r="JX235" i="4"/>
  <c r="JM262" i="4"/>
  <c r="JM263" i="4" s="1"/>
  <c r="JM264" i="4" s="1"/>
  <c r="JM261" i="4"/>
  <c r="JM260" i="4"/>
  <c r="JN256" i="4" s="1"/>
  <c r="JX251" i="4"/>
  <c r="JX252" i="4" l="1"/>
  <c r="JX258" i="4"/>
  <c r="EA267" i="4"/>
  <c r="EA262" i="4"/>
  <c r="JL266" i="4"/>
  <c r="EB260" i="4" s="1"/>
  <c r="JL265" i="4"/>
  <c r="JN257" i="4"/>
  <c r="JM266" i="4"/>
  <c r="JM265" i="4"/>
  <c r="EB261" i="4" l="1"/>
  <c r="JL267" i="4"/>
  <c r="EB257" i="4" s="1"/>
  <c r="EB262" i="4"/>
  <c r="EB265" i="4"/>
  <c r="I260" i="4"/>
  <c r="JM267" i="4"/>
  <c r="JN259" i="4"/>
  <c r="F265" i="4" l="1"/>
  <c r="H224" i="4" s="1"/>
  <c r="O22" i="1" s="1"/>
  <c r="H260" i="4"/>
  <c r="G265" i="4"/>
  <c r="I224" i="4" s="1"/>
  <c r="P22" i="1" s="1"/>
  <c r="I265" i="4"/>
  <c r="E224" i="4" s="1"/>
  <c r="G224" i="4" s="1"/>
  <c r="N22" i="1" s="1"/>
  <c r="EB266" i="4"/>
  <c r="I261" i="4"/>
  <c r="JN262" i="4"/>
  <c r="JN263" i="4" s="1"/>
  <c r="JN264" i="4" s="1"/>
  <c r="JN261" i="4"/>
  <c r="JN260" i="4"/>
  <c r="JO256" i="4" s="1"/>
  <c r="I262" i="4" l="1"/>
  <c r="H261" i="4"/>
  <c r="F266" i="4"/>
  <c r="H225" i="4" s="1"/>
  <c r="O23" i="1" s="1"/>
  <c r="H265" i="4"/>
  <c r="I266" i="4"/>
  <c r="G266" i="4"/>
  <c r="I225" i="4" s="1"/>
  <c r="P23" i="1" s="1"/>
  <c r="EB267" i="4"/>
  <c r="G267" i="4" s="1"/>
  <c r="JO257" i="4"/>
  <c r="JO259" i="4" s="1"/>
  <c r="JN265" i="4"/>
  <c r="JN266" i="4"/>
  <c r="H266" i="4" l="1"/>
  <c r="E225" i="4"/>
  <c r="G225" i="4" s="1"/>
  <c r="N23" i="1" s="1"/>
  <c r="I267" i="4"/>
  <c r="H267" i="4" s="1"/>
  <c r="F267" i="4"/>
  <c r="H262" i="4"/>
  <c r="JN267" i="4"/>
  <c r="JO262" i="4"/>
  <c r="JO263" i="4" s="1"/>
  <c r="JO264" i="4" s="1"/>
  <c r="JO261" i="4"/>
  <c r="JO260" i="4"/>
  <c r="JP256" i="4" s="1"/>
  <c r="JP257" i="4" l="1"/>
  <c r="JP259" i="4" s="1"/>
  <c r="JO266" i="4"/>
  <c r="JO265" i="4"/>
  <c r="JO267" i="4" l="1"/>
  <c r="JP262" i="4"/>
  <c r="JP263" i="4" s="1"/>
  <c r="JP264" i="4" s="1"/>
  <c r="JP261" i="4"/>
  <c r="JP260" i="4"/>
  <c r="JQ256" i="4" s="1"/>
  <c r="JQ257" i="4" l="1"/>
  <c r="JQ259" i="4" s="1"/>
  <c r="JP266" i="4"/>
  <c r="JP265" i="4"/>
  <c r="JP267" i="4" l="1"/>
  <c r="JQ262" i="4"/>
  <c r="JQ263" i="4" s="1"/>
  <c r="JQ264" i="4" s="1"/>
  <c r="JQ261" i="4"/>
  <c r="JQ260" i="4"/>
  <c r="JR256" i="4" s="1"/>
  <c r="JR257" i="4" l="1"/>
  <c r="JR259" i="4" s="1"/>
  <c r="JQ266" i="4"/>
  <c r="JQ265" i="4"/>
  <c r="JQ267" i="4" l="1"/>
  <c r="JR262" i="4"/>
  <c r="JR263" i="4" s="1"/>
  <c r="JR264" i="4" s="1"/>
  <c r="JR261" i="4"/>
  <c r="JR260" i="4"/>
  <c r="JS256" i="4" s="1"/>
  <c r="JS257" i="4" l="1"/>
  <c r="JR266" i="4"/>
  <c r="JR265" i="4"/>
  <c r="JR267" i="4" l="1"/>
  <c r="JS259" i="4"/>
  <c r="JS262" i="4" l="1"/>
  <c r="JS263" i="4" s="1"/>
  <c r="JS264" i="4" s="1"/>
  <c r="JS261" i="4"/>
  <c r="JS260" i="4"/>
  <c r="JT256" i="4" s="1"/>
  <c r="JT257" i="4" l="1"/>
  <c r="JS265" i="4"/>
  <c r="JS266" i="4"/>
  <c r="JS267" i="4" l="1"/>
  <c r="JT259" i="4"/>
  <c r="JT262" i="4" l="1"/>
  <c r="JT263" i="4" s="1"/>
  <c r="JT264" i="4" s="1"/>
  <c r="JT261" i="4"/>
  <c r="JT260" i="4"/>
  <c r="JU256" i="4" s="1"/>
  <c r="JU257" i="4" l="1"/>
  <c r="JU259" i="4" s="1"/>
  <c r="JT266" i="4"/>
  <c r="JT265" i="4"/>
  <c r="JT267" i="4" l="1"/>
  <c r="JU262" i="4"/>
  <c r="JU263" i="4" s="1"/>
  <c r="JU264" i="4" s="1"/>
  <c r="JU261" i="4"/>
  <c r="JU260" i="4"/>
  <c r="JV256" i="4" s="1"/>
  <c r="JV257" i="4" l="1"/>
  <c r="JU266" i="4"/>
  <c r="JU265" i="4"/>
  <c r="JU267" i="4" l="1"/>
  <c r="JV259" i="4"/>
  <c r="JV262" i="4" l="1"/>
  <c r="JV263" i="4" s="1"/>
  <c r="JV264" i="4" s="1"/>
  <c r="JV261" i="4"/>
  <c r="JV260" i="4"/>
  <c r="JW256" i="4" s="1"/>
  <c r="JW257" i="4" l="1"/>
  <c r="JV265" i="4"/>
  <c r="JV266" i="4"/>
  <c r="JW259" i="4" l="1"/>
  <c r="JV267" i="4"/>
  <c r="JW262" i="4" l="1"/>
  <c r="JW263" i="4" s="1"/>
  <c r="JW264" i="4" s="1"/>
  <c r="JW261" i="4"/>
  <c r="JW260" i="4"/>
  <c r="JX256" i="4" s="1"/>
  <c r="JX257" i="4" l="1"/>
  <c r="JX259" i="4" s="1"/>
  <c r="JW265" i="4"/>
  <c r="JW266" i="4"/>
  <c r="JX262" i="4" l="1"/>
  <c r="JX263" i="4" s="1"/>
  <c r="JX264" i="4" s="1"/>
  <c r="JX261" i="4"/>
  <c r="JW267" i="4"/>
  <c r="JX260" i="4"/>
  <c r="JX265" i="4" l="1"/>
  <c r="JX266" i="4"/>
  <c r="JX267" i="4" l="1"/>
</calcChain>
</file>

<file path=xl/sharedStrings.xml><?xml version="1.0" encoding="utf-8"?>
<sst xmlns="http://schemas.openxmlformats.org/spreadsheetml/2006/main" count="1076" uniqueCount="737">
  <si>
    <t>INVESTMENT DESCRIPTION</t>
  </si>
  <si>
    <t>OPERATING PERIOD CASH FLOWS</t>
  </si>
  <si>
    <t>Name</t>
  </si>
  <si>
    <t>REVERSION (SALE) CASH FLOWS</t>
  </si>
  <si>
    <t>Address</t>
  </si>
  <si>
    <t>City</t>
  </si>
  <si>
    <t>County</t>
  </si>
  <si>
    <t>State</t>
  </si>
  <si>
    <t>Zip Code</t>
  </si>
  <si>
    <t>Land Area</t>
  </si>
  <si>
    <t>Buildings</t>
  </si>
  <si>
    <t>Avg. # of Stories</t>
  </si>
  <si>
    <t>FAR</t>
  </si>
  <si>
    <t>Units</t>
  </si>
  <si>
    <t>Units/Acre</t>
  </si>
  <si>
    <t>Total Parking Spaces</t>
  </si>
  <si>
    <t>Structured Parking Spaces</t>
  </si>
  <si>
    <t>Parking Ratio</t>
  </si>
  <si>
    <t>Analysis Begin Date</t>
  </si>
  <si>
    <t>Sale Date</t>
  </si>
  <si>
    <t>START</t>
  </si>
  <si>
    <t>END</t>
  </si>
  <si>
    <t>AMOUNT</t>
  </si>
  <si>
    <t>METHOD</t>
  </si>
  <si>
    <t>Hard Costs</t>
  </si>
  <si>
    <t>Soft Costs</t>
  </si>
  <si>
    <t>Straight-Line</t>
  </si>
  <si>
    <t>S-Curve</t>
  </si>
  <si>
    <t>SOURCES AND USES</t>
  </si>
  <si>
    <t>USES</t>
  </si>
  <si>
    <t>Land Costs</t>
  </si>
  <si>
    <t>Closing Costs</t>
  </si>
  <si>
    <t>Total Land Costs</t>
  </si>
  <si>
    <t>Operating Shortfall</t>
  </si>
  <si>
    <t>Total Hard Costs</t>
  </si>
  <si>
    <t>Total Soft Costs</t>
  </si>
  <si>
    <t>Carry Costs</t>
  </si>
  <si>
    <t>Total Carry Costs</t>
  </si>
  <si>
    <t>/UNIT</t>
  </si>
  <si>
    <t>Construction Costs</t>
  </si>
  <si>
    <t>Other Hard Costs</t>
  </si>
  <si>
    <t>Architecture &amp; Engineering</t>
  </si>
  <si>
    <t>Construction Management</t>
  </si>
  <si>
    <t>Marketing and Leasing</t>
  </si>
  <si>
    <t>BACKEND SETTINGS</t>
  </si>
  <si>
    <t>Example</t>
  </si>
  <si>
    <t>Amount</t>
  </si>
  <si>
    <t>Start</t>
  </si>
  <si>
    <t>End</t>
  </si>
  <si>
    <t>Mo</t>
  </si>
  <si>
    <t>Type</t>
  </si>
  <si>
    <t>Std</t>
  </si>
  <si>
    <t>1 (Flat)</t>
  </si>
  <si>
    <t>S-CURVE CALCULATION</t>
  </si>
  <si>
    <t>Start Period</t>
  </si>
  <si>
    <t>End Period</t>
  </si>
  <si>
    <t>Months</t>
  </si>
  <si>
    <t>Timing</t>
  </si>
  <si>
    <t>StDev</t>
  </si>
  <si>
    <t>S-Curve Steepness</t>
  </si>
  <si>
    <t>SOURCES</t>
  </si>
  <si>
    <t>Equity</t>
  </si>
  <si>
    <t>See Waterfall</t>
  </si>
  <si>
    <t>Total Sources</t>
  </si>
  <si>
    <t>% OF SOURCES</t>
  </si>
  <si>
    <t>ANNUAL RATE</t>
  </si>
  <si>
    <t>FUNDING ORDER</t>
  </si>
  <si>
    <t>Total Equity</t>
  </si>
  <si>
    <t>CASH FLOW BY SOURCE</t>
  </si>
  <si>
    <t>BALANCE TRACKING</t>
  </si>
  <si>
    <t>Total</t>
  </si>
  <si>
    <t>Debt w/o interest</t>
  </si>
  <si>
    <t>Debt interest reserve</t>
  </si>
  <si>
    <t>Error Check</t>
  </si>
  <si>
    <t>Total Development Costs (before Carry Costs)</t>
  </si>
  <si>
    <t>Total Cash Flow by Source</t>
  </si>
  <si>
    <t>Debt Interest Reserve</t>
  </si>
  <si>
    <t>Gross Construction Interest</t>
  </si>
  <si>
    <t>LTC</t>
  </si>
  <si>
    <t>Debt with Operating Shortfall</t>
  </si>
  <si>
    <t>Debt Operating Shortfall Reserve</t>
  </si>
  <si>
    <t>Available</t>
  </si>
  <si>
    <t>Outstanding</t>
  </si>
  <si>
    <t>Total Uses</t>
  </si>
  <si>
    <t>Interest Reserve</t>
  </si>
  <si>
    <t>Operating Shortfall Reserve</t>
  </si>
  <si>
    <t>CASH FLOW OF SOURCES</t>
  </si>
  <si>
    <t>SOURCES AND USES CALCULATIONS</t>
  </si>
  <si>
    <t>Studio</t>
  </si>
  <si>
    <t>2 Bd/2.5 Bth</t>
  </si>
  <si>
    <t>1 Bd/1 Bth</t>
  </si>
  <si>
    <t>1 Bd/1.5 Bth</t>
  </si>
  <si>
    <t>2 Bd/2 Bth</t>
  </si>
  <si>
    <t>Lease-up</t>
  </si>
  <si>
    <t>Operation Begin Month</t>
  </si>
  <si>
    <t>% Pre-Leased</t>
  </si>
  <si>
    <t>Lease-up Pace (Units/Mo)</t>
  </si>
  <si>
    <t>Leased %</t>
  </si>
  <si>
    <t>Operation Month</t>
  </si>
  <si>
    <t>LEASE-UP CALCULATION</t>
  </si>
  <si>
    <t>Available Units</t>
  </si>
  <si>
    <t>New Leasing</t>
  </si>
  <si>
    <t>% Prelease</t>
  </si>
  <si>
    <t>Operation Year</t>
  </si>
  <si>
    <t>Gross Rent</t>
  </si>
  <si>
    <t>INCOME</t>
  </si>
  <si>
    <t>CONCESSIONS CALCULATION</t>
  </si>
  <si>
    <t>Stabilized</t>
  </si>
  <si>
    <t>Stabilized Month</t>
  </si>
  <si>
    <t>LOSS-TO-LEASE CALCULATION</t>
  </si>
  <si>
    <t>Offset Operation Month</t>
  </si>
  <si>
    <t>Offset Year</t>
  </si>
  <si>
    <t>Month in Offset Year</t>
  </si>
  <si>
    <t>Percentage of Annual Increase to Model</t>
  </si>
  <si>
    <t>Gross Rent Prior Year</t>
  </si>
  <si>
    <t>Rent Increase</t>
  </si>
  <si>
    <t>Cum. Spent %</t>
  </si>
  <si>
    <t>- Concessions (Free Rent)</t>
  </si>
  <si>
    <t>- Gain/Loss-to-Lease</t>
  </si>
  <si>
    <t>- Non-Revenue (Model) Units</t>
  </si>
  <si>
    <t>Lease Contract Length</t>
  </si>
  <si>
    <t>RUBS</t>
  </si>
  <si>
    <t>OTHER INCOME</t>
  </si>
  <si>
    <t>RENTAL INCOME</t>
  </si>
  <si>
    <t>Parking Income</t>
  </si>
  <si>
    <t>Other Income</t>
  </si>
  <si>
    <t>TOTAL OTHER INCOME</t>
  </si>
  <si>
    <t>UNITS</t>
  </si>
  <si>
    <t>TOTAL RENT/YR</t>
  </si>
  <si>
    <t>AMOUNT/YR</t>
  </si>
  <si>
    <t>UNIT/YR</t>
  </si>
  <si>
    <t>INITIAL FREE RENT</t>
  </si>
  <si>
    <t>STAB. FREE RENT</t>
  </si>
  <si>
    <t>TOTAL POTENTIAL INCOME</t>
  </si>
  <si>
    <t>GROSS RENT</t>
  </si>
  <si>
    <t>OPERATING EXPENSES</t>
  </si>
  <si>
    <t>Repairs and Maintenance</t>
  </si>
  <si>
    <t>Payroll</t>
  </si>
  <si>
    <t>Marketing</t>
  </si>
  <si>
    <t>Utilities</t>
  </si>
  <si>
    <t>Contract Services</t>
  </si>
  <si>
    <t>Make Ready Cost</t>
  </si>
  <si>
    <t>Management Fee</t>
  </si>
  <si>
    <t>Insurance</t>
  </si>
  <si>
    <t>Property Taxes</t>
  </si>
  <si>
    <t>TOTAL OPERATING EXPENSES</t>
  </si>
  <si>
    <t>Annual Income Growth Rate</t>
  </si>
  <si>
    <t>EFFECTIVE GROSS REVENUE</t>
  </si>
  <si>
    <t>RENT/UNIT/MO</t>
  </si>
  <si>
    <t>% OF TOTAL RENT</t>
  </si>
  <si>
    <t>% FIXED</t>
  </si>
  <si>
    <t>% OF EGR</t>
  </si>
  <si>
    <t>EXPENSES</t>
  </si>
  <si>
    <t>Annual Expense Growth Rate</t>
  </si>
  <si>
    <t>Economic Occ. %</t>
  </si>
  <si>
    <t>% Fixed</t>
  </si>
  <si>
    <t>Prop. Tax (Operation Yr 1) % of Full</t>
  </si>
  <si>
    <t>Prop. Tax (Operation Yr 2) % of Full</t>
  </si>
  <si>
    <t>Prop. Tax (Operation Yr 3) % of Full</t>
  </si>
  <si>
    <t>Fixed Only</t>
  </si>
  <si>
    <t>Per Schedule</t>
  </si>
  <si>
    <t>No Growth</t>
  </si>
  <si>
    <t>Mill Rate</t>
  </si>
  <si>
    <t>CAPITAL EXPENDITURES</t>
  </si>
  <si>
    <t>Capital Reserves</t>
  </si>
  <si>
    <t>Other Capital Expenditures</t>
  </si>
  <si>
    <t>TOTAL CAPITAL EXPENDITURES</t>
  </si>
  <si>
    <t>NET OPERATING INCOME</t>
  </si>
  <si>
    <t>CASH FLOW FROM OPERATIONS</t>
  </si>
  <si>
    <t>NOI</t>
  </si>
  <si>
    <t>PRO FORMA</t>
  </si>
  <si>
    <t>1st Stabilized Month</t>
  </si>
  <si>
    <t>Sale Month</t>
  </si>
  <si>
    <t>TIMING</t>
  </si>
  <si>
    <t>REVERSION (SALE) ASSUMPTIONS</t>
  </si>
  <si>
    <t>Market Cap Rate Today</t>
  </si>
  <si>
    <t>Cap Rate at Sale (Terminal Cap)</t>
  </si>
  <si>
    <t>Selling Costs</t>
  </si>
  <si>
    <t>RETURNS</t>
  </si>
  <si>
    <t>TOTAL RENTAL INCOME</t>
  </si>
  <si>
    <t>UNTRENDED</t>
  </si>
  <si>
    <t>TRENDED</t>
  </si>
  <si>
    <t>SALE</t>
  </si>
  <si>
    <t>As of Today</t>
  </si>
  <si>
    <t>VALUATION</t>
  </si>
  <si>
    <t>SALE PROCEEDS</t>
  </si>
  <si>
    <t>Cap Rate</t>
  </si>
  <si>
    <t>Stabilized Value</t>
  </si>
  <si>
    <t>- Loan Payoff</t>
  </si>
  <si>
    <t>Total Project Cost (Before Carry Costs)</t>
  </si>
  <si>
    <t>Total Construction Loan Interest (Before Lease-up Income)</t>
  </si>
  <si>
    <t>Total Loan Draws</t>
  </si>
  <si>
    <t>Cash Flow from Operations</t>
  </si>
  <si>
    <t>Net Unlevered Cash Flow</t>
  </si>
  <si>
    <t>Net Levered Cash Flow</t>
  </si>
  <si>
    <t>IRR</t>
  </si>
  <si>
    <t>Equity Proceeds from Sale</t>
  </si>
  <si>
    <t>Net Sale Proceeds</t>
  </si>
  <si>
    <t>Net Profit</t>
  </si>
  <si>
    <t>PROPERTY-LEVEL CASH FLOWS</t>
  </si>
  <si>
    <t>PARTNERSHIP-LEVEL CASH FLOWS</t>
  </si>
  <si>
    <t>Financing Fees</t>
  </si>
  <si>
    <t>First Loan Draw</t>
  </si>
  <si>
    <t>Capitalized Construction Interest</t>
  </si>
  <si>
    <t>[Enter Company Name]</t>
  </si>
  <si>
    <t>[Investment Name]</t>
  </si>
  <si>
    <t>[Street Address]</t>
  </si>
  <si>
    <t>[City]</t>
  </si>
  <si>
    <t>[County]</t>
  </si>
  <si>
    <t>[State]</t>
  </si>
  <si>
    <t>[Zip Code]</t>
  </si>
  <si>
    <t>GP</t>
  </si>
  <si>
    <t>LP</t>
  </si>
  <si>
    <t>[Limited Partner Name]</t>
  </si>
  <si>
    <t>Share</t>
  </si>
  <si>
    <t>GP-LP CONTRIBUTIONS</t>
  </si>
  <si>
    <t># of Land Cost Items</t>
  </si>
  <si>
    <t># of Hard Cost Items</t>
  </si>
  <si>
    <t># of Soft Cost Items</t>
  </si>
  <si>
    <t># of Unit Types</t>
  </si>
  <si>
    <t># of Other Income Items</t>
  </si>
  <si>
    <t>EXPENSES - DETAILED UNDERWRITING</t>
  </si>
  <si>
    <t>Detailed</t>
  </si>
  <si>
    <t>Basic</t>
  </si>
  <si>
    <t>CONTROLLABLE EXPENSES</t>
  </si>
  <si>
    <t>Business manager</t>
  </si>
  <si>
    <t>Assistant manager</t>
  </si>
  <si>
    <t>Leasing director</t>
  </si>
  <si>
    <t>Leasing agent</t>
  </si>
  <si>
    <t>Concierge</t>
  </si>
  <si>
    <t>Maintenance supervisor</t>
  </si>
  <si>
    <t>Asst. maint. Technician</t>
  </si>
  <si>
    <t>Painter</t>
  </si>
  <si>
    <t>Porter</t>
  </si>
  <si>
    <t>Housekeeper</t>
  </si>
  <si>
    <t>Other</t>
  </si>
  <si>
    <t>Sub-total</t>
  </si>
  <si>
    <t>Benefits, taxes, etc.</t>
  </si>
  <si>
    <t>Bonuses</t>
  </si>
  <si>
    <t>Qty</t>
  </si>
  <si>
    <t>Salary</t>
  </si>
  <si>
    <t>$</t>
  </si>
  <si>
    <t>Per Unit</t>
  </si>
  <si>
    <t>General maintenance</t>
  </si>
  <si>
    <t>Maintenance supplies</t>
  </si>
  <si>
    <t>Elevators</t>
  </si>
  <si>
    <t>Furniture</t>
  </si>
  <si>
    <t>General cleaning</t>
  </si>
  <si>
    <t>Cleaning supplies</t>
  </si>
  <si>
    <t>General repair</t>
  </si>
  <si>
    <t>Painting</t>
  </si>
  <si>
    <t>Landscaping</t>
  </si>
  <si>
    <t>Landscaping maintenance</t>
  </si>
  <si>
    <t>Landscaping materials</t>
  </si>
  <si>
    <t>Pool maintenance</t>
  </si>
  <si>
    <t>Exterminating</t>
  </si>
  <si>
    <t>R&amp;M General</t>
  </si>
  <si>
    <t>R &amp; M-Apartments</t>
  </si>
  <si>
    <t>Office supplies</t>
  </si>
  <si>
    <t>Telephone</t>
  </si>
  <si>
    <t>Computers</t>
  </si>
  <si>
    <t>Office equipment</t>
  </si>
  <si>
    <t>Permits &amp; inspection</t>
  </si>
  <si>
    <t>Uniforms</t>
  </si>
  <si>
    <t>Travel</t>
  </si>
  <si>
    <t>Professional fees</t>
  </si>
  <si>
    <t>Employee training</t>
  </si>
  <si>
    <t>HOA Dues</t>
  </si>
  <si>
    <t>General &amp; Administrative</t>
  </si>
  <si>
    <t xml:space="preserve">Promotion / Common area programming </t>
  </si>
  <si>
    <t>Web site, etc.</t>
  </si>
  <si>
    <t>Apartment locator fees</t>
  </si>
  <si>
    <t>Brochures</t>
  </si>
  <si>
    <t>Media</t>
  </si>
  <si>
    <t>Electricity-common areas</t>
  </si>
  <si>
    <t>Electricity-vacant apartments</t>
  </si>
  <si>
    <t>Electricity-models</t>
  </si>
  <si>
    <t>Electricity-recovery</t>
  </si>
  <si>
    <t>Water and sewer-house</t>
  </si>
  <si>
    <t>Water and sewer-apartments</t>
  </si>
  <si>
    <t>Water and sewer-recovery</t>
  </si>
  <si>
    <t>Natural gas</t>
  </si>
  <si>
    <t>Natural gas recovery</t>
  </si>
  <si>
    <t>Trash removal</t>
  </si>
  <si>
    <t>Trash removal recovery</t>
  </si>
  <si>
    <t>Elevator Service</t>
  </si>
  <si>
    <t>Alarm Monitoring</t>
  </si>
  <si>
    <t>HOA Management</t>
  </si>
  <si>
    <t>Snow Removal Service</t>
  </si>
  <si>
    <t>Make Ready per Unit</t>
  </si>
  <si>
    <t>Turnover Assumption</t>
  </si>
  <si>
    <t>FIXED EXPENSES</t>
  </si>
  <si>
    <t>Management Fee Percentage</t>
  </si>
  <si>
    <t>(See Underwriting Tab)</t>
  </si>
  <si>
    <t>Total Controllable Expenses</t>
  </si>
  <si>
    <t>Liability</t>
  </si>
  <si>
    <t>Personal property</t>
  </si>
  <si>
    <t>Prop &amp; casualty</t>
  </si>
  <si>
    <t>School District</t>
  </si>
  <si>
    <t>Rate</t>
  </si>
  <si>
    <t>Value</t>
  </si>
  <si>
    <t>Value Adj.</t>
  </si>
  <si>
    <t>Total Fixed Expenses</t>
  </si>
  <si>
    <t>Total Operating Expense</t>
  </si>
  <si>
    <t>Levered IRR</t>
  </si>
  <si>
    <t>Development Spread</t>
  </si>
  <si>
    <t>Yield-on-Cost</t>
  </si>
  <si>
    <t>Market Cap Rate</t>
  </si>
  <si>
    <t>Levered EMx:</t>
  </si>
  <si>
    <t>Expense Ratio:</t>
  </si>
  <si>
    <t>Untrended Value:</t>
  </si>
  <si>
    <t>Development Spread (Untrended)</t>
  </si>
  <si>
    <t>No Retail</t>
  </si>
  <si>
    <t>Incl. Retail</t>
  </si>
  <si>
    <t>Retail Leasing Cost Reserves</t>
  </si>
  <si>
    <t>RETAIL INCOME (Net of Expenses)</t>
  </si>
  <si>
    <t>RETAIL INCOME (NET OF EXPENSES)</t>
  </si>
  <si>
    <t>RETAIL INCOME</t>
  </si>
  <si>
    <t>RETAIL EXPENSES</t>
  </si>
  <si>
    <t>UNIT TYPE</t>
  </si>
  <si>
    <t>SUITE</t>
  </si>
  <si>
    <t>LEASE START</t>
  </si>
  <si>
    <t>RENT START</t>
  </si>
  <si>
    <t>ANNUAL BUMPS</t>
  </si>
  <si>
    <t>RECOVERY %</t>
  </si>
  <si>
    <t>ANNUAL RENT (YR 1)</t>
  </si>
  <si>
    <t>TENANT</t>
  </si>
  <si>
    <t>Yummy Juice</t>
  </si>
  <si>
    <t>JoJo's Café</t>
  </si>
  <si>
    <t>SF</t>
  </si>
  <si>
    <t>RETAIL OPERATING EXPENSES</t>
  </si>
  <si>
    <t>Common Area Maintenance</t>
  </si>
  <si>
    <t>RECOVERY INCOME</t>
  </si>
  <si>
    <t>PRO RATA SHARE</t>
  </si>
  <si>
    <t>RECOVERY START</t>
  </si>
  <si>
    <t>RETAIL BASE RENTAL INCOME</t>
  </si>
  <si>
    <t>Retail Occ. %</t>
  </si>
  <si>
    <t>Expense Growth</t>
  </si>
  <si>
    <t>Operation Mo</t>
  </si>
  <si>
    <t>OCCUPANCY</t>
  </si>
  <si>
    <t>POTENTIAL RETAIL INCOME</t>
  </si>
  <si>
    <t>- Retail Vacancy and Credit Loss</t>
  </si>
  <si>
    <t>RETAIL LEASING COST RESERVE</t>
  </si>
  <si>
    <t>New Lease</t>
  </si>
  <si>
    <t>Renewal Lease</t>
  </si>
  <si>
    <t>Tenant Improvements</t>
  </si>
  <si>
    <t>Leasing Commissions</t>
  </si>
  <si>
    <t>Lease Term</t>
  </si>
  <si>
    <t>Renewal Probability</t>
  </si>
  <si>
    <t>Average Retail Market Rent</t>
  </si>
  <si>
    <t>ASSUMPTIONS</t>
  </si>
  <si>
    <t>CALCULATION</t>
  </si>
  <si>
    <t>Total Leasing Costs</t>
  </si>
  <si>
    <t>Leasing Cost/Yr</t>
  </si>
  <si>
    <t>Dbl. Promote</t>
  </si>
  <si>
    <t>Sgl. Promote</t>
  </si>
  <si>
    <t>[General Partner Name]</t>
  </si>
  <si>
    <t>GP-LP DISTRIBUTIONS</t>
  </si>
  <si>
    <t>GP-LP NET CASH FLOW</t>
  </si>
  <si>
    <t>2nd Tier</t>
  </si>
  <si>
    <t>3rd Tier</t>
  </si>
  <si>
    <t>4th Tier</t>
  </si>
  <si>
    <t>IRR Hurdle</t>
  </si>
  <si>
    <t>up to</t>
  </si>
  <si>
    <t>above</t>
  </si>
  <si>
    <t>Pref. Return</t>
  </si>
  <si>
    <t>DISTRIBUTION WATERFALL</t>
  </si>
  <si>
    <t>DISTRIBUTIONS TO GP AND LP</t>
  </si>
  <si>
    <t>Beginning Balance (LP Capital Account)</t>
  </si>
  <si>
    <t>Contributions from LP</t>
  </si>
  <si>
    <t>Distributions to LP (Hurdle 1)</t>
  </si>
  <si>
    <t>Ending Balance (LP Capital Account)</t>
  </si>
  <si>
    <t>Distribution to LP</t>
  </si>
  <si>
    <t>Cash Flow Remaining</t>
  </si>
  <si>
    <t>HURDLE 1 DISTRIBUTION</t>
  </si>
  <si>
    <t>RETURN OF CAPITAL &amp;</t>
  </si>
  <si>
    <t>Hurdle</t>
  </si>
  <si>
    <t>Req'd Return by LP (Pref)</t>
  </si>
  <si>
    <t>Total Distributions (Hurdle 1)</t>
  </si>
  <si>
    <t>IRR Check</t>
  </si>
  <si>
    <t>HURDLE 2 DISTRIBUTION</t>
  </si>
  <si>
    <t>Include Dev. Fee?</t>
  </si>
  <si>
    <t>No</t>
  </si>
  <si>
    <t>Prior Distributions</t>
  </si>
  <si>
    <t>Total Distributions (Hurdle 2)</t>
  </si>
  <si>
    <t>Distributions to LP (Hurdle 2)</t>
  </si>
  <si>
    <t>HURDLE 3 DISTRIBUTION</t>
  </si>
  <si>
    <t>Total Distributions (Hurdle 4)</t>
  </si>
  <si>
    <t>HURDLE 4 DISTRIBUTION</t>
  </si>
  <si>
    <t>Distributions to LP (Hurdle 3)</t>
  </si>
  <si>
    <t>Total Distributions (Hurdle 3)</t>
  </si>
  <si>
    <t xml:space="preserve">EMx </t>
  </si>
  <si>
    <t>CO-GP CONTRIBUTIONS</t>
  </si>
  <si>
    <t>GP 1</t>
  </si>
  <si>
    <t>GP 2</t>
  </si>
  <si>
    <t>[General Partner 1 Name]</t>
  </si>
  <si>
    <t>[General Partner 2 Name]</t>
  </si>
  <si>
    <t>DISTRIBUTIONS TO GP 1 AND GP 2</t>
  </si>
  <si>
    <t>Distribution to GP</t>
  </si>
  <si>
    <t>Developer Fee to GP</t>
  </si>
  <si>
    <t>Distribution to GP 2</t>
  </si>
  <si>
    <t>Distribution to GP 1</t>
  </si>
  <si>
    <t>Beginning Balance (GP 2 Capital Account)</t>
  </si>
  <si>
    <t>Req'd Return by GP 2 (Pref)</t>
  </si>
  <si>
    <t>Contributions from GP 2</t>
  </si>
  <si>
    <t>Distributions to GP 2 (Hurdle 1)</t>
  </si>
  <si>
    <t>Ending Balance (GP 2 Capital Account)</t>
  </si>
  <si>
    <t>Distributions to GP 2 (Hurdle 2)</t>
  </si>
  <si>
    <t>Distributions to GP 2 (Hurdle 3)</t>
  </si>
  <si>
    <t>2ND WATERFALL (GP 1 AND GP 2)</t>
  </si>
  <si>
    <t>Share of Dev. Fee</t>
  </si>
  <si>
    <t>Share of Equity</t>
  </si>
  <si>
    <t>Equity Amount</t>
  </si>
  <si>
    <t>Net Levered GP Cash Flow (before Dev. Fee)</t>
  </si>
  <si>
    <t>PARTNERSHIP WATERFALL</t>
  </si>
  <si>
    <t>ROI</t>
  </si>
  <si>
    <t>RETURNS SUMMARY</t>
  </si>
  <si>
    <t>Contributions</t>
  </si>
  <si>
    <t>Show Calc</t>
  </si>
  <si>
    <t>Hide Calc</t>
  </si>
  <si>
    <t>SENSITIVITY ANALYSIS</t>
  </si>
  <si>
    <t>STRENGTHS</t>
  </si>
  <si>
    <t>WEAKNESSES</t>
  </si>
  <si>
    <t>Spent %</t>
  </si>
  <si>
    <t>Height</t>
  </si>
  <si>
    <t>Building(s)</t>
  </si>
  <si>
    <t>[List strength #1]</t>
  </si>
  <si>
    <t>[List strength #2]</t>
  </si>
  <si>
    <t>[List strength #3]</t>
  </si>
  <si>
    <t>[List strength #4]</t>
  </si>
  <si>
    <t>[List strength #5]</t>
  </si>
  <si>
    <t>[List strength #6]</t>
  </si>
  <si>
    <t>[List Weakness #1]</t>
  </si>
  <si>
    <t>[List Weakness #2]</t>
  </si>
  <si>
    <t>[List Weakness #3]</t>
  </si>
  <si>
    <t>[List Weakness #4]</t>
  </si>
  <si>
    <t>[List Weakness #5]</t>
  </si>
  <si>
    <t>[List Weakness #6]</t>
  </si>
  <si>
    <t>Parking Spaces</t>
  </si>
  <si>
    <t>Analysis Start</t>
  </si>
  <si>
    <t>Construction Start</t>
  </si>
  <si>
    <t>1st Unit Delivered</t>
  </si>
  <si>
    <t>Construction End</t>
  </si>
  <si>
    <t>Stabilization</t>
  </si>
  <si>
    <t>INSERT IMAGE/MAP</t>
  </si>
  <si>
    <t>PROPERTY-LEVEL CASH FLOW</t>
  </si>
  <si>
    <t>PARTNERSHIP RETURNS</t>
  </si>
  <si>
    <t>PROPERTY RETURNS</t>
  </si>
  <si>
    <t>Unlevered</t>
  </si>
  <si>
    <t>Levered</t>
  </si>
  <si>
    <t>DEVELOPMENT RETURNS</t>
  </si>
  <si>
    <t>%</t>
  </si>
  <si>
    <t>/Unit</t>
  </si>
  <si>
    <t>/Buildable SF</t>
  </si>
  <si>
    <t>Effective Gross Revenue</t>
  </si>
  <si>
    <t>- Operating Expenses</t>
  </si>
  <si>
    <t>Net Operating Income</t>
  </si>
  <si>
    <t>- Capital Expenditures</t>
  </si>
  <si>
    <t>Valuation</t>
  </si>
  <si>
    <t>Untrended</t>
  </si>
  <si>
    <t>Trended</t>
  </si>
  <si>
    <t>Sale</t>
  </si>
  <si>
    <t>KEY ASSUMPTIONS &amp; RETURN METRICS</t>
  </si>
  <si>
    <t>UNIT/MO</t>
  </si>
  <si>
    <t>Growth Rates - Income / Expense</t>
  </si>
  <si>
    <t>Effective Rent - PSF / Per Unit</t>
  </si>
  <si>
    <t>General Vacancy &amp; Credit Loss</t>
  </si>
  <si>
    <t>Operating Expense Ratio</t>
  </si>
  <si>
    <t>Breakeven Occupancy (Untrended)</t>
  </si>
  <si>
    <t>Reversion Net Proceeds (After Selling Costs)</t>
  </si>
  <si>
    <t>% of Total Project Cost</t>
  </si>
  <si>
    <t>SENSITIVITY</t>
  </si>
  <si>
    <t>SENSITIVITY #1</t>
  </si>
  <si>
    <t>Exit Cap Rate</t>
  </si>
  <si>
    <t>SENSITIVITY #2</t>
  </si>
  <si>
    <t>Levered EMx</t>
  </si>
  <si>
    <t>Dev. Spread</t>
  </si>
  <si>
    <t>Vacancy</t>
  </si>
  <si>
    <t>Inc. Growth</t>
  </si>
  <si>
    <t>Exp. Growth</t>
  </si>
  <si>
    <t>SENSITIVITY #3</t>
  </si>
  <si>
    <t>SENSITIVITY #4</t>
  </si>
  <si>
    <t>Base Case</t>
  </si>
  <si>
    <t>Downside #1</t>
  </si>
  <si>
    <t>Downside #2</t>
  </si>
  <si>
    <t>Downside #3</t>
  </si>
  <si>
    <t>Downside #4</t>
  </si>
  <si>
    <t>Downside #5</t>
  </si>
  <si>
    <t>Rental Income</t>
  </si>
  <si>
    <t>Operating Expenses</t>
  </si>
  <si>
    <t>Effective Gross Income</t>
  </si>
  <si>
    <t>Potential Gross Income</t>
  </si>
  <si>
    <t>Net Effective Rent</t>
  </si>
  <si>
    <t>Capital Expenditures</t>
  </si>
  <si>
    <t>[Item]</t>
  </si>
  <si>
    <t>[Unit Type]</t>
  </si>
  <si>
    <t>[Other Income Item]</t>
  </si>
  <si>
    <t>EQUITY MULTIPLE</t>
  </si>
  <si>
    <t>NET PROFIT</t>
  </si>
  <si>
    <t>RETAIL INCOME AND RESERVES</t>
  </si>
  <si>
    <t>DETAILED OPERATING EXPENSES</t>
  </si>
  <si>
    <t>Added "Detail" option to development cash flow modeling</t>
  </si>
  <si>
    <t>Added Growth Begin assumption for operating income and expenses</t>
  </si>
  <si>
    <t>Analysis Year</t>
  </si>
  <si>
    <t>Analysis Month</t>
  </si>
  <si>
    <t>Analysis Date</t>
  </si>
  <si>
    <t>Valuation/Unit</t>
  </si>
  <si>
    <t>Added Valuation/Unit metric to Summary tab</t>
  </si>
  <si>
    <t>beta v0.41</t>
  </si>
  <si>
    <t>Author: Spencer Burton</t>
  </si>
  <si>
    <t>Changelog</t>
  </si>
  <si>
    <t>Model Resources</t>
  </si>
  <si>
    <t>APARTMENT DEVELOPMENT MODEL - VERSION NOTES</t>
  </si>
  <si>
    <t>https://www.adventuresincre.com/</t>
  </si>
  <si>
    <t>Important Links:</t>
  </si>
  <si>
    <t>Compatibility</t>
  </si>
  <si>
    <t>Excel 2013</t>
  </si>
  <si>
    <t>Excel 2016</t>
  </si>
  <si>
    <t>Excel 365</t>
  </si>
  <si>
    <t>beta v0.42</t>
  </si>
  <si>
    <t>Total Project Cost before Financing</t>
  </si>
  <si>
    <t>Renamed Total Construction Cost to Total Project Cost on Underwriting tab</t>
  </si>
  <si>
    <t>Income Growth Month</t>
  </si>
  <si>
    <t>Expense Growth Month</t>
  </si>
  <si>
    <t>Income Growth Year</t>
  </si>
  <si>
    <t>Expense Growth Year</t>
  </si>
  <si>
    <t>Added Expense Growth Month and Expense Growth Year line item</t>
  </si>
  <si>
    <t>Corrected issue where Income/Expense Growth Year was mislabeled month, not year</t>
  </si>
  <si>
    <t>Added option to differentiate between Income growth begin and Expense growth begin month</t>
  </si>
  <si>
    <t>Surface Parking Spaces</t>
  </si>
  <si>
    <t>Development Fee</t>
  </si>
  <si>
    <t>Locked line for Development Fee under Soft Costs so that it flows to GP cash flows/returns (if applicable)</t>
  </si>
  <si>
    <t>Guides and Tutorials for Using the Model</t>
  </si>
  <si>
    <t>Browse our entire Library of Real Estate Models</t>
  </si>
  <si>
    <t>Visit this Model's Webpage</t>
  </si>
  <si>
    <t>beta v0.5</t>
  </si>
  <si>
    <t>Misc. formatting fixes</t>
  </si>
  <si>
    <t>Added Basic vs Detailed Lease Up Toggle in the 'Income' subsection of the 'Operating Period Cash Flows' section</t>
  </si>
  <si>
    <t>Coded two new macros - one to activate basic lease up underwriting, the other to activate detailed lease up underwriting</t>
  </si>
  <si>
    <t>Added logic such that the 'Leased %' row becomes an input (blue font cell) when detailed lease up activated</t>
  </si>
  <si>
    <t>Added logic such that when reverting from Detailed to Basic underwriting, Leased % formulas revert to default</t>
  </si>
  <si>
    <t>Built new Detailed Lease Up Module (see Row 73)</t>
  </si>
  <si>
    <t>Fixed issue on Detail Expenses tab where font for 'Turnover Assumption' input was black, rather than blue</t>
  </si>
  <si>
    <t>Added option to use Variable, rather than Fixed, construction loan interest rate (see 'Fixed/Variable toggle under 'Sources' - Underwriting tab)</t>
  </si>
  <si>
    <t>Includes new required input - variable interest rate by month - when Variable is toggled on</t>
  </si>
  <si>
    <t>Includes two new macros: Fixed_Rate and Variable_Rate</t>
  </si>
  <si>
    <t>Includes Fixed and Variable buttons under 'Sources' section of Underwriting tab</t>
  </si>
  <si>
    <t>beta v0.6</t>
  </si>
  <si>
    <t>Fixed</t>
  </si>
  <si>
    <t>Variable</t>
  </si>
  <si>
    <t>Construction Loan Interest Rate</t>
  </si>
  <si>
    <t>beta v0.7</t>
  </si>
  <si>
    <t>Misc. formatting fixes/improvements</t>
  </si>
  <si>
    <t>Show</t>
  </si>
  <si>
    <t>Hide</t>
  </si>
  <si>
    <t>Created toggle to hide/show Annual Cash Flow report (see right side of Summary tab - Property Level Cash Flow section)</t>
  </si>
  <si>
    <t>Cleaned up Misc. VBA code</t>
  </si>
  <si>
    <t>ANNUAL CASH FLOW</t>
  </si>
  <si>
    <t>- General Vacancy and Credit Loss</t>
  </si>
  <si>
    <t>MONTHLY OPERATING CASH FLOWS</t>
  </si>
  <si>
    <t>Retail Income (Net of Expenses)</t>
  </si>
  <si>
    <t>MONTHLY PROPERTY-LEVEL CASH FLOWS</t>
  </si>
  <si>
    <t>Financing Costs</t>
  </si>
  <si>
    <t>MONTHLY DEVELOPMENT CASH FLOWS</t>
  </si>
  <si>
    <t>TOTAL PROJECT COST BEFORE FINANCING</t>
  </si>
  <si>
    <t>TOTAL PROJECT COST</t>
  </si>
  <si>
    <t>ANNUAL DEVELOPMENT CASH FLOWS</t>
  </si>
  <si>
    <t>ANNUAL OPERATING CASH FLOWS</t>
  </si>
  <si>
    <t>ANNUAL PROPERTY-LEVEL CASH FLOWS</t>
  </si>
  <si>
    <t xml:space="preserve">ANNUAL CASH FLOW REPORT: </t>
  </si>
  <si>
    <t>Added printable 'Annual Cash Flow' report tab (hidden by default); monthly cash flows from Underwriting tab rolled up for reporting purposes</t>
  </si>
  <si>
    <t>Updated IRR formulas to allow for scenarios where there is no cash flow in time 0</t>
  </si>
  <si>
    <t>beta v0.8</t>
  </si>
  <si>
    <t>Fixed issue where Show_Calc macro wasn't working</t>
  </si>
  <si>
    <t>Fixed issue where 'Analysis Start' date in header on the Summary tab wasn't linked to input on Underwriting tab</t>
  </si>
  <si>
    <t>Fixed Unlevered ROI formula on summary tab; had been dividing by Total Project Cost including financing costs</t>
  </si>
  <si>
    <t>v1.0</t>
  </si>
  <si>
    <t>Added SF and M2 toggle in cell I8 of Underwriting tab</t>
  </si>
  <si>
    <t>Various label and logic updates to accommodate option to use square meters</t>
  </si>
  <si>
    <t>Now includes option to use square meters or square feet</t>
  </si>
  <si>
    <t>Updated header logic to be dynamic to SF vs. M2 toggle</t>
  </si>
  <si>
    <t>Added Stabilized Value /Unit and /SF (or /M2) metrics to rows 179 and 180 of the Underwriting tab</t>
  </si>
  <si>
    <t>Fixed mislabeled header (/Rentable SF instead of /Unit) in rows 55 and 60 of Underwriting tab</t>
  </si>
  <si>
    <t>Added conditional formatting in cell E57 of Underwriting tab; now reads 'Detail ---&gt;' when 'Variable Rate' is used</t>
  </si>
  <si>
    <t>Added '/Unit' metric to sale proforma (D175:D179 of Underwriting tab)</t>
  </si>
  <si>
    <t>Gross Sale Proceeds (Direct Cap)</t>
  </si>
  <si>
    <t>Cuts 'N Stuff</t>
  </si>
  <si>
    <t>Added '/SF/YR/' (or '/M2/YR') metric to retail income and retail leasing costs lines</t>
  </si>
  <si>
    <t>Mill rate</t>
  </si>
  <si>
    <t>Mill rate metric now included on row 162 of Underwriting tab for Untrended, Trended, and Sale pro formas</t>
  </si>
  <si>
    <t>Operation Begin</t>
  </si>
  <si>
    <t>GP Promote</t>
  </si>
  <si>
    <t>Dist. % to GP</t>
  </si>
  <si>
    <t>Dist. % to LP</t>
  </si>
  <si>
    <t>Changed JV waterfall to use Promote assumption rather than 'Distribution %" assumption (G215:G219, G236:G240 on Underwriting tab)</t>
  </si>
  <si>
    <t>Sensitivity Metrics</t>
  </si>
  <si>
    <t>Misc. formatting fixes and enhancements</t>
  </si>
  <si>
    <t>Disclaimer: This model may contain errors</t>
  </si>
  <si>
    <t xml:space="preserve">LEARN TO BUILD INSTITUTIONAL-QUALITY REAL ESTATE MODELS FROM SCRATCH
- CLICK HERE TO LEARN MORE - </t>
  </si>
  <si>
    <t>AdventuresinCRE.com and its affiliates do not provide tax, legal, investment, or accounting advice. This material has been prepared for informational purposes only, and is not intended to provide, and should not be relied on for, tax, legal or accounting advice. You should consult your own tax, legal and accounting advisors before engaging in any transaction. This model may contains errors. Verify all calculations being using this model to make investment decisions.</t>
  </si>
  <si>
    <t>Fixed minor error in Annual Cash Flow date header formula</t>
  </si>
  <si>
    <t>Misc. formatting</t>
  </si>
  <si>
    <t>Changed default financing cost period to 0; default Waterfall type to 'Single Promote'</t>
  </si>
  <si>
    <t>Construction Debt</t>
  </si>
  <si>
    <t>Construction Debt before Reserves</t>
  </si>
  <si>
    <t>Total Construction Debt</t>
  </si>
  <si>
    <t>No Perm. Debt</t>
  </si>
  <si>
    <t>Perm. Debt</t>
  </si>
  <si>
    <t>Permanent Debt</t>
  </si>
  <si>
    <t>Debt Service (Permanent Debt)</t>
  </si>
  <si>
    <t>CASH FLOW AFTER FINANCING</t>
  </si>
  <si>
    <t>Cash Flow after Financing</t>
  </si>
  <si>
    <t>Add Permanent Debt Module</t>
  </si>
  <si>
    <t>Added toggle (row 71 of Underwriting tab) to activate and deactivate the new Permanent Debt Module</t>
  </si>
  <si>
    <t>New section within Investment Cash Flow section entitled 'Permanent Debt'</t>
  </si>
  <si>
    <t>INVESTMENT PERIOD CASH FLOWS</t>
  </si>
  <si>
    <t>Renamed 'Development Period Cash Flows' section to 'Investment Period Cash Flows'</t>
  </si>
  <si>
    <t>% OF COST</t>
  </si>
  <si>
    <t>% of Stab. Value</t>
  </si>
  <si>
    <t>Loan Funding</t>
  </si>
  <si>
    <t>Loan Payoff</t>
  </si>
  <si>
    <t>Total Construction Loan Draws</t>
  </si>
  <si>
    <t>Permanent Loan Funding</t>
  </si>
  <si>
    <t>- Construction Loan Payoff</t>
  </si>
  <si>
    <t>- Permanent Loan Payoff</t>
  </si>
  <si>
    <t>Permanent Loan Debt Service</t>
  </si>
  <si>
    <t>PAYOFF MONTH</t>
  </si>
  <si>
    <t>INTEREST-ONLY?</t>
  </si>
  <si>
    <t>Yes</t>
  </si>
  <si>
    <t>AMORT.</t>
  </si>
  <si>
    <t>PAYMENT</t>
  </si>
  <si>
    <t>v2.0</t>
  </si>
  <si>
    <t>Renamed 'Debt' to 'Construction Debt'</t>
  </si>
  <si>
    <t>Equity Proceeds from Capital Event(s)</t>
  </si>
  <si>
    <t>Nominally improved accuracy of construction interest calculation</t>
  </si>
  <si>
    <t>Revised 'Returns - Property-Level Cash Flows' section to include Permanent Debt Funding, Payoff, and Debt Service</t>
  </si>
  <si>
    <t>Assumptions include: Funding Month, Fixed Interest Rate, Interest-Only or Amortizing</t>
  </si>
  <si>
    <t>Created 'PermDebt_Activate' and 'PermDebt_Deactivate' macros to turn module on and off</t>
  </si>
  <si>
    <t>Removed portions of property-level cash flow on 'Annual Cash Flow' tab; will expand in next version of the model</t>
  </si>
  <si>
    <t>v2.1</t>
  </si>
  <si>
    <t>Fixed error in SUM() for /SF and /Unit totals for first three items on Detail Expenses module</t>
  </si>
  <si>
    <t>Fixed error where 'Insurance' was growing by up to 2x the growth assumption when 'Fixed' was set to some value &gt;0%</t>
  </si>
  <si>
    <t>% of Lease-Up Income to Use to Pay Interest</t>
  </si>
  <si>
    <t>Lease-up Income Available to Pay Construction Interest</t>
  </si>
  <si>
    <t>v2.2</t>
  </si>
  <si>
    <t>Added input (F48) to choose percentage of lease-up income to use for interest; unpaid construction interest accrues to interest reserve</t>
  </si>
  <si>
    <t>Updated Construction Interest Calculation logic to allow for Construction Loan Takeout prior to stabilization</t>
  </si>
  <si>
    <t>Added data validation to 'Perm. Debt Funding Month' input to ensure Perm. Debt funds after construction end</t>
  </si>
  <si>
    <t>Updated Operating Shortfall to allow for Construction Loan Takeout prior to stabilization</t>
  </si>
  <si>
    <t>v2.3</t>
  </si>
  <si>
    <t>Added Stabilized Yr. 1 Cash-on-Cash Return metric; see Summary tab (Key Assumptions and Return Metrics) and Underwriting tab (cell F136)</t>
  </si>
  <si>
    <t>Added Perm. Debt DSCR metric; see Summary tab (Key Assumptions and Return Metrics) and Underwriting tab (cell G74)</t>
  </si>
  <si>
    <t>GP Catch Up?</t>
  </si>
  <si>
    <t>Beginning Balance (GP Capital Account)</t>
  </si>
  <si>
    <t>Req'd Return by GP (Pref)</t>
  </si>
  <si>
    <t>Contributions from GP</t>
  </si>
  <si>
    <t>Ending Balance (GP Capital Account</t>
  </si>
  <si>
    <t>Distributions to GP (Hurdle 1)</t>
  </si>
  <si>
    <t>Built a 'GP Catch Up' module into 'Waterfall (GP/LP)' section</t>
  </si>
  <si>
    <t>Drop-down menu appears in cells C229:D229 when 'GP Distribution %' in Pref. Return tier is less than 'GP Contribution Share %'</t>
  </si>
  <si>
    <t>Catch Up?</t>
  </si>
  <si>
    <t>When 'GP Catch Up?' drop-down is set to 'Yes' and once LP hits 1st tier IRR, 100% of cash flow is distributed to GP until it "catches up" with LP IRR</t>
  </si>
  <si>
    <t>Misc formatting enhancements</t>
  </si>
  <si>
    <t>v2.4</t>
  </si>
  <si>
    <t>Fixed 'Analysis Month' label on 'Annual Cash Flow' tab</t>
  </si>
  <si>
    <t>Period Ending</t>
  </si>
  <si>
    <t>Replaced 'Analysis Date' with 'Period Ending' label on 'Annual Cash Flow' tab</t>
  </si>
  <si>
    <t>Construction Loan</t>
  </si>
  <si>
    <t>Mezzanine Loan</t>
  </si>
  <si>
    <t>/RENTABLE SF</t>
  </si>
  <si>
    <t>Mezzanine Loan Interest Rate</t>
  </si>
  <si>
    <t>Blended Interest Rate</t>
  </si>
  <si>
    <t>Construction Loan Balance (w/o interest)</t>
  </si>
  <si>
    <t>Mezzanine Loan Balance (w/o interest)</t>
  </si>
  <si>
    <t>Amount w/o Int</t>
  </si>
  <si>
    <t>Construction debt consists of 1. Construction Loan and 2. Mezzanine Loan</t>
  </si>
  <si>
    <t>Added 'Construction Loan' and 'Mezzanine Loan' assumptions (rows 60-63)</t>
  </si>
  <si>
    <t>Added variable interest rate line for Mezzanine Debt</t>
  </si>
  <si>
    <t>Updated Variable Rate logic to include Mezzanine Loan</t>
  </si>
  <si>
    <t>Added Mezzanine Loan and Construction Loan calculation module (ET62:JX62 and EP75:JX76)</t>
  </si>
  <si>
    <t>Replaced 'Annual Rate' calculation in cell E57 with a Blended Rate calculation between the two forms of construction debt</t>
  </si>
  <si>
    <t>Added 'Mezzanine Loan' tranche to Construction Debt (Underwriting tab)</t>
  </si>
  <si>
    <t>Funding (Construction Loan vs. Mezzanine Loan)</t>
  </si>
  <si>
    <t>Share of Required Debt Funding</t>
  </si>
  <si>
    <t>Added 'Funding by Construction Debt Type' cash flows to rows 56:58</t>
  </si>
  <si>
    <t>Updated 'SOURCES' section of Summary tab to include Mezzanine Loan</t>
  </si>
  <si>
    <t>Misc. formatting enhancements and fixes</t>
  </si>
  <si>
    <t>v2.5</t>
  </si>
  <si>
    <t>Changed the 'Construction Loan' and 'Mezzanine Loan' labels to blue font to denote an input; change order of funding by changing label</t>
  </si>
  <si>
    <t>Updated Construction Loan and Mezzanine Loan funding labels to link to the new label inputs for each field</t>
  </si>
  <si>
    <t>Misc. formatting updates</t>
  </si>
  <si>
    <t>v2.6</t>
  </si>
  <si>
    <t>Added 'Loan Funding Fee + Closing Cost' assumption to cell H78</t>
  </si>
  <si>
    <t>Added 'Loan Funding Fee + Closing Cost' amount to cell I78</t>
  </si>
  <si>
    <t>Now includes ability to add loan and closing fees to permanent debt</t>
  </si>
  <si>
    <t>Updated formula in row 78 to deduce loan fees and closing costs</t>
  </si>
  <si>
    <t>Loan Fees + Closing Costs</t>
  </si>
  <si>
    <t>Revised default 'Sale Month'  input formula to use 120 when 'Perm. Debt' module is turned on, otherwise 12 months following stabilization</t>
  </si>
  <si>
    <t>Fixed header on Annual Cash Flow tab - "ANALYSIS START" (cell R4) output was not dynamic</t>
  </si>
  <si>
    <t>Misc. formatting enhancements</t>
  </si>
  <si>
    <t>Minor update to dummy input values</t>
  </si>
  <si>
    <t>v2.61</t>
  </si>
  <si>
    <t>Revised Sources and Uses table on Summary tab to only pull initial Sources (not additional equity required during hold)</t>
  </si>
  <si>
    <t>Updated placeholder value for Permanent Debt (Underwriting I17) to also include loan fees in total loan amount</t>
  </si>
  <si>
    <t>v2.7</t>
  </si>
  <si>
    <t>Fixed issue where Sources on summary tab was not correct in case of Double Promote</t>
  </si>
  <si>
    <t>Added IFERROR logic to General Partner return metrics to accommodate 0% contribution by GP</t>
  </si>
  <si>
    <t>Development Fee now driven by percentage of Total Project Costs</t>
  </si>
  <si>
    <t>RECALCULATE LOGIC</t>
  </si>
  <si>
    <t>Added 'Recalculate Logic' section starting in row 289</t>
  </si>
  <si>
    <t>Rebuilt recalculate macro to account for circular nature of new Development Fee module</t>
  </si>
  <si>
    <t>Target LTC</t>
  </si>
  <si>
    <t>Actual LTC</t>
  </si>
  <si>
    <t>Run Const. Macro?</t>
  </si>
  <si>
    <t>Target Dev Fee</t>
  </si>
  <si>
    <t>Actual Dev Fee</t>
  </si>
  <si>
    <t>Run Dev. Fee Macro?</t>
  </si>
  <si>
    <t>Show Click to Recalculate?</t>
  </si>
  <si>
    <t>Created a 'Calc_Loan_AND_Dev_Fee ()' macro to run a goal seek until LTC and Dev Fee match their actual user inputs</t>
  </si>
  <si>
    <t>Rebuilt 'Recalculate ()' macro to loop 'Calc_Loan_AND_Dev_Fee ()' macro until LTC and Dev Fee match their actual user inputs</t>
  </si>
  <si>
    <t>Added new feature to check for Circular References before running Recalculate</t>
  </si>
  <si>
    <t>Misc. formatting enhancements and updates</t>
  </si>
  <si>
    <t>Added logic to 'Recalculate ()' macro that turns off 'Iterative Calc' when run; this is necessary for the model to run correctly</t>
  </si>
  <si>
    <t>v2.71</t>
  </si>
  <si>
    <t>Fixed issue where 'Recalculate' feature wasn't working when Mezz Debt was used</t>
  </si>
  <si>
    <t>New to A.CRE Models? Read our Best Practices Guide Now</t>
  </si>
  <si>
    <t>v2.72</t>
  </si>
  <si>
    <t>Added link to 'Best Practices in Real Estate Financial Modeling' guide for newer users of A.CRE models</t>
  </si>
  <si>
    <t>Fixed issue where Equity Sources on the Summary report were not calculating correctly when there was operating shortfall post-stabilization</t>
  </si>
  <si>
    <t>v2.8</t>
  </si>
  <si>
    <t>One</t>
  </si>
  <si>
    <t>Two</t>
  </si>
  <si>
    <t>Added functionality to fund Construction + Mezzanine Debt pari passu (at the same time)</t>
  </si>
  <si>
    <t>Updated label for 'Funding Order' to make identifying the input value (D62) easier</t>
  </si>
  <si>
    <t>Added drop-down menu to cell D62, whereby user can change order for second tranche of debt to 'One' - this results in secondary debt funding pari passu</t>
  </si>
  <si>
    <t>Updated formulas in rows 57 and 58 to fund debt pari passu when both debt tranches 'Funding Order' are set to 'One'</t>
  </si>
  <si>
    <t>Added Error Check to cell K71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</si>
</sst>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2">
    <numFmt numFmtId="41" formatCode="_(* #,##0_);_(* \(#,##0\);_(* &quot;-&quot;_);_(@_)"/>
    <numFmt numFmtId="43" formatCode="_(* #,##0.00_);_(* \(#,##0.00\);_(* &quot;-&quot;??_);_(@_)"/>
    <numFmt numFmtId="164" formatCode="00000"/>
    <numFmt numFmtId="165" formatCode="0.0\ &quot;acres&quot;"/>
    <numFmt numFmtId="166" formatCode="#,##0\ &quot;SF&quot;"/>
    <numFmt numFmtId="167" formatCode="#,##0.0"/>
    <numFmt numFmtId="168" formatCode="#,##0\ &quot;units&quot;"/>
    <numFmt numFmtId="169" formatCode="&quot;Month&quot;\ 0"/>
    <numFmt numFmtId="170" formatCode="mmm\-yyyy"/>
    <numFmt numFmtId="171" formatCode="&quot;Year&quot;\ 0"/>
    <numFmt numFmtId="172" formatCode="0\ &quot;(Steep)&quot;"/>
    <numFmt numFmtId="173" formatCode="0\ \(\F\l\a\t\)"/>
    <numFmt numFmtId="174" formatCode="0.0%"/>
    <numFmt numFmtId="175" formatCode="0.0%\ &quot;LTC&quot;"/>
    <numFmt numFmtId="176" formatCode="0.0%\ &quot;of Cost&quot;"/>
    <numFmt numFmtId="177" formatCode="0\ &quot;Months&quot;"/>
    <numFmt numFmtId="178" formatCode="0.0\ &quot;Months&quot;"/>
    <numFmt numFmtId="179" formatCode="0.0\ &quot;units&quot;"/>
    <numFmt numFmtId="180" formatCode="0\ &quot;unit(s)&quot;"/>
    <numFmt numFmtId="181" formatCode="#,##0_);\(#,##0\)&quot;/Mo&quot;"/>
    <numFmt numFmtId="182" formatCode="&quot;+&quot;000"/>
    <numFmt numFmtId="183" formatCode="_(* #,##0_);_(* \(#,##0\);_(* &quot;-&quot;??_);_(@_)"/>
    <numFmt numFmtId="184" formatCode="&quot;Op. Year&quot;\ 0"/>
    <numFmt numFmtId="185" formatCode="&quot;Op. Year&quot;\ 0&quot;+&quot;"/>
    <numFmt numFmtId="186" formatCode="0.00&quot;X&quot;"/>
    <numFmt numFmtId="187" formatCode="_(* #,##0.000000_);_(* \(#,##0.000000\);_(* &quot;-&quot;??????_);_(@_)"/>
    <numFmt numFmtId="188" formatCode="0.0\ &quot;bps&quot;"/>
    <numFmt numFmtId="189" formatCode="&quot;$&quot;#,##0.00\ &quot;PSF&quot;"/>
    <numFmt numFmtId="190" formatCode="0\ &quot;Years&quot;"/>
    <numFmt numFmtId="191" formatCode="_(* #,##0.0_);_(* \(#,##0.0\);_(* &quot;-&quot;?_);_(@_)"/>
    <numFmt numFmtId="192" formatCode="0.00&quot;/unit&quot;"/>
    <numFmt numFmtId="193" formatCode="#,##0\ &quot;Units&quot;"/>
    <numFmt numFmtId="194" formatCode="0.0\ &quot;Acres&quot;"/>
    <numFmt numFmtId="195" formatCode="0.00&quot;/Unit&quot;"/>
    <numFmt numFmtId="196" formatCode="0.0&quot;bps&quot;"/>
    <numFmt numFmtId="197" formatCode="&quot;Version&quot;\ 0.00"/>
    <numFmt numFmtId="198" formatCode="_(* #,##0.00_);_(* \(#,##0.00\);_(* &quot;-&quot;_);_(@_)"/>
    <numFmt numFmtId="199" formatCode="0\ &quot;Suites&quot;"/>
    <numFmt numFmtId="200" formatCode="&quot;Begin Month&quot;\ 0"/>
    <numFmt numFmtId="201" formatCode="#,##0\ &quot;GBA&quot;"/>
    <numFmt numFmtId="202" formatCode="0.0%\ &quot;EFF.&quot;"/>
    <numFmt numFmtId="203" formatCode="#,##0\ &quot;NRA&quot;"/>
  </numFmts>
  <fonts count="59" x14ac:knownFonts="1">
    <font>
      <sz val="11"/>
      <color theme="1"/>
      <name val="Tw Cen MT"/>
      <family val="2"/>
      <scheme val="minor"/>
    </font>
    <font>
      <sz val="11"/>
      <color theme="0"/>
      <name val="Tw Cen MT"/>
      <family val="2"/>
      <scheme val="minor"/>
    </font>
    <font>
      <sz val="11"/>
      <color indexed="12"/>
      <name val="Tw Cen MT"/>
      <family val="2"/>
      <scheme val="minor"/>
    </font>
    <font>
      <sz val="10"/>
      <color theme="1"/>
      <name val="Tw Cen MT"/>
      <family val="2"/>
      <scheme val="minor"/>
    </font>
    <font>
      <sz val="10"/>
      <color indexed="12"/>
      <name val="Tw Cen MT"/>
      <family val="2"/>
      <scheme val="minor"/>
    </font>
    <font>
      <sz val="8"/>
      <color theme="1"/>
      <name val="Tw Cen MT"/>
      <family val="2"/>
      <scheme val="minor"/>
    </font>
    <font>
      <sz val="10"/>
      <name val="Tw Cen MT"/>
      <family val="2"/>
      <scheme val="minor"/>
    </font>
    <font>
      <sz val="12"/>
      <color theme="1"/>
      <name val="Tw Cen MT"/>
      <family val="2"/>
      <scheme val="minor"/>
    </font>
    <font>
      <sz val="12"/>
      <color indexed="12"/>
      <name val="Tw Cen MT"/>
      <family val="2"/>
      <scheme val="minor"/>
    </font>
    <font>
      <sz val="8"/>
      <name val="Tw Cen MT"/>
      <family val="2"/>
      <scheme val="minor"/>
    </font>
    <font>
      <b/>
      <sz val="10"/>
      <color theme="1"/>
      <name val="Tw Cen MT"/>
      <family val="2"/>
      <scheme val="minor"/>
    </font>
    <font>
      <u/>
      <sz val="10"/>
      <color theme="1"/>
      <name val="Tw Cen MT"/>
      <family val="2"/>
      <scheme val="minor"/>
    </font>
    <font>
      <u/>
      <sz val="8"/>
      <color theme="1"/>
      <name val="Tw Cen MT"/>
      <family val="2"/>
      <scheme val="minor"/>
    </font>
    <font>
      <sz val="8"/>
      <color indexed="12"/>
      <name val="Tw Cen MT"/>
      <family val="2"/>
      <scheme val="minor"/>
    </font>
    <font>
      <u/>
      <sz val="8"/>
      <name val="Tw Cen MT"/>
      <family val="2"/>
      <scheme val="minor"/>
    </font>
    <font>
      <u/>
      <sz val="11"/>
      <color theme="1"/>
      <name val="Tw Cen MT"/>
      <family val="2"/>
      <scheme val="minor"/>
    </font>
    <font>
      <b/>
      <i/>
      <sz val="11"/>
      <color theme="1"/>
      <name val="Tw Cen MT"/>
      <family val="2"/>
      <scheme val="minor"/>
    </font>
    <font>
      <i/>
      <sz val="8"/>
      <color theme="1"/>
      <name val="Tw Cen MT"/>
      <family val="2"/>
      <scheme val="minor"/>
    </font>
    <font>
      <sz val="9"/>
      <color theme="0"/>
      <name val="Tw Cen MT"/>
      <family val="2"/>
      <scheme val="minor"/>
    </font>
    <font>
      <i/>
      <u/>
      <sz val="8"/>
      <color theme="1"/>
      <name val="Tw Cen MT"/>
      <family val="2"/>
      <scheme val="minor"/>
    </font>
    <font>
      <b/>
      <sz val="8"/>
      <color theme="1"/>
      <name val="Tw Cen MT"/>
      <family val="2"/>
      <scheme val="minor"/>
    </font>
    <font>
      <u val="singleAccounting"/>
      <sz val="8"/>
      <color theme="1"/>
      <name val="Tw Cen MT"/>
      <family val="2"/>
      <scheme val="minor"/>
    </font>
    <font>
      <u/>
      <sz val="8"/>
      <color indexed="12"/>
      <name val="Tw Cen MT"/>
      <family val="2"/>
      <scheme val="minor"/>
    </font>
    <font>
      <b/>
      <sz val="11"/>
      <color theme="1"/>
      <name val="Tw Cen MT"/>
      <family val="2"/>
      <scheme val="minor"/>
    </font>
    <font>
      <b/>
      <sz val="10"/>
      <name val="Tw Cen MT"/>
      <family val="2"/>
      <scheme val="minor"/>
    </font>
    <font>
      <b/>
      <sz val="8"/>
      <color indexed="12"/>
      <name val="Tw Cen MT"/>
      <family val="2"/>
      <scheme val="minor"/>
    </font>
    <font>
      <b/>
      <sz val="8"/>
      <name val="Tw Cen MT"/>
      <family val="2"/>
      <scheme val="minor"/>
    </font>
    <font>
      <sz val="10"/>
      <color theme="0"/>
      <name val="Tw Cen MT"/>
      <family val="2"/>
      <scheme val="minor"/>
    </font>
    <font>
      <u val="singleAccounting"/>
      <sz val="8"/>
      <color indexed="12"/>
      <name val="Tw Cen MT"/>
      <family val="2"/>
      <scheme val="minor"/>
    </font>
    <font>
      <sz val="12"/>
      <name val="Tw Cen MT"/>
      <family val="2"/>
      <scheme val="minor"/>
    </font>
    <font>
      <sz val="10"/>
      <color theme="0" tint="-0.499984740745262"/>
      <name val="Tw Cen MT"/>
      <family val="2"/>
      <scheme val="minor"/>
    </font>
    <font>
      <u val="singleAccounting"/>
      <sz val="8"/>
      <name val="Tw Cen MT"/>
      <family val="2"/>
      <scheme val="minor"/>
    </font>
    <font>
      <sz val="8"/>
      <color indexed="17"/>
      <name val="Tw Cen MT"/>
      <family val="2"/>
      <scheme val="minor"/>
    </font>
    <font>
      <b/>
      <sz val="10"/>
      <color indexed="12"/>
      <name val="Tw Cen MT"/>
      <family val="2"/>
      <scheme val="minor"/>
    </font>
    <font>
      <sz val="9"/>
      <color theme="1"/>
      <name val="Tw Cen MT"/>
      <family val="2"/>
      <scheme val="minor"/>
    </font>
    <font>
      <b/>
      <u/>
      <sz val="8"/>
      <color theme="1"/>
      <name val="Tw Cen MT"/>
      <family val="2"/>
      <scheme val="minor"/>
    </font>
    <font>
      <sz val="8"/>
      <color theme="1" tint="0.34998626667073579"/>
      <name val="Tw Cen MT"/>
      <family val="2"/>
      <scheme val="minor"/>
    </font>
    <font>
      <u val="singleAccounting"/>
      <sz val="8"/>
      <color theme="1" tint="0.34998626667073579"/>
      <name val="Tw Cen MT"/>
      <family val="2"/>
      <scheme val="minor"/>
    </font>
    <font>
      <u/>
      <sz val="8"/>
      <color theme="1" tint="0.34998626667073579"/>
      <name val="Tw Cen MT"/>
      <family val="2"/>
      <scheme val="minor"/>
    </font>
    <font>
      <b/>
      <sz val="11"/>
      <name val="Tw Cen MT"/>
      <family val="2"/>
      <scheme val="minor"/>
    </font>
    <font>
      <b/>
      <sz val="12"/>
      <color theme="0"/>
      <name val="Tw Cen MT"/>
      <family val="2"/>
      <scheme val="minor"/>
    </font>
    <font>
      <i/>
      <sz val="10"/>
      <color theme="1"/>
      <name val="Tw Cen MT"/>
      <family val="2"/>
      <scheme val="minor"/>
    </font>
    <font>
      <sz val="8"/>
      <color theme="1" tint="0.14999847407452621"/>
      <name val="Tw Cen MT"/>
      <family val="2"/>
      <scheme val="minor"/>
    </font>
    <font>
      <b/>
      <sz val="11"/>
      <color theme="0"/>
      <name val="Tw Cen MT"/>
      <family val="2"/>
      <scheme val="minor"/>
    </font>
    <font>
      <b/>
      <sz val="10"/>
      <color theme="0"/>
      <name val="Tw Cen MT"/>
      <family val="2"/>
      <scheme val="minor"/>
    </font>
    <font>
      <sz val="12"/>
      <color theme="8"/>
      <name val="Tw Cen MT"/>
      <family val="2"/>
      <scheme val="minor"/>
    </font>
    <font>
      <sz val="12"/>
      <color theme="0"/>
      <name val="Tw Cen MT"/>
      <family val="2"/>
      <scheme val="minor"/>
    </font>
    <font>
      <u/>
      <sz val="11"/>
      <color theme="10"/>
      <name val="Tw Cen MT"/>
      <family val="2"/>
      <scheme val="minor"/>
    </font>
    <font>
      <b/>
      <u/>
      <sz val="10"/>
      <color theme="1"/>
      <name val="Tw Cen MT"/>
      <family val="2"/>
      <scheme val="minor"/>
    </font>
    <font>
      <u val="singleAccounting"/>
      <sz val="8"/>
      <color indexed="17"/>
      <name val="Tw Cen MT"/>
      <family val="2"/>
      <scheme val="minor"/>
    </font>
    <font>
      <sz val="8"/>
      <color theme="0"/>
      <name val="Tw Cen MT"/>
      <family val="2"/>
      <scheme val="minor"/>
    </font>
    <font>
      <i/>
      <sz val="10"/>
      <name val="Tw Cen MT"/>
      <family val="2"/>
      <scheme val="minor"/>
    </font>
    <font>
      <u val="singleAccounting"/>
      <sz val="10"/>
      <color theme="1"/>
      <name val="Tw Cen MT"/>
      <family val="2"/>
      <scheme val="minor"/>
    </font>
    <font>
      <u val="singleAccounting"/>
      <sz val="10"/>
      <name val="Tw Cen MT"/>
      <family val="2"/>
      <scheme val="minor"/>
    </font>
    <font>
      <b/>
      <sz val="12"/>
      <color theme="1" tint="0.34998626667073579"/>
      <name val="Tw Cen MT"/>
      <family val="2"/>
      <scheme val="minor"/>
    </font>
    <font>
      <sz val="8"/>
      <color indexed="10"/>
      <name val="Tw Cen MT"/>
      <family val="2"/>
      <scheme val="minor"/>
    </font>
    <font>
      <sz val="8"/>
      <color rgb="FF0000FF"/>
      <name val="Tw Cen MT"/>
      <family val="2"/>
      <scheme val="minor"/>
    </font>
    <font>
      <u/>
      <sz val="8"/>
      <color rgb="FF000000"/>
      <name val="Tw Cen MT"/>
      <family val="2"/>
      <scheme val="minor"/>
    </font>
    <font>
      <sz val="8"/>
      <color rgb="FF000000"/>
      <name val="Tw Cen MT"/>
      <family val="2"/>
      <scheme val="minor"/>
    </font>
  </fonts>
  <fills count="16">
    <fill>
      <patternFill patternType="none"/>
    </fill>
    <fill>
      <patternFill patternType="gray125"/>
    </fill>
    <fill>
      <patternFill patternType="solid">
        <fgColor theme="5"/>
        <bgColor indexed="64"/>
      </patternFill>
    </fill>
    <fill>
      <patternFill patternType="solid">
        <fgColor theme="5" tint="0.79998168889431442"/>
        <bgColor indexed="64"/>
      </patternFill>
    </fill>
    <fill>
      <patternFill patternType="lightUp"/>
    </fill>
    <fill>
      <patternFill patternType="lightUp">
        <bgColor theme="5"/>
      </patternFill>
    </fill>
    <fill>
      <patternFill patternType="solid">
        <fgColor theme="4" tint="0.79998168889431442"/>
        <bgColor indexed="64"/>
      </patternFill>
    </fill>
    <fill>
      <patternFill patternType="solid">
        <fgColor theme="4"/>
        <bgColor indexed="64"/>
      </patternFill>
    </fill>
    <fill>
      <patternFill patternType="solid">
        <fgColor rgb="FFE6E6E6"/>
        <bgColor indexed="64"/>
      </patternFill>
    </fill>
    <fill>
      <patternFill patternType="solid">
        <fgColor theme="5" tint="0.59999389629810485"/>
        <bgColor indexed="64"/>
      </patternFill>
    </fill>
    <fill>
      <patternFill patternType="solid">
        <fgColor theme="0" tint="-0.499984740745262"/>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rgb="FFFFB606"/>
        <bgColor indexed="64"/>
      </patternFill>
    </fill>
    <fill>
      <patternFill patternType="solid">
        <fgColor theme="1" tint="0.34998626667073579"/>
        <bgColor indexed="64"/>
      </patternFill>
    </fill>
    <fill>
      <patternFill patternType="gray0625">
        <bgColor theme="0" tint="-4.9989318521683403E-2"/>
      </patternFill>
    </fill>
  </fills>
  <borders count="24">
    <border>
      <left/>
      <right/>
      <top/>
      <bottom/>
      <diagonal/>
    </border>
    <border>
      <left/>
      <right/>
      <top/>
      <bottom style="hair">
        <color auto="1"/>
      </bottom>
      <diagonal/>
    </border>
    <border>
      <left style="thin">
        <color theme="4"/>
      </left>
      <right style="thin">
        <color theme="4"/>
      </right>
      <top style="thin">
        <color theme="4"/>
      </top>
      <bottom style="thin">
        <color theme="4"/>
      </bottom>
      <diagonal/>
    </border>
    <border>
      <left/>
      <right/>
      <top/>
      <bottom style="thin">
        <color indexed="64"/>
      </bottom>
      <diagonal/>
    </border>
    <border>
      <left/>
      <right/>
      <top/>
      <bottom style="dashed">
        <color auto="1"/>
      </bottom>
      <diagonal/>
    </border>
    <border>
      <left/>
      <right/>
      <top style="dashed">
        <color auto="1"/>
      </top>
      <bottom/>
      <diagonal/>
    </border>
    <border>
      <left/>
      <right/>
      <top style="hair">
        <color auto="1"/>
      </top>
      <bottom style="hair">
        <color auto="1"/>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theme="5"/>
      </left>
      <right/>
      <top/>
      <bottom/>
      <diagonal/>
    </border>
    <border>
      <left/>
      <right style="thin">
        <color theme="5"/>
      </right>
      <top/>
      <bottom/>
      <diagonal/>
    </border>
    <border>
      <left style="thin">
        <color theme="5"/>
      </left>
      <right/>
      <top/>
      <bottom style="thin">
        <color theme="5"/>
      </bottom>
      <diagonal/>
    </border>
    <border>
      <left/>
      <right/>
      <top/>
      <bottom style="thin">
        <color theme="5"/>
      </bottom>
      <diagonal/>
    </border>
    <border>
      <left/>
      <right style="thin">
        <color theme="5"/>
      </right>
      <top/>
      <bottom style="thin">
        <color theme="5"/>
      </bottom>
      <diagonal/>
    </border>
    <border>
      <left style="thin">
        <color theme="5"/>
      </left>
      <right/>
      <top/>
      <bottom style="hair">
        <color auto="1"/>
      </bottom>
      <diagonal/>
    </border>
    <border>
      <left/>
      <right style="thin">
        <color theme="5"/>
      </right>
      <top/>
      <bottom style="hair">
        <color auto="1"/>
      </bottom>
      <diagonal/>
    </border>
    <border>
      <left style="thin">
        <color theme="5"/>
      </left>
      <right/>
      <top style="hair">
        <color auto="1"/>
      </top>
      <bottom style="hair">
        <color auto="1"/>
      </bottom>
      <diagonal/>
    </border>
    <border>
      <left/>
      <right style="thin">
        <color theme="5"/>
      </right>
      <top style="hair">
        <color auto="1"/>
      </top>
      <bottom style="hair">
        <color auto="1"/>
      </bottom>
      <diagonal/>
    </border>
    <border>
      <left style="thin">
        <color theme="5"/>
      </left>
      <right/>
      <top style="hair">
        <color auto="1"/>
      </top>
      <bottom style="thin">
        <color theme="5"/>
      </bottom>
      <diagonal/>
    </border>
    <border>
      <left/>
      <right/>
      <top style="hair">
        <color auto="1"/>
      </top>
      <bottom style="thin">
        <color theme="5"/>
      </bottom>
      <diagonal/>
    </border>
    <border>
      <left/>
      <right style="thin">
        <color theme="5"/>
      </right>
      <top style="hair">
        <color auto="1"/>
      </top>
      <bottom style="thin">
        <color theme="5"/>
      </bottom>
      <diagonal/>
    </border>
    <border>
      <left style="hair">
        <color auto="1"/>
      </left>
      <right/>
      <top/>
      <bottom/>
      <diagonal/>
    </border>
    <border>
      <left/>
      <right/>
      <top/>
      <bottom style="dotted">
        <color auto="1"/>
      </bottom>
      <diagonal/>
    </border>
  </borders>
  <cellStyleXfs count="2">
    <xf numFmtId="0" fontId="0" fillId="0" borderId="0"/>
    <xf numFmtId="0" fontId="47" fillId="0" borderId="0" applyNumberFormat="0" applyFill="0" applyBorder="0" applyAlignment="0" applyProtection="0"/>
  </cellStyleXfs>
  <cellXfs count="633">
    <xf numFmtId="0" fontId="0" fillId="0" borderId="0" xfId="0"/>
    <xf numFmtId="0" fontId="0" fillId="2" borderId="0" xfId="0" applyFill="1"/>
    <xf numFmtId="0" fontId="1" fillId="2" borderId="0" xfId="0" applyFont="1" applyFill="1"/>
    <xf numFmtId="0" fontId="2" fillId="0" borderId="0" xfId="0" applyFont="1"/>
    <xf numFmtId="0" fontId="3" fillId="0" borderId="0" xfId="0" applyFont="1"/>
    <xf numFmtId="0" fontId="7" fillId="0" borderId="0" xfId="0" applyFont="1" applyAlignment="1">
      <alignment horizontal="left"/>
    </xf>
    <xf numFmtId="0" fontId="8" fillId="0" borderId="0" xfId="0" applyFont="1" applyAlignment="1">
      <alignment horizontal="right"/>
    </xf>
    <xf numFmtId="0" fontId="5" fillId="0" borderId="0" xfId="0" applyFont="1"/>
    <xf numFmtId="169" fontId="5" fillId="0" borderId="0" xfId="0" applyNumberFormat="1" applyFont="1"/>
    <xf numFmtId="171" fontId="5" fillId="0" borderId="0" xfId="0" applyNumberFormat="1" applyFont="1"/>
    <xf numFmtId="0" fontId="3" fillId="3" borderId="0" xfId="0" applyFont="1" applyFill="1"/>
    <xf numFmtId="0" fontId="3" fillId="2" borderId="0" xfId="0" applyFont="1" applyFill="1"/>
    <xf numFmtId="0" fontId="3" fillId="3" borderId="0" xfId="0" applyFont="1" applyFill="1" applyAlignment="1">
      <alignment horizontal="left"/>
    </xf>
    <xf numFmtId="0" fontId="0" fillId="3" borderId="0" xfId="0" applyFill="1"/>
    <xf numFmtId="3" fontId="0" fillId="0" borderId="0" xfId="0" applyNumberFormat="1"/>
    <xf numFmtId="15" fontId="0" fillId="0" borderId="0" xfId="0" applyNumberFormat="1"/>
    <xf numFmtId="0" fontId="0" fillId="0" borderId="0" xfId="0" applyFill="1"/>
    <xf numFmtId="0" fontId="15" fillId="0" borderId="0" xfId="0" applyFont="1"/>
    <xf numFmtId="3" fontId="15" fillId="0" borderId="0" xfId="0" applyNumberFormat="1" applyFont="1"/>
    <xf numFmtId="0" fontId="0" fillId="0" borderId="0" xfId="0" applyAlignment="1">
      <alignment horizontal="right" vertical="top"/>
    </xf>
    <xf numFmtId="172" fontId="0" fillId="0" borderId="0" xfId="0" applyNumberFormat="1" applyAlignment="1">
      <alignment horizontal="right" vertical="top"/>
    </xf>
    <xf numFmtId="173" fontId="0" fillId="0" borderId="0" xfId="0" applyNumberFormat="1" applyAlignment="1">
      <alignment horizontal="right" vertical="top"/>
    </xf>
    <xf numFmtId="0" fontId="2" fillId="0" borderId="0" xfId="0" applyFont="1" applyFill="1"/>
    <xf numFmtId="0" fontId="16" fillId="0" borderId="0" xfId="0" applyFont="1"/>
    <xf numFmtId="0" fontId="5" fillId="4" borderId="0" xfId="0" applyFont="1" applyFill="1"/>
    <xf numFmtId="171" fontId="17" fillId="4" borderId="0" xfId="0" applyNumberFormat="1" applyFont="1" applyFill="1"/>
    <xf numFmtId="169" fontId="5" fillId="4" borderId="0" xfId="0" applyNumberFormat="1" applyFont="1" applyFill="1"/>
    <xf numFmtId="171" fontId="5" fillId="4" borderId="0" xfId="0" applyNumberFormat="1" applyFont="1" applyFill="1"/>
    <xf numFmtId="171" fontId="5" fillId="4" borderId="0" xfId="0" applyNumberFormat="1" applyFont="1" applyFill="1" applyAlignment="1">
      <alignment horizontal="right"/>
    </xf>
    <xf numFmtId="167" fontId="9" fillId="4" borderId="0" xfId="0" applyNumberFormat="1" applyFont="1" applyFill="1" applyAlignment="1">
      <alignment horizontal="left"/>
    </xf>
    <xf numFmtId="3" fontId="5" fillId="4" borderId="0" xfId="0" applyNumberFormat="1" applyFont="1" applyFill="1"/>
    <xf numFmtId="15" fontId="5" fillId="4" borderId="0" xfId="0" applyNumberFormat="1" applyFont="1" applyFill="1"/>
    <xf numFmtId="169" fontId="17" fillId="4" borderId="0" xfId="0" applyNumberFormat="1" applyFont="1" applyFill="1" applyAlignment="1">
      <alignment horizontal="right"/>
    </xf>
    <xf numFmtId="0" fontId="5" fillId="4" borderId="0" xfId="0" applyFont="1" applyFill="1" applyAlignment="1">
      <alignment horizontal="right"/>
    </xf>
    <xf numFmtId="0" fontId="12" fillId="4" borderId="0" xfId="0" applyFont="1" applyFill="1" applyAlignment="1">
      <alignment horizontal="right"/>
    </xf>
    <xf numFmtId="15" fontId="19" fillId="4" borderId="0" xfId="0" applyNumberFormat="1" applyFont="1" applyFill="1" applyAlignment="1">
      <alignment horizontal="right"/>
    </xf>
    <xf numFmtId="15" fontId="12" fillId="0" borderId="0" xfId="0" applyNumberFormat="1" applyFont="1"/>
    <xf numFmtId="0" fontId="20" fillId="4" borderId="0" xfId="0" applyFont="1" applyFill="1"/>
    <xf numFmtId="41" fontId="5" fillId="0" borderId="0" xfId="0" applyNumberFormat="1" applyFont="1"/>
    <xf numFmtId="41" fontId="21" fillId="0" borderId="0" xfId="0" applyNumberFormat="1" applyFont="1"/>
    <xf numFmtId="0" fontId="3" fillId="2" borderId="0" xfId="0" applyFont="1" applyFill="1" applyBorder="1" applyAlignment="1">
      <alignment horizontal="center" vertical="center"/>
    </xf>
    <xf numFmtId="0" fontId="5" fillId="2" borderId="0" xfId="0" applyFont="1" applyFill="1"/>
    <xf numFmtId="0" fontId="5" fillId="5" borderId="0" xfId="0" applyFont="1" applyFill="1"/>
    <xf numFmtId="0" fontId="5" fillId="0" borderId="0" xfId="0" applyFont="1" applyFill="1"/>
    <xf numFmtId="169" fontId="12" fillId="4" borderId="0" xfId="0" applyNumberFormat="1" applyFont="1" applyFill="1"/>
    <xf numFmtId="0" fontId="12" fillId="4" borderId="0" xfId="0" applyFont="1" applyFill="1"/>
    <xf numFmtId="3" fontId="12" fillId="4" borderId="0" xfId="0" applyNumberFormat="1" applyFont="1" applyFill="1"/>
    <xf numFmtId="3" fontId="5" fillId="4" borderId="0" xfId="0" applyNumberFormat="1" applyFont="1" applyFill="1" applyAlignment="1">
      <alignment horizontal="right"/>
    </xf>
    <xf numFmtId="0" fontId="5" fillId="4" borderId="0" xfId="0" applyFont="1" applyFill="1" applyAlignment="1">
      <alignment horizontal="left" indent="1"/>
    </xf>
    <xf numFmtId="41" fontId="5" fillId="0" borderId="0" xfId="0" applyNumberFormat="1" applyFont="1" applyFill="1"/>
    <xf numFmtId="0" fontId="0" fillId="0" borderId="0" xfId="0" applyAlignment="1">
      <alignment horizontal="center"/>
    </xf>
    <xf numFmtId="41" fontId="12" fillId="0" borderId="0" xfId="0" applyNumberFormat="1" applyFont="1" applyFill="1"/>
    <xf numFmtId="169" fontId="12" fillId="0" borderId="0" xfId="0" applyNumberFormat="1" applyFont="1"/>
    <xf numFmtId="3" fontId="17" fillId="4" borderId="0" xfId="0" applyNumberFormat="1" applyFont="1" applyFill="1" applyAlignment="1">
      <alignment horizontal="right"/>
    </xf>
    <xf numFmtId="3" fontId="17" fillId="4" borderId="0" xfId="0" applyNumberFormat="1" applyFont="1" applyFill="1"/>
    <xf numFmtId="3" fontId="20" fillId="4" borderId="0" xfId="0" applyNumberFormat="1" applyFont="1" applyFill="1"/>
    <xf numFmtId="0" fontId="5" fillId="0" borderId="0" xfId="0" applyFont="1" applyFill="1" applyAlignment="1">
      <alignment horizontal="right"/>
    </xf>
    <xf numFmtId="174" fontId="5" fillId="0" borderId="0" xfId="0" applyNumberFormat="1" applyFont="1" applyFill="1" applyAlignment="1">
      <alignment horizontal="right"/>
    </xf>
    <xf numFmtId="0" fontId="20" fillId="0" borderId="0" xfId="0" applyFont="1"/>
    <xf numFmtId="9" fontId="5" fillId="4" borderId="0" xfId="0" applyNumberFormat="1" applyFont="1" applyFill="1"/>
    <xf numFmtId="174" fontId="5" fillId="4" borderId="0" xfId="0" applyNumberFormat="1" applyFont="1" applyFill="1"/>
    <xf numFmtId="171" fontId="12" fillId="4" borderId="0" xfId="0" applyNumberFormat="1" applyFont="1" applyFill="1"/>
    <xf numFmtId="10" fontId="5" fillId="0" borderId="0" xfId="0" applyNumberFormat="1" applyFont="1"/>
    <xf numFmtId="0" fontId="5" fillId="0" borderId="0" xfId="0" applyFont="1" applyAlignment="1">
      <alignment horizontal="right"/>
    </xf>
    <xf numFmtId="0" fontId="23" fillId="0" borderId="0" xfId="0" applyFont="1"/>
    <xf numFmtId="41" fontId="20" fillId="0" borderId="0" xfId="0" applyNumberFormat="1" applyFont="1"/>
    <xf numFmtId="0" fontId="5" fillId="3" borderId="0" xfId="0" applyFont="1" applyFill="1"/>
    <xf numFmtId="0" fontId="5" fillId="2" borderId="0" xfId="0" applyFont="1" applyFill="1" applyAlignment="1">
      <alignment horizontal="right"/>
    </xf>
    <xf numFmtId="41" fontId="12" fillId="0" borderId="0" xfId="0" applyNumberFormat="1" applyFont="1"/>
    <xf numFmtId="174" fontId="5" fillId="0" borderId="0" xfId="0" applyNumberFormat="1" applyFont="1" applyFill="1"/>
    <xf numFmtId="184" fontId="12" fillId="4" borderId="0" xfId="0" applyNumberFormat="1" applyFont="1" applyFill="1"/>
    <xf numFmtId="3" fontId="12" fillId="4" borderId="0" xfId="0" applyNumberFormat="1" applyFont="1" applyFill="1" applyAlignment="1">
      <alignment horizontal="right"/>
    </xf>
    <xf numFmtId="0" fontId="3" fillId="6" borderId="0" xfId="0" applyFont="1" applyFill="1"/>
    <xf numFmtId="0" fontId="5" fillId="6" borderId="0" xfId="0" applyFont="1" applyFill="1" applyAlignment="1">
      <alignment horizontal="right"/>
    </xf>
    <xf numFmtId="0" fontId="3" fillId="6" borderId="0" xfId="0" applyFont="1" applyFill="1" applyAlignment="1">
      <alignment horizontal="right"/>
    </xf>
    <xf numFmtId="0" fontId="3" fillId="6" borderId="0" xfId="0" applyFont="1" applyFill="1" applyAlignment="1">
      <alignment horizontal="left"/>
    </xf>
    <xf numFmtId="0" fontId="9" fillId="0" borderId="0" xfId="0" applyFont="1"/>
    <xf numFmtId="0" fontId="9" fillId="4" borderId="0" xfId="0" applyFont="1" applyFill="1"/>
    <xf numFmtId="41" fontId="9" fillId="0" borderId="0" xfId="0" applyNumberFormat="1" applyFont="1"/>
    <xf numFmtId="0" fontId="5" fillId="4" borderId="0" xfId="0" applyFont="1" applyFill="1" applyAlignment="1">
      <alignment horizontal="left"/>
    </xf>
    <xf numFmtId="0" fontId="29" fillId="0" borderId="0" xfId="0" applyFont="1" applyAlignment="1">
      <alignment horizontal="right"/>
    </xf>
    <xf numFmtId="0" fontId="3" fillId="3" borderId="0" xfId="0" applyFont="1" applyFill="1" applyAlignment="1">
      <alignment horizontal="right"/>
    </xf>
    <xf numFmtId="0" fontId="30" fillId="0" borderId="2" xfId="0" applyFont="1" applyFill="1" applyBorder="1" applyAlignment="1">
      <alignment horizontal="center" vertical="top"/>
    </xf>
    <xf numFmtId="0" fontId="10" fillId="0" borderId="0" xfId="0" applyFont="1"/>
    <xf numFmtId="0" fontId="34" fillId="0" borderId="0" xfId="0" applyFont="1" applyAlignment="1">
      <alignment vertical="top"/>
    </xf>
    <xf numFmtId="0" fontId="34" fillId="0" borderId="0" xfId="0" applyFont="1" applyAlignment="1">
      <alignment horizontal="right" vertical="top"/>
    </xf>
    <xf numFmtId="10" fontId="34" fillId="0" borderId="0" xfId="0" applyNumberFormat="1" applyFont="1" applyAlignment="1">
      <alignment horizontal="left" vertical="top"/>
    </xf>
    <xf numFmtId="10" fontId="34" fillId="0" borderId="0" xfId="0" applyNumberFormat="1" applyFont="1" applyAlignment="1">
      <alignment horizontal="right" vertical="top"/>
    </xf>
    <xf numFmtId="186" fontId="34" fillId="0" borderId="0" xfId="0" applyNumberFormat="1" applyFont="1" applyAlignment="1">
      <alignment horizontal="left" vertical="top"/>
    </xf>
    <xf numFmtId="188" fontId="34" fillId="0" borderId="0" xfId="0" applyNumberFormat="1" applyFont="1" applyAlignment="1">
      <alignment horizontal="left" vertical="top"/>
    </xf>
    <xf numFmtId="0" fontId="34" fillId="4" borderId="0" xfId="0" applyFont="1" applyFill="1" applyAlignment="1">
      <alignment vertical="top"/>
    </xf>
    <xf numFmtId="0" fontId="5" fillId="4" borderId="3" xfId="0" applyFont="1" applyFill="1" applyBorder="1"/>
    <xf numFmtId="0" fontId="3" fillId="8" borderId="0" xfId="0" applyFont="1" applyFill="1"/>
    <xf numFmtId="0" fontId="5" fillId="8" borderId="0" xfId="0" applyFont="1" applyFill="1"/>
    <xf numFmtId="169" fontId="13" fillId="8" borderId="0" xfId="0" applyNumberFormat="1" applyFont="1" applyFill="1"/>
    <xf numFmtId="9" fontId="13" fillId="8" borderId="0" xfId="0" applyNumberFormat="1" applyFont="1" applyFill="1"/>
    <xf numFmtId="174" fontId="13" fillId="8" borderId="0" xfId="0" applyNumberFormat="1" applyFont="1" applyFill="1"/>
    <xf numFmtId="179" fontId="13" fillId="8" borderId="0" xfId="0" applyNumberFormat="1" applyFont="1" applyFill="1"/>
    <xf numFmtId="169" fontId="5" fillId="8" borderId="0" xfId="0" applyNumberFormat="1" applyFont="1" applyFill="1"/>
    <xf numFmtId="177" fontId="13" fillId="8" borderId="0" xfId="0" applyNumberFormat="1" applyFont="1" applyFill="1"/>
    <xf numFmtId="0" fontId="11" fillId="8" borderId="0" xfId="0" applyFont="1" applyFill="1"/>
    <xf numFmtId="0" fontId="11" fillId="8" borderId="0" xfId="0" applyFont="1" applyFill="1" applyAlignment="1">
      <alignment horizontal="left"/>
    </xf>
    <xf numFmtId="0" fontId="12" fillId="8" borderId="0" xfId="0" applyFont="1" applyFill="1" applyAlignment="1">
      <alignment horizontal="right"/>
    </xf>
    <xf numFmtId="0" fontId="4" fillId="8" borderId="0" xfId="0" applyFont="1" applyFill="1" applyAlignment="1">
      <alignment horizontal="left" indent="1"/>
    </xf>
    <xf numFmtId="3" fontId="13" fillId="8" borderId="0" xfId="0" applyNumberFormat="1" applyFont="1" applyFill="1"/>
    <xf numFmtId="178" fontId="13" fillId="8" borderId="0" xfId="0" applyNumberFormat="1" applyFont="1" applyFill="1"/>
    <xf numFmtId="41" fontId="9" fillId="8" borderId="0" xfId="0" applyNumberFormat="1" applyFont="1" applyFill="1"/>
    <xf numFmtId="3" fontId="22" fillId="8" borderId="0" xfId="0" applyNumberFormat="1" applyFont="1" applyFill="1"/>
    <xf numFmtId="178" fontId="22" fillId="8" borderId="0" xfId="0" applyNumberFormat="1" applyFont="1" applyFill="1"/>
    <xf numFmtId="41" fontId="14" fillId="8" borderId="0" xfId="0" applyNumberFormat="1" applyFont="1" applyFill="1"/>
    <xf numFmtId="3" fontId="5" fillId="8" borderId="0" xfId="0" applyNumberFormat="1" applyFont="1" applyFill="1"/>
    <xf numFmtId="178" fontId="9" fillId="8" borderId="0" xfId="0" applyNumberFormat="1" applyFont="1" applyFill="1"/>
    <xf numFmtId="0" fontId="3" fillId="8" borderId="0" xfId="0" quotePrefix="1" applyFont="1" applyFill="1" applyAlignment="1">
      <alignment horizontal="left" indent="1"/>
    </xf>
    <xf numFmtId="41" fontId="5" fillId="8" borderId="0" xfId="0" applyNumberFormat="1" applyFont="1" applyFill="1"/>
    <xf numFmtId="180" fontId="13" fillId="8" borderId="0" xfId="0" applyNumberFormat="1" applyFont="1" applyFill="1"/>
    <xf numFmtId="181" fontId="5" fillId="8" borderId="0" xfId="0" applyNumberFormat="1" applyFont="1" applyFill="1"/>
    <xf numFmtId="0" fontId="12" fillId="8" borderId="0" xfId="0" quotePrefix="1" applyFont="1" applyFill="1" applyAlignment="1">
      <alignment horizontal="right"/>
    </xf>
    <xf numFmtId="41" fontId="21" fillId="8" borderId="0" xfId="0" applyNumberFormat="1" applyFont="1" applyFill="1"/>
    <xf numFmtId="3" fontId="5" fillId="8" borderId="0" xfId="0" applyNumberFormat="1" applyFont="1" applyFill="1" applyAlignment="1">
      <alignment horizontal="right"/>
    </xf>
    <xf numFmtId="182" fontId="11" fillId="8" borderId="0" xfId="0" quotePrefix="1" applyNumberFormat="1" applyFont="1" applyFill="1"/>
    <xf numFmtId="0" fontId="5" fillId="8" borderId="0" xfId="0" applyFont="1" applyFill="1" applyAlignment="1">
      <alignment horizontal="right"/>
    </xf>
    <xf numFmtId="9" fontId="5" fillId="8" borderId="0" xfId="0" applyNumberFormat="1" applyFont="1" applyFill="1" applyAlignment="1">
      <alignment horizontal="right"/>
    </xf>
    <xf numFmtId="10" fontId="5" fillId="8" borderId="0" xfId="0" applyNumberFormat="1" applyFont="1" applyFill="1" applyAlignment="1">
      <alignment horizontal="right"/>
    </xf>
    <xf numFmtId="41" fontId="5" fillId="8" borderId="0" xfId="0" applyNumberFormat="1" applyFont="1" applyFill="1" applyAlignment="1">
      <alignment horizontal="right"/>
    </xf>
    <xf numFmtId="41" fontId="13" fillId="8" borderId="0" xfId="0" applyNumberFormat="1" applyFont="1" applyFill="1" applyAlignment="1">
      <alignment horizontal="right"/>
    </xf>
    <xf numFmtId="10" fontId="12" fillId="8" borderId="0" xfId="0" applyNumberFormat="1" applyFont="1" applyFill="1" applyAlignment="1">
      <alignment horizontal="right"/>
    </xf>
    <xf numFmtId="41" fontId="12" fillId="8" borderId="0" xfId="0" applyNumberFormat="1" applyFont="1" applyFill="1" applyAlignment="1">
      <alignment horizontal="right"/>
    </xf>
    <xf numFmtId="41" fontId="22" fillId="8" borderId="0" xfId="0" applyNumberFormat="1" applyFont="1" applyFill="1" applyAlignment="1">
      <alignment horizontal="right"/>
    </xf>
    <xf numFmtId="0" fontId="6" fillId="8" borderId="0" xfId="0" applyFont="1" applyFill="1" applyAlignment="1"/>
    <xf numFmtId="0" fontId="3" fillId="8" borderId="0" xfId="0" quotePrefix="1" applyFont="1" applyFill="1" applyAlignment="1">
      <alignment horizontal="left"/>
    </xf>
    <xf numFmtId="10" fontId="13" fillId="8" borderId="0" xfId="0" applyNumberFormat="1" applyFont="1" applyFill="1" applyAlignment="1">
      <alignment horizontal="right"/>
    </xf>
    <xf numFmtId="41" fontId="21" fillId="8" borderId="0" xfId="0" applyNumberFormat="1" applyFont="1" applyFill="1" applyAlignment="1">
      <alignment horizontal="right"/>
    </xf>
    <xf numFmtId="169" fontId="13" fillId="8" borderId="0" xfId="0" applyNumberFormat="1" applyFont="1" applyFill="1" applyAlignment="1">
      <alignment horizontal="right"/>
    </xf>
    <xf numFmtId="0" fontId="13" fillId="8" borderId="0" xfId="0" applyFont="1" applyFill="1" applyAlignment="1">
      <alignment horizontal="right"/>
    </xf>
    <xf numFmtId="0" fontId="6" fillId="8" borderId="0" xfId="0" applyFont="1" applyFill="1"/>
    <xf numFmtId="169" fontId="9" fillId="8" borderId="0" xfId="0" applyNumberFormat="1" applyFont="1" applyFill="1" applyAlignment="1">
      <alignment horizontal="right"/>
    </xf>
    <xf numFmtId="41" fontId="9" fillId="8" borderId="0" xfId="0" applyNumberFormat="1" applyFont="1" applyFill="1" applyAlignment="1">
      <alignment horizontal="right"/>
    </xf>
    <xf numFmtId="0" fontId="4" fillId="8" borderId="0" xfId="0" applyFont="1" applyFill="1"/>
    <xf numFmtId="3" fontId="13" fillId="8" borderId="0" xfId="0" applyNumberFormat="1" applyFont="1" applyFill="1" applyAlignment="1">
      <alignment horizontal="right"/>
    </xf>
    <xf numFmtId="0" fontId="9" fillId="8" borderId="0" xfId="0" applyFont="1" applyFill="1" applyAlignment="1">
      <alignment horizontal="right"/>
    </xf>
    <xf numFmtId="3" fontId="9" fillId="8" borderId="0" xfId="0" applyNumberFormat="1" applyFont="1" applyFill="1" applyAlignment="1">
      <alignment horizontal="right"/>
    </xf>
    <xf numFmtId="0" fontId="6" fillId="8" borderId="0" xfId="0" applyFont="1" applyFill="1" applyAlignment="1">
      <alignment horizontal="left" indent="1"/>
    </xf>
    <xf numFmtId="41" fontId="14" fillId="8" borderId="0" xfId="0" applyNumberFormat="1" applyFont="1" applyFill="1" applyAlignment="1">
      <alignment horizontal="right"/>
    </xf>
    <xf numFmtId="0" fontId="24" fillId="8" borderId="1" xfId="0" applyFont="1" applyFill="1" applyBorder="1"/>
    <xf numFmtId="0" fontId="20" fillId="8" borderId="1" xfId="0" applyFont="1" applyFill="1" applyBorder="1" applyAlignment="1">
      <alignment horizontal="right"/>
    </xf>
    <xf numFmtId="169" fontId="20" fillId="8" borderId="1" xfId="0" applyNumberFormat="1" applyFont="1" applyFill="1" applyBorder="1" applyAlignment="1">
      <alignment horizontal="right"/>
    </xf>
    <xf numFmtId="3" fontId="26" fillId="8" borderId="1" xfId="0" applyNumberFormat="1" applyFont="1" applyFill="1" applyBorder="1" applyAlignment="1">
      <alignment horizontal="right"/>
    </xf>
    <xf numFmtId="0" fontId="3" fillId="8" borderId="0" xfId="0" applyFont="1" applyFill="1" applyAlignment="1">
      <alignment horizontal="left" indent="1"/>
    </xf>
    <xf numFmtId="174" fontId="9" fillId="8" borderId="0" xfId="0" applyNumberFormat="1" applyFont="1" applyFill="1" applyAlignment="1">
      <alignment horizontal="right"/>
    </xf>
    <xf numFmtId="174" fontId="13" fillId="8" borderId="0" xfId="0" applyNumberFormat="1" applyFont="1" applyFill="1" applyAlignment="1">
      <alignment horizontal="right"/>
    </xf>
    <xf numFmtId="174" fontId="14" fillId="8" borderId="0" xfId="0" applyNumberFormat="1" applyFont="1" applyFill="1" applyAlignment="1">
      <alignment horizontal="right"/>
    </xf>
    <xf numFmtId="3" fontId="12" fillId="8" borderId="0" xfId="0" applyNumberFormat="1" applyFont="1" applyFill="1" applyAlignment="1">
      <alignment horizontal="right"/>
    </xf>
    <xf numFmtId="174" fontId="5" fillId="8" borderId="0" xfId="0" applyNumberFormat="1" applyFont="1" applyFill="1" applyAlignment="1">
      <alignment horizontal="left"/>
    </xf>
    <xf numFmtId="174" fontId="5" fillId="8" borderId="0" xfId="0" applyNumberFormat="1" applyFont="1" applyFill="1" applyAlignment="1">
      <alignment horizontal="right"/>
    </xf>
    <xf numFmtId="0" fontId="3" fillId="8" borderId="0" xfId="0" applyFont="1" applyFill="1" applyAlignment="1">
      <alignment horizontal="left"/>
    </xf>
    <xf numFmtId="176" fontId="5" fillId="8" borderId="0" xfId="0" applyNumberFormat="1" applyFont="1" applyFill="1" applyAlignment="1">
      <alignment horizontal="right"/>
    </xf>
    <xf numFmtId="176" fontId="13" fillId="8" borderId="0" xfId="0" applyNumberFormat="1" applyFont="1" applyFill="1" applyAlignment="1">
      <alignment horizontal="right"/>
    </xf>
    <xf numFmtId="175" fontId="5" fillId="8" borderId="0" xfId="0" applyNumberFormat="1" applyFont="1" applyFill="1" applyAlignment="1">
      <alignment horizontal="right"/>
    </xf>
    <xf numFmtId="0" fontId="10" fillId="8" borderId="0" xfId="0" applyFont="1" applyFill="1"/>
    <xf numFmtId="0" fontId="20" fillId="8" borderId="0" xfId="0" applyFont="1" applyFill="1" applyAlignment="1">
      <alignment horizontal="right"/>
    </xf>
    <xf numFmtId="174" fontId="26" fillId="8" borderId="0" xfId="0" applyNumberFormat="1" applyFont="1" applyFill="1" applyAlignment="1">
      <alignment horizontal="right"/>
    </xf>
    <xf numFmtId="3" fontId="20" fillId="8" borderId="0" xfId="0" applyNumberFormat="1" applyFont="1" applyFill="1" applyAlignment="1">
      <alignment horizontal="right"/>
    </xf>
    <xf numFmtId="0" fontId="4" fillId="8" borderId="0" xfId="0" applyFont="1" applyFill="1" applyAlignment="1">
      <alignment horizontal="right"/>
    </xf>
    <xf numFmtId="4" fontId="3" fillId="8" borderId="0" xfId="0" applyNumberFormat="1" applyFont="1" applyFill="1"/>
    <xf numFmtId="164" fontId="4" fillId="8" borderId="0" xfId="0" applyNumberFormat="1" applyFont="1" applyFill="1" applyAlignment="1">
      <alignment horizontal="right"/>
    </xf>
    <xf numFmtId="170" fontId="4" fillId="8" borderId="0" xfId="0" applyNumberFormat="1" applyFont="1" applyFill="1" applyAlignment="1">
      <alignment horizontal="right"/>
    </xf>
    <xf numFmtId="170" fontId="6" fillId="8" borderId="0" xfId="0" applyNumberFormat="1" applyFont="1" applyFill="1" applyAlignment="1">
      <alignment horizontal="right"/>
    </xf>
    <xf numFmtId="165" fontId="4" fillId="8" borderId="0" xfId="0" applyNumberFormat="1" applyFont="1" applyFill="1" applyAlignment="1">
      <alignment horizontal="right"/>
    </xf>
    <xf numFmtId="167" fontId="4" fillId="8" borderId="0" xfId="0" applyNumberFormat="1" applyFont="1" applyFill="1" applyAlignment="1">
      <alignment horizontal="right"/>
    </xf>
    <xf numFmtId="0" fontId="6" fillId="8" borderId="0" xfId="0" applyNumberFormat="1" applyFont="1" applyFill="1" applyAlignment="1">
      <alignment horizontal="right"/>
    </xf>
    <xf numFmtId="167" fontId="6" fillId="8" borderId="0" xfId="0" applyNumberFormat="1" applyFont="1" applyFill="1" applyAlignment="1">
      <alignment horizontal="right"/>
    </xf>
    <xf numFmtId="168" fontId="6" fillId="8" borderId="0" xfId="0" applyNumberFormat="1" applyFont="1" applyFill="1" applyAlignment="1">
      <alignment horizontal="right"/>
    </xf>
    <xf numFmtId="3" fontId="6" fillId="8" borderId="0" xfId="0" applyNumberFormat="1" applyFont="1" applyFill="1" applyAlignment="1">
      <alignment horizontal="right"/>
    </xf>
    <xf numFmtId="9" fontId="13" fillId="8" borderId="0" xfId="0" applyNumberFormat="1" applyFont="1" applyFill="1" applyAlignment="1">
      <alignment horizontal="right"/>
    </xf>
    <xf numFmtId="183" fontId="9" fillId="8" borderId="0" xfId="0" applyNumberFormat="1" applyFont="1" applyFill="1" applyAlignment="1">
      <alignment horizontal="right"/>
    </xf>
    <xf numFmtId="9" fontId="9" fillId="8" borderId="0" xfId="0" applyNumberFormat="1" applyFont="1" applyFill="1" applyAlignment="1">
      <alignment horizontal="left"/>
    </xf>
    <xf numFmtId="9" fontId="9" fillId="8" borderId="0" xfId="0" applyNumberFormat="1" applyFont="1" applyFill="1" applyAlignment="1">
      <alignment horizontal="right"/>
    </xf>
    <xf numFmtId="41" fontId="28" fillId="8" borderId="0" xfId="0" applyNumberFormat="1" applyFont="1" applyFill="1" applyAlignment="1">
      <alignment horizontal="right"/>
    </xf>
    <xf numFmtId="0" fontId="9" fillId="8" borderId="0" xfId="0" applyFont="1" applyFill="1" applyAlignment="1">
      <alignment horizontal="left"/>
    </xf>
    <xf numFmtId="0" fontId="5" fillId="8" borderId="0" xfId="0" applyFont="1" applyFill="1" applyAlignment="1">
      <alignment horizontal="left"/>
    </xf>
    <xf numFmtId="0" fontId="13" fillId="8" borderId="0" xfId="0" applyFont="1" applyFill="1" applyAlignment="1">
      <alignment horizontal="left"/>
    </xf>
    <xf numFmtId="0" fontId="17" fillId="8" borderId="0" xfId="0" applyFont="1" applyFill="1" applyAlignment="1">
      <alignment horizontal="right"/>
    </xf>
    <xf numFmtId="41" fontId="20" fillId="8" borderId="0" xfId="0" applyNumberFormat="1" applyFont="1" applyFill="1" applyAlignment="1">
      <alignment horizontal="right"/>
    </xf>
    <xf numFmtId="0" fontId="3" fillId="8" borderId="0" xfId="0" quotePrefix="1" applyFont="1" applyFill="1"/>
    <xf numFmtId="186" fontId="20" fillId="8" borderId="0" xfId="0" applyNumberFormat="1" applyFont="1" applyFill="1" applyAlignment="1">
      <alignment horizontal="right"/>
    </xf>
    <xf numFmtId="10" fontId="20" fillId="8" borderId="0" xfId="0" applyNumberFormat="1" applyFont="1" applyFill="1" applyAlignment="1">
      <alignment horizontal="right"/>
    </xf>
    <xf numFmtId="188" fontId="20" fillId="8" borderId="0" xfId="0" applyNumberFormat="1" applyFont="1" applyFill="1" applyAlignment="1">
      <alignment horizontal="right"/>
    </xf>
    <xf numFmtId="41" fontId="31" fillId="8" borderId="0" xfId="0" applyNumberFormat="1" applyFont="1" applyFill="1" applyAlignment="1">
      <alignment horizontal="right"/>
    </xf>
    <xf numFmtId="0" fontId="6" fillId="0" borderId="0" xfId="0" applyFont="1" applyFill="1" applyAlignment="1">
      <alignment horizontal="left"/>
    </xf>
    <xf numFmtId="41" fontId="5" fillId="0" borderId="0" xfId="0" applyNumberFormat="1" applyFont="1" applyFill="1" applyAlignment="1">
      <alignment horizontal="right"/>
    </xf>
    <xf numFmtId="41" fontId="13" fillId="0" borderId="0" xfId="0" applyNumberFormat="1" applyFont="1" applyFill="1" applyAlignment="1">
      <alignment horizontal="right"/>
    </xf>
    <xf numFmtId="41" fontId="9" fillId="0" borderId="0" xfId="0" applyNumberFormat="1" applyFont="1" applyFill="1" applyAlignment="1">
      <alignment horizontal="right"/>
    </xf>
    <xf numFmtId="43" fontId="5" fillId="0" borderId="0" xfId="0" applyNumberFormat="1" applyFont="1" applyFill="1" applyAlignment="1">
      <alignment horizontal="right"/>
    </xf>
    <xf numFmtId="3" fontId="34" fillId="0" borderId="0" xfId="0" applyNumberFormat="1" applyFont="1" applyAlignment="1">
      <alignment horizontal="left" vertical="top"/>
    </xf>
    <xf numFmtId="0" fontId="5" fillId="0" borderId="0" xfId="0" applyFont="1" applyAlignment="1">
      <alignment vertical="top"/>
    </xf>
    <xf numFmtId="174" fontId="34" fillId="0" borderId="0" xfId="0" applyNumberFormat="1" applyFont="1" applyAlignment="1">
      <alignment horizontal="left" vertical="top"/>
    </xf>
    <xf numFmtId="0" fontId="27" fillId="7" borderId="2" xfId="0" applyFont="1" applyFill="1" applyBorder="1" applyAlignment="1">
      <alignment horizontal="center" vertical="top"/>
    </xf>
    <xf numFmtId="15" fontId="12" fillId="0" borderId="0" xfId="0" applyNumberFormat="1" applyFont="1" applyAlignment="1">
      <alignment vertical="top"/>
    </xf>
    <xf numFmtId="169" fontId="0" fillId="0" borderId="0" xfId="0" applyNumberFormat="1"/>
    <xf numFmtId="174" fontId="5" fillId="0" borderId="0" xfId="0" applyNumberFormat="1" applyFont="1"/>
    <xf numFmtId="41" fontId="0" fillId="0" borderId="0" xfId="0" applyNumberFormat="1"/>
    <xf numFmtId="0" fontId="0" fillId="4" borderId="0" xfId="0" applyFill="1"/>
    <xf numFmtId="0" fontId="10" fillId="4" borderId="0" xfId="0" applyFont="1" applyFill="1"/>
    <xf numFmtId="0" fontId="5" fillId="4" borderId="0" xfId="0" applyFont="1" applyFill="1" applyAlignment="1">
      <alignment vertical="top"/>
    </xf>
    <xf numFmtId="41" fontId="13" fillId="3" borderId="0" xfId="0" applyNumberFormat="1" applyFont="1" applyFill="1" applyAlignment="1">
      <alignment horizontal="right"/>
    </xf>
    <xf numFmtId="41" fontId="28" fillId="3" borderId="0" xfId="0" applyNumberFormat="1" applyFont="1" applyFill="1" applyAlignment="1">
      <alignment horizontal="right"/>
    </xf>
    <xf numFmtId="43" fontId="5" fillId="3" borderId="0" xfId="0" applyNumberFormat="1" applyFont="1" applyFill="1" applyAlignment="1">
      <alignment horizontal="right"/>
    </xf>
    <xf numFmtId="0" fontId="13" fillId="0" borderId="0" xfId="0" applyFont="1" applyFill="1"/>
    <xf numFmtId="0" fontId="12" fillId="0" borderId="0" xfId="0" applyFont="1" applyFill="1" applyAlignment="1">
      <alignment horizontal="right"/>
    </xf>
    <xf numFmtId="187" fontId="13" fillId="0" borderId="0" xfId="0" applyNumberFormat="1" applyFont="1" applyFill="1" applyAlignment="1">
      <alignment horizontal="right"/>
    </xf>
    <xf numFmtId="174" fontId="13" fillId="0" borderId="0" xfId="0" quotePrefix="1" applyNumberFormat="1" applyFont="1" applyFill="1" applyAlignment="1">
      <alignment horizontal="right"/>
    </xf>
    <xf numFmtId="0" fontId="23" fillId="4" borderId="0" xfId="0" applyFont="1" applyFill="1"/>
    <xf numFmtId="0" fontId="3" fillId="0" borderId="0" xfId="0" applyFont="1" applyFill="1"/>
    <xf numFmtId="169" fontId="12" fillId="0" borderId="0" xfId="0" applyNumberFormat="1" applyFont="1" applyFill="1"/>
    <xf numFmtId="0" fontId="34" fillId="4" borderId="0" xfId="0" applyFont="1" applyFill="1" applyAlignment="1">
      <alignment horizontal="right" vertical="top"/>
    </xf>
    <xf numFmtId="0" fontId="5" fillId="4" borderId="3" xfId="0" applyFont="1" applyFill="1" applyBorder="1" applyAlignment="1">
      <alignment horizontal="right"/>
    </xf>
    <xf numFmtId="0" fontId="5" fillId="5" borderId="0" xfId="0" applyFont="1" applyFill="1" applyAlignment="1">
      <alignment horizontal="right"/>
    </xf>
    <xf numFmtId="4" fontId="5" fillId="4" borderId="0" xfId="0" applyNumberFormat="1" applyFont="1" applyFill="1" applyAlignment="1">
      <alignment horizontal="right"/>
    </xf>
    <xf numFmtId="0" fontId="9" fillId="4" borderId="0" xfId="0" applyFont="1" applyFill="1" applyAlignment="1">
      <alignment horizontal="right"/>
    </xf>
    <xf numFmtId="185" fontId="12" fillId="4" borderId="0" xfId="0" applyNumberFormat="1" applyFont="1" applyFill="1" applyAlignment="1">
      <alignment horizontal="right"/>
    </xf>
    <xf numFmtId="174" fontId="5" fillId="4" borderId="0" xfId="0" applyNumberFormat="1" applyFont="1" applyFill="1" applyAlignment="1">
      <alignment horizontal="right"/>
    </xf>
    <xf numFmtId="0" fontId="35" fillId="4" borderId="0" xfId="0" applyFont="1" applyFill="1"/>
    <xf numFmtId="41" fontId="5" fillId="4" borderId="0" xfId="0" applyNumberFormat="1" applyFont="1" applyFill="1"/>
    <xf numFmtId="174" fontId="5" fillId="4" borderId="0" xfId="0" applyNumberFormat="1" applyFont="1" applyFill="1" applyAlignment="1">
      <alignment horizontal="left"/>
    </xf>
    <xf numFmtId="191" fontId="5" fillId="4" borderId="0" xfId="0" applyNumberFormat="1" applyFont="1" applyFill="1" applyAlignment="1">
      <alignment horizontal="right"/>
    </xf>
    <xf numFmtId="41" fontId="5" fillId="4" borderId="0" xfId="0" applyNumberFormat="1" applyFont="1" applyFill="1" applyAlignment="1">
      <alignment horizontal="right"/>
    </xf>
    <xf numFmtId="183" fontId="5" fillId="4" borderId="0" xfId="0" applyNumberFormat="1" applyFont="1" applyFill="1" applyAlignment="1">
      <alignment horizontal="right"/>
    </xf>
    <xf numFmtId="0" fontId="20" fillId="4" borderId="4" xfId="0" applyFont="1" applyFill="1" applyBorder="1"/>
    <xf numFmtId="0" fontId="5" fillId="4" borderId="4" xfId="0" applyFont="1" applyFill="1" applyBorder="1"/>
    <xf numFmtId="0" fontId="5" fillId="4" borderId="4" xfId="0" applyFont="1" applyFill="1" applyBorder="1" applyAlignment="1">
      <alignment horizontal="right"/>
    </xf>
    <xf numFmtId="41" fontId="5" fillId="4" borderId="4" xfId="0" applyNumberFormat="1" applyFont="1" applyFill="1" applyBorder="1"/>
    <xf numFmtId="0" fontId="3" fillId="8" borderId="0" xfId="0" applyFont="1" applyFill="1" applyBorder="1"/>
    <xf numFmtId="0" fontId="13" fillId="8" borderId="0" xfId="0" applyFont="1" applyFill="1" applyBorder="1"/>
    <xf numFmtId="0" fontId="5" fillId="8" borderId="0" xfId="0" applyFont="1" applyFill="1" applyBorder="1"/>
    <xf numFmtId="174" fontId="9" fillId="8" borderId="0" xfId="0" applyNumberFormat="1" applyFont="1" applyFill="1" applyBorder="1"/>
    <xf numFmtId="0" fontId="9" fillId="8" borderId="0" xfId="0" applyFont="1" applyFill="1" applyBorder="1"/>
    <xf numFmtId="9" fontId="13" fillId="8" borderId="0" xfId="0" applyNumberFormat="1" applyFont="1" applyFill="1" applyBorder="1" applyAlignment="1">
      <alignment horizontal="right"/>
    </xf>
    <xf numFmtId="41" fontId="5" fillId="8" borderId="0" xfId="0" applyNumberFormat="1" applyFont="1" applyFill="1" applyBorder="1" applyAlignment="1">
      <alignment horizontal="right"/>
    </xf>
    <xf numFmtId="0" fontId="11" fillId="8" borderId="0" xfId="0" applyFont="1" applyFill="1" applyBorder="1"/>
    <xf numFmtId="9" fontId="14" fillId="8" borderId="0" xfId="0" applyNumberFormat="1" applyFont="1" applyFill="1" applyBorder="1" applyAlignment="1">
      <alignment horizontal="right"/>
    </xf>
    <xf numFmtId="41" fontId="12" fillId="8" borderId="0" xfId="0" applyNumberFormat="1" applyFont="1" applyFill="1" applyBorder="1" applyAlignment="1">
      <alignment horizontal="right"/>
    </xf>
    <xf numFmtId="9" fontId="5" fillId="8" borderId="0" xfId="0" applyNumberFormat="1" applyFont="1" applyFill="1" applyBorder="1"/>
    <xf numFmtId="41" fontId="5" fillId="8" borderId="0" xfId="0" applyNumberFormat="1" applyFont="1" applyFill="1" applyBorder="1"/>
    <xf numFmtId="0" fontId="12" fillId="8" borderId="0" xfId="0" applyFont="1" applyFill="1" applyBorder="1" applyAlignment="1">
      <alignment horizontal="left"/>
    </xf>
    <xf numFmtId="0" fontId="12" fillId="8" borderId="0" xfId="0" applyNumberFormat="1" applyFont="1" applyFill="1" applyBorder="1" applyAlignment="1">
      <alignment horizontal="right"/>
    </xf>
    <xf numFmtId="0" fontId="5" fillId="8" borderId="0" xfId="0" applyFont="1" applyFill="1" applyBorder="1" applyAlignment="1">
      <alignment horizontal="right"/>
    </xf>
    <xf numFmtId="174" fontId="13" fillId="8" borderId="0" xfId="0" applyNumberFormat="1" applyFont="1" applyFill="1" applyBorder="1" applyAlignment="1">
      <alignment horizontal="left"/>
    </xf>
    <xf numFmtId="9" fontId="5" fillId="8" borderId="0" xfId="0" applyNumberFormat="1" applyFont="1" applyFill="1" applyBorder="1" applyAlignment="1">
      <alignment horizontal="right"/>
    </xf>
    <xf numFmtId="174" fontId="9" fillId="8" borderId="0" xfId="0" applyNumberFormat="1" applyFont="1" applyFill="1" applyBorder="1" applyAlignment="1">
      <alignment horizontal="left"/>
    </xf>
    <xf numFmtId="9" fontId="9" fillId="8" borderId="0" xfId="0" applyNumberFormat="1" applyFont="1" applyFill="1" applyBorder="1" applyAlignment="1">
      <alignment horizontal="right"/>
    </xf>
    <xf numFmtId="0" fontId="3" fillId="8" borderId="4" xfId="0" applyFont="1" applyFill="1" applyBorder="1"/>
    <xf numFmtId="0" fontId="5" fillId="8" borderId="4" xfId="0" applyFont="1" applyFill="1" applyBorder="1"/>
    <xf numFmtId="9" fontId="5" fillId="8" borderId="4" xfId="0" applyNumberFormat="1" applyFont="1" applyFill="1" applyBorder="1" applyAlignment="1">
      <alignment horizontal="right"/>
    </xf>
    <xf numFmtId="41" fontId="5" fillId="8" borderId="4" xfId="0" applyNumberFormat="1" applyFont="1" applyFill="1" applyBorder="1"/>
    <xf numFmtId="0" fontId="20" fillId="4" borderId="3" xfId="0" applyFont="1" applyFill="1" applyBorder="1"/>
    <xf numFmtId="41" fontId="5" fillId="4" borderId="3" xfId="0" applyNumberFormat="1" applyFont="1" applyFill="1" applyBorder="1"/>
    <xf numFmtId="0" fontId="12" fillId="8" borderId="0" xfId="0" applyFont="1" applyFill="1" applyBorder="1" applyAlignment="1">
      <alignment horizontal="right"/>
    </xf>
    <xf numFmtId="0" fontId="10" fillId="8" borderId="5" xfId="0" applyFont="1" applyFill="1" applyBorder="1"/>
    <xf numFmtId="0" fontId="14" fillId="8" borderId="0" xfId="0" applyFont="1" applyFill="1" applyBorder="1" applyAlignment="1">
      <alignment horizontal="right"/>
    </xf>
    <xf numFmtId="186" fontId="5" fillId="8" borderId="0" xfId="0" applyNumberFormat="1" applyFont="1" applyFill="1" applyAlignment="1">
      <alignment horizontal="right"/>
    </xf>
    <xf numFmtId="186" fontId="5" fillId="8" borderId="0" xfId="0" applyNumberFormat="1" applyFont="1" applyFill="1" applyBorder="1" applyAlignment="1">
      <alignment horizontal="right"/>
    </xf>
    <xf numFmtId="186" fontId="5" fillId="8" borderId="4" xfId="0" applyNumberFormat="1" applyFont="1" applyFill="1" applyBorder="1" applyAlignment="1">
      <alignment horizontal="right"/>
    </xf>
    <xf numFmtId="3" fontId="9" fillId="8" borderId="0" xfId="0" applyNumberFormat="1" applyFont="1" applyFill="1" applyAlignment="1">
      <alignment horizontal="left"/>
    </xf>
    <xf numFmtId="0" fontId="30" fillId="0" borderId="0" xfId="0" applyFont="1" applyFill="1" applyBorder="1" applyAlignment="1">
      <alignment horizontal="center" vertical="top"/>
    </xf>
    <xf numFmtId="0" fontId="27" fillId="0" borderId="0" xfId="0" applyFont="1" applyFill="1" applyBorder="1" applyAlignment="1">
      <alignment horizontal="center" vertical="top"/>
    </xf>
    <xf numFmtId="192" fontId="6" fillId="8" borderId="0" xfId="0" applyNumberFormat="1" applyFont="1" applyFill="1" applyBorder="1" applyAlignment="1">
      <alignment horizontal="right"/>
    </xf>
    <xf numFmtId="4" fontId="6" fillId="8" borderId="0" xfId="0" applyNumberFormat="1" applyFont="1" applyFill="1" applyAlignment="1">
      <alignment horizontal="right"/>
    </xf>
    <xf numFmtId="0" fontId="4" fillId="0" borderId="1" xfId="0" applyFont="1" applyFill="1" applyBorder="1"/>
    <xf numFmtId="0" fontId="4" fillId="0" borderId="6" xfId="0" applyFont="1" applyFill="1" applyBorder="1"/>
    <xf numFmtId="10" fontId="5" fillId="0" borderId="0" xfId="0" applyNumberFormat="1" applyFont="1" applyAlignment="1">
      <alignment horizontal="right"/>
    </xf>
    <xf numFmtId="0" fontId="11" fillId="0" borderId="0" xfId="0" applyFont="1"/>
    <xf numFmtId="0" fontId="3" fillId="0" borderId="0" xfId="0" applyFont="1" applyFill="1" applyBorder="1"/>
    <xf numFmtId="0" fontId="3" fillId="0" borderId="0" xfId="0" applyFont="1" applyBorder="1"/>
    <xf numFmtId="0" fontId="36" fillId="0" borderId="0" xfId="0" applyFont="1" applyBorder="1"/>
    <xf numFmtId="0" fontId="36" fillId="0" borderId="0" xfId="0" applyFont="1" applyFill="1" applyBorder="1"/>
    <xf numFmtId="169" fontId="36" fillId="0" borderId="0" xfId="0" applyNumberFormat="1" applyFont="1" applyFill="1" applyBorder="1"/>
    <xf numFmtId="0" fontId="3" fillId="0" borderId="7" xfId="0" applyFont="1" applyFill="1" applyBorder="1"/>
    <xf numFmtId="0" fontId="3" fillId="0" borderId="8" xfId="0" applyFont="1" applyFill="1" applyBorder="1"/>
    <xf numFmtId="0" fontId="3" fillId="0" borderId="9" xfId="0" applyFont="1" applyFill="1" applyBorder="1"/>
    <xf numFmtId="0" fontId="3" fillId="0" borderId="10" xfId="0" applyFont="1" applyBorder="1"/>
    <xf numFmtId="0" fontId="3" fillId="0" borderId="11" xfId="0" applyFont="1" applyFill="1" applyBorder="1"/>
    <xf numFmtId="0" fontId="3" fillId="0" borderId="10" xfId="0" applyFont="1" applyFill="1" applyBorder="1"/>
    <xf numFmtId="0" fontId="3" fillId="0" borderId="12" xfId="0" applyFont="1" applyFill="1" applyBorder="1"/>
    <xf numFmtId="0" fontId="3" fillId="0" borderId="13" xfId="0" applyFont="1" applyFill="1" applyBorder="1"/>
    <xf numFmtId="0" fontId="3" fillId="0" borderId="14" xfId="0" applyFont="1" applyFill="1" applyBorder="1"/>
    <xf numFmtId="0" fontId="3" fillId="0" borderId="8" xfId="0" applyFont="1" applyBorder="1"/>
    <xf numFmtId="0" fontId="38" fillId="0" borderId="8" xfId="0" applyFont="1" applyBorder="1" applyAlignment="1">
      <alignment horizontal="right"/>
    </xf>
    <xf numFmtId="0" fontId="38" fillId="0" borderId="9" xfId="0" applyFont="1" applyBorder="1" applyAlignment="1">
      <alignment horizontal="right"/>
    </xf>
    <xf numFmtId="41" fontId="36" fillId="0" borderId="0" xfId="0" applyNumberFormat="1" applyFont="1" applyFill="1" applyBorder="1"/>
    <xf numFmtId="174" fontId="36" fillId="0" borderId="0" xfId="0" applyNumberFormat="1" applyFont="1" applyFill="1" applyBorder="1"/>
    <xf numFmtId="186" fontId="36" fillId="0" borderId="0" xfId="0" applyNumberFormat="1" applyFont="1" applyFill="1" applyBorder="1"/>
    <xf numFmtId="10" fontId="36" fillId="0" borderId="11" xfId="0" applyNumberFormat="1" applyFont="1" applyFill="1" applyBorder="1"/>
    <xf numFmtId="41" fontId="37" fillId="0" borderId="0" xfId="0" applyNumberFormat="1" applyFont="1" applyFill="1" applyBorder="1"/>
    <xf numFmtId="0" fontId="38" fillId="0" borderId="0" xfId="0" applyFont="1" applyFill="1" applyBorder="1" applyAlignment="1">
      <alignment horizontal="right"/>
    </xf>
    <xf numFmtId="0" fontId="38" fillId="0" borderId="0" xfId="0" applyFont="1" applyBorder="1" applyAlignment="1">
      <alignment horizontal="right"/>
    </xf>
    <xf numFmtId="0" fontId="38" fillId="0" borderId="11" xfId="0" applyFont="1" applyBorder="1" applyAlignment="1">
      <alignment horizontal="right"/>
    </xf>
    <xf numFmtId="10" fontId="36" fillId="0" borderId="0" xfId="0" applyNumberFormat="1" applyFont="1" applyFill="1" applyBorder="1"/>
    <xf numFmtId="0" fontId="11" fillId="0" borderId="10" xfId="0" applyFont="1" applyFill="1" applyBorder="1"/>
    <xf numFmtId="0" fontId="3" fillId="0" borderId="0" xfId="0" applyFont="1" applyFill="1" applyBorder="1" applyAlignment="1">
      <alignment horizontal="right"/>
    </xf>
    <xf numFmtId="0" fontId="38" fillId="0" borderId="0" xfId="0" quotePrefix="1" applyFont="1" applyFill="1" applyBorder="1" applyAlignment="1">
      <alignment horizontal="right"/>
    </xf>
    <xf numFmtId="4" fontId="36" fillId="0" borderId="0" xfId="0" applyNumberFormat="1" applyFont="1" applyFill="1" applyBorder="1"/>
    <xf numFmtId="0" fontId="38" fillId="0" borderId="0" xfId="0" applyNumberFormat="1" applyFont="1" applyFill="1" applyBorder="1" applyAlignment="1">
      <alignment horizontal="right"/>
    </xf>
    <xf numFmtId="0" fontId="38" fillId="0" borderId="11" xfId="0" applyNumberFormat="1" applyFont="1" applyFill="1" applyBorder="1" applyAlignment="1">
      <alignment horizontal="right"/>
    </xf>
    <xf numFmtId="10" fontId="38" fillId="0" borderId="0" xfId="0" applyNumberFormat="1" applyFont="1" applyFill="1" applyBorder="1"/>
    <xf numFmtId="10" fontId="38" fillId="0" borderId="11" xfId="0" applyNumberFormat="1" applyFont="1" applyFill="1" applyBorder="1"/>
    <xf numFmtId="4" fontId="37" fillId="0" borderId="0" xfId="0" applyNumberFormat="1" applyFont="1" applyFill="1" applyBorder="1"/>
    <xf numFmtId="188" fontId="36" fillId="0" borderId="0" xfId="0" applyNumberFormat="1" applyFont="1" applyFill="1" applyBorder="1"/>
    <xf numFmtId="188" fontId="36" fillId="0" borderId="11" xfId="0" applyNumberFormat="1" applyFont="1" applyFill="1" applyBorder="1"/>
    <xf numFmtId="0" fontId="3" fillId="0" borderId="13" xfId="0" applyFont="1" applyBorder="1"/>
    <xf numFmtId="174" fontId="36" fillId="0" borderId="13" xfId="0" applyNumberFormat="1" applyFont="1" applyFill="1" applyBorder="1"/>
    <xf numFmtId="41" fontId="36" fillId="0" borderId="13" xfId="0" applyNumberFormat="1" applyFont="1" applyFill="1" applyBorder="1"/>
    <xf numFmtId="0" fontId="36" fillId="0" borderId="8" xfId="0" applyFont="1" applyFill="1" applyBorder="1"/>
    <xf numFmtId="0" fontId="36" fillId="0" borderId="9" xfId="0" applyFont="1" applyFill="1" applyBorder="1" applyAlignment="1">
      <alignment horizontal="right"/>
    </xf>
    <xf numFmtId="193" fontId="36" fillId="0" borderId="11" xfId="0" applyNumberFormat="1" applyFont="1" applyFill="1" applyBorder="1"/>
    <xf numFmtId="0" fontId="3" fillId="0" borderId="10" xfId="0" applyFont="1" applyFill="1" applyBorder="1" applyAlignment="1">
      <alignment horizontal="left"/>
    </xf>
    <xf numFmtId="194" fontId="36" fillId="0" borderId="11" xfId="0" applyNumberFormat="1" applyFont="1" applyFill="1" applyBorder="1"/>
    <xf numFmtId="0" fontId="36" fillId="0" borderId="11" xfId="0" applyNumberFormat="1" applyFont="1" applyFill="1" applyBorder="1" applyAlignment="1">
      <alignment horizontal="right"/>
    </xf>
    <xf numFmtId="0" fontId="36" fillId="0" borderId="11" xfId="0" applyFont="1" applyFill="1" applyBorder="1" applyAlignment="1">
      <alignment horizontal="right"/>
    </xf>
    <xf numFmtId="0" fontId="36" fillId="0" borderId="11" xfId="0" applyFont="1" applyFill="1" applyBorder="1"/>
    <xf numFmtId="195" fontId="36" fillId="0" borderId="11" xfId="0" applyNumberFormat="1" applyFont="1" applyFill="1" applyBorder="1"/>
    <xf numFmtId="170" fontId="36" fillId="0" borderId="11" xfId="0" applyNumberFormat="1" applyFont="1" applyFill="1" applyBorder="1"/>
    <xf numFmtId="169" fontId="36" fillId="0" borderId="13" xfId="0" applyNumberFormat="1" applyFont="1" applyFill="1" applyBorder="1"/>
    <xf numFmtId="170" fontId="36" fillId="0" borderId="14" xfId="0" applyNumberFormat="1" applyFont="1" applyFill="1" applyBorder="1"/>
    <xf numFmtId="0" fontId="10" fillId="0" borderId="7" xfId="0" applyFont="1" applyFill="1" applyBorder="1"/>
    <xf numFmtId="0" fontId="13" fillId="0" borderId="15" xfId="0" applyFont="1" applyFill="1" applyBorder="1"/>
    <xf numFmtId="0" fontId="4" fillId="0" borderId="16" xfId="0" applyFont="1" applyFill="1" applyBorder="1"/>
    <xf numFmtId="0" fontId="13" fillId="0" borderId="17" xfId="0" applyFont="1" applyFill="1" applyBorder="1"/>
    <xf numFmtId="0" fontId="4" fillId="0" borderId="18" xfId="0" applyFont="1" applyFill="1" applyBorder="1"/>
    <xf numFmtId="0" fontId="10" fillId="0" borderId="10" xfId="0" applyFont="1" applyFill="1" applyBorder="1"/>
    <xf numFmtId="0" fontId="13" fillId="0" borderId="19" xfId="0" applyFont="1" applyFill="1" applyBorder="1"/>
    <xf numFmtId="0" fontId="4" fillId="0" borderId="20" xfId="0" applyFont="1" applyFill="1" applyBorder="1"/>
    <xf numFmtId="0" fontId="4" fillId="0" borderId="21" xfId="0" applyFont="1" applyFill="1" applyBorder="1"/>
    <xf numFmtId="0" fontId="11" fillId="0" borderId="7" xfId="0" applyFont="1" applyBorder="1"/>
    <xf numFmtId="41" fontId="36" fillId="0" borderId="11" xfId="0" applyNumberFormat="1" applyFont="1" applyFill="1" applyBorder="1"/>
    <xf numFmtId="41" fontId="37" fillId="0" borderId="11" xfId="0" applyNumberFormat="1" applyFont="1" applyFill="1" applyBorder="1"/>
    <xf numFmtId="0" fontId="38" fillId="0" borderId="11" xfId="0" applyFont="1" applyFill="1" applyBorder="1" applyAlignment="1">
      <alignment horizontal="right"/>
    </xf>
    <xf numFmtId="41" fontId="36" fillId="0" borderId="14" xfId="0" applyNumberFormat="1" applyFont="1" applyFill="1" applyBorder="1"/>
    <xf numFmtId="0" fontId="40" fillId="2" borderId="7" xfId="0" applyFont="1" applyFill="1" applyBorder="1"/>
    <xf numFmtId="0" fontId="39" fillId="2" borderId="8" xfId="0" applyFont="1" applyFill="1" applyBorder="1"/>
    <xf numFmtId="0" fontId="40" fillId="2" borderId="9" xfId="0" applyFont="1" applyFill="1" applyBorder="1" applyAlignment="1">
      <alignment horizontal="right"/>
    </xf>
    <xf numFmtId="0" fontId="3" fillId="2" borderId="10" xfId="0" applyFont="1" applyFill="1" applyBorder="1"/>
    <xf numFmtId="0" fontId="3" fillId="2" borderId="0" xfId="0" applyFont="1" applyFill="1" applyBorder="1"/>
    <xf numFmtId="0" fontId="3" fillId="2" borderId="0" xfId="0" applyFont="1" applyFill="1" applyBorder="1" applyAlignment="1">
      <alignment vertical="center"/>
    </xf>
    <xf numFmtId="0" fontId="3" fillId="2" borderId="11" xfId="0" applyFont="1" applyFill="1" applyBorder="1" applyAlignment="1">
      <alignment horizontal="right" vertical="center"/>
    </xf>
    <xf numFmtId="0" fontId="3" fillId="9" borderId="10" xfId="0" applyFont="1" applyFill="1" applyBorder="1"/>
    <xf numFmtId="0" fontId="3" fillId="9" borderId="0" xfId="0" applyFont="1" applyFill="1" applyBorder="1"/>
    <xf numFmtId="0" fontId="3" fillId="9" borderId="0" xfId="0" applyFont="1" applyFill="1" applyBorder="1" applyAlignment="1">
      <alignment vertical="center"/>
    </xf>
    <xf numFmtId="0" fontId="3" fillId="9" borderId="11" xfId="0" applyFont="1" applyFill="1" applyBorder="1" applyAlignment="1">
      <alignment vertical="center"/>
    </xf>
    <xf numFmtId="0" fontId="3" fillId="9" borderId="0" xfId="0" applyFont="1" applyFill="1" applyBorder="1" applyAlignment="1">
      <alignment horizontal="right"/>
    </xf>
    <xf numFmtId="0" fontId="3" fillId="9" borderId="0" xfId="0" applyFont="1" applyFill="1" applyBorder="1" applyAlignment="1">
      <alignment horizontal="right" vertical="center"/>
    </xf>
    <xf numFmtId="0" fontId="3" fillId="9" borderId="11" xfId="0" applyFont="1" applyFill="1" applyBorder="1" applyAlignment="1">
      <alignment horizontal="right" vertical="center"/>
    </xf>
    <xf numFmtId="0" fontId="3" fillId="0" borderId="10" xfId="0" quotePrefix="1" applyFont="1" applyFill="1" applyBorder="1" applyAlignment="1">
      <alignment horizontal="left" indent="1"/>
    </xf>
    <xf numFmtId="174" fontId="36" fillId="0" borderId="11" xfId="0" applyNumberFormat="1" applyFont="1" applyFill="1" applyBorder="1"/>
    <xf numFmtId="0" fontId="6" fillId="8" borderId="0" xfId="0" applyFont="1" applyFill="1" applyAlignment="1">
      <alignment horizontal="right"/>
    </xf>
    <xf numFmtId="188" fontId="3" fillId="8" borderId="0" xfId="0" applyNumberFormat="1" applyFont="1" applyFill="1" applyAlignment="1">
      <alignment horizontal="right"/>
    </xf>
    <xf numFmtId="0" fontId="11" fillId="8" borderId="0" xfId="0" applyFont="1" applyFill="1" applyAlignment="1">
      <alignment horizontal="right"/>
    </xf>
    <xf numFmtId="0" fontId="6" fillId="8" borderId="0" xfId="0" applyFont="1" applyFill="1" applyAlignment="1">
      <alignment horizontal="left"/>
    </xf>
    <xf numFmtId="0" fontId="5" fillId="2" borderId="0" xfId="0" applyFont="1" applyFill="1" applyAlignment="1"/>
    <xf numFmtId="10" fontId="3" fillId="0" borderId="0" xfId="0" applyNumberFormat="1" applyFont="1" applyAlignment="1">
      <alignment horizontal="left"/>
    </xf>
    <xf numFmtId="0" fontId="41" fillId="0" borderId="0" xfId="0" applyFont="1"/>
    <xf numFmtId="10" fontId="36" fillId="0" borderId="13" xfId="0" applyNumberFormat="1" applyFont="1" applyFill="1" applyBorder="1"/>
    <xf numFmtId="10" fontId="36" fillId="0" borderId="0" xfId="0" applyNumberFormat="1" applyFont="1" applyAlignment="1">
      <alignment horizontal="right"/>
    </xf>
    <xf numFmtId="0" fontId="38" fillId="0" borderId="0" xfId="0" applyFont="1" applyAlignment="1">
      <alignment horizontal="right"/>
    </xf>
    <xf numFmtId="10" fontId="36" fillId="0" borderId="0" xfId="0" applyNumberFormat="1" applyFont="1"/>
    <xf numFmtId="186" fontId="36" fillId="0" borderId="11" xfId="0" applyNumberFormat="1" applyFont="1" applyFill="1" applyBorder="1"/>
    <xf numFmtId="186" fontId="36" fillId="0" borderId="14" xfId="0" applyNumberFormat="1" applyFont="1" applyFill="1" applyBorder="1"/>
    <xf numFmtId="196" fontId="36" fillId="0" borderId="0" xfId="0" applyNumberFormat="1" applyFont="1" applyFill="1" applyBorder="1"/>
    <xf numFmtId="196" fontId="36" fillId="0" borderId="13" xfId="0" applyNumberFormat="1" applyFont="1" applyFill="1" applyBorder="1"/>
    <xf numFmtId="0" fontId="3" fillId="8" borderId="0" xfId="0" applyFont="1" applyFill="1" applyAlignment="1">
      <alignment horizontal="right"/>
    </xf>
    <xf numFmtId="0" fontId="9" fillId="0" borderId="0" xfId="0" applyFont="1" applyAlignment="1">
      <alignment horizontal="right"/>
    </xf>
    <xf numFmtId="0" fontId="9" fillId="0" borderId="13" xfId="0" applyFont="1" applyFill="1" applyBorder="1" applyAlignment="1">
      <alignment horizontal="right"/>
    </xf>
    <xf numFmtId="186" fontId="3" fillId="8" borderId="0" xfId="0" applyNumberFormat="1" applyFont="1" applyFill="1" applyAlignment="1">
      <alignment horizontal="left"/>
    </xf>
    <xf numFmtId="10" fontId="3" fillId="8" borderId="0" xfId="0" applyNumberFormat="1" applyFont="1" applyFill="1" applyAlignment="1">
      <alignment horizontal="right"/>
    </xf>
    <xf numFmtId="10" fontId="4" fillId="8" borderId="0" xfId="0" applyNumberFormat="1" applyFont="1" applyFill="1" applyAlignment="1">
      <alignment horizontal="right"/>
    </xf>
    <xf numFmtId="0" fontId="3" fillId="0" borderId="0" xfId="0" applyFont="1" applyFill="1" applyAlignment="1">
      <alignment horizontal="right"/>
    </xf>
    <xf numFmtId="0" fontId="11" fillId="8" borderId="22" xfId="0" applyFont="1" applyFill="1" applyBorder="1"/>
    <xf numFmtId="0" fontId="6" fillId="8" borderId="22" xfId="0" applyFont="1" applyFill="1" applyBorder="1" applyAlignment="1">
      <alignment horizontal="right"/>
    </xf>
    <xf numFmtId="10" fontId="3" fillId="8" borderId="22" xfId="0" applyNumberFormat="1" applyFont="1" applyFill="1" applyBorder="1" applyAlignment="1">
      <alignment horizontal="right"/>
    </xf>
    <xf numFmtId="10" fontId="4" fillId="8" borderId="22" xfId="0" applyNumberFormat="1" applyFont="1" applyFill="1" applyBorder="1" applyAlignment="1">
      <alignment horizontal="right"/>
    </xf>
    <xf numFmtId="0" fontId="3" fillId="8" borderId="22" xfId="0" applyFont="1" applyFill="1" applyBorder="1"/>
    <xf numFmtId="0" fontId="3" fillId="8" borderId="22" xfId="0" applyFont="1" applyFill="1" applyBorder="1" applyAlignment="1">
      <alignment horizontal="right"/>
    </xf>
    <xf numFmtId="0" fontId="5" fillId="10" borderId="0" xfId="0" applyFont="1" applyFill="1"/>
    <xf numFmtId="0" fontId="20" fillId="10" borderId="0" xfId="0" applyFont="1" applyFill="1"/>
    <xf numFmtId="0" fontId="35" fillId="10" borderId="0" xfId="0" applyFont="1" applyFill="1" applyAlignment="1">
      <alignment horizontal="right"/>
    </xf>
    <xf numFmtId="0" fontId="5" fillId="10" borderId="0" xfId="0" applyFont="1" applyFill="1" applyAlignment="1">
      <alignment horizontal="right"/>
    </xf>
    <xf numFmtId="0" fontId="5" fillId="0" borderId="23" xfId="0" applyFont="1" applyFill="1" applyBorder="1"/>
    <xf numFmtId="0" fontId="5" fillId="0" borderId="23" xfId="0" applyFont="1" applyBorder="1"/>
    <xf numFmtId="41" fontId="5" fillId="0" borderId="23" xfId="0" applyNumberFormat="1" applyFont="1" applyBorder="1"/>
    <xf numFmtId="197" fontId="42" fillId="0" borderId="0" xfId="0" applyNumberFormat="1" applyFont="1" applyAlignment="1">
      <alignment horizontal="right"/>
    </xf>
    <xf numFmtId="43" fontId="5" fillId="8" borderId="0" xfId="0" applyNumberFormat="1" applyFont="1" applyFill="1" applyAlignment="1">
      <alignment horizontal="right"/>
    </xf>
    <xf numFmtId="43" fontId="5" fillId="8" borderId="0" xfId="0" applyNumberFormat="1" applyFont="1" applyFill="1"/>
    <xf numFmtId="43" fontId="12" fillId="8" borderId="0" xfId="0" applyNumberFormat="1" applyFont="1" applyFill="1"/>
    <xf numFmtId="43" fontId="9" fillId="8" borderId="0" xfId="0" applyNumberFormat="1" applyFont="1" applyFill="1"/>
    <xf numFmtId="43" fontId="14" fillId="8" borderId="0" xfId="0" applyNumberFormat="1" applyFont="1" applyFill="1"/>
    <xf numFmtId="43" fontId="12" fillId="8" borderId="0" xfId="0" quotePrefix="1" applyNumberFormat="1" applyFont="1" applyFill="1" applyAlignment="1">
      <alignment horizontal="right"/>
    </xf>
    <xf numFmtId="43" fontId="12" fillId="8" borderId="0" xfId="0" applyNumberFormat="1" applyFont="1" applyFill="1" applyAlignment="1">
      <alignment horizontal="right"/>
    </xf>
    <xf numFmtId="43" fontId="20" fillId="8" borderId="0" xfId="0" applyNumberFormat="1" applyFont="1" applyFill="1" applyAlignment="1">
      <alignment horizontal="right"/>
    </xf>
    <xf numFmtId="43" fontId="13" fillId="8" borderId="0" xfId="0" applyNumberFormat="1" applyFont="1" applyFill="1" applyAlignment="1">
      <alignment horizontal="right"/>
    </xf>
    <xf numFmtId="43" fontId="9" fillId="8" borderId="0" xfId="0" applyNumberFormat="1" applyFont="1" applyFill="1" applyAlignment="1">
      <alignment horizontal="right"/>
    </xf>
    <xf numFmtId="43" fontId="14" fillId="8" borderId="0" xfId="0" applyNumberFormat="1" applyFont="1" applyFill="1" applyAlignment="1">
      <alignment horizontal="right"/>
    </xf>
    <xf numFmtId="43" fontId="26" fillId="8" borderId="1" xfId="0" applyNumberFormat="1" applyFont="1" applyFill="1" applyBorder="1" applyAlignment="1">
      <alignment horizontal="right"/>
    </xf>
    <xf numFmtId="43" fontId="21" fillId="8" borderId="0" xfId="0" quotePrefix="1" applyNumberFormat="1" applyFont="1" applyFill="1" applyAlignment="1">
      <alignment horizontal="right"/>
    </xf>
    <xf numFmtId="41" fontId="13" fillId="8" borderId="0" xfId="0" applyNumberFormat="1" applyFont="1" applyFill="1"/>
    <xf numFmtId="41" fontId="22" fillId="8" borderId="0" xfId="0" applyNumberFormat="1" applyFont="1" applyFill="1"/>
    <xf numFmtId="41" fontId="5" fillId="8" borderId="0" xfId="0" applyNumberFormat="1" applyFont="1" applyFill="1" applyAlignment="1">
      <alignment horizontal="right" indent="2"/>
    </xf>
    <xf numFmtId="0" fontId="41" fillId="3" borderId="0" xfId="0" applyFont="1" applyFill="1"/>
    <xf numFmtId="0" fontId="1" fillId="0" borderId="0" xfId="0" applyFont="1"/>
    <xf numFmtId="0" fontId="18" fillId="0" borderId="0" xfId="0" applyFont="1" applyAlignment="1">
      <alignment vertical="top"/>
    </xf>
    <xf numFmtId="0" fontId="1" fillId="0" borderId="0" xfId="0" applyFont="1" applyBorder="1"/>
    <xf numFmtId="0" fontId="43" fillId="0" borderId="0" xfId="0" applyFont="1"/>
    <xf numFmtId="0" fontId="1" fillId="0" borderId="0" xfId="0" applyFont="1" applyFill="1"/>
    <xf numFmtId="0" fontId="1" fillId="0" borderId="0" xfId="0" applyFont="1" applyAlignment="1">
      <alignment vertical="top"/>
    </xf>
    <xf numFmtId="0" fontId="44" fillId="0" borderId="0" xfId="0" applyFont="1"/>
    <xf numFmtId="9" fontId="12" fillId="8" borderId="0" xfId="0" applyNumberFormat="1" applyFont="1" applyFill="1" applyAlignment="1">
      <alignment horizontal="right"/>
    </xf>
    <xf numFmtId="198" fontId="14" fillId="8" borderId="0" xfId="0" applyNumberFormat="1" applyFont="1" applyFill="1"/>
    <xf numFmtId="0" fontId="20" fillId="4" borderId="0" xfId="0" applyFont="1" applyFill="1" applyBorder="1"/>
    <xf numFmtId="0" fontId="5" fillId="4" borderId="0" xfId="0" applyFont="1" applyFill="1" applyBorder="1"/>
    <xf numFmtId="0" fontId="5" fillId="4" borderId="0" xfId="0" applyFont="1" applyFill="1" applyBorder="1" applyAlignment="1">
      <alignment horizontal="right"/>
    </xf>
    <xf numFmtId="41" fontId="5" fillId="4" borderId="0" xfId="0" applyNumberFormat="1" applyFont="1" applyFill="1" applyBorder="1"/>
    <xf numFmtId="199" fontId="3" fillId="8" borderId="0" xfId="0" applyNumberFormat="1" applyFont="1" applyFill="1"/>
    <xf numFmtId="0" fontId="14" fillId="8" borderId="0" xfId="0" applyNumberFormat="1" applyFont="1" applyFill="1" applyAlignment="1">
      <alignment horizontal="right"/>
    </xf>
    <xf numFmtId="0" fontId="12" fillId="8" borderId="0" xfId="0" applyNumberFormat="1" applyFont="1" applyFill="1" applyAlignment="1">
      <alignment horizontal="right"/>
    </xf>
    <xf numFmtId="0" fontId="14" fillId="8" borderId="0" xfId="0" quotePrefix="1" applyNumberFormat="1" applyFont="1" applyFill="1" applyAlignment="1">
      <alignment horizontal="right"/>
    </xf>
    <xf numFmtId="0" fontId="13" fillId="8" borderId="0" xfId="0" applyNumberFormat="1" applyFont="1" applyFill="1" applyAlignment="1">
      <alignment horizontal="right"/>
    </xf>
    <xf numFmtId="4" fontId="13" fillId="8" borderId="0" xfId="0" applyNumberFormat="1" applyFont="1" applyFill="1" applyAlignment="1">
      <alignment horizontal="right"/>
    </xf>
    <xf numFmtId="41" fontId="9" fillId="8" borderId="0" xfId="0" quotePrefix="1" applyNumberFormat="1" applyFont="1" applyFill="1" applyAlignment="1">
      <alignment horizontal="right"/>
    </xf>
    <xf numFmtId="169" fontId="22" fillId="8" borderId="0" xfId="0" applyNumberFormat="1" applyFont="1" applyFill="1" applyAlignment="1">
      <alignment horizontal="right"/>
    </xf>
    <xf numFmtId="10" fontId="22" fillId="8" borderId="0" xfId="0" applyNumberFormat="1" applyFont="1" applyFill="1" applyAlignment="1">
      <alignment horizontal="right"/>
    </xf>
    <xf numFmtId="4" fontId="22" fillId="8" borderId="0" xfId="0" applyNumberFormat="1" applyFont="1" applyFill="1" applyAlignment="1">
      <alignment horizontal="right"/>
    </xf>
    <xf numFmtId="0" fontId="13" fillId="8" borderId="0" xfId="0" applyFont="1" applyFill="1" applyAlignment="1">
      <alignment horizontal="left" indent="1"/>
    </xf>
    <xf numFmtId="10" fontId="9" fillId="8" borderId="0" xfId="0" applyNumberFormat="1" applyFont="1" applyFill="1" applyAlignment="1">
      <alignment horizontal="right"/>
    </xf>
    <xf numFmtId="4" fontId="9" fillId="8" borderId="0" xfId="0" applyNumberFormat="1" applyFont="1" applyFill="1" applyAlignment="1">
      <alignment horizontal="right"/>
    </xf>
    <xf numFmtId="43" fontId="21" fillId="8" borderId="0" xfId="0" applyNumberFormat="1" applyFont="1" applyFill="1" applyAlignment="1">
      <alignment horizontal="right"/>
    </xf>
    <xf numFmtId="0" fontId="14" fillId="8" borderId="0" xfId="0" applyFont="1" applyFill="1" applyAlignment="1">
      <alignment horizontal="left"/>
    </xf>
    <xf numFmtId="183" fontId="5" fillId="8" borderId="0" xfId="0" applyNumberFormat="1" applyFont="1" applyFill="1" applyAlignment="1">
      <alignment horizontal="right"/>
    </xf>
    <xf numFmtId="4" fontId="14" fillId="8" borderId="0" xfId="0" applyNumberFormat="1" applyFont="1" applyFill="1" applyAlignment="1">
      <alignment horizontal="right"/>
    </xf>
    <xf numFmtId="183" fontId="21" fillId="8" borderId="0" xfId="0" applyNumberFormat="1" applyFont="1" applyFill="1" applyAlignment="1">
      <alignment horizontal="right"/>
    </xf>
    <xf numFmtId="4" fontId="14" fillId="8" borderId="0" xfId="0" quotePrefix="1" applyNumberFormat="1" applyFont="1" applyFill="1" applyAlignment="1">
      <alignment horizontal="right"/>
    </xf>
    <xf numFmtId="41" fontId="26" fillId="8" borderId="0" xfId="0" applyNumberFormat="1" applyFont="1" applyFill="1" applyAlignment="1">
      <alignment horizontal="right"/>
    </xf>
    <xf numFmtId="0" fontId="24" fillId="8" borderId="0" xfId="0" applyFont="1" applyFill="1" applyAlignment="1">
      <alignment horizontal="left"/>
    </xf>
    <xf numFmtId="41" fontId="25" fillId="8" borderId="0" xfId="0" applyNumberFormat="1" applyFont="1" applyFill="1" applyAlignment="1">
      <alignment horizontal="right"/>
    </xf>
    <xf numFmtId="4" fontId="26" fillId="8" borderId="0" xfId="0" applyNumberFormat="1" applyFont="1" applyFill="1" applyAlignment="1">
      <alignment horizontal="right"/>
    </xf>
    <xf numFmtId="183" fontId="20" fillId="8" borderId="0" xfId="0" applyNumberFormat="1" applyFont="1" applyFill="1" applyAlignment="1">
      <alignment horizontal="right"/>
    </xf>
    <xf numFmtId="3" fontId="11" fillId="8" borderId="0" xfId="0" applyNumberFormat="1" applyFont="1" applyFill="1" applyAlignment="1">
      <alignment horizontal="left"/>
    </xf>
    <xf numFmtId="187" fontId="9" fillId="8" borderId="0" xfId="0" applyNumberFormat="1" applyFont="1" applyFill="1" applyAlignment="1">
      <alignment horizontal="left"/>
    </xf>
    <xf numFmtId="189" fontId="13" fillId="8" borderId="0" xfId="0" applyNumberFormat="1" applyFont="1" applyFill="1" applyAlignment="1">
      <alignment horizontal="right"/>
    </xf>
    <xf numFmtId="3" fontId="5" fillId="8" borderId="0" xfId="0" applyNumberFormat="1" applyFont="1" applyFill="1" applyAlignment="1">
      <alignment horizontal="left"/>
    </xf>
    <xf numFmtId="190" fontId="13" fillId="8" borderId="0" xfId="0" applyNumberFormat="1" applyFont="1" applyFill="1" applyAlignment="1">
      <alignment horizontal="right"/>
    </xf>
    <xf numFmtId="190" fontId="13" fillId="8" borderId="0" xfId="0" quotePrefix="1" applyNumberFormat="1" applyFont="1" applyFill="1" applyAlignment="1">
      <alignment horizontal="right"/>
    </xf>
    <xf numFmtId="174" fontId="13" fillId="8" borderId="0" xfId="0" quotePrefix="1" applyNumberFormat="1" applyFont="1" applyFill="1" applyAlignment="1">
      <alignment horizontal="right"/>
    </xf>
    <xf numFmtId="187" fontId="13" fillId="8" borderId="0" xfId="0" applyNumberFormat="1" applyFont="1" applyFill="1" applyAlignment="1">
      <alignment horizontal="right"/>
    </xf>
    <xf numFmtId="0" fontId="35" fillId="8" borderId="0" xfId="0" applyFont="1" applyFill="1" applyAlignment="1">
      <alignment horizontal="right"/>
    </xf>
    <xf numFmtId="187" fontId="25" fillId="8" borderId="0" xfId="0" applyNumberFormat="1" applyFont="1" applyFill="1" applyAlignment="1">
      <alignment horizontal="right"/>
    </xf>
    <xf numFmtId="3" fontId="26" fillId="8" borderId="0" xfId="0" quotePrefix="1" applyNumberFormat="1" applyFont="1" applyFill="1" applyAlignment="1">
      <alignment horizontal="right"/>
    </xf>
    <xf numFmtId="0" fontId="45" fillId="0" borderId="0" xfId="0" applyFont="1" applyAlignment="1">
      <alignment horizontal="right"/>
    </xf>
    <xf numFmtId="0" fontId="22" fillId="8" borderId="0" xfId="0" applyFont="1" applyFill="1" applyAlignment="1">
      <alignment horizontal="right"/>
    </xf>
    <xf numFmtId="0" fontId="10" fillId="8" borderId="0" xfId="0" applyFont="1" applyFill="1" applyAlignment="1">
      <alignment horizontal="right"/>
    </xf>
    <xf numFmtId="169" fontId="33" fillId="8" borderId="0" xfId="0" applyNumberFormat="1" applyFont="1" applyFill="1" applyAlignment="1">
      <alignment horizontal="right"/>
    </xf>
    <xf numFmtId="41" fontId="24" fillId="8" borderId="0" xfId="0" applyNumberFormat="1" applyFont="1" applyFill="1" applyAlignment="1">
      <alignment horizontal="right"/>
    </xf>
    <xf numFmtId="43" fontId="10" fillId="8" borderId="0" xfId="0" applyNumberFormat="1" applyFont="1" applyFill="1" applyAlignment="1">
      <alignment horizontal="right"/>
    </xf>
    <xf numFmtId="10" fontId="32" fillId="8" borderId="0" xfId="0" applyNumberFormat="1" applyFont="1" applyFill="1" applyAlignment="1">
      <alignment horizontal="right"/>
    </xf>
    <xf numFmtId="0" fontId="0" fillId="0" borderId="0" xfId="0" applyAlignment="1">
      <alignment horizontal="left" indent="1"/>
    </xf>
    <xf numFmtId="200" fontId="13" fillId="8" borderId="0" xfId="0" applyNumberFormat="1" applyFont="1" applyFill="1"/>
    <xf numFmtId="0" fontId="12" fillId="0" borderId="0" xfId="0" applyFont="1" applyAlignment="1">
      <alignment horizontal="right"/>
    </xf>
    <xf numFmtId="171" fontId="5" fillId="0" borderId="0" xfId="0" applyNumberFormat="1" applyFont="1" applyAlignment="1">
      <alignment horizontal="right"/>
    </xf>
    <xf numFmtId="3" fontId="36" fillId="0" borderId="0" xfId="0" applyNumberFormat="1" applyFont="1" applyFill="1" applyBorder="1"/>
    <xf numFmtId="3" fontId="36" fillId="0" borderId="11" xfId="0" applyNumberFormat="1" applyFont="1" applyFill="1" applyBorder="1"/>
    <xf numFmtId="0" fontId="48" fillId="0" borderId="0" xfId="0" applyFont="1"/>
    <xf numFmtId="0" fontId="3" fillId="0" borderId="0" xfId="0" applyFont="1" applyAlignment="1">
      <alignment horizontal="left" indent="1"/>
    </xf>
    <xf numFmtId="0" fontId="48" fillId="0" borderId="0" xfId="0" applyFont="1" applyAlignment="1">
      <alignment horizontal="left"/>
    </xf>
    <xf numFmtId="0" fontId="47" fillId="0" borderId="0" xfId="1" applyAlignment="1">
      <alignment horizontal="left" indent="1"/>
    </xf>
    <xf numFmtId="0" fontId="0" fillId="0" borderId="0" xfId="0" applyFont="1" applyFill="1" applyBorder="1"/>
    <xf numFmtId="41" fontId="32" fillId="8" borderId="0" xfId="0" applyNumberFormat="1" applyFont="1" applyFill="1" applyAlignment="1">
      <alignment horizontal="right"/>
    </xf>
    <xf numFmtId="41" fontId="49" fillId="8" borderId="0" xfId="0" applyNumberFormat="1" applyFont="1" applyFill="1" applyAlignment="1">
      <alignment horizontal="right"/>
    </xf>
    <xf numFmtId="0" fontId="3" fillId="0" borderId="0" xfId="0" applyFont="1" applyAlignment="1">
      <alignment horizontal="left" indent="2"/>
    </xf>
    <xf numFmtId="10" fontId="50" fillId="0" borderId="0" xfId="0" applyNumberFormat="1" applyFont="1"/>
    <xf numFmtId="10" fontId="5" fillId="4" borderId="0" xfId="0" applyNumberFormat="1" applyFont="1" applyFill="1"/>
    <xf numFmtId="0" fontId="27" fillId="11" borderId="2" xfId="0" applyFont="1" applyFill="1" applyBorder="1" applyAlignment="1">
      <alignment horizontal="center" vertical="top"/>
    </xf>
    <xf numFmtId="0" fontId="0" fillId="0" borderId="0" xfId="0" applyFill="1" applyBorder="1"/>
    <xf numFmtId="0" fontId="6" fillId="0" borderId="0" xfId="0" applyFont="1" applyFill="1" applyBorder="1"/>
    <xf numFmtId="0" fontId="9" fillId="0" borderId="0" xfId="0" applyFont="1" applyFill="1" applyBorder="1"/>
    <xf numFmtId="0" fontId="6" fillId="0" borderId="0" xfId="0" applyFont="1" applyFill="1" applyBorder="1" applyAlignment="1">
      <alignment horizontal="center" vertical="center"/>
    </xf>
    <xf numFmtId="169" fontId="9" fillId="0" borderId="0" xfId="0" applyNumberFormat="1" applyFont="1" applyFill="1" applyBorder="1"/>
    <xf numFmtId="0" fontId="6" fillId="0" borderId="0" xfId="0" applyFont="1" applyFill="1" applyBorder="1" applyAlignment="1">
      <alignment horizontal="right"/>
    </xf>
    <xf numFmtId="0" fontId="14" fillId="0" borderId="0" xfId="0" applyFont="1" applyFill="1" applyBorder="1" applyAlignment="1">
      <alignment horizontal="right"/>
    </xf>
    <xf numFmtId="174" fontId="9" fillId="0" borderId="0" xfId="0" applyNumberFormat="1" applyFont="1" applyFill="1" applyBorder="1"/>
    <xf numFmtId="0" fontId="3" fillId="0" borderId="0" xfId="0" applyFont="1" applyFill="1" applyAlignment="1">
      <alignment horizontal="left" indent="1"/>
    </xf>
    <xf numFmtId="41" fontId="3" fillId="0" borderId="0" xfId="0" applyNumberFormat="1" applyFont="1"/>
    <xf numFmtId="41" fontId="11" fillId="0" borderId="0" xfId="0" applyNumberFormat="1" applyFont="1"/>
    <xf numFmtId="41" fontId="3" fillId="0" borderId="0" xfId="0" applyNumberFormat="1" applyFont="1" applyAlignment="1">
      <alignment horizontal="right"/>
    </xf>
    <xf numFmtId="41" fontId="11" fillId="0" borderId="0" xfId="0" applyNumberFormat="1" applyFont="1" applyAlignment="1">
      <alignment horizontal="right"/>
    </xf>
    <xf numFmtId="169" fontId="11" fillId="0" borderId="0" xfId="0" applyNumberFormat="1" applyFont="1"/>
    <xf numFmtId="41" fontId="52" fillId="0" borderId="0" xfId="0" applyNumberFormat="1" applyFont="1"/>
    <xf numFmtId="0" fontId="5" fillId="0" borderId="13" xfId="0" applyFont="1" applyFill="1" applyBorder="1" applyAlignment="1">
      <alignment horizontal="right"/>
    </xf>
    <xf numFmtId="170" fontId="14" fillId="0" borderId="13" xfId="0" applyNumberFormat="1" applyFont="1" applyBorder="1"/>
    <xf numFmtId="170" fontId="6" fillId="0" borderId="13" xfId="0" applyNumberFormat="1" applyFont="1" applyFill="1" applyBorder="1"/>
    <xf numFmtId="170" fontId="6" fillId="0" borderId="13" xfId="0" applyNumberFormat="1" applyFont="1" applyFill="1" applyBorder="1" applyAlignment="1">
      <alignment horizontal="center" vertical="center"/>
    </xf>
    <xf numFmtId="0" fontId="6" fillId="0" borderId="13" xfId="0" applyFont="1" applyFill="1" applyBorder="1"/>
    <xf numFmtId="171" fontId="5" fillId="0" borderId="7" xfId="0" applyNumberFormat="1" applyFont="1" applyBorder="1" applyAlignment="1"/>
    <xf numFmtId="0" fontId="5" fillId="0" borderId="8" xfId="0" applyFont="1" applyFill="1" applyBorder="1" applyAlignment="1">
      <alignment horizontal="right"/>
    </xf>
    <xf numFmtId="171" fontId="5" fillId="0" borderId="8" xfId="0" applyNumberFormat="1" applyFont="1" applyBorder="1"/>
    <xf numFmtId="171" fontId="3" fillId="0" borderId="8" xfId="0" applyNumberFormat="1" applyFont="1" applyFill="1" applyBorder="1"/>
    <xf numFmtId="171" fontId="3" fillId="0" borderId="8" xfId="0" applyNumberFormat="1" applyFont="1" applyFill="1" applyBorder="1" applyAlignment="1">
      <alignment horizontal="center" vertical="center"/>
    </xf>
    <xf numFmtId="171" fontId="3" fillId="0" borderId="9" xfId="0" applyNumberFormat="1" applyFont="1" applyFill="1" applyBorder="1" applyAlignment="1">
      <alignment horizontal="center" vertical="center"/>
    </xf>
    <xf numFmtId="0" fontId="9" fillId="0" borderId="12" xfId="0" applyFont="1" applyBorder="1" applyAlignment="1"/>
    <xf numFmtId="170" fontId="6" fillId="0" borderId="14" xfId="0" applyNumberFormat="1" applyFont="1" applyFill="1" applyBorder="1" applyAlignment="1">
      <alignment horizontal="center" vertical="center"/>
    </xf>
    <xf numFmtId="0" fontId="6" fillId="0" borderId="11" xfId="0" applyFont="1" applyFill="1" applyBorder="1" applyAlignment="1">
      <alignment horizontal="center" vertical="center"/>
    </xf>
    <xf numFmtId="0" fontId="3" fillId="0" borderId="10" xfId="0" applyFont="1" applyFill="1" applyBorder="1" applyAlignment="1">
      <alignment horizontal="left" indent="1"/>
    </xf>
    <xf numFmtId="0" fontId="6" fillId="0" borderId="12" xfId="0" applyFont="1" applyFill="1" applyBorder="1"/>
    <xf numFmtId="0" fontId="3" fillId="0" borderId="0" xfId="0" applyFont="1" applyAlignment="1">
      <alignment horizontal="right"/>
    </xf>
    <xf numFmtId="171" fontId="3" fillId="0" borderId="0" xfId="0" applyNumberFormat="1" applyFont="1"/>
    <xf numFmtId="41" fontId="6" fillId="0" borderId="0" xfId="0" applyNumberFormat="1" applyFont="1" applyFill="1" applyBorder="1"/>
    <xf numFmtId="41" fontId="6" fillId="0" borderId="0" xfId="0" applyNumberFormat="1" applyFont="1" applyFill="1" applyBorder="1" applyAlignment="1">
      <alignment horizontal="center" vertical="center"/>
    </xf>
    <xf numFmtId="41" fontId="6" fillId="0" borderId="11" xfId="0" applyNumberFormat="1" applyFont="1" applyFill="1" applyBorder="1" applyAlignment="1">
      <alignment horizontal="center" vertical="center"/>
    </xf>
    <xf numFmtId="41" fontId="24" fillId="0" borderId="0" xfId="0" applyNumberFormat="1" applyFont="1" applyFill="1" applyBorder="1"/>
    <xf numFmtId="41" fontId="6" fillId="0" borderId="13" xfId="0" applyNumberFormat="1" applyFont="1" applyFill="1" applyBorder="1"/>
    <xf numFmtId="41" fontId="6" fillId="0" borderId="13" xfId="0" applyNumberFormat="1" applyFont="1" applyFill="1" applyBorder="1" applyAlignment="1">
      <alignment horizontal="right"/>
    </xf>
    <xf numFmtId="41" fontId="6" fillId="0" borderId="13" xfId="0" applyNumberFormat="1" applyFont="1" applyFill="1" applyBorder="1" applyAlignment="1">
      <alignment vertical="center"/>
    </xf>
    <xf numFmtId="41" fontId="6" fillId="0" borderId="13" xfId="0" applyNumberFormat="1" applyFont="1" applyFill="1" applyBorder="1" applyAlignment="1">
      <alignment horizontal="right" vertical="center"/>
    </xf>
    <xf numFmtId="41" fontId="6" fillId="0" borderId="14" xfId="0" applyNumberFormat="1" applyFont="1" applyFill="1" applyBorder="1" applyAlignment="1">
      <alignment horizontal="right" vertical="center"/>
    </xf>
    <xf numFmtId="41" fontId="6" fillId="0" borderId="0" xfId="0" quotePrefix="1" applyNumberFormat="1" applyFont="1" applyFill="1" applyBorder="1" applyAlignment="1">
      <alignment horizontal="left" indent="1"/>
    </xf>
    <xf numFmtId="41" fontId="6" fillId="0" borderId="0" xfId="0" quotePrefix="1" applyNumberFormat="1" applyFont="1" applyFill="1" applyBorder="1"/>
    <xf numFmtId="41" fontId="6" fillId="0" borderId="11" xfId="0" applyNumberFormat="1" applyFont="1" applyFill="1" applyBorder="1"/>
    <xf numFmtId="41" fontId="51" fillId="0" borderId="0" xfId="0" applyNumberFormat="1" applyFont="1" applyFill="1" applyBorder="1"/>
    <xf numFmtId="41" fontId="6" fillId="0" borderId="0" xfId="0" applyNumberFormat="1" applyFont="1" applyFill="1" applyBorder="1" applyAlignment="1">
      <alignment horizontal="left"/>
    </xf>
    <xf numFmtId="41" fontId="6" fillId="0" borderId="0" xfId="0" applyNumberFormat="1" applyFont="1" applyFill="1" applyBorder="1" applyAlignment="1">
      <alignment vertical="center"/>
    </xf>
    <xf numFmtId="41" fontId="6" fillId="0" borderId="11" xfId="0" applyNumberFormat="1" applyFont="1" applyFill="1" applyBorder="1" applyAlignment="1">
      <alignment vertical="center"/>
    </xf>
    <xf numFmtId="41" fontId="6" fillId="0" borderId="14" xfId="0" applyNumberFormat="1" applyFont="1" applyFill="1" applyBorder="1"/>
    <xf numFmtId="166" fontId="6" fillId="0" borderId="0" xfId="0" applyNumberFormat="1" applyFont="1" applyFill="1" applyBorder="1"/>
    <xf numFmtId="41" fontId="6" fillId="0" borderId="0" xfId="0" applyNumberFormat="1" applyFont="1" applyFill="1" applyBorder="1" applyAlignment="1">
      <alignment horizontal="right"/>
    </xf>
    <xf numFmtId="41" fontId="53" fillId="0" borderId="0" xfId="0" applyNumberFormat="1" applyFont="1" applyFill="1" applyBorder="1"/>
    <xf numFmtId="41" fontId="53" fillId="0" borderId="0" xfId="0" applyNumberFormat="1" applyFont="1" applyFill="1" applyBorder="1" applyAlignment="1">
      <alignment horizontal="right"/>
    </xf>
    <xf numFmtId="41" fontId="6" fillId="0" borderId="11" xfId="0" applyNumberFormat="1" applyFont="1" applyFill="1" applyBorder="1" applyAlignment="1">
      <alignment horizontal="right"/>
    </xf>
    <xf numFmtId="41" fontId="6" fillId="0" borderId="0" xfId="0" quotePrefix="1" applyNumberFormat="1" applyFont="1" applyFill="1" applyBorder="1" applyAlignment="1">
      <alignment horizontal="right"/>
    </xf>
    <xf numFmtId="41" fontId="53" fillId="0" borderId="0" xfId="0" applyNumberFormat="1" applyFont="1" applyFill="1" applyBorder="1" applyAlignment="1">
      <alignment horizontal="center" vertical="center"/>
    </xf>
    <xf numFmtId="41" fontId="53" fillId="0" borderId="11" xfId="0" applyNumberFormat="1" applyFont="1" applyFill="1" applyBorder="1" applyAlignment="1">
      <alignment horizontal="center" vertical="center"/>
    </xf>
    <xf numFmtId="41" fontId="53" fillId="0" borderId="11" xfId="0" applyNumberFormat="1" applyFont="1" applyFill="1" applyBorder="1"/>
    <xf numFmtId="41" fontId="53" fillId="0" borderId="0" xfId="0" quotePrefix="1" applyNumberFormat="1" applyFont="1" applyFill="1" applyBorder="1"/>
    <xf numFmtId="4" fontId="5" fillId="8" borderId="0" xfId="0" applyNumberFormat="1" applyFont="1" applyFill="1" applyAlignment="1">
      <alignment horizontal="right"/>
    </xf>
    <xf numFmtId="0" fontId="1" fillId="2" borderId="13" xfId="0" applyFont="1" applyFill="1" applyBorder="1"/>
    <xf numFmtId="0" fontId="0" fillId="2" borderId="13" xfId="0" applyFill="1" applyBorder="1"/>
    <xf numFmtId="0" fontId="18" fillId="2" borderId="13" xfId="0" applyFont="1" applyFill="1" applyBorder="1" applyAlignment="1">
      <alignment horizontal="right"/>
    </xf>
    <xf numFmtId="3" fontId="4" fillId="8" borderId="0" xfId="0" applyNumberFormat="1" applyFont="1" applyFill="1"/>
    <xf numFmtId="3" fontId="6" fillId="8" borderId="0" xfId="0" applyNumberFormat="1" applyFont="1" applyFill="1"/>
    <xf numFmtId="41" fontId="17" fillId="3" borderId="0" xfId="0" applyNumberFormat="1" applyFont="1" applyFill="1" applyAlignment="1">
      <alignment horizontal="right"/>
    </xf>
    <xf numFmtId="193" fontId="17" fillId="3" borderId="0" xfId="0" applyNumberFormat="1" applyFont="1" applyFill="1" applyAlignment="1">
      <alignment horizontal="right"/>
    </xf>
    <xf numFmtId="201" fontId="17" fillId="8" borderId="0" xfId="0" applyNumberFormat="1" applyFont="1" applyFill="1"/>
    <xf numFmtId="202" fontId="17" fillId="8" borderId="0" xfId="0" applyNumberFormat="1" applyFont="1" applyFill="1"/>
    <xf numFmtId="203" fontId="17" fillId="8" borderId="0" xfId="0" applyNumberFormat="1" applyFont="1" applyFill="1"/>
    <xf numFmtId="0" fontId="3" fillId="6" borderId="0" xfId="0" quotePrefix="1" applyFont="1" applyFill="1" applyAlignment="1">
      <alignment horizontal="right"/>
    </xf>
    <xf numFmtId="4" fontId="34" fillId="0" borderId="0" xfId="0" applyNumberFormat="1" applyFont="1" applyAlignment="1">
      <alignment horizontal="left" vertical="top"/>
    </xf>
    <xf numFmtId="4" fontId="5" fillId="8" borderId="0" xfId="0" applyNumberFormat="1" applyFont="1" applyFill="1" applyAlignment="1">
      <alignment horizontal="left"/>
    </xf>
    <xf numFmtId="169" fontId="9" fillId="8" borderId="0" xfId="0" applyNumberFormat="1" applyFont="1" applyFill="1" applyAlignment="1">
      <alignment horizontal="left"/>
    </xf>
    <xf numFmtId="169" fontId="5" fillId="8" borderId="0" xfId="0" applyNumberFormat="1" applyFont="1" applyFill="1" applyAlignment="1">
      <alignment horizontal="left"/>
    </xf>
    <xf numFmtId="169" fontId="13" fillId="8" borderId="0" xfId="0" applyNumberFormat="1" applyFont="1" applyFill="1" applyAlignment="1">
      <alignment horizontal="left"/>
    </xf>
    <xf numFmtId="0" fontId="12" fillId="8" borderId="0" xfId="0" applyFont="1" applyFill="1" applyAlignment="1">
      <alignment horizontal="center"/>
    </xf>
    <xf numFmtId="10" fontId="5" fillId="8" borderId="0" xfId="0" applyNumberFormat="1" applyFont="1" applyFill="1" applyAlignment="1">
      <alignment horizontal="center"/>
    </xf>
    <xf numFmtId="0" fontId="4" fillId="8" borderId="14" xfId="0" applyFont="1" applyFill="1" applyBorder="1" applyAlignment="1">
      <alignment horizontal="right"/>
    </xf>
    <xf numFmtId="0" fontId="3" fillId="12" borderId="0" xfId="0" applyFont="1" applyFill="1" applyBorder="1"/>
    <xf numFmtId="0" fontId="0" fillId="12" borderId="0" xfId="0" applyFont="1" applyFill="1" applyBorder="1"/>
    <xf numFmtId="0" fontId="3" fillId="12" borderId="0" xfId="0" applyFont="1" applyFill="1" applyBorder="1" applyAlignment="1">
      <alignment horizontal="right"/>
    </xf>
    <xf numFmtId="0" fontId="1" fillId="14" borderId="0" xfId="0" applyFont="1" applyFill="1"/>
    <xf numFmtId="0" fontId="18" fillId="14" borderId="0" xfId="0" applyFont="1" applyFill="1" applyAlignment="1">
      <alignment horizontal="right"/>
    </xf>
    <xf numFmtId="0" fontId="46" fillId="14" borderId="0" xfId="0" applyFont="1" applyFill="1"/>
    <xf numFmtId="41" fontId="21" fillId="0" borderId="0" xfId="0" applyNumberFormat="1" applyFont="1" applyFill="1"/>
    <xf numFmtId="3" fontId="5" fillId="0" borderId="0" xfId="0" applyNumberFormat="1" applyFont="1"/>
    <xf numFmtId="41" fontId="43" fillId="0" borderId="0" xfId="0" applyNumberFormat="1" applyFont="1"/>
    <xf numFmtId="0" fontId="3" fillId="6" borderId="22" xfId="0" applyFont="1" applyFill="1" applyBorder="1" applyAlignment="1">
      <alignment horizontal="right"/>
    </xf>
    <xf numFmtId="0" fontId="5" fillId="8" borderId="22" xfId="0" applyFont="1" applyFill="1" applyBorder="1" applyAlignment="1">
      <alignment horizontal="left"/>
    </xf>
    <xf numFmtId="0" fontId="5" fillId="8" borderId="22" xfId="0" applyFont="1" applyFill="1" applyBorder="1" applyAlignment="1">
      <alignment horizontal="right"/>
    </xf>
    <xf numFmtId="0" fontId="20" fillId="8" borderId="22" xfId="0" applyFont="1" applyFill="1" applyBorder="1" applyAlignment="1">
      <alignment horizontal="right"/>
    </xf>
    <xf numFmtId="0" fontId="5" fillId="8" borderId="22" xfId="0" quotePrefix="1" applyFont="1" applyFill="1" applyBorder="1" applyAlignment="1">
      <alignment horizontal="right"/>
    </xf>
    <xf numFmtId="43" fontId="5" fillId="0" borderId="0" xfId="0" applyNumberFormat="1" applyFont="1"/>
    <xf numFmtId="169" fontId="14" fillId="8" borderId="0" xfId="0" applyNumberFormat="1" applyFont="1" applyFill="1" applyAlignment="1">
      <alignment horizontal="right"/>
    </xf>
    <xf numFmtId="10" fontId="5" fillId="8" borderId="0" xfId="0" applyNumberFormat="1" applyFont="1" applyFill="1" applyAlignment="1">
      <alignment horizontal="left"/>
    </xf>
    <xf numFmtId="174" fontId="13" fillId="8" borderId="0" xfId="0" applyNumberFormat="1" applyFont="1" applyFill="1" applyBorder="1" applyAlignment="1">
      <alignment horizontal="right"/>
    </xf>
    <xf numFmtId="0" fontId="13" fillId="8" borderId="0" xfId="0" applyFont="1" applyFill="1" applyBorder="1" applyAlignment="1">
      <alignment horizontal="left"/>
    </xf>
    <xf numFmtId="174" fontId="5" fillId="4" borderId="3" xfId="0" applyNumberFormat="1" applyFont="1" applyFill="1" applyBorder="1" applyAlignment="1">
      <alignment horizontal="left"/>
    </xf>
    <xf numFmtId="0" fontId="17" fillId="4" borderId="3" xfId="0" applyFont="1" applyFill="1" applyBorder="1" applyAlignment="1">
      <alignment horizontal="right"/>
    </xf>
    <xf numFmtId="41" fontId="17" fillId="4" borderId="3" xfId="0" applyNumberFormat="1" applyFont="1" applyFill="1" applyBorder="1" applyAlignment="1">
      <alignment horizontal="right"/>
    </xf>
    <xf numFmtId="174" fontId="12" fillId="8" borderId="0" xfId="0" applyNumberFormat="1" applyFont="1" applyFill="1" applyAlignment="1">
      <alignment horizontal="right"/>
    </xf>
    <xf numFmtId="0" fontId="11" fillId="8" borderId="0" xfId="0" applyFont="1" applyFill="1" applyAlignment="1">
      <alignment horizontal="left" indent="1"/>
    </xf>
    <xf numFmtId="9" fontId="5" fillId="4" borderId="0" xfId="0" applyNumberFormat="1" applyFont="1" applyFill="1" applyAlignment="1">
      <alignment horizontal="right"/>
    </xf>
    <xf numFmtId="0" fontId="17" fillId="0" borderId="0" xfId="0" applyFont="1"/>
    <xf numFmtId="0" fontId="19" fillId="0" borderId="0" xfId="0" applyFont="1"/>
    <xf numFmtId="0" fontId="17" fillId="0" borderId="0" xfId="0" applyFont="1" applyAlignment="1">
      <alignment horizontal="right"/>
    </xf>
    <xf numFmtId="41" fontId="17" fillId="0" borderId="0" xfId="0" applyNumberFormat="1" applyFont="1"/>
    <xf numFmtId="9" fontId="55" fillId="4" borderId="0" xfId="0" applyNumberFormat="1" applyFont="1" applyFill="1"/>
    <xf numFmtId="0" fontId="3" fillId="0" borderId="14" xfId="0" applyFont="1" applyBorder="1"/>
    <xf numFmtId="0" fontId="11" fillId="0" borderId="8" xfId="0" applyFont="1" applyBorder="1"/>
    <xf numFmtId="0" fontId="3" fillId="0" borderId="0" xfId="0" quotePrefix="1" applyFont="1" applyBorder="1" applyAlignment="1">
      <alignment horizontal="left" indent="1"/>
    </xf>
    <xf numFmtId="0" fontId="3" fillId="0" borderId="0" xfId="0" quotePrefix="1" applyFont="1" applyBorder="1"/>
    <xf numFmtId="0" fontId="11" fillId="0" borderId="0" xfId="0" applyFont="1" applyFill="1" applyBorder="1"/>
    <xf numFmtId="4" fontId="36" fillId="0" borderId="11" xfId="0" applyNumberFormat="1" applyFont="1" applyFill="1" applyBorder="1" applyAlignment="1">
      <alignment horizontal="right"/>
    </xf>
    <xf numFmtId="10" fontId="36" fillId="0" borderId="11" xfId="0" applyNumberFormat="1" applyFont="1" applyFill="1" applyBorder="1" applyAlignment="1">
      <alignment horizontal="right"/>
    </xf>
    <xf numFmtId="41" fontId="36" fillId="0" borderId="11" xfId="0" applyNumberFormat="1" applyFont="1" applyFill="1" applyBorder="1" applyAlignment="1">
      <alignment horizontal="right"/>
    </xf>
    <xf numFmtId="41" fontId="37" fillId="0" borderId="11" xfId="0" applyNumberFormat="1" applyFont="1" applyFill="1" applyBorder="1" applyAlignment="1">
      <alignment horizontal="right"/>
    </xf>
    <xf numFmtId="186" fontId="36" fillId="0" borderId="11" xfId="0" applyNumberFormat="1" applyFont="1" applyFill="1" applyBorder="1" applyAlignment="1">
      <alignment horizontal="right"/>
    </xf>
    <xf numFmtId="0" fontId="3" fillId="0" borderId="12" xfId="0" applyFont="1" applyBorder="1"/>
    <xf numFmtId="0" fontId="4" fillId="8" borderId="0" xfId="0" applyFont="1" applyFill="1" applyAlignment="1">
      <alignment horizontal="left" indent="2"/>
    </xf>
    <xf numFmtId="186" fontId="5" fillId="8" borderId="0" xfId="0" applyNumberFormat="1" applyFont="1" applyFill="1" applyAlignment="1">
      <alignment horizontal="left"/>
    </xf>
    <xf numFmtId="10" fontId="56" fillId="8" borderId="0" xfId="0" applyNumberFormat="1" applyFont="1" applyFill="1" applyAlignment="1">
      <alignment horizontal="left"/>
    </xf>
    <xf numFmtId="43" fontId="9" fillId="8" borderId="0" xfId="0" applyNumberFormat="1" applyFont="1" applyFill="1" applyBorder="1"/>
    <xf numFmtId="10" fontId="5" fillId="8" borderId="0" xfId="0" applyNumberFormat="1" applyFont="1" applyFill="1" applyBorder="1" applyAlignment="1">
      <alignment horizontal="right"/>
    </xf>
    <xf numFmtId="186" fontId="12" fillId="8" borderId="0" xfId="0" applyNumberFormat="1" applyFont="1" applyFill="1" applyBorder="1" applyAlignment="1">
      <alignment horizontal="right"/>
    </xf>
    <xf numFmtId="10" fontId="12" fillId="8" borderId="0" xfId="0" applyNumberFormat="1" applyFont="1" applyFill="1" applyBorder="1" applyAlignment="1">
      <alignment horizontal="right"/>
    </xf>
    <xf numFmtId="10" fontId="5" fillId="8" borderId="4" xfId="0" applyNumberFormat="1" applyFont="1" applyFill="1" applyBorder="1" applyAlignment="1">
      <alignment horizontal="right"/>
    </xf>
    <xf numFmtId="10" fontId="56" fillId="8" borderId="0" xfId="0" applyNumberFormat="1" applyFont="1" applyFill="1" applyAlignment="1">
      <alignment horizontal="right"/>
    </xf>
    <xf numFmtId="41" fontId="57" fillId="8" borderId="0" xfId="0" applyNumberFormat="1" applyFont="1" applyFill="1" applyAlignment="1">
      <alignment horizontal="right"/>
    </xf>
    <xf numFmtId="0" fontId="3" fillId="15" borderId="0" xfId="0" applyFont="1" applyFill="1"/>
    <xf numFmtId="10" fontId="3" fillId="15" borderId="0" xfId="0" applyNumberFormat="1" applyFont="1" applyFill="1"/>
    <xf numFmtId="0" fontId="3" fillId="15" borderId="0" xfId="0" applyFont="1" applyFill="1" applyAlignment="1">
      <alignment horizontal="right"/>
    </xf>
    <xf numFmtId="0" fontId="3" fillId="15" borderId="0" xfId="0" applyFont="1" applyFill="1" applyAlignment="1">
      <alignment horizontal="left"/>
    </xf>
    <xf numFmtId="0" fontId="10" fillId="15" borderId="0" xfId="0" applyFont="1" applyFill="1"/>
    <xf numFmtId="0" fontId="47" fillId="0" borderId="0" xfId="1"/>
    <xf numFmtId="0" fontId="47" fillId="0" borderId="0" xfId="1" applyAlignment="1">
      <alignment horizontal="left" vertical="center" indent="1"/>
    </xf>
    <xf numFmtId="0" fontId="47" fillId="0" borderId="0" xfId="1" applyFill="1" applyAlignment="1">
      <alignment horizontal="left" indent="1"/>
    </xf>
    <xf numFmtId="0" fontId="47" fillId="12" borderId="0" xfId="1" applyFill="1" applyAlignment="1">
      <alignment horizontal="right"/>
    </xf>
    <xf numFmtId="0" fontId="47" fillId="0" borderId="0" xfId="1"/>
    <xf numFmtId="0" fontId="54" fillId="13" borderId="0" xfId="1" applyFont="1" applyFill="1" applyAlignment="1">
      <alignment horizontal="center" vertical="center" wrapText="1"/>
    </xf>
    <xf numFmtId="0" fontId="34" fillId="0" borderId="0" xfId="0" applyFont="1" applyAlignment="1">
      <alignment wrapText="1"/>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3" fillId="0" borderId="10" xfId="0" applyFont="1" applyFill="1" applyBorder="1" applyAlignment="1">
      <alignment horizontal="center" vertical="center"/>
    </xf>
    <xf numFmtId="0" fontId="3" fillId="0" borderId="0" xfId="0" applyFont="1" applyFill="1" applyBorder="1" applyAlignment="1">
      <alignment horizontal="center" vertical="center"/>
    </xf>
    <xf numFmtId="0" fontId="3" fillId="0" borderId="11"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13" xfId="0" applyFont="1" applyFill="1" applyBorder="1" applyAlignment="1">
      <alignment horizontal="center" vertical="center"/>
    </xf>
    <xf numFmtId="0" fontId="3" fillId="0" borderId="14" xfId="0" applyFont="1" applyFill="1" applyBorder="1" applyAlignment="1">
      <alignment horizontal="center" vertical="center"/>
    </xf>
    <xf numFmtId="0" fontId="0" fillId="0" borderId="0" xfId="0" applyAlignment="1">
      <alignment horizontal="center"/>
    </xf>
    <xf numFmtId="0" fontId="56" fillId="8" borderId="0" xfId="0" applyFont="1" applyFill="1" applyAlignment="1">
      <alignment horizontal="right"/>
    </xf>
    <xf numFmtId="0" fontId="58" fillId="8" borderId="0" xfId="0" applyFont="1" applyFill="1" applyAlignment="1">
      <alignment horizontal="right"/>
    </xf>
  </cellXfs>
  <cellStyles count="2">
    <cellStyle name="Hyperlink" xfId="1" builtinId="8"/>
    <cellStyle name="Normal" xfId="0" builtinId="0"/>
  </cellStyles>
  <dxfs count="51">
    <dxf>
      <font>
        <color theme="0"/>
      </font>
      <fill>
        <patternFill>
          <bgColor rgb="FFFF0000"/>
        </patternFill>
      </fill>
    </dxf>
    <dxf>
      <font>
        <color theme="0"/>
      </font>
    </dxf>
    <dxf>
      <font>
        <color theme="0"/>
      </font>
    </dxf>
    <dxf>
      <font>
        <color theme="0" tint="-0.34998626667073579"/>
      </font>
      <numFmt numFmtId="204" formatCode="&quot;Detail ---&gt;&quot;"/>
      <fill>
        <patternFill>
          <bgColor rgb="FFE6E6E6"/>
        </patternFill>
      </fill>
    </dxf>
    <dxf>
      <font>
        <color rgb="FF0000FF"/>
      </font>
      <fill>
        <patternFill>
          <bgColor rgb="FFE6E6E6"/>
        </patternFill>
      </fill>
    </dxf>
    <dxf>
      <font>
        <color rgb="FFE6E6E6"/>
      </font>
      <fill>
        <patternFill>
          <bgColor rgb="FFE6E6E6"/>
        </patternFill>
      </fill>
    </dxf>
    <dxf>
      <font>
        <color rgb="FF0000FF"/>
      </font>
      <fill>
        <patternFill>
          <bgColor rgb="FFE6E6E6"/>
        </patternFill>
      </fill>
    </dxf>
    <dxf>
      <font>
        <color theme="0" tint="-0.499984740745262"/>
      </font>
      <numFmt numFmtId="205" formatCode="&quot;NA&quot;"/>
      <fill>
        <patternFill>
          <bgColor rgb="FFE6E6E6"/>
        </patternFill>
      </fill>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rgb="FF0000FF"/>
      </font>
      <fill>
        <patternFill>
          <bgColor rgb="FFE6E6E6"/>
        </patternFill>
      </fill>
    </dxf>
    <dxf>
      <font>
        <color theme="0" tint="-0.34998626667073579"/>
      </font>
      <numFmt numFmtId="204" formatCode="&quot;Detail ---&gt;&quot;"/>
      <fill>
        <patternFill>
          <bgColor rgb="FFE6E6E6"/>
        </patternFill>
      </fill>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rgb="FF0000FF"/>
      </font>
      <fill>
        <patternFill>
          <bgColor rgb="FFE6E6E6"/>
        </patternFill>
      </fill>
    </dxf>
    <dxf>
      <font>
        <color rgb="FFFF0000"/>
      </font>
    </dxf>
    <dxf>
      <font>
        <color rgb="FFFF0000"/>
      </font>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theme="0"/>
      </font>
      <fill>
        <patternFill>
          <bgColor rgb="FFFF0000"/>
        </patternFill>
      </fill>
    </dxf>
    <dxf>
      <font>
        <color theme="0"/>
      </font>
      <fill>
        <patternFill>
          <bgColor rgb="FFFF0000"/>
        </patternFill>
      </fill>
    </dxf>
    <dxf>
      <font>
        <color theme="0"/>
      </font>
      <fill>
        <patternFill>
          <bgColor rgb="FFFF0000"/>
        </patternFill>
      </fill>
    </dxf>
    <dxf>
      <font>
        <color rgb="FF0000FF"/>
      </font>
      <fill>
        <patternFill>
          <bgColor rgb="FFE6E6E6"/>
        </patternFill>
      </fill>
    </dxf>
    <dxf>
      <font>
        <color theme="0"/>
      </font>
      <fill>
        <patternFill>
          <bgColor rgb="FFFF0000"/>
        </patternFill>
      </fill>
    </dxf>
    <dxf>
      <font>
        <color theme="0"/>
      </font>
      <fill>
        <patternFill>
          <bgColor rgb="FFFF0000"/>
        </patternFill>
      </fill>
    </dxf>
    <dxf>
      <font>
        <color rgb="FF0000FF"/>
      </font>
      <fill>
        <patternFill>
          <bgColor rgb="FFE6E6E6"/>
        </patternFill>
      </fill>
    </dxf>
    <dxf>
      <font>
        <color theme="0"/>
      </font>
      <fill>
        <patternFill>
          <bgColor rgb="FFFF0000"/>
        </patternFill>
      </fill>
    </dxf>
    <dxf>
      <font>
        <color theme="0" tint="-0.34998626667073579"/>
      </font>
      <fill>
        <patternFill patternType="none">
          <bgColor auto="1"/>
        </patternFill>
      </fill>
    </dxf>
    <dxf>
      <font>
        <color theme="0"/>
      </font>
      <fill>
        <patternFill>
          <bgColor theme="4"/>
        </patternFill>
      </fill>
    </dxf>
    <dxf>
      <font>
        <color rgb="FFE6E6E6"/>
      </font>
    </dxf>
    <dxf>
      <font>
        <color rgb="FFE6E6E6"/>
      </font>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rgb="FF008000"/>
      </font>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theme="0"/>
      </font>
      <fill>
        <patternFill>
          <bgColor rgb="FFFF0000"/>
        </patternFill>
      </fill>
    </dxf>
    <dxf>
      <fill>
        <patternFill>
          <bgColor rgb="FFE6E6E6"/>
        </patternFill>
      </fill>
    </dxf>
    <dxf>
      <font>
        <color theme="0"/>
      </font>
      <fill>
        <patternFill>
          <bgColor rgb="FFFF0000"/>
        </patternFill>
      </fill>
    </dxf>
    <dxf>
      <font>
        <u/>
      </font>
    </dxf>
    <dxf>
      <font>
        <u val="none"/>
      </font>
    </dxf>
    <dxf>
      <font>
        <u/>
      </font>
    </dxf>
    <dxf>
      <font>
        <u val="none"/>
      </font>
    </dxf>
    <dxf>
      <font>
        <color theme="5" tint="-0.24994659260841701"/>
      </font>
      <fill>
        <patternFill patternType="none">
          <bgColor auto="1"/>
        </patternFill>
      </fill>
    </dxf>
    <dxf>
      <font>
        <color theme="5" tint="-0.24994659260841701"/>
      </font>
      <fill>
        <patternFill patternType="none">
          <bgColor auto="1"/>
        </patternFill>
      </fill>
      <border>
        <left style="thin">
          <color theme="4"/>
        </left>
        <right style="thin">
          <color theme="4"/>
        </right>
        <top style="thin">
          <color theme="4"/>
        </top>
        <bottom style="thin">
          <color theme="4"/>
        </bottom>
        <vertical/>
        <horizontal/>
      </border>
    </dxf>
    <dxf>
      <font>
        <u/>
      </font>
    </dxf>
    <dxf>
      <font>
        <u val="none"/>
      </font>
    </dxf>
    <dxf>
      <font>
        <u/>
      </font>
    </dxf>
    <dxf>
      <font>
        <u val="none"/>
      </font>
    </dxf>
  </dxfs>
  <tableStyles count="0" defaultTableStyle="TableStyleMedium2" defaultPivotStyle="PivotStyleLight16"/>
  <colors>
    <mruColors>
      <color rgb="FFE6E6E6"/>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a:latin typeface="+mn-lt"/>
              </a:rPr>
              <a:t>Total Project Costs by Month</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Project Cost by Month</c:v>
          </c:tx>
          <c:spPr>
            <a:solidFill>
              <a:schemeClr val="accent2"/>
            </a:solidFill>
            <a:ln w="6350" cap="flat" cmpd="sng" algn="ctr">
              <a:noFill/>
              <a:miter lim="800000"/>
            </a:ln>
            <a:effectLst/>
          </c:spPr>
          <c:invertIfNegative val="0"/>
          <c:cat>
            <c:numRef>
              <c:f>[0]!Range_Months</c:f>
              <c:numCache>
                <c:formatCode>"Month"\ 0</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numCache>
            </c:numRef>
          </c:cat>
          <c:val>
            <c:numRef>
              <c:f>[0]!Range_Total_Cost</c:f>
              <c:numCache>
                <c:formatCode>_(* #,##0_);_(* \(#,##0\);_(* "-"_);_(@_)</c:formatCode>
                <c:ptCount val="46"/>
                <c:pt idx="0">
                  <c:v>3753159.5276612928</c:v>
                </c:pt>
                <c:pt idx="1">
                  <c:v>434615.43632992054</c:v>
                </c:pt>
                <c:pt idx="2">
                  <c:v>595115.21586161223</c:v>
                </c:pt>
                <c:pt idx="3">
                  <c:v>913409.18359364895</c:v>
                </c:pt>
                <c:pt idx="4">
                  <c:v>1467820.9038815256</c:v>
                </c:pt>
                <c:pt idx="5">
                  <c:v>2309629.6734741665</c:v>
                </c:pt>
                <c:pt idx="6">
                  <c:v>3409858.2075612606</c:v>
                </c:pt>
                <c:pt idx="7">
                  <c:v>4618633.3206490651</c:v>
                </c:pt>
                <c:pt idx="8">
                  <c:v>5689047.235330848</c:v>
                </c:pt>
                <c:pt idx="9">
                  <c:v>6336064.6437679445</c:v>
                </c:pt>
                <c:pt idx="10">
                  <c:v>6362464.9131169803</c:v>
                </c:pt>
                <c:pt idx="11">
                  <c:v>5765662.1386317443</c:v>
                </c:pt>
                <c:pt idx="12">
                  <c:v>4731209.4295146354</c:v>
                </c:pt>
                <c:pt idx="13">
                  <c:v>3547598.7178405742</c:v>
                </c:pt>
                <c:pt idx="14">
                  <c:v>2467869.1206613295</c:v>
                </c:pt>
                <c:pt idx="15">
                  <c:v>1640257.6635875134</c:v>
                </c:pt>
                <c:pt idx="16">
                  <c:v>1095247.652728765</c:v>
                </c:pt>
                <c:pt idx="17">
                  <c:v>783240.1545545361</c:v>
                </c:pt>
                <c:pt idx="18">
                  <c:v>627272.65104083321</c:v>
                </c:pt>
                <c:pt idx="19">
                  <c:v>332598.6138216916</c:v>
                </c:pt>
                <c:pt idx="20">
                  <c:v>302875.04593330395</c:v>
                </c:pt>
                <c:pt idx="21">
                  <c:v>273012.76806143718</c:v>
                </c:pt>
                <c:pt idx="22">
                  <c:v>243011.13289283498</c:v>
                </c:pt>
                <c:pt idx="23">
                  <c:v>212869.49009344599</c:v>
                </c:pt>
                <c:pt idx="24">
                  <c:v>182587.1862943265</c:v>
                </c:pt>
                <c:pt idx="25">
                  <c:v>152163.5650774778</c:v>
                </c:pt>
                <c:pt idx="26">
                  <c:v>121597.96696161716</c:v>
                </c:pt>
                <c:pt idx="27">
                  <c:v>90889.7293878825</c:v>
                </c:pt>
                <c:pt idx="28">
                  <c:v>60038.186705470376</c:v>
                </c:pt>
                <c:pt idx="29">
                  <c:v>29042.670157206972</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0-0803-4441-8E92-6A70469F44AA}"/>
            </c:ext>
          </c:extLst>
        </c:ser>
        <c:dLbls>
          <c:showLegendKey val="0"/>
          <c:showVal val="0"/>
          <c:showCatName val="0"/>
          <c:showSerName val="0"/>
          <c:showPercent val="0"/>
          <c:showBubbleSize val="0"/>
        </c:dLbls>
        <c:gapWidth val="40"/>
        <c:overlap val="-35"/>
        <c:axId val="1530721376"/>
        <c:axId val="1321851888"/>
      </c:barChart>
      <c:catAx>
        <c:axId val="1530721376"/>
        <c:scaling>
          <c:orientation val="minMax"/>
        </c:scaling>
        <c:delete val="0"/>
        <c:axPos val="b"/>
        <c:numFmt formatCode="&quot;Month&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21851888"/>
        <c:crosses val="autoZero"/>
        <c:auto val="1"/>
        <c:lblAlgn val="ctr"/>
        <c:lblOffset val="100"/>
        <c:noMultiLvlLbl val="0"/>
      </c:catAx>
      <c:valAx>
        <c:axId val="1321851888"/>
        <c:scaling>
          <c:orientation val="minMax"/>
        </c:scaling>
        <c:delete val="0"/>
        <c:axPos val="l"/>
        <c:majorGridlines>
          <c:spPr>
            <a:ln w="9525">
              <a:solidFill>
                <a:schemeClr val="tx1">
                  <a:lumMod val="15000"/>
                  <a:lumOff val="85000"/>
                </a:schemeClr>
              </a:solidFill>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530721376"/>
        <c:crossesAt val="1"/>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a:latin typeface="+mn-lt"/>
              </a:rPr>
              <a:t>Net Operating Income</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Net Operating Income</c:v>
          </c:tx>
          <c:spPr>
            <a:noFill/>
            <a:ln w="6350" cap="flat" cmpd="sng" algn="ctr">
              <a:solidFill>
                <a:schemeClr val="accent2"/>
              </a:solidFill>
              <a:miter lim="800000"/>
            </a:ln>
            <a:effectLst/>
          </c:spPr>
          <c:invertIfNegative val="0"/>
          <c:cat>
            <c:numRef>
              <c:f>[0]!Range_Months</c:f>
              <c:numCache>
                <c:formatCode>"Month"\ 0</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numCache>
            </c:numRef>
          </c:cat>
          <c:val>
            <c:numRef>
              <c:f>[0]!Range_NOI</c:f>
              <c:numCache>
                <c:formatCode>_(* #,##0_);_(* \(#,##0\);_(* "-"_);_(@_)</c:formatCode>
                <c:ptCount val="46"/>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-136514.1267392564</c:v>
                </c:pt>
                <c:pt idx="20">
                  <c:v>-104905.09865303416</c:v>
                </c:pt>
                <c:pt idx="21">
                  <c:v>-73296.070566811992</c:v>
                </c:pt>
                <c:pt idx="22">
                  <c:v>-41687.042480589735</c:v>
                </c:pt>
                <c:pt idx="23">
                  <c:v>-10078.014394367492</c:v>
                </c:pt>
                <c:pt idx="24">
                  <c:v>21531.013691854721</c:v>
                </c:pt>
                <c:pt idx="25">
                  <c:v>53140.041778076935</c:v>
                </c:pt>
                <c:pt idx="26">
                  <c:v>84749.069864299148</c:v>
                </c:pt>
                <c:pt idx="27">
                  <c:v>116358.09795052133</c:v>
                </c:pt>
                <c:pt idx="28">
                  <c:v>147967.12603674358</c:v>
                </c:pt>
                <c:pt idx="29">
                  <c:v>179576.15412296585</c:v>
                </c:pt>
                <c:pt idx="30">
                  <c:v>211185.18220918806</c:v>
                </c:pt>
                <c:pt idx="31">
                  <c:v>227861.79761989755</c:v>
                </c:pt>
                <c:pt idx="32">
                  <c:v>260419.0965487065</c:v>
                </c:pt>
                <c:pt idx="33">
                  <c:v>299679.40665734163</c:v>
                </c:pt>
                <c:pt idx="34">
                  <c:v>300790.04453234165</c:v>
                </c:pt>
                <c:pt idx="35">
                  <c:v>301900.68240734166</c:v>
                </c:pt>
                <c:pt idx="36">
                  <c:v>303011.32028234168</c:v>
                </c:pt>
                <c:pt idx="37">
                  <c:v>304121.95815734164</c:v>
                </c:pt>
                <c:pt idx="38">
                  <c:v>305232.59603234159</c:v>
                </c:pt>
                <c:pt idx="39">
                  <c:v>306343.23390734167</c:v>
                </c:pt>
                <c:pt idx="40">
                  <c:v>307453.87178234162</c:v>
                </c:pt>
                <c:pt idx="41">
                  <c:v>308564.50965734164</c:v>
                </c:pt>
                <c:pt idx="42">
                  <c:v>309675.14753234165</c:v>
                </c:pt>
                <c:pt idx="43">
                  <c:v>297226.63281565561</c:v>
                </c:pt>
                <c:pt idx="44">
                  <c:v>298370.58982690558</c:v>
                </c:pt>
                <c:pt idx="45">
                  <c:v>285787.06270315562</c:v>
                </c:pt>
              </c:numCache>
            </c:numRef>
          </c:val>
          <c:extLst>
            <c:ext xmlns:c16="http://schemas.microsoft.com/office/drawing/2014/chart" uri="{C3380CC4-5D6E-409C-BE32-E72D297353CC}">
              <c16:uniqueId val="{00000000-6927-4FDA-8E8D-653CC3FD1222}"/>
            </c:ext>
          </c:extLst>
        </c:ser>
        <c:dLbls>
          <c:showLegendKey val="0"/>
          <c:showVal val="0"/>
          <c:showCatName val="0"/>
          <c:showSerName val="0"/>
          <c:showPercent val="0"/>
          <c:showBubbleSize val="0"/>
        </c:dLbls>
        <c:gapWidth val="40"/>
        <c:overlap val="-35"/>
        <c:axId val="1530721376"/>
        <c:axId val="1321851888"/>
      </c:barChart>
      <c:catAx>
        <c:axId val="1530721376"/>
        <c:scaling>
          <c:orientation val="minMax"/>
        </c:scaling>
        <c:delete val="0"/>
        <c:axPos val="b"/>
        <c:numFmt formatCode="&quot;Month&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21851888"/>
        <c:crosses val="autoZero"/>
        <c:auto val="1"/>
        <c:lblAlgn val="ctr"/>
        <c:lblOffset val="100"/>
        <c:noMultiLvlLbl val="0"/>
      </c:catAx>
      <c:valAx>
        <c:axId val="1321851888"/>
        <c:scaling>
          <c:orientation val="minMax"/>
        </c:scaling>
        <c:delete val="0"/>
        <c:axPos val="l"/>
        <c:majorGridlines>
          <c:spPr>
            <a:ln w="9525">
              <a:solidFill>
                <a:schemeClr val="tx1">
                  <a:lumMod val="15000"/>
                  <a:lumOff val="85000"/>
                </a:schemeClr>
              </a:solidFill>
            </a:ln>
            <a:effectLst/>
          </c:spPr>
        </c:majorGridlines>
        <c:numFmt formatCode="#,##0_);\(#,##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530721376"/>
        <c:crossesAt val="1"/>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a:latin typeface="+mn-lt"/>
              </a:rPr>
              <a:t>Equity (Blue) and Debt (Green)</a:t>
            </a:r>
            <a:r>
              <a:rPr lang="en-US" baseline="0">
                <a:latin typeface="+mn-lt"/>
              </a:rPr>
              <a:t> Cash Flows </a:t>
            </a:r>
            <a:r>
              <a:rPr lang="en-US">
                <a:latin typeface="+mn-lt"/>
              </a:rPr>
              <a:t>by Month</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Total Equity</c:v>
          </c:tx>
          <c:spPr>
            <a:solidFill>
              <a:schemeClr val="accent2"/>
            </a:solidFill>
            <a:ln w="25400" cap="flat" cmpd="sng" algn="ctr">
              <a:noFill/>
              <a:miter lim="800000"/>
            </a:ln>
            <a:effectLst/>
          </c:spPr>
          <c:invertIfNegative val="0"/>
          <c:cat>
            <c:numRef>
              <c:f>[0]!Range_Months</c:f>
              <c:numCache>
                <c:formatCode>"Month"\ 0</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numCache>
            </c:numRef>
          </c:cat>
          <c:val>
            <c:numRef>
              <c:f>[0]!Range_Equity</c:f>
              <c:numCache>
                <c:formatCode>_(* #,##0_);_(* \(#,##0\);_(* "-"_);_(@_)</c:formatCode>
                <c:ptCount val="46"/>
                <c:pt idx="0">
                  <c:v>3753159.5276612928</c:v>
                </c:pt>
                <c:pt idx="1">
                  <c:v>434615.43632992054</c:v>
                </c:pt>
                <c:pt idx="2">
                  <c:v>595115.21586161223</c:v>
                </c:pt>
                <c:pt idx="3">
                  <c:v>913409.18359364895</c:v>
                </c:pt>
                <c:pt idx="4">
                  <c:v>1467820.9038815256</c:v>
                </c:pt>
                <c:pt idx="5">
                  <c:v>2309629.6734741665</c:v>
                </c:pt>
                <c:pt idx="6">
                  <c:v>3409858.2075612606</c:v>
                </c:pt>
                <c:pt idx="7">
                  <c:v>1753606.1237601093</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0-3F99-4D0A-9ADF-5906A146B83A}"/>
            </c:ext>
          </c:extLst>
        </c:ser>
        <c:ser>
          <c:idx val="1"/>
          <c:order val="1"/>
          <c:tx>
            <c:v>Total Debt</c:v>
          </c:tx>
          <c:spPr>
            <a:solidFill>
              <a:schemeClr val="accent5"/>
            </a:solidFill>
            <a:ln w="25400" cap="flat" cmpd="sng" algn="ctr">
              <a:noFill/>
              <a:miter lim="800000"/>
            </a:ln>
            <a:effectLst/>
          </c:spPr>
          <c:invertIfNegative val="0"/>
          <c:val>
            <c:numRef>
              <c:f>[0]!Range_Debt</c:f>
              <c:numCache>
                <c:formatCode>_(* #,##0_);_(* \(#,##0\);_(* "-"_);_(@_)</c:formatCode>
                <c:ptCount val="46"/>
                <c:pt idx="0">
                  <c:v>0</c:v>
                </c:pt>
                <c:pt idx="1">
                  <c:v>0</c:v>
                </c:pt>
                <c:pt idx="2">
                  <c:v>0</c:v>
                </c:pt>
                <c:pt idx="3">
                  <c:v>0</c:v>
                </c:pt>
                <c:pt idx="4">
                  <c:v>0</c:v>
                </c:pt>
                <c:pt idx="5">
                  <c:v>0</c:v>
                </c:pt>
                <c:pt idx="6">
                  <c:v>0</c:v>
                </c:pt>
                <c:pt idx="7">
                  <c:v>2865027.1968889558</c:v>
                </c:pt>
                <c:pt idx="8">
                  <c:v>5689047.2353308471</c:v>
                </c:pt>
                <c:pt idx="9">
                  <c:v>6336064.6437679445</c:v>
                </c:pt>
                <c:pt idx="10">
                  <c:v>6362464.9131169794</c:v>
                </c:pt>
                <c:pt idx="11">
                  <c:v>5765662.1386317443</c:v>
                </c:pt>
                <c:pt idx="12">
                  <c:v>4731209.4295146354</c:v>
                </c:pt>
                <c:pt idx="13">
                  <c:v>3547598.7178405742</c:v>
                </c:pt>
                <c:pt idx="14">
                  <c:v>2467869.1206613295</c:v>
                </c:pt>
                <c:pt idx="15">
                  <c:v>1640257.6635875134</c:v>
                </c:pt>
                <c:pt idx="16">
                  <c:v>1095247.652728765</c:v>
                </c:pt>
                <c:pt idx="17">
                  <c:v>783240.1545545361</c:v>
                </c:pt>
                <c:pt idx="18">
                  <c:v>627272.65104083321</c:v>
                </c:pt>
                <c:pt idx="19">
                  <c:v>332598.6138216916</c:v>
                </c:pt>
                <c:pt idx="20">
                  <c:v>302875.04593330395</c:v>
                </c:pt>
                <c:pt idx="21">
                  <c:v>273012.76806143718</c:v>
                </c:pt>
                <c:pt idx="22">
                  <c:v>243011.13289283498</c:v>
                </c:pt>
                <c:pt idx="23">
                  <c:v>212869.49009344599</c:v>
                </c:pt>
                <c:pt idx="24">
                  <c:v>182587.1862943265</c:v>
                </c:pt>
                <c:pt idx="25">
                  <c:v>152163.5650774778</c:v>
                </c:pt>
                <c:pt idx="26">
                  <c:v>121597.96696161716</c:v>
                </c:pt>
                <c:pt idx="27">
                  <c:v>90889.7293878825</c:v>
                </c:pt>
                <c:pt idx="28">
                  <c:v>60038.186705470376</c:v>
                </c:pt>
                <c:pt idx="29">
                  <c:v>29042.670157206972</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F469-47D0-AF0A-C5AFD353D61A}"/>
            </c:ext>
          </c:extLst>
        </c:ser>
        <c:dLbls>
          <c:showLegendKey val="0"/>
          <c:showVal val="0"/>
          <c:showCatName val="0"/>
          <c:showSerName val="0"/>
          <c:showPercent val="0"/>
          <c:showBubbleSize val="0"/>
        </c:dLbls>
        <c:gapWidth val="40"/>
        <c:overlap val="100"/>
        <c:axId val="1530721376"/>
        <c:axId val="1321851888"/>
      </c:barChart>
      <c:catAx>
        <c:axId val="1530721376"/>
        <c:scaling>
          <c:orientation val="minMax"/>
        </c:scaling>
        <c:delete val="0"/>
        <c:axPos val="b"/>
        <c:numFmt formatCode="&quot;Month&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21851888"/>
        <c:crosses val="autoZero"/>
        <c:auto val="1"/>
        <c:lblAlgn val="ctr"/>
        <c:lblOffset val="100"/>
        <c:noMultiLvlLbl val="0"/>
      </c:catAx>
      <c:valAx>
        <c:axId val="1321851888"/>
        <c:scaling>
          <c:orientation val="minMax"/>
        </c:scaling>
        <c:delete val="0"/>
        <c:axPos val="l"/>
        <c:majorGridlines>
          <c:spPr>
            <a:ln w="9525">
              <a:solidFill>
                <a:schemeClr val="tx1">
                  <a:lumMod val="15000"/>
                  <a:lumOff val="85000"/>
                </a:schemeClr>
              </a:solidFill>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530721376"/>
        <c:crossesAt val="1"/>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Development Spread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Yield-on-Cost</c:v>
          </c:tx>
          <c:spPr>
            <a:solidFill>
              <a:schemeClr val="accent5">
                <a:lumMod val="20000"/>
                <a:lumOff val="80000"/>
              </a:schemeClr>
            </a:solidFill>
            <a:ln>
              <a:noFill/>
            </a:ln>
            <a:effectLst/>
          </c:spPr>
          <c:invertIfNegative val="0"/>
          <c:cat>
            <c:strRef>
              <c:f>Summary!$N$28:$P$28</c:f>
              <c:strCache>
                <c:ptCount val="3"/>
                <c:pt idx="0">
                  <c:v>Untrended</c:v>
                </c:pt>
                <c:pt idx="1">
                  <c:v>Trended</c:v>
                </c:pt>
                <c:pt idx="2">
                  <c:v>Sale</c:v>
                </c:pt>
              </c:strCache>
            </c:strRef>
          </c:cat>
          <c:val>
            <c:numRef>
              <c:f>Summary!$N$29:$P$29</c:f>
              <c:numCache>
                <c:formatCode>0.00%</c:formatCode>
                <c:ptCount val="3"/>
                <c:pt idx="0">
                  <c:v>5.7642704654989316E-2</c:v>
                </c:pt>
                <c:pt idx="1">
                  <c:v>5.8416295012986723E-2</c:v>
                </c:pt>
                <c:pt idx="2">
                  <c:v>6.0168783863376332E-2</c:v>
                </c:pt>
              </c:numCache>
            </c:numRef>
          </c:val>
          <c:extLst>
            <c:ext xmlns:c16="http://schemas.microsoft.com/office/drawing/2014/chart" uri="{C3380CC4-5D6E-409C-BE32-E72D297353CC}">
              <c16:uniqueId val="{00000000-7BE3-4A06-8D69-B4811BF43312}"/>
            </c:ext>
          </c:extLst>
        </c:ser>
        <c:ser>
          <c:idx val="1"/>
          <c:order val="1"/>
          <c:tx>
            <c:v>Market Cap Rate</c:v>
          </c:tx>
          <c:spPr>
            <a:solidFill>
              <a:schemeClr val="accent2">
                <a:lumMod val="20000"/>
                <a:lumOff val="80000"/>
              </a:schemeClr>
            </a:solidFill>
            <a:ln>
              <a:noFill/>
            </a:ln>
            <a:effectLst/>
          </c:spPr>
          <c:invertIfNegative val="0"/>
          <c:cat>
            <c:strRef>
              <c:f>Summary!$N$28:$P$28</c:f>
              <c:strCache>
                <c:ptCount val="3"/>
                <c:pt idx="0">
                  <c:v>Untrended</c:v>
                </c:pt>
                <c:pt idx="1">
                  <c:v>Trended</c:v>
                </c:pt>
                <c:pt idx="2">
                  <c:v>Sale</c:v>
                </c:pt>
              </c:strCache>
            </c:strRef>
          </c:cat>
          <c:val>
            <c:numRef>
              <c:f>Summary!$N$30:$P$30</c:f>
              <c:numCache>
                <c:formatCode>0.00%</c:formatCode>
                <c:ptCount val="3"/>
                <c:pt idx="0">
                  <c:v>4.7500000000000001E-2</c:v>
                </c:pt>
                <c:pt idx="1">
                  <c:v>5.1166666666666666E-2</c:v>
                </c:pt>
                <c:pt idx="2">
                  <c:v>5.2499999999999998E-2</c:v>
                </c:pt>
              </c:numCache>
            </c:numRef>
          </c:val>
          <c:extLst>
            <c:ext xmlns:c16="http://schemas.microsoft.com/office/drawing/2014/chart" uri="{C3380CC4-5D6E-409C-BE32-E72D297353CC}">
              <c16:uniqueId val="{00000001-7BE3-4A06-8D69-B4811BF43312}"/>
            </c:ext>
          </c:extLst>
        </c:ser>
        <c:dLbls>
          <c:showLegendKey val="0"/>
          <c:showVal val="0"/>
          <c:showCatName val="0"/>
          <c:showSerName val="0"/>
          <c:showPercent val="0"/>
          <c:showBubbleSize val="0"/>
        </c:dLbls>
        <c:gapWidth val="219"/>
        <c:overlap val="-27"/>
        <c:axId val="42708319"/>
        <c:axId val="2133407615"/>
      </c:barChart>
      <c:lineChart>
        <c:grouping val="standard"/>
        <c:varyColors val="0"/>
        <c:ser>
          <c:idx val="2"/>
          <c:order val="2"/>
          <c:tx>
            <c:v>Development Spread</c:v>
          </c:tx>
          <c:spPr>
            <a:ln w="158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Summary!$N$31:$P$31</c:f>
              <c:numCache>
                <c:formatCode>0.0\ "bps"</c:formatCode>
                <c:ptCount val="3"/>
                <c:pt idx="0">
                  <c:v>101.42704654989315</c:v>
                </c:pt>
                <c:pt idx="1">
                  <c:v>72.496283463200569</c:v>
                </c:pt>
                <c:pt idx="2">
                  <c:v>76.687838633763349</c:v>
                </c:pt>
              </c:numCache>
            </c:numRef>
          </c:val>
          <c:smooth val="0"/>
          <c:extLst>
            <c:ext xmlns:c16="http://schemas.microsoft.com/office/drawing/2014/chart" uri="{C3380CC4-5D6E-409C-BE32-E72D297353CC}">
              <c16:uniqueId val="{00000002-7BE3-4A06-8D69-B4811BF43312}"/>
            </c:ext>
          </c:extLst>
        </c:ser>
        <c:dLbls>
          <c:showLegendKey val="0"/>
          <c:showVal val="0"/>
          <c:showCatName val="0"/>
          <c:showSerName val="0"/>
          <c:showPercent val="0"/>
          <c:showBubbleSize val="0"/>
        </c:dLbls>
        <c:marker val="1"/>
        <c:smooth val="0"/>
        <c:axId val="34589551"/>
        <c:axId val="2133386447"/>
      </c:lineChart>
      <c:catAx>
        <c:axId val="42708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407615"/>
        <c:crosses val="autoZero"/>
        <c:auto val="1"/>
        <c:lblAlgn val="ctr"/>
        <c:lblOffset val="100"/>
        <c:noMultiLvlLbl val="0"/>
      </c:catAx>
      <c:valAx>
        <c:axId val="213340761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08319"/>
        <c:crosses val="autoZero"/>
        <c:crossBetween val="between"/>
      </c:valAx>
      <c:valAx>
        <c:axId val="2133386447"/>
        <c:scaling>
          <c:orientation val="minMax"/>
        </c:scaling>
        <c:delete val="0"/>
        <c:axPos val="r"/>
        <c:numFmt formatCode="0.0\ &quot;bps&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589551"/>
        <c:crosses val="max"/>
        <c:crossBetween val="between"/>
      </c:valAx>
      <c:catAx>
        <c:axId val="34589551"/>
        <c:scaling>
          <c:orientation val="minMax"/>
        </c:scaling>
        <c:delete val="1"/>
        <c:axPos val="b"/>
        <c:numFmt formatCode="General" sourceLinked="1"/>
        <c:majorTickMark val="out"/>
        <c:minorTickMark val="none"/>
        <c:tickLblPos val="nextTo"/>
        <c:crossAx val="213338644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Equity </a:t>
            </a:r>
            <a:r>
              <a:rPr lang="en-US" baseline="0"/>
              <a:t>IRR by Partner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Equity IRR</c:v>
          </c:tx>
          <c:spPr>
            <a:solidFill>
              <a:schemeClr val="accent1">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Summary!$L$21:$L$23</c:f>
              <c:strCache>
                <c:ptCount val="2"/>
                <c:pt idx="0">
                  <c:v>[Limited Partner Name]</c:v>
                </c:pt>
                <c:pt idx="1">
                  <c:v>[General Partner Name]</c:v>
                </c:pt>
              </c:strCache>
            </c:strRef>
          </c:cat>
          <c:val>
            <c:numRef>
              <c:f>Summary!$P$21:$P$23</c:f>
              <c:numCache>
                <c:formatCode>0.00%</c:formatCode>
                <c:ptCount val="3"/>
                <c:pt idx="0">
                  <c:v>0.13629054427146911</c:v>
                </c:pt>
                <c:pt idx="1">
                  <c:v>0.32897186875343332</c:v>
                </c:pt>
                <c:pt idx="2">
                  <c:v>0</c:v>
                </c:pt>
              </c:numCache>
            </c:numRef>
          </c:val>
          <c:extLst>
            <c:ext xmlns:c16="http://schemas.microsoft.com/office/drawing/2014/chart" uri="{C3380CC4-5D6E-409C-BE32-E72D297353CC}">
              <c16:uniqueId val="{00000000-9DE1-46E1-94B7-BADC4B19F13E}"/>
            </c:ext>
          </c:extLst>
        </c:ser>
        <c:dLbls>
          <c:showLegendKey val="0"/>
          <c:showVal val="0"/>
          <c:showCatName val="0"/>
          <c:showSerName val="0"/>
          <c:showPercent val="0"/>
          <c:showBubbleSize val="0"/>
        </c:dLbls>
        <c:gapWidth val="219"/>
        <c:overlap val="-27"/>
        <c:axId val="42708319"/>
        <c:axId val="2133407615"/>
      </c:barChart>
      <c:catAx>
        <c:axId val="42708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407615"/>
        <c:crosses val="autoZero"/>
        <c:auto val="1"/>
        <c:lblAlgn val="ctr"/>
        <c:lblOffset val="100"/>
        <c:noMultiLvlLbl val="0"/>
      </c:catAx>
      <c:valAx>
        <c:axId val="213340761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083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Equity </a:t>
            </a:r>
            <a:r>
              <a:rPr lang="en-US" baseline="0"/>
              <a:t>Multiple by Partner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Equity Multiple</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Summary!$L$21:$L$23</c:f>
              <c:strCache>
                <c:ptCount val="2"/>
                <c:pt idx="0">
                  <c:v>[Limited Partner Name]</c:v>
                </c:pt>
                <c:pt idx="1">
                  <c:v>[General Partner Name]</c:v>
                </c:pt>
              </c:strCache>
            </c:strRef>
          </c:cat>
          <c:val>
            <c:numRef>
              <c:f>Summary!$O$21:$O$23</c:f>
              <c:numCache>
                <c:formatCode>0.00"X"</c:formatCode>
                <c:ptCount val="3"/>
                <c:pt idx="0">
                  <c:v>1.5468540066449099</c:v>
                </c:pt>
                <c:pt idx="1">
                  <c:v>2.6524051509735158</c:v>
                </c:pt>
                <c:pt idx="2">
                  <c:v>0</c:v>
                </c:pt>
              </c:numCache>
            </c:numRef>
          </c:val>
          <c:extLst>
            <c:ext xmlns:c16="http://schemas.microsoft.com/office/drawing/2014/chart" uri="{C3380CC4-5D6E-409C-BE32-E72D297353CC}">
              <c16:uniqueId val="{00000000-8BAF-4A1B-A1FE-DC7CE509317A}"/>
            </c:ext>
          </c:extLst>
        </c:ser>
        <c:dLbls>
          <c:dLblPos val="outEnd"/>
          <c:showLegendKey val="0"/>
          <c:showVal val="1"/>
          <c:showCatName val="0"/>
          <c:showSerName val="0"/>
          <c:showPercent val="0"/>
          <c:showBubbleSize val="0"/>
        </c:dLbls>
        <c:gapWidth val="219"/>
        <c:overlap val="-27"/>
        <c:axId val="42708319"/>
        <c:axId val="2133407615"/>
      </c:barChart>
      <c:catAx>
        <c:axId val="42708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407615"/>
        <c:crosses val="autoZero"/>
        <c:auto val="1"/>
        <c:lblAlgn val="ctr"/>
        <c:lblOffset val="100"/>
        <c:noMultiLvlLbl val="0"/>
      </c:catAx>
      <c:valAx>
        <c:axId val="2133407615"/>
        <c:scaling>
          <c:orientation val="minMax"/>
        </c:scaling>
        <c:delete val="0"/>
        <c:axPos val="l"/>
        <c:majorGridlines>
          <c:spPr>
            <a:ln w="9525" cap="flat" cmpd="sng" algn="ctr">
              <a:solidFill>
                <a:schemeClr val="tx1">
                  <a:lumMod val="15000"/>
                  <a:lumOff val="85000"/>
                </a:schemeClr>
              </a:solidFill>
              <a:round/>
            </a:ln>
            <a:effectLst/>
          </c:spPr>
        </c:majorGridlines>
        <c:numFmt formatCode="0.00&quot;X&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083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S-Curve Steepness</a:t>
            </a:r>
            <a:r>
              <a:rPr lang="en-US" baseline="0"/>
              <a:t> Setting</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Data!$M$5:$AK$5</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Cache>
            </c:numRef>
          </c:cat>
          <c:val>
            <c:numRef>
              <c:f>Data!$M$6:$AK$6</c:f>
              <c:numCache>
                <c:formatCode>#,##0</c:formatCode>
                <c:ptCount val="25"/>
                <c:pt idx="0">
                  <c:v>1544.3394461531143</c:v>
                </c:pt>
                <c:pt idx="1">
                  <c:v>2985.7345133916106</c:v>
                </c:pt>
                <c:pt idx="2">
                  <c:v>5450.8186218771189</c:v>
                </c:pt>
                <c:pt idx="3">
                  <c:v>9396.6877681614151</c:v>
                </c:pt>
                <c:pt idx="4">
                  <c:v>15296.453551937133</c:v>
                </c:pt>
                <c:pt idx="5">
                  <c:v>23513.102062249949</c:v>
                </c:pt>
                <c:pt idx="6">
                  <c:v>34129.711659858258</c:v>
                </c:pt>
                <c:pt idx="7">
                  <c:v>46779.877223665448</c:v>
                </c:pt>
                <c:pt idx="8">
                  <c:v>60546.566553706223</c:v>
                </c:pt>
                <c:pt idx="9">
                  <c:v>73998.705904511255</c:v>
                </c:pt>
                <c:pt idx="10">
                  <c:v>85401.014354287341</c:v>
                </c:pt>
                <c:pt idx="11">
                  <c:v>93069.275260365757</c:v>
                </c:pt>
                <c:pt idx="12">
                  <c:v>95775.426159670722</c:v>
                </c:pt>
                <c:pt idx="13">
                  <c:v>93069.275260365815</c:v>
                </c:pt>
                <c:pt idx="14">
                  <c:v>85401.014354287297</c:v>
                </c:pt>
                <c:pt idx="15">
                  <c:v>73998.705904511226</c:v>
                </c:pt>
                <c:pt idx="16">
                  <c:v>60546.566553706223</c:v>
                </c:pt>
                <c:pt idx="17">
                  <c:v>46779.877223665513</c:v>
                </c:pt>
                <c:pt idx="18">
                  <c:v>34129.711659858265</c:v>
                </c:pt>
                <c:pt idx="19">
                  <c:v>23513.102062249942</c:v>
                </c:pt>
                <c:pt idx="20">
                  <c:v>15296.453551937057</c:v>
                </c:pt>
                <c:pt idx="21">
                  <c:v>9396.6877681614442</c:v>
                </c:pt>
                <c:pt idx="22">
                  <c:v>5450.8186218771325</c:v>
                </c:pt>
                <c:pt idx="23">
                  <c:v>2985.7345133915878</c:v>
                </c:pt>
                <c:pt idx="24">
                  <c:v>1544.3394461531182</c:v>
                </c:pt>
              </c:numCache>
            </c:numRef>
          </c:val>
          <c:smooth val="0"/>
          <c:extLst>
            <c:ext xmlns:c16="http://schemas.microsoft.com/office/drawing/2014/chart" uri="{C3380CC4-5D6E-409C-BE32-E72D297353CC}">
              <c16:uniqueId val="{00000000-AE30-4ADA-9088-D731B2F99E27}"/>
            </c:ext>
          </c:extLst>
        </c:ser>
        <c:dLbls>
          <c:showLegendKey val="0"/>
          <c:showVal val="0"/>
          <c:showCatName val="0"/>
          <c:showSerName val="0"/>
          <c:showPercent val="0"/>
          <c:showBubbleSize val="0"/>
        </c:dLbls>
        <c:smooth val="0"/>
        <c:axId val="655797736"/>
        <c:axId val="655798064"/>
      </c:lineChart>
      <c:catAx>
        <c:axId val="655797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798064"/>
        <c:crosses val="autoZero"/>
        <c:auto val="1"/>
        <c:lblAlgn val="ctr"/>
        <c:lblOffset val="100"/>
        <c:noMultiLvlLbl val="0"/>
      </c:catAx>
      <c:valAx>
        <c:axId val="655798064"/>
        <c:scaling>
          <c:orientation val="minMax"/>
          <c:max val="160000"/>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797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2.jpe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hyperlink" Target="#Nav_Development_CF"/><Relationship Id="rId7" Type="http://schemas.openxmlformats.org/officeDocument/2006/relationships/hyperlink" Target="#Nav_Sensitivity"/><Relationship Id="rId2" Type="http://schemas.openxmlformats.org/officeDocument/2006/relationships/hyperlink" Target="#Nav_Investment_Description"/><Relationship Id="rId1" Type="http://schemas.openxmlformats.org/officeDocument/2006/relationships/hyperlink" Target="#Underwriting!B188:H216"/><Relationship Id="rId6" Type="http://schemas.openxmlformats.org/officeDocument/2006/relationships/hyperlink" Target="#Nav_Waterfall_CF"/><Relationship Id="rId5" Type="http://schemas.openxmlformats.org/officeDocument/2006/relationships/hyperlink" Target="#Nav_Residual_CF"/><Relationship Id="rId4" Type="http://schemas.openxmlformats.org/officeDocument/2006/relationships/hyperlink" Target="#Nav_Operating_CF"/></Relationships>
</file>

<file path=xl/drawings/_rels/drawing3.xml.rels><?xml version="1.0" encoding="UTF-8" standalone="yes"?>
<Relationships xmlns="http://schemas.openxmlformats.org/package/2006/relationships"><Relationship Id="rId3" Type="http://schemas.openxmlformats.org/officeDocument/2006/relationships/hyperlink" Target="#Nav_Retail_Income"/><Relationship Id="rId2" Type="http://schemas.openxmlformats.org/officeDocument/2006/relationships/hyperlink" Target="#Retail_Income_Include?"/><Relationship Id="rId1" Type="http://schemas.openxmlformats.org/officeDocument/2006/relationships/hyperlink" Target="#Underwriting!B188:H216"/><Relationship Id="rId5" Type="http://schemas.openxmlformats.org/officeDocument/2006/relationships/hyperlink" Target="#Nav_Retail_Reserves"/><Relationship Id="rId4" Type="http://schemas.openxmlformats.org/officeDocument/2006/relationships/hyperlink" Target="#Nav_Retail_Expenses"/></Relationships>
</file>

<file path=xl/drawings/_rels/drawing4.xml.rels><?xml version="1.0" encoding="UTF-8" standalone="yes"?>
<Relationships xmlns="http://schemas.openxmlformats.org/package/2006/relationships"><Relationship Id="rId3" Type="http://schemas.openxmlformats.org/officeDocument/2006/relationships/hyperlink" Target="#Nav_Controllable_Expenses"/><Relationship Id="rId2" Type="http://schemas.openxmlformats.org/officeDocument/2006/relationships/hyperlink" Target="#OpEx_Underwriting_Type"/><Relationship Id="rId1" Type="http://schemas.openxmlformats.org/officeDocument/2006/relationships/hyperlink" Target="#Underwriting!B188:H216"/><Relationship Id="rId4" Type="http://schemas.openxmlformats.org/officeDocument/2006/relationships/hyperlink" Target="#Nav_Fixed_Expenses"/></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11</xdr:col>
      <xdr:colOff>9525</xdr:colOff>
      <xdr:row>4</xdr:row>
      <xdr:rowOff>19050</xdr:rowOff>
    </xdr:from>
    <xdr:to>
      <xdr:col>15</xdr:col>
      <xdr:colOff>676275</xdr:colOff>
      <xdr:row>18</xdr:row>
      <xdr:rowOff>0</xdr:rowOff>
    </xdr:to>
    <xdr:pic>
      <xdr:nvPicPr>
        <xdr:cNvPr id="2" name="Picture 1">
          <a:extLst>
            <a:ext uri="{FF2B5EF4-FFF2-40B4-BE49-F238E27FC236}">
              <a16:creationId xmlns:a16="http://schemas.microsoft.com/office/drawing/2014/main" id="{1F2D8651-0466-467A-86C6-0BFE6584413B}"/>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7639050" y="581025"/>
          <a:ext cx="3409950" cy="2247900"/>
        </a:xfrm>
        <a:prstGeom prst="rect">
          <a:avLst/>
        </a:prstGeom>
      </xdr:spPr>
    </xdr:pic>
    <xdr:clientData/>
  </xdr:twoCellAnchor>
  <xdr:twoCellAnchor>
    <xdr:from>
      <xdr:col>1</xdr:col>
      <xdr:colOff>28574</xdr:colOff>
      <xdr:row>38</xdr:row>
      <xdr:rowOff>47625</xdr:rowOff>
    </xdr:from>
    <xdr:to>
      <xdr:col>11</xdr:col>
      <xdr:colOff>9525</xdr:colOff>
      <xdr:row>52</xdr:row>
      <xdr:rowOff>171450</xdr:rowOff>
    </xdr:to>
    <xdr:graphicFrame macro="">
      <xdr:nvGraphicFramePr>
        <xdr:cNvPr id="3" name="Chart 2">
          <a:extLst>
            <a:ext uri="{FF2B5EF4-FFF2-40B4-BE49-F238E27FC236}">
              <a16:creationId xmlns:a16="http://schemas.microsoft.com/office/drawing/2014/main" id="{93052454-BB71-43E4-9748-F0CD31D537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28574</xdr:colOff>
      <xdr:row>67</xdr:row>
      <xdr:rowOff>66675</xdr:rowOff>
    </xdr:from>
    <xdr:to>
      <xdr:col>11</xdr:col>
      <xdr:colOff>9524</xdr:colOff>
      <xdr:row>83</xdr:row>
      <xdr:rowOff>123825</xdr:rowOff>
    </xdr:to>
    <xdr:graphicFrame macro="">
      <xdr:nvGraphicFramePr>
        <xdr:cNvPr id="5" name="Chart 4">
          <a:extLst>
            <a:ext uri="{FF2B5EF4-FFF2-40B4-BE49-F238E27FC236}">
              <a16:creationId xmlns:a16="http://schemas.microsoft.com/office/drawing/2014/main" id="{03C15FE5-64D6-48C6-A041-9F1EAE3920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28574</xdr:colOff>
      <xdr:row>53</xdr:row>
      <xdr:rowOff>42863</xdr:rowOff>
    </xdr:from>
    <xdr:to>
      <xdr:col>11</xdr:col>
      <xdr:colOff>9524</xdr:colOff>
      <xdr:row>67</xdr:row>
      <xdr:rowOff>14288</xdr:rowOff>
    </xdr:to>
    <xdr:graphicFrame macro="">
      <xdr:nvGraphicFramePr>
        <xdr:cNvPr id="6" name="Chart 5">
          <a:extLst>
            <a:ext uri="{FF2B5EF4-FFF2-40B4-BE49-F238E27FC236}">
              <a16:creationId xmlns:a16="http://schemas.microsoft.com/office/drawing/2014/main" id="{FF6306D8-92C7-4180-B461-F22E87410E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38100</xdr:colOff>
      <xdr:row>38</xdr:row>
      <xdr:rowOff>47625</xdr:rowOff>
    </xdr:from>
    <xdr:to>
      <xdr:col>15</xdr:col>
      <xdr:colOff>657225</xdr:colOff>
      <xdr:row>52</xdr:row>
      <xdr:rowOff>171451</xdr:rowOff>
    </xdr:to>
    <xdr:graphicFrame macro="">
      <xdr:nvGraphicFramePr>
        <xdr:cNvPr id="7" name="Chart 6">
          <a:extLst>
            <a:ext uri="{FF2B5EF4-FFF2-40B4-BE49-F238E27FC236}">
              <a16:creationId xmlns:a16="http://schemas.microsoft.com/office/drawing/2014/main" id="{9DCFA28A-7FCF-4203-B5A3-1BDA1EE0DC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38100</xdr:colOff>
      <xdr:row>53</xdr:row>
      <xdr:rowOff>47625</xdr:rowOff>
    </xdr:from>
    <xdr:to>
      <xdr:col>15</xdr:col>
      <xdr:colOff>657225</xdr:colOff>
      <xdr:row>67</xdr:row>
      <xdr:rowOff>9525</xdr:rowOff>
    </xdr:to>
    <xdr:graphicFrame macro="">
      <xdr:nvGraphicFramePr>
        <xdr:cNvPr id="9" name="Chart 8">
          <a:extLst>
            <a:ext uri="{FF2B5EF4-FFF2-40B4-BE49-F238E27FC236}">
              <a16:creationId xmlns:a16="http://schemas.microsoft.com/office/drawing/2014/main" id="{83517194-A7BA-4C59-8641-73985847D9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38100</xdr:colOff>
      <xdr:row>67</xdr:row>
      <xdr:rowOff>66675</xdr:rowOff>
    </xdr:from>
    <xdr:to>
      <xdr:col>15</xdr:col>
      <xdr:colOff>657225</xdr:colOff>
      <xdr:row>83</xdr:row>
      <xdr:rowOff>123825</xdr:rowOff>
    </xdr:to>
    <xdr:graphicFrame macro="">
      <xdr:nvGraphicFramePr>
        <xdr:cNvPr id="10" name="Chart 9">
          <a:extLst>
            <a:ext uri="{FF2B5EF4-FFF2-40B4-BE49-F238E27FC236}">
              <a16:creationId xmlns:a16="http://schemas.microsoft.com/office/drawing/2014/main" id="{6A475FBB-96D6-41E1-A9E3-B8364108D1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19050</xdr:colOff>
      <xdr:row>37</xdr:row>
      <xdr:rowOff>9525</xdr:rowOff>
    </xdr:from>
    <xdr:to>
      <xdr:col>14</xdr:col>
      <xdr:colOff>809625</xdr:colOff>
      <xdr:row>37</xdr:row>
      <xdr:rowOff>171450</xdr:rowOff>
    </xdr:to>
    <xdr:sp macro="[0]!Hide_Annual_CF" textlink="">
      <xdr:nvSpPr>
        <xdr:cNvPr id="13" name="Rectangle 12">
          <a:extLst>
            <a:ext uri="{FF2B5EF4-FFF2-40B4-BE49-F238E27FC236}">
              <a16:creationId xmlns:a16="http://schemas.microsoft.com/office/drawing/2014/main" id="{D0C75528-09CC-4460-B090-8F0CEE2BDA13}"/>
            </a:ext>
          </a:extLst>
        </xdr:cNvPr>
        <xdr:cNvSpPr/>
      </xdr:nvSpPr>
      <xdr:spPr>
        <a:xfrm>
          <a:off x="1990725" y="8924925"/>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19050</xdr:colOff>
      <xdr:row>37</xdr:row>
      <xdr:rowOff>0</xdr:rowOff>
    </xdr:from>
    <xdr:to>
      <xdr:col>15</xdr:col>
      <xdr:colOff>809625</xdr:colOff>
      <xdr:row>38</xdr:row>
      <xdr:rowOff>0</xdr:rowOff>
    </xdr:to>
    <xdr:sp macro="[0]!Show_Annual_CF" textlink="">
      <xdr:nvSpPr>
        <xdr:cNvPr id="14" name="Rectangle 13">
          <a:extLst>
            <a:ext uri="{FF2B5EF4-FFF2-40B4-BE49-F238E27FC236}">
              <a16:creationId xmlns:a16="http://schemas.microsoft.com/office/drawing/2014/main" id="{1A3AD664-39B7-4425-BEFC-A4B7B1E06338}"/>
            </a:ext>
          </a:extLst>
        </xdr:cNvPr>
        <xdr:cNvSpPr/>
      </xdr:nvSpPr>
      <xdr:spPr>
        <a:xfrm>
          <a:off x="2809875" y="8915400"/>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7620</xdr:colOff>
      <xdr:row>1</xdr:row>
      <xdr:rowOff>0</xdr:rowOff>
    </xdr:from>
    <xdr:to>
      <xdr:col>7</xdr:col>
      <xdr:colOff>0</xdr:colOff>
      <xdr:row>2</xdr:row>
      <xdr:rowOff>7620</xdr:rowOff>
    </xdr:to>
    <xdr:sp macro="[0]!Recalculate" textlink="">
      <xdr:nvSpPr>
        <xdr:cNvPr id="10" name="Rectangle 9">
          <a:extLst>
            <a:ext uri="{FF2B5EF4-FFF2-40B4-BE49-F238E27FC236}">
              <a16:creationId xmlns:a16="http://schemas.microsoft.com/office/drawing/2014/main" id="{86BECF7D-72FA-4319-8BA1-6E7EDE3FF920}"/>
            </a:ext>
          </a:extLst>
        </xdr:cNvPr>
        <xdr:cNvSpPr/>
      </xdr:nvSpPr>
      <xdr:spPr>
        <a:xfrm>
          <a:off x="1706880" y="60960"/>
          <a:ext cx="2438400" cy="2057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714375</xdr:colOff>
      <xdr:row>24</xdr:row>
      <xdr:rowOff>47625</xdr:rowOff>
    </xdr:from>
    <xdr:to>
      <xdr:col>2</xdr:col>
      <xdr:colOff>274320</xdr:colOff>
      <xdr:row>25</xdr:row>
      <xdr:rowOff>19050</xdr:rowOff>
    </xdr:to>
    <xdr:sp macro="[0]!Add_Item_Land_Costs" textlink="">
      <xdr:nvSpPr>
        <xdr:cNvPr id="13" name="Rectangle 12">
          <a:extLst>
            <a:ext uri="{FF2B5EF4-FFF2-40B4-BE49-F238E27FC236}">
              <a16:creationId xmlns:a16="http://schemas.microsoft.com/office/drawing/2014/main" id="{639C1F9D-8BD4-4809-99CA-2154EDD55EEE}"/>
            </a:ext>
          </a:extLst>
        </xdr:cNvPr>
        <xdr:cNvSpPr/>
      </xdr:nvSpPr>
      <xdr:spPr>
        <a:xfrm>
          <a:off x="781050" y="59626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1</xdr:col>
      <xdr:colOff>714375</xdr:colOff>
      <xdr:row>30</xdr:row>
      <xdr:rowOff>38100</xdr:rowOff>
    </xdr:from>
    <xdr:to>
      <xdr:col>2</xdr:col>
      <xdr:colOff>274320</xdr:colOff>
      <xdr:row>31</xdr:row>
      <xdr:rowOff>9525</xdr:rowOff>
    </xdr:to>
    <xdr:sp macro="[0]!Add_Item_Hard_Costs" textlink="">
      <xdr:nvSpPr>
        <xdr:cNvPr id="14" name="Rectangle 13">
          <a:extLst>
            <a:ext uri="{FF2B5EF4-FFF2-40B4-BE49-F238E27FC236}">
              <a16:creationId xmlns:a16="http://schemas.microsoft.com/office/drawing/2014/main" id="{0748BD2A-D2CA-4544-9A9F-27F9733490AA}"/>
            </a:ext>
          </a:extLst>
        </xdr:cNvPr>
        <xdr:cNvSpPr/>
      </xdr:nvSpPr>
      <xdr:spPr>
        <a:xfrm>
          <a:off x="781050" y="6943725"/>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1</xdr:col>
      <xdr:colOff>714375</xdr:colOff>
      <xdr:row>36</xdr:row>
      <xdr:rowOff>38100</xdr:rowOff>
    </xdr:from>
    <xdr:to>
      <xdr:col>2</xdr:col>
      <xdr:colOff>274320</xdr:colOff>
      <xdr:row>37</xdr:row>
      <xdr:rowOff>9525</xdr:rowOff>
    </xdr:to>
    <xdr:sp macro="[0]!Add_Item_Soft_Costs" textlink="">
      <xdr:nvSpPr>
        <xdr:cNvPr id="15" name="Rectangle 14">
          <a:extLst>
            <a:ext uri="{FF2B5EF4-FFF2-40B4-BE49-F238E27FC236}">
              <a16:creationId xmlns:a16="http://schemas.microsoft.com/office/drawing/2014/main" id="{AFFA879A-80DB-4140-ABB1-5C19CE3A5504}"/>
            </a:ext>
          </a:extLst>
        </xdr:cNvPr>
        <xdr:cNvSpPr/>
      </xdr:nvSpPr>
      <xdr:spPr>
        <a:xfrm>
          <a:off x="781050" y="7934325"/>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2</xdr:col>
      <xdr:colOff>657225</xdr:colOff>
      <xdr:row>24</xdr:row>
      <xdr:rowOff>47625</xdr:rowOff>
    </xdr:from>
    <xdr:to>
      <xdr:col>3</xdr:col>
      <xdr:colOff>569595</xdr:colOff>
      <xdr:row>25</xdr:row>
      <xdr:rowOff>19050</xdr:rowOff>
    </xdr:to>
    <xdr:sp macro="[0]!Delete_Item_Land_Costs" textlink="">
      <xdr:nvSpPr>
        <xdr:cNvPr id="16" name="Rectangle 15">
          <a:extLst>
            <a:ext uri="{FF2B5EF4-FFF2-40B4-BE49-F238E27FC236}">
              <a16:creationId xmlns:a16="http://schemas.microsoft.com/office/drawing/2014/main" id="{E21E909C-D46C-40E4-BAA9-B783BF04FBB7}"/>
            </a:ext>
          </a:extLst>
        </xdr:cNvPr>
        <xdr:cNvSpPr/>
      </xdr:nvSpPr>
      <xdr:spPr>
        <a:xfrm>
          <a:off x="1543050" y="59626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Item</a:t>
          </a:r>
        </a:p>
      </xdr:txBody>
    </xdr:sp>
    <xdr:clientData/>
  </xdr:twoCellAnchor>
  <xdr:twoCellAnchor editAs="oneCell">
    <xdr:from>
      <xdr:col>2</xdr:col>
      <xdr:colOff>657225</xdr:colOff>
      <xdr:row>30</xdr:row>
      <xdr:rowOff>38100</xdr:rowOff>
    </xdr:from>
    <xdr:to>
      <xdr:col>3</xdr:col>
      <xdr:colOff>569595</xdr:colOff>
      <xdr:row>31</xdr:row>
      <xdr:rowOff>9525</xdr:rowOff>
    </xdr:to>
    <xdr:sp macro="[0]!Delete_Item_Hard_Costs" textlink="">
      <xdr:nvSpPr>
        <xdr:cNvPr id="17" name="Rectangle 16">
          <a:extLst>
            <a:ext uri="{FF2B5EF4-FFF2-40B4-BE49-F238E27FC236}">
              <a16:creationId xmlns:a16="http://schemas.microsoft.com/office/drawing/2014/main" id="{B87F6945-28B4-4F78-B192-20BA3DB397D3}"/>
            </a:ext>
          </a:extLst>
        </xdr:cNvPr>
        <xdr:cNvSpPr/>
      </xdr:nvSpPr>
      <xdr:spPr>
        <a:xfrm>
          <a:off x="1543050" y="6943725"/>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Item</a:t>
          </a:r>
        </a:p>
      </xdr:txBody>
    </xdr:sp>
    <xdr:clientData/>
  </xdr:twoCellAnchor>
  <xdr:twoCellAnchor editAs="oneCell">
    <xdr:from>
      <xdr:col>2</xdr:col>
      <xdr:colOff>657225</xdr:colOff>
      <xdr:row>36</xdr:row>
      <xdr:rowOff>38100</xdr:rowOff>
    </xdr:from>
    <xdr:to>
      <xdr:col>3</xdr:col>
      <xdr:colOff>569595</xdr:colOff>
      <xdr:row>37</xdr:row>
      <xdr:rowOff>9525</xdr:rowOff>
    </xdr:to>
    <xdr:sp macro="[0]!Delete_Item_Soft_Costs" textlink="">
      <xdr:nvSpPr>
        <xdr:cNvPr id="18" name="Rectangle 17">
          <a:extLst>
            <a:ext uri="{FF2B5EF4-FFF2-40B4-BE49-F238E27FC236}">
              <a16:creationId xmlns:a16="http://schemas.microsoft.com/office/drawing/2014/main" id="{9869533D-EDC8-4357-8388-95F61AB91FAA}"/>
            </a:ext>
          </a:extLst>
        </xdr:cNvPr>
        <xdr:cNvSpPr/>
      </xdr:nvSpPr>
      <xdr:spPr>
        <a:xfrm>
          <a:off x="1543050" y="7934325"/>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Item</a:t>
          </a:r>
        </a:p>
      </xdr:txBody>
    </xdr:sp>
    <xdr:clientData/>
  </xdr:twoCellAnchor>
  <xdr:twoCellAnchor editAs="oneCell">
    <xdr:from>
      <xdr:col>2</xdr:col>
      <xdr:colOff>123825</xdr:colOff>
      <xdr:row>87</xdr:row>
      <xdr:rowOff>28575</xdr:rowOff>
    </xdr:from>
    <xdr:to>
      <xdr:col>3</xdr:col>
      <xdr:colOff>310515</xdr:colOff>
      <xdr:row>88</xdr:row>
      <xdr:rowOff>0</xdr:rowOff>
    </xdr:to>
    <xdr:sp macro="[0]!Add_Unit_Types" textlink="">
      <xdr:nvSpPr>
        <xdr:cNvPr id="19" name="Rectangle 18">
          <a:extLst>
            <a:ext uri="{FF2B5EF4-FFF2-40B4-BE49-F238E27FC236}">
              <a16:creationId xmlns:a16="http://schemas.microsoft.com/office/drawing/2014/main" id="{01FCBA9C-5B03-4D57-A3B7-46798802F192}"/>
            </a:ext>
          </a:extLst>
        </xdr:cNvPr>
        <xdr:cNvSpPr/>
      </xdr:nvSpPr>
      <xdr:spPr>
        <a:xfrm>
          <a:off x="1009650" y="14601825"/>
          <a:ext cx="100584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Unit Type</a:t>
          </a:r>
        </a:p>
      </xdr:txBody>
    </xdr:sp>
    <xdr:clientData/>
  </xdr:twoCellAnchor>
  <xdr:twoCellAnchor editAs="oneCell">
    <xdr:from>
      <xdr:col>3</xdr:col>
      <xdr:colOff>342900</xdr:colOff>
      <xdr:row>87</xdr:row>
      <xdr:rowOff>28575</xdr:rowOff>
    </xdr:from>
    <xdr:to>
      <xdr:col>4</xdr:col>
      <xdr:colOff>529590</xdr:colOff>
      <xdr:row>88</xdr:row>
      <xdr:rowOff>0</xdr:rowOff>
    </xdr:to>
    <xdr:sp macro="[0]!Delete_Unit_Types" textlink="">
      <xdr:nvSpPr>
        <xdr:cNvPr id="20" name="Rectangle 19">
          <a:extLst>
            <a:ext uri="{FF2B5EF4-FFF2-40B4-BE49-F238E27FC236}">
              <a16:creationId xmlns:a16="http://schemas.microsoft.com/office/drawing/2014/main" id="{2CF07C7B-7FC0-4BD5-BE25-7827D7BFF2A3}"/>
            </a:ext>
          </a:extLst>
        </xdr:cNvPr>
        <xdr:cNvSpPr/>
      </xdr:nvSpPr>
      <xdr:spPr>
        <a:xfrm>
          <a:off x="2047875" y="14601825"/>
          <a:ext cx="100584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Unit Type</a:t>
          </a:r>
        </a:p>
      </xdr:txBody>
    </xdr:sp>
    <xdr:clientData/>
  </xdr:twoCellAnchor>
  <xdr:twoCellAnchor editAs="oneCell">
    <xdr:from>
      <xdr:col>2</xdr:col>
      <xdr:colOff>85725</xdr:colOff>
      <xdr:row>100</xdr:row>
      <xdr:rowOff>28575</xdr:rowOff>
    </xdr:from>
    <xdr:to>
      <xdr:col>2</xdr:col>
      <xdr:colOff>817245</xdr:colOff>
      <xdr:row>100</xdr:row>
      <xdr:rowOff>180975</xdr:rowOff>
    </xdr:to>
    <xdr:sp macro="[0]!Add_Other_Income" textlink="">
      <xdr:nvSpPr>
        <xdr:cNvPr id="21" name="Rectangle 20">
          <a:extLst>
            <a:ext uri="{FF2B5EF4-FFF2-40B4-BE49-F238E27FC236}">
              <a16:creationId xmlns:a16="http://schemas.microsoft.com/office/drawing/2014/main" id="{680E1692-3ED7-4325-B065-730872F43DD7}"/>
            </a:ext>
          </a:extLst>
        </xdr:cNvPr>
        <xdr:cNvSpPr/>
      </xdr:nvSpPr>
      <xdr:spPr>
        <a:xfrm>
          <a:off x="971550" y="170116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3</xdr:col>
      <xdr:colOff>28575</xdr:colOff>
      <xdr:row>100</xdr:row>
      <xdr:rowOff>28575</xdr:rowOff>
    </xdr:from>
    <xdr:to>
      <xdr:col>3</xdr:col>
      <xdr:colOff>760095</xdr:colOff>
      <xdr:row>100</xdr:row>
      <xdr:rowOff>180975</xdr:rowOff>
    </xdr:to>
    <xdr:sp macro="[0]!Delete_Other_Income" textlink="">
      <xdr:nvSpPr>
        <xdr:cNvPr id="22" name="Rectangle 21">
          <a:extLst>
            <a:ext uri="{FF2B5EF4-FFF2-40B4-BE49-F238E27FC236}">
              <a16:creationId xmlns:a16="http://schemas.microsoft.com/office/drawing/2014/main" id="{E1183024-97FE-4CB2-8CB0-D2F5F74DA2BD}"/>
            </a:ext>
          </a:extLst>
        </xdr:cNvPr>
        <xdr:cNvSpPr/>
      </xdr:nvSpPr>
      <xdr:spPr>
        <a:xfrm>
          <a:off x="1733550" y="170116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Item</a:t>
          </a:r>
        </a:p>
      </xdr:txBody>
    </xdr:sp>
    <xdr:clientData/>
  </xdr:twoCellAnchor>
  <xdr:twoCellAnchor>
    <xdr:from>
      <xdr:col>1</xdr:col>
      <xdr:colOff>19050</xdr:colOff>
      <xdr:row>115</xdr:row>
      <xdr:rowOff>9525</xdr:rowOff>
    </xdr:from>
    <xdr:to>
      <xdr:col>1</xdr:col>
      <xdr:colOff>809625</xdr:colOff>
      <xdr:row>115</xdr:row>
      <xdr:rowOff>171450</xdr:rowOff>
    </xdr:to>
    <xdr:sp macro="[0]!OpEx_Basic" textlink="">
      <xdr:nvSpPr>
        <xdr:cNvPr id="8" name="Rectangle 7">
          <a:extLst>
            <a:ext uri="{FF2B5EF4-FFF2-40B4-BE49-F238E27FC236}">
              <a16:creationId xmlns:a16="http://schemas.microsoft.com/office/drawing/2014/main" id="{C9ADF7EB-4BA6-467B-BBC7-77F1FDE0754A}"/>
            </a:ext>
          </a:extLst>
        </xdr:cNvPr>
        <xdr:cNvSpPr/>
      </xdr:nvSpPr>
      <xdr:spPr>
        <a:xfrm>
          <a:off x="85725" y="19278600"/>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19050</xdr:colOff>
      <xdr:row>115</xdr:row>
      <xdr:rowOff>0</xdr:rowOff>
    </xdr:from>
    <xdr:to>
      <xdr:col>2</xdr:col>
      <xdr:colOff>809625</xdr:colOff>
      <xdr:row>116</xdr:row>
      <xdr:rowOff>0</xdr:rowOff>
    </xdr:to>
    <xdr:sp macro="[0]!OpEx_Detailed" textlink="">
      <xdr:nvSpPr>
        <xdr:cNvPr id="11" name="Rectangle 10">
          <a:extLst>
            <a:ext uri="{FF2B5EF4-FFF2-40B4-BE49-F238E27FC236}">
              <a16:creationId xmlns:a16="http://schemas.microsoft.com/office/drawing/2014/main" id="{3FA4A150-D592-46DB-90F2-075EEABEE74E}"/>
            </a:ext>
          </a:extLst>
        </xdr:cNvPr>
        <xdr:cNvSpPr/>
      </xdr:nvSpPr>
      <xdr:spPr>
        <a:xfrm>
          <a:off x="904875" y="1926907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xdr:colOff>
      <xdr:row>106</xdr:row>
      <xdr:rowOff>9525</xdr:rowOff>
    </xdr:from>
    <xdr:to>
      <xdr:col>1</xdr:col>
      <xdr:colOff>809625</xdr:colOff>
      <xdr:row>106</xdr:row>
      <xdr:rowOff>171450</xdr:rowOff>
    </xdr:to>
    <xdr:sp macro="[0]!Retail_Not_Include" textlink="">
      <xdr:nvSpPr>
        <xdr:cNvPr id="23" name="Rectangle 22">
          <a:extLst>
            <a:ext uri="{FF2B5EF4-FFF2-40B4-BE49-F238E27FC236}">
              <a16:creationId xmlns:a16="http://schemas.microsoft.com/office/drawing/2014/main" id="{D8C4314A-43FB-4FB5-A4E0-9BAE8700E580}"/>
            </a:ext>
          </a:extLst>
        </xdr:cNvPr>
        <xdr:cNvSpPr/>
      </xdr:nvSpPr>
      <xdr:spPr>
        <a:xfrm>
          <a:off x="85725" y="19831050"/>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19050</xdr:colOff>
      <xdr:row>106</xdr:row>
      <xdr:rowOff>0</xdr:rowOff>
    </xdr:from>
    <xdr:to>
      <xdr:col>2</xdr:col>
      <xdr:colOff>809625</xdr:colOff>
      <xdr:row>107</xdr:row>
      <xdr:rowOff>0</xdr:rowOff>
    </xdr:to>
    <xdr:sp macro="[0]!Retail_Include" textlink="">
      <xdr:nvSpPr>
        <xdr:cNvPr id="24" name="Rectangle 23">
          <a:extLst>
            <a:ext uri="{FF2B5EF4-FFF2-40B4-BE49-F238E27FC236}">
              <a16:creationId xmlns:a16="http://schemas.microsoft.com/office/drawing/2014/main" id="{18D24F5E-2EA9-4B63-BBDC-9F58DF22FA70}"/>
            </a:ext>
          </a:extLst>
        </xdr:cNvPr>
        <xdr:cNvSpPr/>
      </xdr:nvSpPr>
      <xdr:spPr>
        <a:xfrm>
          <a:off x="904875" y="1982152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xdr:colOff>
      <xdr:row>220</xdr:row>
      <xdr:rowOff>9525</xdr:rowOff>
    </xdr:from>
    <xdr:to>
      <xdr:col>1</xdr:col>
      <xdr:colOff>809625</xdr:colOff>
      <xdr:row>220</xdr:row>
      <xdr:rowOff>171450</xdr:rowOff>
    </xdr:to>
    <xdr:sp macro="[0]!Single_Promote" textlink="">
      <xdr:nvSpPr>
        <xdr:cNvPr id="25" name="Rectangle 24">
          <a:extLst>
            <a:ext uri="{FF2B5EF4-FFF2-40B4-BE49-F238E27FC236}">
              <a16:creationId xmlns:a16="http://schemas.microsoft.com/office/drawing/2014/main" id="{0D4272EA-FCAC-4ED8-AD9D-CBFAB80D96E9}"/>
            </a:ext>
          </a:extLst>
        </xdr:cNvPr>
        <xdr:cNvSpPr/>
      </xdr:nvSpPr>
      <xdr:spPr>
        <a:xfrm>
          <a:off x="85725" y="19659600"/>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19050</xdr:colOff>
      <xdr:row>220</xdr:row>
      <xdr:rowOff>0</xdr:rowOff>
    </xdr:from>
    <xdr:to>
      <xdr:col>2</xdr:col>
      <xdr:colOff>809625</xdr:colOff>
      <xdr:row>221</xdr:row>
      <xdr:rowOff>0</xdr:rowOff>
    </xdr:to>
    <xdr:sp macro="[0]!Double_Promote" textlink="">
      <xdr:nvSpPr>
        <xdr:cNvPr id="26" name="Rectangle 25">
          <a:extLst>
            <a:ext uri="{FF2B5EF4-FFF2-40B4-BE49-F238E27FC236}">
              <a16:creationId xmlns:a16="http://schemas.microsoft.com/office/drawing/2014/main" id="{96B09A3D-8084-4659-9F89-AC8608DF8569}"/>
            </a:ext>
          </a:extLst>
        </xdr:cNvPr>
        <xdr:cNvSpPr/>
      </xdr:nvSpPr>
      <xdr:spPr>
        <a:xfrm>
          <a:off x="904875" y="1965007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xdr:colOff>
      <xdr:row>255</xdr:row>
      <xdr:rowOff>9525</xdr:rowOff>
    </xdr:from>
    <xdr:to>
      <xdr:col>1</xdr:col>
      <xdr:colOff>809625</xdr:colOff>
      <xdr:row>255</xdr:row>
      <xdr:rowOff>171450</xdr:rowOff>
    </xdr:to>
    <xdr:sp macro="[0]!OpEx_Basic" textlink="">
      <xdr:nvSpPr>
        <xdr:cNvPr id="27" name="Rectangle 26">
          <a:extLst>
            <a:ext uri="{FF2B5EF4-FFF2-40B4-BE49-F238E27FC236}">
              <a16:creationId xmlns:a16="http://schemas.microsoft.com/office/drawing/2014/main" id="{9A587E91-6123-497E-8105-DD80F016915D}"/>
            </a:ext>
          </a:extLst>
        </xdr:cNvPr>
        <xdr:cNvSpPr/>
      </xdr:nvSpPr>
      <xdr:spPr>
        <a:xfrm>
          <a:off x="85725" y="35290125"/>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19050</xdr:colOff>
      <xdr:row>255</xdr:row>
      <xdr:rowOff>0</xdr:rowOff>
    </xdr:from>
    <xdr:to>
      <xdr:col>2</xdr:col>
      <xdr:colOff>809625</xdr:colOff>
      <xdr:row>256</xdr:row>
      <xdr:rowOff>0</xdr:rowOff>
    </xdr:to>
    <xdr:sp macro="[0]!OpEx_Detailed" textlink="">
      <xdr:nvSpPr>
        <xdr:cNvPr id="28" name="Rectangle 27">
          <a:extLst>
            <a:ext uri="{FF2B5EF4-FFF2-40B4-BE49-F238E27FC236}">
              <a16:creationId xmlns:a16="http://schemas.microsoft.com/office/drawing/2014/main" id="{E1640A0B-83EC-4C07-A58A-1FD696BB2E42}"/>
            </a:ext>
          </a:extLst>
        </xdr:cNvPr>
        <xdr:cNvSpPr/>
      </xdr:nvSpPr>
      <xdr:spPr>
        <a:xfrm>
          <a:off x="904875" y="35280600"/>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142</xdr:col>
      <xdr:colOff>19050</xdr:colOff>
      <xdr:row>4</xdr:row>
      <xdr:rowOff>9525</xdr:rowOff>
    </xdr:from>
    <xdr:to>
      <xdr:col>142</xdr:col>
      <xdr:colOff>809625</xdr:colOff>
      <xdr:row>4</xdr:row>
      <xdr:rowOff>171450</xdr:rowOff>
    </xdr:to>
    <xdr:sp macro="[0]!Hide_Calc" textlink="">
      <xdr:nvSpPr>
        <xdr:cNvPr id="29" name="Rectangle 28">
          <a:extLst>
            <a:ext uri="{FF2B5EF4-FFF2-40B4-BE49-F238E27FC236}">
              <a16:creationId xmlns:a16="http://schemas.microsoft.com/office/drawing/2014/main" id="{0628CC6D-CA63-4AE0-AC25-5EFC0F941AD2}"/>
            </a:ext>
          </a:extLst>
        </xdr:cNvPr>
        <xdr:cNvSpPr/>
      </xdr:nvSpPr>
      <xdr:spPr>
        <a:xfrm>
          <a:off x="85725" y="18297525"/>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143</xdr:col>
      <xdr:colOff>19050</xdr:colOff>
      <xdr:row>4</xdr:row>
      <xdr:rowOff>0</xdr:rowOff>
    </xdr:from>
    <xdr:to>
      <xdr:col>143</xdr:col>
      <xdr:colOff>809625</xdr:colOff>
      <xdr:row>5</xdr:row>
      <xdr:rowOff>0</xdr:rowOff>
    </xdr:to>
    <xdr:sp macro="[0]!Show_Calc" textlink="">
      <xdr:nvSpPr>
        <xdr:cNvPr id="30" name="Rectangle 29">
          <a:extLst>
            <a:ext uri="{FF2B5EF4-FFF2-40B4-BE49-F238E27FC236}">
              <a16:creationId xmlns:a16="http://schemas.microsoft.com/office/drawing/2014/main" id="{93E93F8C-FA3B-4CCE-A0B7-8F7EDF5DAC48}"/>
            </a:ext>
          </a:extLst>
        </xdr:cNvPr>
        <xdr:cNvSpPr/>
      </xdr:nvSpPr>
      <xdr:spPr>
        <a:xfrm>
          <a:off x="904875" y="18288000"/>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xdr:row>
      <xdr:rowOff>45720</xdr:rowOff>
    </xdr:from>
    <xdr:to>
      <xdr:col>9</xdr:col>
      <xdr:colOff>0</xdr:colOff>
      <xdr:row>3</xdr:row>
      <xdr:rowOff>55245</xdr:rowOff>
    </xdr:to>
    <xdr:grpSp>
      <xdr:nvGrpSpPr>
        <xdr:cNvPr id="12" name="Group 11">
          <a:extLst>
            <a:ext uri="{FF2B5EF4-FFF2-40B4-BE49-F238E27FC236}">
              <a16:creationId xmlns:a16="http://schemas.microsoft.com/office/drawing/2014/main" id="{57110702-6A59-4D6D-BD0D-79E4D1341DEF}"/>
            </a:ext>
          </a:extLst>
        </xdr:cNvPr>
        <xdr:cNvGrpSpPr/>
      </xdr:nvGrpSpPr>
      <xdr:grpSpPr>
        <a:xfrm>
          <a:off x="66675" y="302895"/>
          <a:ext cx="6905625" cy="190500"/>
          <a:chOff x="66675" y="302895"/>
          <a:chExt cx="5734050" cy="190500"/>
        </a:xfrm>
      </xdr:grpSpPr>
      <xdr:grpSp>
        <xdr:nvGrpSpPr>
          <xdr:cNvPr id="7" name="Group 6">
            <a:hlinkClick xmlns:r="http://schemas.openxmlformats.org/officeDocument/2006/relationships" r:id="rId1"/>
            <a:extLst>
              <a:ext uri="{FF2B5EF4-FFF2-40B4-BE49-F238E27FC236}">
                <a16:creationId xmlns:a16="http://schemas.microsoft.com/office/drawing/2014/main" id="{50027F74-E132-4756-A152-441348DED499}"/>
              </a:ext>
            </a:extLst>
          </xdr:cNvPr>
          <xdr:cNvGrpSpPr>
            <a:grpSpLocks noChangeAspect="1"/>
          </xdr:cNvGrpSpPr>
        </xdr:nvGrpSpPr>
        <xdr:grpSpPr>
          <a:xfrm>
            <a:off x="66675" y="302895"/>
            <a:ext cx="4770120" cy="188595"/>
            <a:chOff x="114300" y="281940"/>
            <a:chExt cx="3462848" cy="182880"/>
          </a:xfrm>
        </xdr:grpSpPr>
        <xdr:sp macro="" textlink="">
          <xdr:nvSpPr>
            <xdr:cNvPr id="2" name="Rectangle 1">
              <a:hlinkClick xmlns:r="http://schemas.openxmlformats.org/officeDocument/2006/relationships" r:id="rId2"/>
              <a:extLst>
                <a:ext uri="{FF2B5EF4-FFF2-40B4-BE49-F238E27FC236}">
                  <a16:creationId xmlns:a16="http://schemas.microsoft.com/office/drawing/2014/main" id="{5758E069-154E-4409-93A9-B27F5DB305CD}"/>
                </a:ext>
              </a:extLst>
            </xdr:cNvPr>
            <xdr:cNvSpPr/>
          </xdr:nvSpPr>
          <xdr:spPr>
            <a:xfrm>
              <a:off x="114300" y="281940"/>
              <a:ext cx="663805" cy="17526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Description</a:t>
              </a:r>
              <a:endParaRPr lang="en-US" sz="1100"/>
            </a:p>
          </xdr:txBody>
        </xdr:sp>
        <xdr:sp macro="" textlink="">
          <xdr:nvSpPr>
            <xdr:cNvPr id="3" name="Rectangle 2">
              <a:hlinkClick xmlns:r="http://schemas.openxmlformats.org/officeDocument/2006/relationships" r:id="rId3"/>
              <a:extLst>
                <a:ext uri="{FF2B5EF4-FFF2-40B4-BE49-F238E27FC236}">
                  <a16:creationId xmlns:a16="http://schemas.microsoft.com/office/drawing/2014/main" id="{30DEDF57-290A-40A8-B9BA-F43B236F1A1D}"/>
                </a:ext>
              </a:extLst>
            </xdr:cNvPr>
            <xdr:cNvSpPr/>
          </xdr:nvSpPr>
          <xdr:spPr>
            <a:xfrm>
              <a:off x="814061" y="281940"/>
              <a:ext cx="663805"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Investment</a:t>
              </a:r>
              <a:endParaRPr lang="en-US" sz="1100"/>
            </a:p>
          </xdr:txBody>
        </xdr:sp>
        <xdr:sp macro="" textlink="">
          <xdr:nvSpPr>
            <xdr:cNvPr id="4" name="Rectangle 3">
              <a:hlinkClick xmlns:r="http://schemas.openxmlformats.org/officeDocument/2006/relationships" r:id="rId4"/>
              <a:extLst>
                <a:ext uri="{FF2B5EF4-FFF2-40B4-BE49-F238E27FC236}">
                  <a16:creationId xmlns:a16="http://schemas.microsoft.com/office/drawing/2014/main" id="{E89015DB-9D24-4F62-A4FB-9A9BED18013F}"/>
                </a:ext>
              </a:extLst>
            </xdr:cNvPr>
            <xdr:cNvSpPr/>
          </xdr:nvSpPr>
          <xdr:spPr>
            <a:xfrm>
              <a:off x="1513822" y="281940"/>
              <a:ext cx="663805"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Operations</a:t>
              </a:r>
              <a:endParaRPr lang="en-US" sz="1100"/>
            </a:p>
          </xdr:txBody>
        </xdr:sp>
        <xdr:sp macro="" textlink="">
          <xdr:nvSpPr>
            <xdr:cNvPr id="5" name="Rectangle 4">
              <a:hlinkClick xmlns:r="http://schemas.openxmlformats.org/officeDocument/2006/relationships" r:id="rId5"/>
              <a:extLst>
                <a:ext uri="{FF2B5EF4-FFF2-40B4-BE49-F238E27FC236}">
                  <a16:creationId xmlns:a16="http://schemas.microsoft.com/office/drawing/2014/main" id="{2EE89063-1FE9-4347-A7BB-E9440CAC1D53}"/>
                </a:ext>
              </a:extLst>
            </xdr:cNvPr>
            <xdr:cNvSpPr/>
          </xdr:nvSpPr>
          <xdr:spPr>
            <a:xfrm>
              <a:off x="2213582" y="281940"/>
              <a:ext cx="663805"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Reversion (Sale)</a:t>
              </a:r>
            </a:p>
          </xdr:txBody>
        </xdr:sp>
        <xdr:sp macro="" textlink="">
          <xdr:nvSpPr>
            <xdr:cNvPr id="6" name="Rectangle 5">
              <a:hlinkClick xmlns:r="http://schemas.openxmlformats.org/officeDocument/2006/relationships" r:id="rId6"/>
              <a:extLst>
                <a:ext uri="{FF2B5EF4-FFF2-40B4-BE49-F238E27FC236}">
                  <a16:creationId xmlns:a16="http://schemas.microsoft.com/office/drawing/2014/main" id="{596A4E4F-755F-4360-B54B-D368395F344C}"/>
                </a:ext>
              </a:extLst>
            </xdr:cNvPr>
            <xdr:cNvSpPr/>
          </xdr:nvSpPr>
          <xdr:spPr>
            <a:xfrm>
              <a:off x="2913343" y="281940"/>
              <a:ext cx="663805"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Returns</a:t>
              </a:r>
            </a:p>
          </xdr:txBody>
        </xdr:sp>
      </xdr:grpSp>
      <xdr:sp macro="" textlink="">
        <xdr:nvSpPr>
          <xdr:cNvPr id="31" name="Rectangle 30">
            <a:hlinkClick xmlns:r="http://schemas.openxmlformats.org/officeDocument/2006/relationships" r:id="rId7"/>
            <a:extLst>
              <a:ext uri="{FF2B5EF4-FFF2-40B4-BE49-F238E27FC236}">
                <a16:creationId xmlns:a16="http://schemas.microsoft.com/office/drawing/2014/main" id="{399E52E5-4BC5-4826-BE87-602C2745CE78}"/>
              </a:ext>
            </a:extLst>
          </xdr:cNvPr>
          <xdr:cNvSpPr/>
        </xdr:nvSpPr>
        <xdr:spPr>
          <a:xfrm>
            <a:off x="4886325" y="304800"/>
            <a:ext cx="914400" cy="188595"/>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Sensitivity</a:t>
            </a:r>
          </a:p>
        </xdr:txBody>
      </xdr:sp>
    </xdr:grpSp>
    <xdr:clientData/>
  </xdr:twoCellAnchor>
  <xdr:twoCellAnchor>
    <xdr:from>
      <xdr:col>3</xdr:col>
      <xdr:colOff>57150</xdr:colOff>
      <xdr:row>267</xdr:row>
      <xdr:rowOff>38100</xdr:rowOff>
    </xdr:from>
    <xdr:to>
      <xdr:col>6</xdr:col>
      <xdr:colOff>619125</xdr:colOff>
      <xdr:row>268</xdr:row>
      <xdr:rowOff>142875</xdr:rowOff>
    </xdr:to>
    <xdr:sp macro="[0]!Update_Sensitivity_Tables" textlink="">
      <xdr:nvSpPr>
        <xdr:cNvPr id="9" name="Rectangle 8">
          <a:extLst>
            <a:ext uri="{FF2B5EF4-FFF2-40B4-BE49-F238E27FC236}">
              <a16:creationId xmlns:a16="http://schemas.microsoft.com/office/drawing/2014/main" id="{D7415E95-92C7-426B-8250-111C33E958FA}"/>
            </a:ext>
          </a:extLst>
        </xdr:cNvPr>
        <xdr:cNvSpPr/>
      </xdr:nvSpPr>
      <xdr:spPr>
        <a:xfrm>
          <a:off x="1762125" y="41119425"/>
          <a:ext cx="2200275" cy="161925"/>
        </a:xfrm>
        <a:prstGeom prst="rect">
          <a:avLst/>
        </a:prstGeom>
        <a:no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UPDATE SENSITIVITY TABLES</a:t>
          </a:r>
        </a:p>
      </xdr:txBody>
    </xdr:sp>
    <xdr:clientData/>
  </xdr:twoCellAnchor>
  <xdr:twoCellAnchor>
    <xdr:from>
      <xdr:col>6</xdr:col>
      <xdr:colOff>19050</xdr:colOff>
      <xdr:row>83</xdr:row>
      <xdr:rowOff>9525</xdr:rowOff>
    </xdr:from>
    <xdr:to>
      <xdr:col>6</xdr:col>
      <xdr:colOff>809625</xdr:colOff>
      <xdr:row>83</xdr:row>
      <xdr:rowOff>171450</xdr:rowOff>
    </xdr:to>
    <xdr:sp macro="[0]!LeaseUp_Basic" textlink="">
      <xdr:nvSpPr>
        <xdr:cNvPr id="32" name="Rectangle 31">
          <a:extLst>
            <a:ext uri="{FF2B5EF4-FFF2-40B4-BE49-F238E27FC236}">
              <a16:creationId xmlns:a16="http://schemas.microsoft.com/office/drawing/2014/main" id="{B2E81A2C-7ECC-44A6-A812-20635EEE58C4}"/>
            </a:ext>
          </a:extLst>
        </xdr:cNvPr>
        <xdr:cNvSpPr/>
      </xdr:nvSpPr>
      <xdr:spPr>
        <a:xfrm>
          <a:off x="82550" y="15122525"/>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19050</xdr:colOff>
      <xdr:row>83</xdr:row>
      <xdr:rowOff>0</xdr:rowOff>
    </xdr:from>
    <xdr:to>
      <xdr:col>7</xdr:col>
      <xdr:colOff>809625</xdr:colOff>
      <xdr:row>84</xdr:row>
      <xdr:rowOff>0</xdr:rowOff>
    </xdr:to>
    <xdr:sp macro="[0]!LeaseUp_Detailed" textlink="">
      <xdr:nvSpPr>
        <xdr:cNvPr id="33" name="Rectangle 32">
          <a:extLst>
            <a:ext uri="{FF2B5EF4-FFF2-40B4-BE49-F238E27FC236}">
              <a16:creationId xmlns:a16="http://schemas.microsoft.com/office/drawing/2014/main" id="{7B78120B-6869-4BE0-B286-0D5EE100C496}"/>
            </a:ext>
          </a:extLst>
        </xdr:cNvPr>
        <xdr:cNvSpPr/>
      </xdr:nvSpPr>
      <xdr:spPr>
        <a:xfrm>
          <a:off x="1168400" y="15113000"/>
          <a:ext cx="790575" cy="1778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62</xdr:row>
      <xdr:rowOff>9525</xdr:rowOff>
    </xdr:from>
    <xdr:to>
      <xdr:col>3</xdr:col>
      <xdr:colOff>809625</xdr:colOff>
      <xdr:row>62</xdr:row>
      <xdr:rowOff>171450</xdr:rowOff>
    </xdr:to>
    <xdr:sp macro="[0]!Fixed_Rate" textlink="">
      <xdr:nvSpPr>
        <xdr:cNvPr id="34" name="Rectangle 33">
          <a:extLst>
            <a:ext uri="{FF2B5EF4-FFF2-40B4-BE49-F238E27FC236}">
              <a16:creationId xmlns:a16="http://schemas.microsoft.com/office/drawing/2014/main" id="{FA705885-8247-4DF3-86B6-68FC3EF16374}"/>
            </a:ext>
          </a:extLst>
        </xdr:cNvPr>
        <xdr:cNvSpPr/>
      </xdr:nvSpPr>
      <xdr:spPr>
        <a:xfrm>
          <a:off x="85725" y="15449550"/>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19050</xdr:colOff>
      <xdr:row>62</xdr:row>
      <xdr:rowOff>0</xdr:rowOff>
    </xdr:from>
    <xdr:to>
      <xdr:col>4</xdr:col>
      <xdr:colOff>809625</xdr:colOff>
      <xdr:row>63</xdr:row>
      <xdr:rowOff>0</xdr:rowOff>
    </xdr:to>
    <xdr:sp macro="[0]!Variable_Rate" textlink="">
      <xdr:nvSpPr>
        <xdr:cNvPr id="35" name="Rectangle 34">
          <a:extLst>
            <a:ext uri="{FF2B5EF4-FFF2-40B4-BE49-F238E27FC236}">
              <a16:creationId xmlns:a16="http://schemas.microsoft.com/office/drawing/2014/main" id="{21BB4220-54CA-4691-978A-629CB16ADEDB}"/>
            </a:ext>
          </a:extLst>
        </xdr:cNvPr>
        <xdr:cNvSpPr/>
      </xdr:nvSpPr>
      <xdr:spPr>
        <a:xfrm>
          <a:off x="1171575" y="1544002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19050</xdr:colOff>
      <xdr:row>73</xdr:row>
      <xdr:rowOff>9525</xdr:rowOff>
    </xdr:from>
    <xdr:to>
      <xdr:col>7</xdr:col>
      <xdr:colOff>809625</xdr:colOff>
      <xdr:row>73</xdr:row>
      <xdr:rowOff>171450</xdr:rowOff>
    </xdr:to>
    <xdr:sp macro="[0]!PermDebt_Deactivate" textlink="">
      <xdr:nvSpPr>
        <xdr:cNvPr id="36" name="Rectangle 35">
          <a:extLst>
            <a:ext uri="{FF2B5EF4-FFF2-40B4-BE49-F238E27FC236}">
              <a16:creationId xmlns:a16="http://schemas.microsoft.com/office/drawing/2014/main" id="{1AE85668-5BBF-4455-B123-BAA4E9F20B0C}"/>
            </a:ext>
          </a:extLst>
        </xdr:cNvPr>
        <xdr:cNvSpPr/>
      </xdr:nvSpPr>
      <xdr:spPr>
        <a:xfrm>
          <a:off x="4448175" y="12439650"/>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73</xdr:row>
      <xdr:rowOff>0</xdr:rowOff>
    </xdr:from>
    <xdr:to>
      <xdr:col>8</xdr:col>
      <xdr:colOff>809625</xdr:colOff>
      <xdr:row>74</xdr:row>
      <xdr:rowOff>0</xdr:rowOff>
    </xdr:to>
    <xdr:sp macro="[0]!PermDebt_Activate" textlink="">
      <xdr:nvSpPr>
        <xdr:cNvPr id="37" name="Rectangle 36">
          <a:extLst>
            <a:ext uri="{FF2B5EF4-FFF2-40B4-BE49-F238E27FC236}">
              <a16:creationId xmlns:a16="http://schemas.microsoft.com/office/drawing/2014/main" id="{45F49357-2FC3-44F6-8E03-312E7CF1FA71}"/>
            </a:ext>
          </a:extLst>
        </xdr:cNvPr>
        <xdr:cNvSpPr/>
      </xdr:nvSpPr>
      <xdr:spPr>
        <a:xfrm>
          <a:off x="5267325" y="1243012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66676</xdr:colOff>
      <xdr:row>2</xdr:row>
      <xdr:rowOff>36194</xdr:rowOff>
    </xdr:from>
    <xdr:to>
      <xdr:col>8</xdr:col>
      <xdr:colOff>949924</xdr:colOff>
      <xdr:row>3</xdr:row>
      <xdr:rowOff>49146</xdr:rowOff>
    </xdr:to>
    <xdr:grpSp>
      <xdr:nvGrpSpPr>
        <xdr:cNvPr id="7" name="Group 6">
          <a:extLst>
            <a:ext uri="{FF2B5EF4-FFF2-40B4-BE49-F238E27FC236}">
              <a16:creationId xmlns:a16="http://schemas.microsoft.com/office/drawing/2014/main" id="{0990C35F-CF8C-419B-919F-B1F461DD3233}"/>
            </a:ext>
          </a:extLst>
        </xdr:cNvPr>
        <xdr:cNvGrpSpPr/>
      </xdr:nvGrpSpPr>
      <xdr:grpSpPr>
        <a:xfrm>
          <a:off x="133351" y="293369"/>
          <a:ext cx="6836373" cy="193927"/>
          <a:chOff x="133351" y="293369"/>
          <a:chExt cx="6207723" cy="193927"/>
        </a:xfrm>
      </xdr:grpSpPr>
      <xdr:grpSp>
        <xdr:nvGrpSpPr>
          <xdr:cNvPr id="2" name="Group 1">
            <a:hlinkClick xmlns:r="http://schemas.openxmlformats.org/officeDocument/2006/relationships" r:id="rId1"/>
            <a:extLst>
              <a:ext uri="{FF2B5EF4-FFF2-40B4-BE49-F238E27FC236}">
                <a16:creationId xmlns:a16="http://schemas.microsoft.com/office/drawing/2014/main" id="{63C9A859-D236-4389-B594-6EE9EC44AF64}"/>
              </a:ext>
            </a:extLst>
          </xdr:cNvPr>
          <xdr:cNvGrpSpPr>
            <a:grpSpLocks noChangeAspect="1"/>
          </xdr:cNvGrpSpPr>
        </xdr:nvGrpSpPr>
        <xdr:grpSpPr>
          <a:xfrm>
            <a:off x="133351" y="293369"/>
            <a:ext cx="4979669" cy="193927"/>
            <a:chOff x="147329" y="281940"/>
            <a:chExt cx="3368395" cy="188051"/>
          </a:xfrm>
        </xdr:grpSpPr>
        <xdr:sp macro="" textlink="">
          <xdr:nvSpPr>
            <xdr:cNvPr id="3" name="Rectangle 2">
              <a:hlinkClick xmlns:r="http://schemas.openxmlformats.org/officeDocument/2006/relationships" r:id="rId2"/>
              <a:extLst>
                <a:ext uri="{FF2B5EF4-FFF2-40B4-BE49-F238E27FC236}">
                  <a16:creationId xmlns:a16="http://schemas.microsoft.com/office/drawing/2014/main" id="{A42BF056-CC15-4497-9B0C-97F73165338D}"/>
                </a:ext>
              </a:extLst>
            </xdr:cNvPr>
            <xdr:cNvSpPr/>
          </xdr:nvSpPr>
          <xdr:spPr>
            <a:xfrm>
              <a:off x="147329" y="293024"/>
              <a:ext cx="1263322" cy="176967"/>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Return to Underwriting</a:t>
              </a:r>
              <a:endParaRPr lang="en-US" sz="1100"/>
            </a:p>
          </xdr:txBody>
        </xdr:sp>
        <xdr:sp macro="" textlink="">
          <xdr:nvSpPr>
            <xdr:cNvPr id="4" name="Rectangle 3">
              <a:hlinkClick xmlns:r="http://schemas.openxmlformats.org/officeDocument/2006/relationships" r:id="rId3"/>
              <a:extLst>
                <a:ext uri="{FF2B5EF4-FFF2-40B4-BE49-F238E27FC236}">
                  <a16:creationId xmlns:a16="http://schemas.microsoft.com/office/drawing/2014/main" id="{BB92D0C3-6A04-444D-9245-A1B94C73DCB0}"/>
                </a:ext>
              </a:extLst>
            </xdr:cNvPr>
            <xdr:cNvSpPr/>
          </xdr:nvSpPr>
          <xdr:spPr>
            <a:xfrm>
              <a:off x="1862912" y="281940"/>
              <a:ext cx="822960"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Retail Income</a:t>
              </a:r>
            </a:p>
          </xdr:txBody>
        </xdr:sp>
        <xdr:sp macro="" textlink="">
          <xdr:nvSpPr>
            <xdr:cNvPr id="5" name="Rectangle 4">
              <a:hlinkClick xmlns:r="http://schemas.openxmlformats.org/officeDocument/2006/relationships" r:id="rId4"/>
              <a:extLst>
                <a:ext uri="{FF2B5EF4-FFF2-40B4-BE49-F238E27FC236}">
                  <a16:creationId xmlns:a16="http://schemas.microsoft.com/office/drawing/2014/main" id="{86E1337F-1862-4B33-B736-5ED22BB07241}"/>
                </a:ext>
              </a:extLst>
            </xdr:cNvPr>
            <xdr:cNvSpPr/>
          </xdr:nvSpPr>
          <xdr:spPr>
            <a:xfrm>
              <a:off x="2692764" y="281940"/>
              <a:ext cx="822960"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Retail</a:t>
              </a:r>
              <a:r>
                <a:rPr lang="en-US" sz="900" baseline="0"/>
                <a:t> Expenses</a:t>
              </a:r>
              <a:endParaRPr lang="en-US" sz="900"/>
            </a:p>
          </xdr:txBody>
        </xdr:sp>
      </xdr:grpSp>
      <xdr:sp macro="" textlink="">
        <xdr:nvSpPr>
          <xdr:cNvPr id="6" name="Rectangle 5">
            <a:hlinkClick xmlns:r="http://schemas.openxmlformats.org/officeDocument/2006/relationships" r:id="rId5"/>
            <a:extLst>
              <a:ext uri="{FF2B5EF4-FFF2-40B4-BE49-F238E27FC236}">
                <a16:creationId xmlns:a16="http://schemas.microsoft.com/office/drawing/2014/main" id="{9B36A635-683E-4016-B419-A9A3B79B30A2}"/>
              </a:ext>
            </a:extLst>
          </xdr:cNvPr>
          <xdr:cNvSpPr/>
        </xdr:nvSpPr>
        <xdr:spPr>
          <a:xfrm>
            <a:off x="5124451" y="296035"/>
            <a:ext cx="1216623" cy="188594"/>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Retail</a:t>
            </a:r>
            <a:r>
              <a:rPr lang="en-US" sz="900" baseline="0"/>
              <a:t> Reserves</a:t>
            </a:r>
            <a:endParaRPr lang="en-US" sz="900"/>
          </a:p>
        </xdr:txBody>
      </xdr:sp>
    </xdr:grpSp>
    <xdr:clientData/>
  </xdr:twoCellAnchor>
  <xdr:twoCellAnchor editAs="oneCell">
    <xdr:from>
      <xdr:col>2</xdr:col>
      <xdr:colOff>1000124</xdr:colOff>
      <xdr:row>9</xdr:row>
      <xdr:rowOff>28574</xdr:rowOff>
    </xdr:from>
    <xdr:to>
      <xdr:col>4</xdr:col>
      <xdr:colOff>133349</xdr:colOff>
      <xdr:row>10</xdr:row>
      <xdr:rowOff>9524</xdr:rowOff>
    </xdr:to>
    <xdr:sp macro="[0]!Add_Retail_Tenant" textlink="">
      <xdr:nvSpPr>
        <xdr:cNvPr id="8" name="Rectangle 7">
          <a:extLst>
            <a:ext uri="{FF2B5EF4-FFF2-40B4-BE49-F238E27FC236}">
              <a16:creationId xmlns:a16="http://schemas.microsoft.com/office/drawing/2014/main" id="{84AAE70A-A45F-4581-83C2-F0C7990017DE}"/>
            </a:ext>
          </a:extLst>
        </xdr:cNvPr>
        <xdr:cNvSpPr/>
      </xdr:nvSpPr>
      <xdr:spPr>
        <a:xfrm>
          <a:off x="1724024" y="1257299"/>
          <a:ext cx="1171575" cy="161925"/>
        </a:xfrm>
        <a:prstGeom prst="rect">
          <a:avLst/>
        </a:prstGeom>
        <a:solidFill>
          <a:srgbClr val="E6E6E6"/>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Retail Tenant</a:t>
          </a:r>
        </a:p>
      </xdr:txBody>
    </xdr:sp>
    <xdr:clientData/>
  </xdr:twoCellAnchor>
  <xdr:twoCellAnchor editAs="oneCell">
    <xdr:from>
      <xdr:col>4</xdr:col>
      <xdr:colOff>171450</xdr:colOff>
      <xdr:row>9</xdr:row>
      <xdr:rowOff>28575</xdr:rowOff>
    </xdr:from>
    <xdr:to>
      <xdr:col>5</xdr:col>
      <xdr:colOff>495300</xdr:colOff>
      <xdr:row>10</xdr:row>
      <xdr:rowOff>9525</xdr:rowOff>
    </xdr:to>
    <xdr:sp macro="[0]!Delete_Retail_Tenant" textlink="">
      <xdr:nvSpPr>
        <xdr:cNvPr id="9" name="Rectangle 8">
          <a:extLst>
            <a:ext uri="{FF2B5EF4-FFF2-40B4-BE49-F238E27FC236}">
              <a16:creationId xmlns:a16="http://schemas.microsoft.com/office/drawing/2014/main" id="{7EEBC64C-9037-4918-8EF8-D3E158FAF94D}"/>
            </a:ext>
          </a:extLst>
        </xdr:cNvPr>
        <xdr:cNvSpPr/>
      </xdr:nvSpPr>
      <xdr:spPr>
        <a:xfrm>
          <a:off x="2933700" y="1257300"/>
          <a:ext cx="1171575" cy="161925"/>
        </a:xfrm>
        <a:prstGeom prst="rect">
          <a:avLst/>
        </a:prstGeom>
        <a:solidFill>
          <a:srgbClr val="E6E6E6"/>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Retail Tenant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xdr:colOff>
      <xdr:row>2</xdr:row>
      <xdr:rowOff>36194</xdr:rowOff>
    </xdr:from>
    <xdr:to>
      <xdr:col>6</xdr:col>
      <xdr:colOff>788670</xdr:colOff>
      <xdr:row>3</xdr:row>
      <xdr:rowOff>49146</xdr:rowOff>
    </xdr:to>
    <xdr:grpSp>
      <xdr:nvGrpSpPr>
        <xdr:cNvPr id="2" name="Group 1">
          <a:hlinkClick xmlns:r="http://schemas.openxmlformats.org/officeDocument/2006/relationships" r:id="rId1"/>
          <a:extLst>
            <a:ext uri="{FF2B5EF4-FFF2-40B4-BE49-F238E27FC236}">
              <a16:creationId xmlns:a16="http://schemas.microsoft.com/office/drawing/2014/main" id="{240B8454-7F0B-4E2F-9558-EA30ABB7A75C}"/>
            </a:ext>
          </a:extLst>
        </xdr:cNvPr>
        <xdr:cNvGrpSpPr>
          <a:grpSpLocks noChangeAspect="1"/>
        </xdr:cNvGrpSpPr>
      </xdr:nvGrpSpPr>
      <xdr:grpSpPr>
        <a:xfrm>
          <a:off x="66676" y="293369"/>
          <a:ext cx="5427344" cy="193927"/>
          <a:chOff x="147329" y="281940"/>
          <a:chExt cx="4135111" cy="188051"/>
        </a:xfrm>
      </xdr:grpSpPr>
      <xdr:sp macro="" textlink="">
        <xdr:nvSpPr>
          <xdr:cNvPr id="5" name="Rectangle 4">
            <a:hlinkClick xmlns:r="http://schemas.openxmlformats.org/officeDocument/2006/relationships" r:id="rId2"/>
            <a:extLst>
              <a:ext uri="{FF2B5EF4-FFF2-40B4-BE49-F238E27FC236}">
                <a16:creationId xmlns:a16="http://schemas.microsoft.com/office/drawing/2014/main" id="{92BF40C4-4CED-4E10-B19A-6C5ACEEC7C4D}"/>
              </a:ext>
            </a:extLst>
          </xdr:cNvPr>
          <xdr:cNvSpPr/>
        </xdr:nvSpPr>
        <xdr:spPr>
          <a:xfrm>
            <a:off x="147329" y="293024"/>
            <a:ext cx="1263322" cy="176967"/>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Return to Underwriting</a:t>
            </a:r>
            <a:endParaRPr lang="en-US" sz="1100"/>
          </a:p>
        </xdr:txBody>
      </xdr:sp>
      <xdr:sp macro="" textlink="">
        <xdr:nvSpPr>
          <xdr:cNvPr id="6" name="Rectangle 5">
            <a:hlinkClick xmlns:r="http://schemas.openxmlformats.org/officeDocument/2006/relationships" r:id="rId3"/>
            <a:extLst>
              <a:ext uri="{FF2B5EF4-FFF2-40B4-BE49-F238E27FC236}">
                <a16:creationId xmlns:a16="http://schemas.microsoft.com/office/drawing/2014/main" id="{10641292-BF12-4E6A-8079-51090EB17AEF}"/>
              </a:ext>
            </a:extLst>
          </xdr:cNvPr>
          <xdr:cNvSpPr/>
        </xdr:nvSpPr>
        <xdr:spPr>
          <a:xfrm>
            <a:off x="2623185" y="281940"/>
            <a:ext cx="822960"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Controllable</a:t>
            </a:r>
          </a:p>
        </xdr:txBody>
      </xdr:sp>
      <xdr:sp macro="" textlink="">
        <xdr:nvSpPr>
          <xdr:cNvPr id="7" name="Rectangle 6">
            <a:hlinkClick xmlns:r="http://schemas.openxmlformats.org/officeDocument/2006/relationships" r:id="rId4"/>
            <a:extLst>
              <a:ext uri="{FF2B5EF4-FFF2-40B4-BE49-F238E27FC236}">
                <a16:creationId xmlns:a16="http://schemas.microsoft.com/office/drawing/2014/main" id="{410BC875-340B-499E-AAC3-75FD021548D5}"/>
              </a:ext>
            </a:extLst>
          </xdr:cNvPr>
          <xdr:cNvSpPr/>
        </xdr:nvSpPr>
        <xdr:spPr>
          <a:xfrm>
            <a:off x="3459480" y="281940"/>
            <a:ext cx="822960"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Fixed</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26670</xdr:colOff>
      <xdr:row>3</xdr:row>
      <xdr:rowOff>5715</xdr:rowOff>
    </xdr:from>
    <xdr:to>
      <xdr:col>13</xdr:col>
      <xdr:colOff>339090</xdr:colOff>
      <xdr:row>12</xdr:row>
      <xdr:rowOff>108585</xdr:rowOff>
    </xdr:to>
    <xdr:graphicFrame macro="">
      <xdr:nvGraphicFramePr>
        <xdr:cNvPr id="2" name="Chart 1">
          <a:extLst>
            <a:ext uri="{FF2B5EF4-FFF2-40B4-BE49-F238E27FC236}">
              <a16:creationId xmlns:a16="http://schemas.microsoft.com/office/drawing/2014/main" id="{228DD3B3-2BD9-4E32-AF22-E6F134619D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ntegral">
  <a:themeElements>
    <a:clrScheme name="Integral">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B9F25"/>
      </a:hlink>
      <a:folHlink>
        <a:srgbClr val="B26B02"/>
      </a:folHlink>
    </a:clrScheme>
    <a:fontScheme name="Integral">
      <a:majorFont>
        <a:latin typeface="Tw Cen MT Condensed" panose="020B06060201040202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w Cen MT" panose="020B06020201040206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Integral">
      <a:fillStyleLst>
        <a:solidFill>
          <a:schemeClr val="phClr"/>
        </a:solidFill>
        <a:gradFill rotWithShape="1">
          <a:gsLst>
            <a:gs pos="0">
              <a:schemeClr val="phClr">
                <a:tint val="83000"/>
                <a:satMod val="100000"/>
                <a:lumMod val="100000"/>
              </a:schemeClr>
            </a:gs>
            <a:gs pos="100000">
              <a:schemeClr val="phClr">
                <a:tint val="61000"/>
                <a:satMod val="150000"/>
                <a:lumMod val="100000"/>
              </a:schemeClr>
            </a:gs>
          </a:gsLst>
          <a:path path="circle">
            <a:fillToRect l="100000" t="100000" r="100000" b="100000"/>
          </a:path>
        </a:gradFill>
        <a:gradFill rotWithShape="1">
          <a:gsLst>
            <a:gs pos="0">
              <a:schemeClr val="phClr">
                <a:tint val="100000"/>
                <a:shade val="85000"/>
                <a:satMod val="100000"/>
                <a:lumMod val="100000"/>
              </a:schemeClr>
            </a:gs>
            <a:gs pos="100000">
              <a:schemeClr val="phClr">
                <a:tint val="90000"/>
                <a:shade val="100000"/>
                <a:satMod val="150000"/>
                <a:lumMod val="100000"/>
              </a:schemeClr>
            </a:gs>
          </a:gsLst>
          <a:path path="circle">
            <a:fillToRect l="100000" t="100000" r="100000" b="100000"/>
          </a:path>
        </a:gradFill>
      </a:fillStyleLst>
      <a:lnStyleLst>
        <a:ln w="9525" cap="flat" cmpd="sng" algn="ctr">
          <a:solidFill>
            <a:schemeClr val="phClr"/>
          </a:solidFill>
          <a:prstDash val="solid"/>
        </a:ln>
        <a:ln w="15875"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outerShdw blurRad="50800" dist="12700" dir="5400000" algn="ctr" rotWithShape="0">
              <a:srgbClr val="000000">
                <a:alpha val="50000"/>
              </a:srgbClr>
            </a:outerShdw>
          </a:effectLst>
        </a:effectStyle>
        <a:effectStyle>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hemeClr val="phClr">
                <a:shade val="35000"/>
                <a:satMod val="160000"/>
              </a:schemeClr>
            </a:contourClr>
          </a:sp3d>
        </a:effectStyle>
      </a:effectStyleLst>
      <a:bgFillStyleLst>
        <a:solidFill>
          <a:schemeClr val="phClr"/>
        </a:solidFill>
        <a:solidFill>
          <a:schemeClr val="phClr">
            <a:tint val="95000"/>
            <a:shade val="85000"/>
            <a:satMod val="125000"/>
          </a:schemeClr>
        </a:solidFill>
        <a:blipFill rotWithShape="1">
          <a:blip xmlns:r="http://schemas.openxmlformats.org/officeDocument/2006/relationships" r:embed="rId1">
            <a:duotone>
              <a:schemeClr val="phClr">
                <a:tint val="95000"/>
                <a:shade val="74000"/>
                <a:satMod val="230000"/>
              </a:schemeClr>
              <a:schemeClr val="phClr">
                <a:tint val="92000"/>
                <a:shade val="69000"/>
                <a:satMod val="250000"/>
              </a:schemeClr>
            </a:duotone>
          </a:blip>
          <a:tile tx="0" ty="0" sx="40000" sy="40000" flip="none" algn="tl"/>
        </a:blipFill>
      </a:bgFillStyleLst>
    </a:fmtScheme>
  </a:themeElements>
  <a:objectDefaults/>
  <a:extraClrSchemeLst/>
  <a:extLst>
    <a:ext uri="{05A4C25C-085E-4340-85A3-A5531E510DB2}">
      <thm15:themeFamily xmlns:thm15="http://schemas.microsoft.com/office/thememl/2012/main" name="Integral" id="{3577F8C9-A904-41D8-97D2-FD898F53F20E}" vid="{682D6EBE-8D36-4FF2-9DB3-F3D8D7B6715D}"/>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adventuresincre.com/accelerator/" TargetMode="External"/><Relationship Id="rId7" Type="http://schemas.openxmlformats.org/officeDocument/2006/relationships/hyperlink" Target="https://www.adventuresincre.com/re-modeling-best-practices/" TargetMode="External"/><Relationship Id="rId2" Type="http://schemas.openxmlformats.org/officeDocument/2006/relationships/hyperlink" Target="https://www.adventuresincre.com/library-real-estate-excel-models/" TargetMode="External"/><Relationship Id="rId1" Type="http://schemas.openxmlformats.org/officeDocument/2006/relationships/hyperlink" Target="https://www.adventuresincre.com/" TargetMode="External"/><Relationship Id="rId6" Type="http://schemas.openxmlformats.org/officeDocument/2006/relationships/hyperlink" Target="https://www.adventuresincre.com/apartment-development-model-tutorials/" TargetMode="External"/><Relationship Id="rId5" Type="http://schemas.openxmlformats.org/officeDocument/2006/relationships/hyperlink" Target="https://www.adventuresincre.com/apartment-development-model/" TargetMode="External"/><Relationship Id="rId4" Type="http://schemas.openxmlformats.org/officeDocument/2006/relationships/hyperlink" Target="https://www.adventuresincre.com/acre-disclaimer/"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2269A-60A3-48D5-9698-C8CCEC0A2F4A}">
  <sheetPr codeName="Sheet1"/>
  <dimension ref="A1:N188"/>
  <sheetViews>
    <sheetView showGridLines="0" tabSelected="1" zoomScaleNormal="100" workbookViewId="0"/>
  </sheetViews>
  <sheetFormatPr defaultColWidth="0" defaultRowHeight="14.25" x14ac:dyDescent="0.2"/>
  <cols>
    <col min="1" max="1" width="1.625" customWidth="1"/>
    <col min="2" max="2" width="9" style="468" customWidth="1"/>
    <col min="3" max="13" width="9" style="4" customWidth="1"/>
    <col min="14" max="14" width="0.75" customWidth="1"/>
    <col min="15" max="16384" width="9" hidden="1"/>
  </cols>
  <sheetData>
    <row r="1" spans="2:13" ht="5.0999999999999996" customHeight="1" x14ac:dyDescent="0.2">
      <c r="B1"/>
      <c r="C1"/>
      <c r="D1"/>
      <c r="E1"/>
      <c r="F1"/>
      <c r="G1"/>
      <c r="H1"/>
      <c r="I1"/>
      <c r="J1"/>
      <c r="K1"/>
      <c r="L1"/>
      <c r="M1"/>
    </row>
    <row r="2" spans="2:13" ht="15.75" x14ac:dyDescent="0.25">
      <c r="B2" s="563" t="s">
        <v>512</v>
      </c>
      <c r="C2" s="561"/>
      <c r="D2" s="561"/>
      <c r="E2" s="561"/>
      <c r="F2" s="561"/>
      <c r="G2" s="561"/>
      <c r="H2" s="561"/>
      <c r="I2" s="561"/>
      <c r="J2" s="561"/>
      <c r="K2" s="562"/>
      <c r="L2" s="561"/>
      <c r="M2" s="561"/>
    </row>
    <row r="3" spans="2:13" x14ac:dyDescent="0.2">
      <c r="B3" s="559" t="s">
        <v>511</v>
      </c>
      <c r="C3" s="558"/>
      <c r="D3" s="558"/>
      <c r="E3" s="558"/>
      <c r="F3" s="558"/>
      <c r="G3" s="558"/>
      <c r="H3" s="558"/>
      <c r="I3" s="558"/>
      <c r="J3" s="558"/>
      <c r="K3" s="558"/>
      <c r="L3" s="558"/>
      <c r="M3" s="560" t="s">
        <v>729</v>
      </c>
    </row>
    <row r="4" spans="2:13" x14ac:dyDescent="0.2">
      <c r="B4" t="s">
        <v>509</v>
      </c>
      <c r="C4"/>
      <c r="D4"/>
      <c r="E4"/>
      <c r="F4"/>
      <c r="G4"/>
      <c r="H4" s="64" t="s">
        <v>514</v>
      </c>
      <c r="I4" s="64"/>
      <c r="J4"/>
      <c r="L4"/>
      <c r="M4"/>
    </row>
    <row r="5" spans="2:13" x14ac:dyDescent="0.2">
      <c r="B5" s="618" t="s">
        <v>513</v>
      </c>
      <c r="C5" s="618"/>
      <c r="D5" s="618"/>
      <c r="E5"/>
      <c r="F5"/>
      <c r="G5"/>
      <c r="H5" s="616" t="s">
        <v>725</v>
      </c>
      <c r="I5" s="616"/>
      <c r="J5" s="470"/>
      <c r="K5" s="470"/>
      <c r="L5" s="470"/>
      <c r="M5"/>
    </row>
    <row r="6" spans="2:13" x14ac:dyDescent="0.2">
      <c r="B6"/>
      <c r="C6"/>
      <c r="D6"/>
      <c r="E6"/>
      <c r="F6"/>
      <c r="G6"/>
      <c r="J6" s="470"/>
      <c r="K6" s="470"/>
      <c r="L6" s="470"/>
      <c r="M6"/>
    </row>
    <row r="7" spans="2:13" x14ac:dyDescent="0.2">
      <c r="B7" s="64" t="s">
        <v>515</v>
      </c>
      <c r="C7"/>
      <c r="D7"/>
      <c r="E7"/>
      <c r="F7"/>
      <c r="G7"/>
      <c r="H7" s="470" t="s">
        <v>534</v>
      </c>
      <c r="I7" s="470"/>
      <c r="J7"/>
      <c r="K7"/>
      <c r="L7"/>
      <c r="M7"/>
    </row>
    <row r="8" spans="2:13" x14ac:dyDescent="0.2">
      <c r="B8" s="461" t="s">
        <v>516</v>
      </c>
      <c r="C8"/>
      <c r="D8"/>
      <c r="E8"/>
      <c r="F8"/>
      <c r="G8"/>
      <c r="H8" s="470" t="s">
        <v>532</v>
      </c>
      <c r="I8" s="470"/>
      <c r="J8" s="615"/>
      <c r="K8" s="615"/>
      <c r="L8" s="615"/>
      <c r="M8" s="615"/>
    </row>
    <row r="9" spans="2:13" x14ac:dyDescent="0.2">
      <c r="B9" s="461" t="s">
        <v>517</v>
      </c>
      <c r="C9"/>
      <c r="D9"/>
      <c r="E9"/>
      <c r="F9"/>
      <c r="G9"/>
      <c r="H9"/>
      <c r="I9"/>
      <c r="J9" s="614"/>
      <c r="K9" s="614"/>
      <c r="L9" s="614"/>
      <c r="M9"/>
    </row>
    <row r="10" spans="2:13" x14ac:dyDescent="0.2">
      <c r="B10" s="461" t="s">
        <v>518</v>
      </c>
      <c r="C10"/>
      <c r="D10"/>
      <c r="E10"/>
      <c r="F10"/>
      <c r="G10"/>
      <c r="H10" s="615" t="s">
        <v>533</v>
      </c>
      <c r="I10" s="615"/>
      <c r="J10"/>
      <c r="K10"/>
      <c r="L10"/>
      <c r="M10"/>
    </row>
    <row r="11" spans="2:13" x14ac:dyDescent="0.2">
      <c r="B11"/>
      <c r="C11"/>
      <c r="D11"/>
      <c r="E11"/>
      <c r="F11"/>
      <c r="G11"/>
      <c r="H11"/>
      <c r="I11"/>
      <c r="J11"/>
      <c r="K11"/>
      <c r="L11"/>
      <c r="M11"/>
    </row>
    <row r="12" spans="2:13" ht="36.75" customHeight="1" x14ac:dyDescent="0.2">
      <c r="B12" s="620" t="s">
        <v>599</v>
      </c>
      <c r="C12" s="620"/>
      <c r="D12" s="620"/>
      <c r="E12" s="620"/>
      <c r="F12" s="620"/>
      <c r="G12" s="620"/>
      <c r="H12" s="620"/>
      <c r="I12" s="620"/>
      <c r="J12" s="620"/>
      <c r="K12" s="620"/>
      <c r="L12" s="620"/>
      <c r="M12" s="620"/>
    </row>
    <row r="13" spans="2:13" ht="37.5" customHeight="1" x14ac:dyDescent="0.2">
      <c r="B13" s="619" t="s">
        <v>598</v>
      </c>
      <c r="C13" s="619"/>
      <c r="D13" s="619"/>
      <c r="E13" s="619"/>
      <c r="F13" s="619"/>
      <c r="G13" s="619"/>
      <c r="H13" s="619"/>
      <c r="I13" s="619"/>
      <c r="J13" s="619"/>
      <c r="K13" s="619"/>
      <c r="L13" s="619"/>
      <c r="M13" s="619"/>
    </row>
    <row r="14" spans="2:13" x14ac:dyDescent="0.2">
      <c r="B14" s="559" t="s">
        <v>510</v>
      </c>
      <c r="C14" s="558"/>
      <c r="D14" s="558"/>
      <c r="E14" s="558"/>
      <c r="F14" s="558"/>
      <c r="G14" s="558"/>
      <c r="H14" s="558"/>
      <c r="I14" s="558"/>
      <c r="J14" s="617" t="s">
        <v>597</v>
      </c>
      <c r="K14" s="617"/>
      <c r="L14" s="617"/>
      <c r="M14" s="617"/>
    </row>
    <row r="15" spans="2:13" s="16" customFormat="1" x14ac:dyDescent="0.2">
      <c r="B15" s="467" t="s">
        <v>729</v>
      </c>
      <c r="C15" s="271"/>
      <c r="D15" s="271"/>
      <c r="E15" s="271"/>
      <c r="F15" s="271"/>
      <c r="G15" s="271"/>
      <c r="H15" s="271"/>
      <c r="I15" s="271"/>
      <c r="J15" s="471"/>
      <c r="K15" s="271"/>
      <c r="L15" s="271"/>
      <c r="M15" s="271"/>
    </row>
    <row r="16" spans="2:13" s="16" customFormat="1" x14ac:dyDescent="0.2">
      <c r="B16" s="468" t="s">
        <v>732</v>
      </c>
      <c r="C16" s="271"/>
      <c r="D16" s="271"/>
      <c r="E16" s="271"/>
      <c r="F16" s="271"/>
      <c r="G16" s="271"/>
      <c r="H16" s="271"/>
      <c r="I16" s="271"/>
      <c r="J16" s="471"/>
      <c r="K16" s="271"/>
      <c r="L16" s="271"/>
      <c r="M16" s="271"/>
    </row>
    <row r="17" spans="2:13" s="16" customFormat="1" x14ac:dyDescent="0.2">
      <c r="B17" s="474" t="s">
        <v>733</v>
      </c>
      <c r="C17" s="271"/>
      <c r="D17" s="271"/>
      <c r="E17" s="271"/>
      <c r="F17" s="271"/>
      <c r="G17" s="271"/>
      <c r="H17" s="271"/>
      <c r="I17" s="271"/>
      <c r="J17" s="471"/>
      <c r="K17" s="271"/>
      <c r="L17" s="271"/>
      <c r="M17" s="271"/>
    </row>
    <row r="18" spans="2:13" s="16" customFormat="1" x14ac:dyDescent="0.2">
      <c r="B18" s="474" t="s">
        <v>734</v>
      </c>
      <c r="C18" s="271"/>
      <c r="D18" s="271"/>
      <c r="E18" s="271"/>
      <c r="F18" s="271"/>
      <c r="G18" s="271"/>
      <c r="H18" s="271"/>
      <c r="I18" s="271"/>
      <c r="J18" s="471"/>
      <c r="K18" s="271"/>
      <c r="L18" s="271"/>
      <c r="M18" s="271"/>
    </row>
    <row r="19" spans="2:13" s="16" customFormat="1" x14ac:dyDescent="0.2">
      <c r="B19" s="474" t="s">
        <v>735</v>
      </c>
      <c r="C19" s="271"/>
      <c r="D19" s="271"/>
      <c r="E19" s="271"/>
      <c r="F19" s="271"/>
      <c r="G19" s="271"/>
      <c r="H19" s="271"/>
      <c r="I19" s="271"/>
      <c r="J19" s="471"/>
      <c r="K19" s="271"/>
      <c r="L19" s="271"/>
      <c r="M19" s="271"/>
    </row>
    <row r="20" spans="2:13" s="16" customFormat="1" x14ac:dyDescent="0.2">
      <c r="B20" s="468" t="s">
        <v>736</v>
      </c>
      <c r="C20" s="271"/>
      <c r="D20" s="271"/>
      <c r="E20" s="271"/>
      <c r="F20" s="271"/>
      <c r="G20" s="271"/>
      <c r="H20" s="271"/>
      <c r="I20" s="271"/>
      <c r="J20" s="471"/>
      <c r="K20" s="271"/>
      <c r="L20" s="271"/>
      <c r="M20" s="271"/>
    </row>
    <row r="21" spans="2:13" s="16" customFormat="1" x14ac:dyDescent="0.2">
      <c r="B21" s="468" t="s">
        <v>690</v>
      </c>
      <c r="C21" s="271"/>
      <c r="D21" s="271"/>
      <c r="E21" s="271"/>
      <c r="F21" s="271"/>
      <c r="G21" s="271"/>
      <c r="H21" s="271"/>
      <c r="I21" s="271"/>
      <c r="J21" s="471"/>
      <c r="K21" s="271"/>
      <c r="L21" s="271"/>
      <c r="M21" s="271"/>
    </row>
    <row r="22" spans="2:13" s="16" customFormat="1" x14ac:dyDescent="0.2">
      <c r="B22" s="468"/>
      <c r="C22" s="271"/>
      <c r="D22" s="271"/>
      <c r="E22" s="271"/>
      <c r="F22" s="271"/>
      <c r="G22" s="271"/>
      <c r="H22" s="271"/>
      <c r="I22" s="271"/>
      <c r="J22" s="471"/>
      <c r="K22" s="271"/>
      <c r="L22" s="271"/>
      <c r="M22" s="271"/>
    </row>
    <row r="23" spans="2:13" s="16" customFormat="1" x14ac:dyDescent="0.2">
      <c r="B23" s="467" t="s">
        <v>726</v>
      </c>
      <c r="C23" s="271"/>
      <c r="D23" s="271"/>
      <c r="E23" s="271"/>
      <c r="F23" s="271"/>
      <c r="G23" s="271"/>
      <c r="H23" s="271"/>
      <c r="I23" s="271"/>
      <c r="J23" s="471"/>
      <c r="K23" s="271"/>
      <c r="L23" s="271"/>
      <c r="M23" s="271"/>
    </row>
    <row r="24" spans="2:13" s="16" customFormat="1" x14ac:dyDescent="0.2">
      <c r="B24" s="468" t="s">
        <v>727</v>
      </c>
      <c r="C24" s="271"/>
      <c r="D24" s="271"/>
      <c r="E24" s="271"/>
      <c r="F24" s="271"/>
      <c r="G24" s="271"/>
      <c r="H24" s="271"/>
      <c r="I24" s="271"/>
      <c r="J24" s="471"/>
      <c r="K24" s="271"/>
      <c r="L24" s="271"/>
      <c r="M24" s="271"/>
    </row>
    <row r="25" spans="2:13" s="16" customFormat="1" x14ac:dyDescent="0.2">
      <c r="B25" s="468" t="s">
        <v>728</v>
      </c>
      <c r="C25" s="271"/>
      <c r="D25" s="271"/>
      <c r="E25" s="271"/>
      <c r="F25" s="271"/>
      <c r="G25" s="271"/>
      <c r="H25" s="271"/>
      <c r="I25" s="271"/>
      <c r="J25" s="471"/>
      <c r="K25" s="271"/>
      <c r="L25" s="271"/>
      <c r="M25" s="271"/>
    </row>
    <row r="26" spans="2:13" s="16" customFormat="1" x14ac:dyDescent="0.2">
      <c r="B26" s="468"/>
      <c r="C26" s="271"/>
      <c r="D26" s="271"/>
      <c r="E26" s="271"/>
      <c r="F26" s="271"/>
      <c r="G26" s="271"/>
      <c r="H26" s="271"/>
      <c r="I26" s="271"/>
      <c r="J26" s="471"/>
      <c r="K26" s="271"/>
      <c r="L26" s="271"/>
      <c r="M26" s="271"/>
    </row>
    <row r="27" spans="2:13" s="16" customFormat="1" x14ac:dyDescent="0.2">
      <c r="B27" s="467" t="s">
        <v>723</v>
      </c>
      <c r="C27" s="271"/>
      <c r="D27" s="271"/>
      <c r="E27" s="271"/>
      <c r="F27" s="271"/>
      <c r="G27" s="271"/>
      <c r="H27" s="271"/>
      <c r="I27" s="271"/>
      <c r="J27" s="471"/>
      <c r="K27" s="271"/>
      <c r="L27" s="271"/>
      <c r="M27" s="271"/>
    </row>
    <row r="28" spans="2:13" s="16" customFormat="1" x14ac:dyDescent="0.2">
      <c r="B28" s="468" t="s">
        <v>724</v>
      </c>
      <c r="C28" s="271"/>
      <c r="D28" s="271"/>
      <c r="E28" s="271"/>
      <c r="F28" s="271"/>
      <c r="G28" s="271"/>
      <c r="H28" s="271"/>
      <c r="I28" s="271"/>
      <c r="J28" s="471"/>
      <c r="K28" s="271"/>
      <c r="L28" s="271"/>
      <c r="M28" s="271"/>
    </row>
    <row r="29" spans="2:13" s="16" customFormat="1" x14ac:dyDescent="0.2">
      <c r="B29" s="468"/>
      <c r="C29" s="271"/>
      <c r="D29" s="271"/>
      <c r="E29" s="271"/>
      <c r="F29" s="271"/>
      <c r="G29" s="271"/>
      <c r="H29" s="271"/>
      <c r="I29" s="271"/>
      <c r="J29" s="471"/>
      <c r="K29" s="271"/>
      <c r="L29" s="271"/>
      <c r="M29" s="271"/>
    </row>
    <row r="30" spans="2:13" s="16" customFormat="1" x14ac:dyDescent="0.2">
      <c r="B30" s="467" t="s">
        <v>704</v>
      </c>
      <c r="C30" s="271"/>
      <c r="D30" s="271"/>
      <c r="E30" s="271"/>
      <c r="F30" s="271"/>
      <c r="G30" s="271"/>
      <c r="H30" s="271"/>
      <c r="I30" s="271"/>
      <c r="J30" s="471"/>
      <c r="K30" s="271"/>
      <c r="L30" s="271"/>
      <c r="M30" s="271"/>
    </row>
    <row r="31" spans="2:13" s="16" customFormat="1" x14ac:dyDescent="0.2">
      <c r="B31" s="468" t="s">
        <v>705</v>
      </c>
      <c r="C31" s="271"/>
      <c r="D31" s="271"/>
      <c r="E31" s="271"/>
      <c r="F31" s="271"/>
      <c r="G31" s="271"/>
      <c r="H31" s="271"/>
      <c r="I31" s="271"/>
      <c r="J31" s="471"/>
      <c r="K31" s="271"/>
      <c r="L31" s="271"/>
      <c r="M31" s="271"/>
    </row>
    <row r="32" spans="2:13" s="16" customFormat="1" x14ac:dyDescent="0.2">
      <c r="B32" s="468" t="s">
        <v>706</v>
      </c>
      <c r="C32" s="271"/>
      <c r="D32" s="271"/>
      <c r="E32" s="271"/>
      <c r="F32" s="271"/>
      <c r="G32" s="271"/>
      <c r="H32" s="271"/>
      <c r="I32" s="271"/>
      <c r="J32" s="471"/>
      <c r="K32" s="271"/>
      <c r="L32" s="271"/>
      <c r="M32" s="271"/>
    </row>
    <row r="33" spans="2:13" s="16" customFormat="1" x14ac:dyDescent="0.2">
      <c r="B33" s="468" t="s">
        <v>707</v>
      </c>
      <c r="C33" s="271"/>
      <c r="D33" s="271"/>
      <c r="E33" s="271"/>
      <c r="F33" s="271"/>
      <c r="G33" s="271"/>
      <c r="H33" s="271"/>
      <c r="I33" s="271"/>
      <c r="J33" s="471"/>
      <c r="K33" s="271"/>
      <c r="L33" s="271"/>
      <c r="M33" s="271"/>
    </row>
    <row r="34" spans="2:13" s="16" customFormat="1" x14ac:dyDescent="0.2">
      <c r="B34" s="468" t="s">
        <v>710</v>
      </c>
      <c r="C34" s="271"/>
      <c r="D34" s="271"/>
      <c r="E34" s="271"/>
      <c r="F34" s="271"/>
      <c r="G34" s="271"/>
      <c r="H34" s="271"/>
      <c r="I34" s="271"/>
      <c r="J34" s="471"/>
      <c r="K34" s="271"/>
      <c r="L34" s="271"/>
      <c r="M34" s="271"/>
    </row>
    <row r="35" spans="2:13" s="16" customFormat="1" x14ac:dyDescent="0.2">
      <c r="B35" s="474" t="s">
        <v>709</v>
      </c>
      <c r="C35" s="271"/>
      <c r="D35" s="271"/>
      <c r="E35" s="271"/>
      <c r="F35" s="271"/>
      <c r="G35" s="271"/>
      <c r="H35" s="271"/>
      <c r="I35" s="271"/>
      <c r="J35" s="471"/>
      <c r="K35" s="271"/>
      <c r="L35" s="271"/>
      <c r="M35" s="271"/>
    </row>
    <row r="36" spans="2:13" s="16" customFormat="1" x14ac:dyDescent="0.2">
      <c r="B36" s="474" t="s">
        <v>718</v>
      </c>
      <c r="C36" s="271"/>
      <c r="D36" s="271"/>
      <c r="E36" s="271"/>
      <c r="F36" s="271"/>
      <c r="G36" s="271"/>
      <c r="H36" s="271"/>
      <c r="I36" s="271"/>
      <c r="J36" s="471"/>
      <c r="K36" s="271"/>
      <c r="L36" s="271"/>
      <c r="M36" s="271"/>
    </row>
    <row r="37" spans="2:13" s="16" customFormat="1" x14ac:dyDescent="0.2">
      <c r="B37" s="474" t="s">
        <v>719</v>
      </c>
      <c r="C37" s="271"/>
      <c r="D37" s="271"/>
      <c r="E37" s="271"/>
      <c r="F37" s="271"/>
      <c r="G37" s="271"/>
      <c r="H37" s="271"/>
      <c r="I37" s="271"/>
      <c r="J37" s="471"/>
      <c r="K37" s="271"/>
      <c r="L37" s="271"/>
      <c r="M37" s="271"/>
    </row>
    <row r="38" spans="2:13" s="16" customFormat="1" x14ac:dyDescent="0.2">
      <c r="B38" s="468" t="s">
        <v>720</v>
      </c>
      <c r="C38" s="271"/>
      <c r="D38" s="271"/>
      <c r="E38" s="271"/>
      <c r="F38" s="271"/>
      <c r="G38" s="271"/>
      <c r="H38" s="271"/>
      <c r="I38" s="271"/>
      <c r="J38" s="471"/>
      <c r="K38" s="271"/>
      <c r="L38" s="271"/>
      <c r="M38" s="271"/>
    </row>
    <row r="39" spans="2:13" s="16" customFormat="1" x14ac:dyDescent="0.2">
      <c r="B39" s="468" t="s">
        <v>722</v>
      </c>
      <c r="C39" s="271"/>
      <c r="D39" s="271"/>
      <c r="E39" s="271"/>
      <c r="F39" s="271"/>
      <c r="G39" s="271"/>
      <c r="H39" s="271"/>
      <c r="I39" s="271"/>
      <c r="J39" s="471"/>
      <c r="K39" s="271"/>
      <c r="L39" s="271"/>
      <c r="M39" s="271"/>
    </row>
    <row r="40" spans="2:13" s="16" customFormat="1" x14ac:dyDescent="0.2">
      <c r="B40" s="468" t="s">
        <v>721</v>
      </c>
      <c r="C40" s="271"/>
      <c r="D40" s="271"/>
      <c r="E40" s="271"/>
      <c r="F40" s="271"/>
      <c r="G40" s="271"/>
      <c r="H40" s="271"/>
      <c r="I40" s="271"/>
      <c r="J40" s="471"/>
      <c r="K40" s="271"/>
      <c r="L40" s="271"/>
      <c r="M40" s="271"/>
    </row>
    <row r="41" spans="2:13" s="16" customFormat="1" x14ac:dyDescent="0.2">
      <c r="B41" s="468"/>
      <c r="C41" s="271"/>
      <c r="D41" s="271"/>
      <c r="E41" s="271"/>
      <c r="F41" s="271"/>
      <c r="G41" s="271"/>
      <c r="H41" s="271"/>
      <c r="I41" s="271"/>
      <c r="J41" s="471"/>
      <c r="K41" s="271"/>
      <c r="L41" s="271"/>
      <c r="M41" s="271"/>
    </row>
    <row r="42" spans="2:13" s="16" customFormat="1" x14ac:dyDescent="0.2">
      <c r="B42" s="467" t="s">
        <v>701</v>
      </c>
      <c r="C42" s="271"/>
      <c r="D42" s="271"/>
      <c r="E42" s="271"/>
      <c r="F42" s="271"/>
      <c r="G42" s="271"/>
      <c r="H42" s="271"/>
      <c r="I42" s="271"/>
      <c r="J42" s="471"/>
      <c r="K42" s="271"/>
      <c r="L42" s="271"/>
      <c r="M42" s="271"/>
    </row>
    <row r="43" spans="2:13" s="16" customFormat="1" x14ac:dyDescent="0.2">
      <c r="B43" s="468" t="s">
        <v>702</v>
      </c>
      <c r="C43" s="271"/>
      <c r="D43" s="271"/>
      <c r="E43" s="271"/>
      <c r="F43" s="271"/>
      <c r="G43" s="271"/>
      <c r="H43" s="271"/>
      <c r="I43" s="271"/>
      <c r="J43" s="471"/>
      <c r="K43" s="271"/>
      <c r="L43" s="271"/>
      <c r="M43" s="271"/>
    </row>
    <row r="44" spans="2:13" s="16" customFormat="1" x14ac:dyDescent="0.2">
      <c r="B44" s="468" t="s">
        <v>703</v>
      </c>
      <c r="C44" s="271"/>
      <c r="D44" s="271"/>
      <c r="E44" s="271"/>
      <c r="F44" s="271"/>
      <c r="G44" s="271"/>
      <c r="H44" s="271"/>
      <c r="I44" s="271"/>
      <c r="J44" s="471"/>
      <c r="K44" s="271"/>
      <c r="L44" s="271"/>
      <c r="M44" s="271"/>
    </row>
    <row r="45" spans="2:13" s="16" customFormat="1" x14ac:dyDescent="0.2">
      <c r="B45" s="468"/>
      <c r="C45" s="271"/>
      <c r="D45" s="271"/>
      <c r="E45" s="271"/>
      <c r="F45" s="271"/>
      <c r="G45" s="271"/>
      <c r="H45" s="271"/>
      <c r="I45" s="271"/>
      <c r="J45" s="471"/>
      <c r="K45" s="271"/>
      <c r="L45" s="271"/>
      <c r="M45" s="271"/>
    </row>
    <row r="46" spans="2:13" s="16" customFormat="1" x14ac:dyDescent="0.2">
      <c r="B46" s="467" t="s">
        <v>691</v>
      </c>
      <c r="C46" s="271"/>
      <c r="D46" s="271"/>
      <c r="E46" s="271"/>
      <c r="F46" s="271"/>
      <c r="G46" s="271"/>
      <c r="H46" s="271"/>
      <c r="I46" s="271"/>
      <c r="J46" s="471"/>
      <c r="K46" s="271"/>
      <c r="L46" s="271"/>
      <c r="M46" s="271"/>
    </row>
    <row r="47" spans="2:13" s="16" customFormat="1" x14ac:dyDescent="0.2">
      <c r="B47" s="468" t="s">
        <v>694</v>
      </c>
      <c r="C47" s="271"/>
      <c r="D47" s="271"/>
      <c r="E47" s="271"/>
      <c r="F47" s="271"/>
      <c r="G47" s="271"/>
      <c r="H47" s="271"/>
      <c r="I47" s="271"/>
      <c r="J47" s="471"/>
      <c r="K47" s="271"/>
      <c r="L47" s="271"/>
      <c r="M47" s="271"/>
    </row>
    <row r="48" spans="2:13" s="16" customFormat="1" x14ac:dyDescent="0.2">
      <c r="B48" s="474" t="s">
        <v>692</v>
      </c>
      <c r="C48" s="271"/>
      <c r="D48" s="271"/>
      <c r="E48" s="271"/>
      <c r="F48" s="271"/>
      <c r="G48" s="271"/>
      <c r="H48" s="271"/>
      <c r="I48" s="271"/>
      <c r="J48" s="471"/>
      <c r="K48" s="271"/>
      <c r="L48" s="271"/>
      <c r="M48" s="271"/>
    </row>
    <row r="49" spans="2:13" s="16" customFormat="1" x14ac:dyDescent="0.2">
      <c r="B49" s="474" t="s">
        <v>693</v>
      </c>
      <c r="C49" s="271"/>
      <c r="D49" s="271"/>
      <c r="E49" s="271"/>
      <c r="F49" s="271"/>
      <c r="G49" s="271"/>
      <c r="H49" s="271"/>
      <c r="I49" s="271"/>
      <c r="J49" s="471"/>
      <c r="K49" s="271"/>
      <c r="L49" s="271"/>
      <c r="M49" s="271"/>
    </row>
    <row r="50" spans="2:13" s="16" customFormat="1" x14ac:dyDescent="0.2">
      <c r="B50" s="474" t="s">
        <v>695</v>
      </c>
      <c r="C50" s="271"/>
      <c r="D50" s="271"/>
      <c r="E50" s="271"/>
      <c r="F50" s="271"/>
      <c r="G50" s="271"/>
      <c r="H50" s="271"/>
      <c r="I50" s="271"/>
      <c r="J50" s="471"/>
      <c r="K50" s="271"/>
      <c r="L50" s="271"/>
      <c r="M50" s="271"/>
    </row>
    <row r="51" spans="2:13" s="16" customFormat="1" x14ac:dyDescent="0.2">
      <c r="B51" s="474" t="s">
        <v>697</v>
      </c>
      <c r="C51" s="271"/>
      <c r="D51" s="271"/>
      <c r="E51" s="271"/>
      <c r="F51" s="271"/>
      <c r="G51" s="271"/>
      <c r="H51" s="271"/>
      <c r="I51" s="271"/>
      <c r="J51" s="471"/>
      <c r="K51" s="271"/>
      <c r="L51" s="271"/>
      <c r="M51" s="271"/>
    </row>
    <row r="52" spans="2:13" s="16" customFormat="1" x14ac:dyDescent="0.2">
      <c r="B52" s="468" t="s">
        <v>698</v>
      </c>
      <c r="C52" s="271"/>
      <c r="D52" s="271"/>
      <c r="E52" s="271"/>
      <c r="F52" s="271"/>
      <c r="G52" s="271"/>
      <c r="H52" s="271"/>
      <c r="I52" s="271"/>
      <c r="J52" s="471"/>
      <c r="K52" s="271"/>
      <c r="L52" s="271"/>
      <c r="M52" s="271"/>
    </row>
    <row r="53" spans="2:13" s="16" customFormat="1" x14ac:dyDescent="0.2">
      <c r="B53" s="468" t="s">
        <v>700</v>
      </c>
      <c r="C53" s="271"/>
      <c r="D53" s="271"/>
      <c r="E53" s="271"/>
      <c r="F53" s="271"/>
      <c r="G53" s="271"/>
      <c r="H53" s="271"/>
      <c r="I53" s="271"/>
      <c r="J53" s="471"/>
      <c r="K53" s="271"/>
      <c r="L53" s="271"/>
      <c r="M53" s="271"/>
    </row>
    <row r="54" spans="2:13" s="16" customFormat="1" x14ac:dyDescent="0.2">
      <c r="B54" s="468" t="s">
        <v>699</v>
      </c>
      <c r="C54" s="271"/>
      <c r="D54" s="271"/>
      <c r="E54" s="271"/>
      <c r="F54" s="271"/>
      <c r="G54" s="271"/>
      <c r="H54" s="271"/>
      <c r="I54" s="271"/>
      <c r="J54" s="471"/>
      <c r="K54" s="271"/>
      <c r="L54" s="271"/>
      <c r="M54" s="271"/>
    </row>
    <row r="55" spans="2:13" s="16" customFormat="1" x14ac:dyDescent="0.2">
      <c r="B55" s="468"/>
      <c r="C55" s="271"/>
      <c r="D55" s="271"/>
      <c r="E55" s="271"/>
      <c r="F55" s="271"/>
      <c r="G55" s="271"/>
      <c r="H55" s="271"/>
      <c r="I55" s="271"/>
      <c r="J55" s="471"/>
      <c r="K55" s="271"/>
      <c r="L55" s="271"/>
      <c r="M55" s="271"/>
    </row>
    <row r="56" spans="2:13" s="16" customFormat="1" x14ac:dyDescent="0.2">
      <c r="B56" s="467" t="s">
        <v>687</v>
      </c>
      <c r="C56" s="271"/>
      <c r="D56" s="271"/>
      <c r="E56" s="271"/>
      <c r="F56" s="271"/>
      <c r="G56" s="271"/>
      <c r="H56" s="271"/>
      <c r="I56" s="271"/>
      <c r="J56" s="471"/>
      <c r="K56" s="271"/>
      <c r="L56" s="271"/>
      <c r="M56" s="271"/>
    </row>
    <row r="57" spans="2:13" s="16" customFormat="1" x14ac:dyDescent="0.2">
      <c r="B57" s="468" t="s">
        <v>688</v>
      </c>
      <c r="C57" s="271"/>
      <c r="D57" s="271"/>
      <c r="E57" s="271"/>
      <c r="F57" s="271"/>
      <c r="G57" s="271"/>
      <c r="H57" s="271"/>
      <c r="I57" s="271"/>
      <c r="J57" s="471"/>
      <c r="K57" s="271"/>
      <c r="L57" s="271"/>
      <c r="M57" s="271"/>
    </row>
    <row r="58" spans="2:13" s="16" customFormat="1" x14ac:dyDescent="0.2">
      <c r="B58" s="468" t="s">
        <v>689</v>
      </c>
      <c r="C58" s="271"/>
      <c r="D58" s="271"/>
      <c r="E58" s="271"/>
      <c r="F58" s="271"/>
      <c r="G58" s="271"/>
      <c r="H58" s="271"/>
      <c r="I58" s="271"/>
      <c r="J58" s="471"/>
      <c r="K58" s="271"/>
      <c r="L58" s="271"/>
      <c r="M58" s="271"/>
    </row>
    <row r="59" spans="2:13" s="16" customFormat="1" x14ac:dyDescent="0.2">
      <c r="B59" s="468" t="s">
        <v>690</v>
      </c>
      <c r="C59" s="271"/>
      <c r="D59" s="271"/>
      <c r="E59" s="271"/>
      <c r="F59" s="271"/>
      <c r="G59" s="271"/>
      <c r="H59" s="271"/>
      <c r="I59" s="271"/>
      <c r="J59" s="471"/>
      <c r="K59" s="271"/>
      <c r="L59" s="271"/>
      <c r="M59" s="271"/>
    </row>
    <row r="60" spans="2:13" s="16" customFormat="1" x14ac:dyDescent="0.2">
      <c r="B60" s="468"/>
      <c r="C60" s="271"/>
      <c r="D60" s="271"/>
      <c r="E60" s="271"/>
      <c r="F60" s="271"/>
      <c r="G60" s="271"/>
      <c r="H60" s="271"/>
      <c r="I60" s="271"/>
      <c r="J60" s="471"/>
      <c r="K60" s="271"/>
      <c r="L60" s="271"/>
      <c r="M60" s="271"/>
    </row>
    <row r="61" spans="2:13" s="16" customFormat="1" x14ac:dyDescent="0.2">
      <c r="B61" s="467" t="s">
        <v>663</v>
      </c>
      <c r="C61" s="271"/>
      <c r="D61" s="271"/>
      <c r="E61" s="271"/>
      <c r="F61" s="271"/>
      <c r="G61" s="271"/>
      <c r="H61" s="271"/>
      <c r="I61" s="271"/>
      <c r="J61" s="471"/>
      <c r="K61" s="271"/>
      <c r="L61" s="271"/>
      <c r="M61" s="271"/>
    </row>
    <row r="62" spans="2:13" s="16" customFormat="1" x14ac:dyDescent="0.2">
      <c r="B62" s="468" t="s">
        <v>664</v>
      </c>
      <c r="C62" s="271"/>
      <c r="D62" s="271"/>
      <c r="E62" s="271"/>
      <c r="F62" s="271"/>
      <c r="G62" s="271"/>
      <c r="H62" s="271"/>
      <c r="I62" s="271"/>
      <c r="J62" s="471"/>
      <c r="K62" s="271"/>
      <c r="L62" s="271"/>
      <c r="M62" s="271"/>
    </row>
    <row r="63" spans="2:13" s="16" customFormat="1" x14ac:dyDescent="0.2">
      <c r="B63" s="468" t="s">
        <v>666</v>
      </c>
      <c r="C63" s="271"/>
      <c r="D63" s="271"/>
      <c r="E63" s="271"/>
      <c r="F63" s="271"/>
      <c r="G63" s="271"/>
      <c r="H63" s="271"/>
      <c r="I63" s="271"/>
      <c r="J63" s="471"/>
      <c r="K63" s="271"/>
      <c r="L63" s="271"/>
      <c r="M63" s="271"/>
    </row>
    <row r="64" spans="2:13" s="16" customFormat="1" x14ac:dyDescent="0.2">
      <c r="B64" s="468" t="s">
        <v>681</v>
      </c>
      <c r="C64" s="271"/>
      <c r="D64" s="271"/>
      <c r="E64" s="271"/>
      <c r="F64" s="271"/>
      <c r="G64" s="271"/>
      <c r="H64" s="271"/>
      <c r="I64" s="271"/>
      <c r="J64" s="471"/>
      <c r="K64" s="271"/>
      <c r="L64" s="271"/>
      <c r="M64" s="271"/>
    </row>
    <row r="65" spans="2:13" s="16" customFormat="1" x14ac:dyDescent="0.2">
      <c r="B65" s="474" t="s">
        <v>675</v>
      </c>
      <c r="C65" s="271"/>
      <c r="D65" s="271"/>
      <c r="E65" s="271"/>
      <c r="F65" s="271"/>
      <c r="G65" s="271"/>
      <c r="H65" s="271"/>
      <c r="I65" s="271"/>
      <c r="J65" s="471"/>
      <c r="K65" s="271"/>
      <c r="L65" s="271"/>
      <c r="M65" s="271"/>
    </row>
    <row r="66" spans="2:13" s="16" customFormat="1" x14ac:dyDescent="0.2">
      <c r="B66" s="474" t="s">
        <v>676</v>
      </c>
      <c r="C66" s="271"/>
      <c r="D66" s="271"/>
      <c r="E66" s="271"/>
      <c r="F66" s="271"/>
      <c r="G66" s="271"/>
      <c r="H66" s="271"/>
      <c r="I66" s="271"/>
      <c r="J66" s="471"/>
      <c r="K66" s="271"/>
      <c r="L66" s="271"/>
      <c r="M66" s="271"/>
    </row>
    <row r="67" spans="2:13" s="16" customFormat="1" x14ac:dyDescent="0.2">
      <c r="B67" s="474" t="s">
        <v>677</v>
      </c>
      <c r="C67" s="271"/>
      <c r="D67" s="271"/>
      <c r="E67" s="271"/>
      <c r="F67" s="271"/>
      <c r="G67" s="271"/>
      <c r="H67" s="271"/>
      <c r="I67" s="271"/>
      <c r="J67" s="471"/>
      <c r="K67" s="271"/>
      <c r="L67" s="271"/>
      <c r="M67" s="271"/>
    </row>
    <row r="68" spans="2:13" s="16" customFormat="1" x14ac:dyDescent="0.2">
      <c r="B68" s="474" t="s">
        <v>678</v>
      </c>
      <c r="C68" s="271"/>
      <c r="D68" s="271"/>
      <c r="E68" s="271"/>
      <c r="F68" s="271"/>
      <c r="G68" s="271"/>
      <c r="H68" s="271"/>
      <c r="I68" s="271"/>
      <c r="J68" s="471"/>
      <c r="K68" s="271"/>
      <c r="L68" s="271"/>
      <c r="M68" s="271"/>
    </row>
    <row r="69" spans="2:13" s="16" customFormat="1" x14ac:dyDescent="0.2">
      <c r="B69" s="474" t="s">
        <v>679</v>
      </c>
      <c r="C69" s="271"/>
      <c r="D69" s="271"/>
      <c r="E69" s="271"/>
      <c r="F69" s="271"/>
      <c r="G69" s="271"/>
      <c r="H69" s="271"/>
      <c r="I69" s="271"/>
      <c r="J69" s="471"/>
      <c r="K69" s="271"/>
      <c r="L69" s="271"/>
      <c r="M69" s="271"/>
    </row>
    <row r="70" spans="2:13" s="16" customFormat="1" x14ac:dyDescent="0.2">
      <c r="B70" s="474" t="s">
        <v>680</v>
      </c>
      <c r="C70" s="271"/>
      <c r="D70" s="271"/>
      <c r="E70" s="271"/>
      <c r="F70" s="271"/>
      <c r="G70" s="271"/>
      <c r="H70" s="271"/>
      <c r="I70" s="271"/>
      <c r="J70" s="471"/>
      <c r="K70" s="271"/>
      <c r="L70" s="271"/>
      <c r="M70" s="271"/>
    </row>
    <row r="71" spans="2:13" s="16" customFormat="1" x14ac:dyDescent="0.2">
      <c r="B71" s="474" t="s">
        <v>684</v>
      </c>
      <c r="C71" s="271"/>
      <c r="D71" s="271"/>
      <c r="E71" s="271"/>
      <c r="F71" s="271"/>
      <c r="G71" s="271"/>
      <c r="H71" s="271"/>
      <c r="I71" s="271"/>
      <c r="J71" s="471"/>
      <c r="K71" s="271"/>
      <c r="L71" s="271"/>
      <c r="M71" s="271"/>
    </row>
    <row r="72" spans="2:13" s="16" customFormat="1" x14ac:dyDescent="0.2">
      <c r="B72" s="468" t="s">
        <v>685</v>
      </c>
      <c r="C72" s="271"/>
      <c r="D72" s="271"/>
      <c r="E72" s="271"/>
      <c r="F72" s="271"/>
      <c r="G72" s="271"/>
      <c r="H72" s="271"/>
      <c r="I72" s="271"/>
      <c r="J72" s="471"/>
      <c r="K72" s="271"/>
      <c r="L72" s="271"/>
      <c r="M72" s="271"/>
    </row>
    <row r="73" spans="2:13" s="16" customFormat="1" x14ac:dyDescent="0.2">
      <c r="B73" s="468" t="s">
        <v>686</v>
      </c>
      <c r="C73" s="271"/>
      <c r="D73" s="271"/>
      <c r="E73" s="271"/>
      <c r="F73" s="271"/>
      <c r="G73" s="271"/>
      <c r="H73" s="271"/>
      <c r="I73" s="271"/>
      <c r="J73" s="471"/>
      <c r="K73" s="271"/>
      <c r="L73" s="271"/>
      <c r="M73" s="271"/>
    </row>
    <row r="74" spans="2:13" s="16" customFormat="1" x14ac:dyDescent="0.2">
      <c r="B74" s="468"/>
      <c r="C74" s="271"/>
      <c r="D74" s="271"/>
      <c r="E74" s="271"/>
      <c r="F74" s="271"/>
      <c r="G74" s="271"/>
      <c r="H74" s="271"/>
      <c r="I74" s="271"/>
      <c r="J74" s="471"/>
      <c r="K74" s="271"/>
      <c r="L74" s="271"/>
      <c r="M74" s="271"/>
    </row>
    <row r="75" spans="2:13" s="16" customFormat="1" x14ac:dyDescent="0.2">
      <c r="B75" s="467" t="s">
        <v>649</v>
      </c>
      <c r="C75" s="271"/>
      <c r="D75" s="271"/>
      <c r="E75" s="271"/>
      <c r="F75" s="271"/>
      <c r="G75" s="271"/>
      <c r="H75" s="271"/>
      <c r="I75" s="271"/>
      <c r="J75" s="471"/>
      <c r="K75" s="271"/>
      <c r="L75" s="271"/>
      <c r="M75" s="271"/>
    </row>
    <row r="76" spans="2:13" s="16" customFormat="1" x14ac:dyDescent="0.2">
      <c r="B76" s="468" t="s">
        <v>651</v>
      </c>
      <c r="C76" s="271"/>
      <c r="D76" s="271"/>
      <c r="E76" s="271"/>
      <c r="F76" s="271"/>
      <c r="G76" s="271"/>
      <c r="H76" s="271"/>
      <c r="I76" s="271"/>
      <c r="J76" s="471"/>
      <c r="K76" s="271"/>
      <c r="L76" s="271"/>
      <c r="M76" s="271"/>
    </row>
    <row r="77" spans="2:13" s="16" customFormat="1" x14ac:dyDescent="0.2">
      <c r="B77" s="468" t="s">
        <v>650</v>
      </c>
      <c r="C77" s="271"/>
      <c r="D77" s="271"/>
      <c r="E77" s="271"/>
      <c r="F77" s="271"/>
      <c r="G77" s="271"/>
      <c r="H77" s="271"/>
      <c r="I77" s="271"/>
      <c r="J77" s="471"/>
      <c r="K77" s="271"/>
      <c r="L77" s="271"/>
      <c r="M77" s="271"/>
    </row>
    <row r="78" spans="2:13" s="16" customFormat="1" x14ac:dyDescent="0.2">
      <c r="B78" s="468" t="s">
        <v>658</v>
      </c>
      <c r="C78" s="271"/>
      <c r="D78" s="271"/>
      <c r="E78" s="271"/>
      <c r="F78" s="271"/>
      <c r="G78" s="271"/>
      <c r="H78" s="271"/>
      <c r="I78" s="271"/>
      <c r="J78" s="471"/>
      <c r="K78" s="271"/>
      <c r="L78" s="271"/>
      <c r="M78" s="271"/>
    </row>
    <row r="79" spans="2:13" s="16" customFormat="1" x14ac:dyDescent="0.2">
      <c r="B79" s="474" t="s">
        <v>659</v>
      </c>
      <c r="C79" s="271"/>
      <c r="D79" s="271"/>
      <c r="E79" s="271"/>
      <c r="F79" s="271"/>
      <c r="G79" s="271"/>
      <c r="H79" s="271"/>
      <c r="I79" s="271"/>
      <c r="J79" s="471"/>
      <c r="K79" s="271"/>
      <c r="L79" s="271"/>
      <c r="M79" s="271"/>
    </row>
    <row r="80" spans="2:13" s="16" customFormat="1" x14ac:dyDescent="0.2">
      <c r="B80" s="474" t="s">
        <v>661</v>
      </c>
      <c r="C80" s="271"/>
      <c r="D80" s="271"/>
      <c r="E80" s="271"/>
      <c r="F80" s="271"/>
      <c r="G80" s="271"/>
      <c r="H80" s="271"/>
      <c r="I80" s="271"/>
      <c r="J80" s="471"/>
      <c r="K80" s="271"/>
      <c r="L80" s="271"/>
      <c r="M80" s="271"/>
    </row>
    <row r="81" spans="2:13" s="16" customFormat="1" x14ac:dyDescent="0.2">
      <c r="B81" s="468" t="s">
        <v>662</v>
      </c>
      <c r="C81" s="271"/>
      <c r="D81" s="271"/>
      <c r="E81" s="271"/>
      <c r="F81" s="271"/>
      <c r="G81" s="271"/>
      <c r="H81" s="271"/>
      <c r="I81" s="271"/>
      <c r="J81" s="471"/>
      <c r="K81" s="271"/>
      <c r="L81" s="271"/>
      <c r="M81" s="271"/>
    </row>
    <row r="82" spans="2:13" s="16" customFormat="1" x14ac:dyDescent="0.2">
      <c r="B82" s="468"/>
      <c r="C82" s="271"/>
      <c r="D82" s="271"/>
      <c r="E82" s="271"/>
      <c r="F82" s="271"/>
      <c r="G82" s="271"/>
      <c r="H82" s="271"/>
      <c r="I82" s="271"/>
      <c r="J82" s="471"/>
      <c r="K82" s="271"/>
      <c r="L82" s="271"/>
      <c r="M82" s="271"/>
    </row>
    <row r="83" spans="2:13" s="16" customFormat="1" x14ac:dyDescent="0.2">
      <c r="B83" s="467" t="s">
        <v>644</v>
      </c>
      <c r="C83" s="271"/>
      <c r="D83" s="271"/>
      <c r="E83" s="271"/>
      <c r="F83" s="271"/>
      <c r="G83" s="271"/>
      <c r="H83" s="271"/>
      <c r="I83" s="271"/>
      <c r="J83" s="471"/>
      <c r="K83" s="271"/>
      <c r="L83" s="271"/>
      <c r="M83" s="271"/>
    </row>
    <row r="84" spans="2:13" s="16" customFormat="1" x14ac:dyDescent="0.2">
      <c r="B84" s="468" t="s">
        <v>645</v>
      </c>
      <c r="C84" s="271"/>
      <c r="D84" s="271"/>
      <c r="E84" s="271"/>
      <c r="F84" s="271"/>
      <c r="G84" s="271"/>
      <c r="H84" s="271"/>
      <c r="I84" s="271"/>
      <c r="J84" s="471"/>
      <c r="K84" s="271"/>
      <c r="L84" s="271"/>
      <c r="M84" s="271"/>
    </row>
    <row r="85" spans="2:13" s="16" customFormat="1" x14ac:dyDescent="0.2">
      <c r="B85" s="468" t="s">
        <v>646</v>
      </c>
      <c r="C85" s="271"/>
      <c r="D85" s="271"/>
      <c r="E85" s="271"/>
      <c r="F85" s="271"/>
      <c r="G85" s="271"/>
      <c r="H85" s="271"/>
      <c r="I85" s="271"/>
      <c r="J85" s="471"/>
      <c r="K85" s="271"/>
      <c r="L85" s="271"/>
      <c r="M85" s="271"/>
    </row>
    <row r="86" spans="2:13" s="16" customFormat="1" x14ac:dyDescent="0.2">
      <c r="B86" s="468" t="s">
        <v>648</v>
      </c>
      <c r="C86" s="271"/>
      <c r="D86" s="271"/>
      <c r="E86" s="271"/>
      <c r="F86" s="271"/>
      <c r="G86" s="271"/>
      <c r="H86" s="271"/>
      <c r="I86" s="271"/>
      <c r="J86" s="471"/>
      <c r="K86" s="271"/>
      <c r="L86" s="271"/>
      <c r="M86" s="271"/>
    </row>
    <row r="87" spans="2:13" s="16" customFormat="1" x14ac:dyDescent="0.2">
      <c r="B87" s="468" t="s">
        <v>647</v>
      </c>
      <c r="C87" s="271"/>
      <c r="D87" s="271"/>
      <c r="E87" s="271"/>
      <c r="F87" s="271"/>
      <c r="G87" s="271"/>
      <c r="H87" s="271"/>
      <c r="I87" s="271"/>
      <c r="J87" s="471"/>
      <c r="K87" s="271"/>
      <c r="L87" s="271"/>
      <c r="M87" s="271"/>
    </row>
    <row r="88" spans="2:13" s="16" customFormat="1" x14ac:dyDescent="0.2">
      <c r="B88" s="468"/>
      <c r="C88" s="271"/>
      <c r="D88" s="271"/>
      <c r="E88" s="271"/>
      <c r="F88" s="271"/>
      <c r="G88" s="271"/>
      <c r="H88" s="271"/>
      <c r="I88" s="271"/>
      <c r="J88" s="471"/>
      <c r="K88" s="271"/>
      <c r="L88" s="271"/>
      <c r="M88" s="271"/>
    </row>
    <row r="89" spans="2:13" s="16" customFormat="1" x14ac:dyDescent="0.2">
      <c r="B89" s="467" t="s">
        <v>639</v>
      </c>
      <c r="C89" s="271"/>
      <c r="D89" s="271"/>
      <c r="E89" s="271"/>
      <c r="F89" s="271"/>
      <c r="G89" s="271"/>
      <c r="H89" s="271"/>
      <c r="I89" s="271"/>
      <c r="J89" s="471"/>
      <c r="K89" s="271"/>
      <c r="L89" s="271"/>
      <c r="M89" s="271"/>
    </row>
    <row r="90" spans="2:13" s="16" customFormat="1" x14ac:dyDescent="0.2">
      <c r="B90" s="468" t="s">
        <v>640</v>
      </c>
      <c r="C90" s="271"/>
      <c r="D90" s="271"/>
      <c r="E90" s="271"/>
      <c r="F90" s="271"/>
      <c r="G90" s="271"/>
      <c r="H90" s="271"/>
      <c r="I90" s="271"/>
      <c r="J90" s="471"/>
      <c r="K90" s="271"/>
      <c r="L90" s="271"/>
      <c r="M90" s="271"/>
    </row>
    <row r="91" spans="2:13" s="16" customFormat="1" x14ac:dyDescent="0.2">
      <c r="B91" s="468" t="s">
        <v>641</v>
      </c>
      <c r="C91" s="271"/>
      <c r="D91" s="271"/>
      <c r="E91" s="271"/>
      <c r="F91" s="271"/>
      <c r="G91" s="271"/>
      <c r="H91" s="271"/>
      <c r="I91" s="271"/>
      <c r="J91" s="471"/>
      <c r="K91" s="271"/>
      <c r="L91" s="271"/>
      <c r="M91" s="271"/>
    </row>
    <row r="92" spans="2:13" s="16" customFormat="1" x14ac:dyDescent="0.2">
      <c r="B92" s="468"/>
      <c r="C92" s="271"/>
      <c r="D92" s="271"/>
      <c r="E92" s="271"/>
      <c r="F92" s="271"/>
      <c r="G92" s="271"/>
      <c r="H92" s="271"/>
      <c r="I92" s="271"/>
      <c r="J92" s="471"/>
      <c r="K92" s="271"/>
      <c r="L92" s="271"/>
      <c r="M92" s="271"/>
    </row>
    <row r="93" spans="2:13" s="16" customFormat="1" x14ac:dyDescent="0.2">
      <c r="B93" s="467" t="s">
        <v>631</v>
      </c>
      <c r="C93" s="271"/>
      <c r="D93" s="271"/>
      <c r="E93" s="271"/>
      <c r="F93" s="271"/>
      <c r="G93" s="271"/>
      <c r="H93" s="271"/>
      <c r="I93" s="271"/>
      <c r="J93" s="471"/>
      <c r="K93" s="271"/>
      <c r="L93" s="271"/>
      <c r="M93" s="271"/>
    </row>
    <row r="94" spans="2:13" s="16" customFormat="1" x14ac:dyDescent="0.2">
      <c r="B94" s="468" t="s">
        <v>600</v>
      </c>
      <c r="C94" s="271"/>
      <c r="D94" s="271"/>
      <c r="E94" s="271"/>
      <c r="F94" s="271"/>
      <c r="G94" s="271"/>
      <c r="H94" s="271"/>
      <c r="I94" s="271"/>
      <c r="J94" s="471"/>
      <c r="K94" s="271"/>
      <c r="L94" s="271"/>
      <c r="M94" s="271"/>
    </row>
    <row r="95" spans="2:13" s="16" customFormat="1" x14ac:dyDescent="0.2">
      <c r="B95" s="468" t="s">
        <v>602</v>
      </c>
      <c r="C95" s="271"/>
      <c r="D95" s="271"/>
      <c r="E95" s="271"/>
      <c r="F95" s="271"/>
      <c r="G95" s="271"/>
      <c r="H95" s="271"/>
      <c r="I95" s="271"/>
      <c r="J95" s="471"/>
      <c r="K95" s="271"/>
      <c r="L95" s="271"/>
      <c r="M95" s="271"/>
    </row>
    <row r="96" spans="2:13" s="16" customFormat="1" x14ac:dyDescent="0.2">
      <c r="B96" s="468" t="s">
        <v>616</v>
      </c>
      <c r="C96" s="271"/>
      <c r="D96" s="271"/>
      <c r="E96" s="271"/>
      <c r="F96" s="271"/>
      <c r="G96" s="271"/>
      <c r="H96" s="271"/>
      <c r="I96" s="271"/>
      <c r="J96" s="471"/>
      <c r="K96" s="271"/>
      <c r="L96" s="271"/>
      <c r="M96" s="271"/>
    </row>
    <row r="97" spans="2:13" s="16" customFormat="1" x14ac:dyDescent="0.2">
      <c r="B97" s="468" t="s">
        <v>634</v>
      </c>
      <c r="C97" s="271"/>
      <c r="D97" s="271"/>
      <c r="E97" s="271"/>
      <c r="F97" s="271"/>
      <c r="G97" s="271"/>
      <c r="H97" s="271"/>
      <c r="I97" s="271"/>
      <c r="J97" s="471"/>
      <c r="K97" s="271"/>
      <c r="L97" s="271"/>
      <c r="M97" s="271"/>
    </row>
    <row r="98" spans="2:13" s="16" customFormat="1" x14ac:dyDescent="0.2">
      <c r="B98" s="468" t="s">
        <v>632</v>
      </c>
      <c r="C98" s="271"/>
      <c r="D98" s="271"/>
      <c r="E98" s="271"/>
      <c r="F98" s="271"/>
      <c r="G98" s="271"/>
      <c r="H98" s="271"/>
      <c r="I98" s="271"/>
      <c r="J98" s="471"/>
      <c r="K98" s="271"/>
      <c r="L98" s="271"/>
      <c r="M98" s="271"/>
    </row>
    <row r="99" spans="2:13" s="16" customFormat="1" x14ac:dyDescent="0.2">
      <c r="B99" s="468" t="s">
        <v>612</v>
      </c>
      <c r="C99" s="271"/>
      <c r="D99" s="271"/>
      <c r="E99" s="271"/>
      <c r="F99" s="271"/>
      <c r="G99" s="271"/>
      <c r="H99" s="271"/>
      <c r="I99" s="271"/>
      <c r="J99" s="471"/>
      <c r="K99" s="271"/>
      <c r="L99" s="271"/>
      <c r="M99" s="271"/>
    </row>
    <row r="100" spans="2:13" s="16" customFormat="1" x14ac:dyDescent="0.2">
      <c r="B100" s="474" t="s">
        <v>614</v>
      </c>
      <c r="C100" s="271"/>
      <c r="D100" s="271"/>
      <c r="E100" s="271"/>
      <c r="F100" s="271"/>
      <c r="G100" s="271"/>
      <c r="H100" s="271"/>
      <c r="I100" s="271"/>
      <c r="J100" s="471"/>
      <c r="K100" s="271"/>
      <c r="L100" s="271"/>
      <c r="M100" s="271"/>
    </row>
    <row r="101" spans="2:13" s="16" customFormat="1" x14ac:dyDescent="0.2">
      <c r="B101" s="474" t="s">
        <v>636</v>
      </c>
      <c r="C101" s="271"/>
      <c r="D101" s="271"/>
      <c r="E101" s="271"/>
      <c r="F101" s="271"/>
      <c r="G101" s="271"/>
      <c r="H101" s="271"/>
      <c r="I101" s="271"/>
      <c r="J101" s="471"/>
      <c r="K101" s="271"/>
      <c r="L101" s="271"/>
      <c r="M101" s="271"/>
    </row>
    <row r="102" spans="2:13" s="16" customFormat="1" x14ac:dyDescent="0.2">
      <c r="B102" s="474" t="s">
        <v>613</v>
      </c>
      <c r="C102" s="271"/>
      <c r="D102" s="271"/>
      <c r="E102" s="271"/>
      <c r="F102" s="271"/>
      <c r="G102" s="271"/>
      <c r="H102" s="271"/>
      <c r="I102" s="271"/>
      <c r="J102" s="471"/>
      <c r="K102" s="271"/>
      <c r="L102" s="271"/>
      <c r="M102" s="271"/>
    </row>
    <row r="103" spans="2:13" s="16" customFormat="1" x14ac:dyDescent="0.2">
      <c r="B103" s="474" t="s">
        <v>637</v>
      </c>
      <c r="C103" s="271"/>
      <c r="D103" s="271"/>
      <c r="E103" s="271"/>
      <c r="F103" s="271"/>
      <c r="G103" s="271"/>
      <c r="H103" s="271"/>
      <c r="I103" s="271"/>
      <c r="J103" s="471"/>
      <c r="K103" s="271"/>
      <c r="L103" s="271"/>
      <c r="M103" s="271"/>
    </row>
    <row r="104" spans="2:13" s="16" customFormat="1" x14ac:dyDescent="0.2">
      <c r="B104" s="474" t="s">
        <v>635</v>
      </c>
      <c r="C104" s="271"/>
      <c r="D104" s="271"/>
      <c r="E104" s="271"/>
      <c r="F104" s="271"/>
      <c r="G104" s="271"/>
      <c r="H104" s="271"/>
      <c r="I104" s="271"/>
      <c r="J104" s="471"/>
      <c r="K104" s="271"/>
      <c r="L104" s="271"/>
      <c r="M104" s="271"/>
    </row>
    <row r="105" spans="2:13" s="16" customFormat="1" x14ac:dyDescent="0.2">
      <c r="B105" s="468" t="s">
        <v>638</v>
      </c>
      <c r="C105" s="271"/>
      <c r="D105" s="271"/>
      <c r="E105" s="271"/>
      <c r="F105" s="271"/>
      <c r="G105" s="271"/>
      <c r="H105" s="271"/>
      <c r="I105" s="271"/>
      <c r="J105" s="471"/>
      <c r="K105" s="271"/>
      <c r="L105" s="271"/>
      <c r="M105" s="271"/>
    </row>
    <row r="106" spans="2:13" s="16" customFormat="1" x14ac:dyDescent="0.2">
      <c r="B106" s="468" t="s">
        <v>601</v>
      </c>
      <c r="C106" s="271"/>
      <c r="D106" s="271"/>
      <c r="E106" s="271"/>
      <c r="F106" s="271"/>
      <c r="G106" s="271"/>
      <c r="H106" s="271"/>
      <c r="I106" s="271"/>
      <c r="J106" s="471"/>
      <c r="K106" s="271"/>
      <c r="L106" s="271"/>
      <c r="M106" s="271"/>
    </row>
    <row r="107" spans="2:13" s="16" customFormat="1" x14ac:dyDescent="0.2">
      <c r="B107" s="468"/>
      <c r="C107" s="271"/>
      <c r="D107" s="271"/>
      <c r="E107" s="271"/>
      <c r="F107" s="271"/>
      <c r="G107" s="271"/>
      <c r="H107" s="271"/>
      <c r="I107" s="271"/>
      <c r="J107" s="471"/>
      <c r="K107" s="271"/>
      <c r="L107" s="271"/>
      <c r="M107" s="271"/>
    </row>
    <row r="108" spans="2:13" s="16" customFormat="1" x14ac:dyDescent="0.2">
      <c r="B108" s="467" t="s">
        <v>576</v>
      </c>
      <c r="C108" s="271"/>
      <c r="D108" s="271"/>
      <c r="E108" s="271"/>
      <c r="F108" s="271"/>
      <c r="G108" s="271"/>
      <c r="H108" s="271"/>
      <c r="I108" s="271"/>
      <c r="J108" s="471"/>
      <c r="K108" s="271"/>
      <c r="L108" s="271"/>
      <c r="M108" s="271"/>
    </row>
    <row r="109" spans="2:13" s="16" customFormat="1" x14ac:dyDescent="0.2">
      <c r="B109" s="468" t="s">
        <v>579</v>
      </c>
      <c r="C109" s="271"/>
      <c r="D109" s="271"/>
      <c r="E109" s="271"/>
      <c r="F109" s="271"/>
      <c r="G109" s="271"/>
      <c r="H109" s="271"/>
      <c r="I109" s="271"/>
      <c r="J109" s="471"/>
      <c r="K109" s="271"/>
      <c r="L109" s="271"/>
      <c r="M109" s="271"/>
    </row>
    <row r="110" spans="2:13" s="16" customFormat="1" x14ac:dyDescent="0.2">
      <c r="B110" s="474" t="s">
        <v>577</v>
      </c>
      <c r="C110" s="271"/>
      <c r="D110" s="271"/>
      <c r="E110" s="271"/>
      <c r="F110" s="271"/>
      <c r="G110" s="271"/>
      <c r="H110" s="271"/>
      <c r="I110" s="271"/>
      <c r="J110" s="471"/>
      <c r="K110" s="271"/>
      <c r="L110" s="271"/>
      <c r="M110" s="271"/>
    </row>
    <row r="111" spans="2:13" s="16" customFormat="1" x14ac:dyDescent="0.2">
      <c r="B111" s="474" t="s">
        <v>578</v>
      </c>
      <c r="C111" s="271"/>
      <c r="D111" s="271"/>
      <c r="E111" s="271"/>
      <c r="F111" s="271"/>
      <c r="G111" s="271"/>
      <c r="H111" s="271"/>
      <c r="I111" s="271"/>
      <c r="J111" s="471"/>
      <c r="K111" s="271"/>
      <c r="L111" s="271"/>
      <c r="M111" s="271"/>
    </row>
    <row r="112" spans="2:13" s="16" customFormat="1" x14ac:dyDescent="0.2">
      <c r="B112" s="474" t="s">
        <v>580</v>
      </c>
      <c r="C112" s="271"/>
      <c r="D112" s="271"/>
      <c r="E112" s="271"/>
      <c r="F112" s="271"/>
      <c r="G112" s="271"/>
      <c r="H112" s="271"/>
      <c r="I112" s="271"/>
      <c r="J112" s="471"/>
      <c r="K112" s="271"/>
      <c r="L112" s="271"/>
      <c r="M112" s="271"/>
    </row>
    <row r="113" spans="2:13" s="16" customFormat="1" x14ac:dyDescent="0.2">
      <c r="B113" s="468" t="s">
        <v>581</v>
      </c>
      <c r="C113" s="271"/>
      <c r="D113" s="271"/>
      <c r="E113" s="271"/>
      <c r="F113" s="271"/>
      <c r="G113" s="271"/>
      <c r="H113" s="271"/>
      <c r="I113" s="271"/>
      <c r="J113" s="471"/>
      <c r="K113" s="271"/>
      <c r="L113" s="271"/>
      <c r="M113" s="271"/>
    </row>
    <row r="114" spans="2:13" s="16" customFormat="1" x14ac:dyDescent="0.2">
      <c r="B114" s="468" t="s">
        <v>582</v>
      </c>
      <c r="C114" s="271"/>
      <c r="D114" s="271"/>
      <c r="E114" s="271"/>
      <c r="F114" s="271"/>
      <c r="G114" s="271"/>
      <c r="H114" s="271"/>
      <c r="I114" s="271"/>
      <c r="J114" s="471"/>
      <c r="K114" s="271"/>
      <c r="L114" s="271"/>
      <c r="M114" s="271"/>
    </row>
    <row r="115" spans="2:13" s="16" customFormat="1" x14ac:dyDescent="0.2">
      <c r="B115" s="468" t="s">
        <v>583</v>
      </c>
      <c r="C115" s="271"/>
      <c r="D115" s="271"/>
      <c r="E115" s="271"/>
      <c r="F115" s="271"/>
      <c r="G115" s="271"/>
      <c r="H115" s="271"/>
      <c r="I115" s="271"/>
      <c r="J115" s="471"/>
      <c r="K115" s="271"/>
      <c r="L115" s="271"/>
      <c r="M115" s="271"/>
    </row>
    <row r="116" spans="2:13" s="16" customFormat="1" x14ac:dyDescent="0.2">
      <c r="B116" s="468" t="s">
        <v>584</v>
      </c>
      <c r="C116" s="271"/>
      <c r="D116" s="271"/>
      <c r="E116" s="271"/>
      <c r="F116" s="271"/>
      <c r="G116" s="271"/>
      <c r="H116" s="271"/>
      <c r="I116" s="271"/>
      <c r="J116" s="471"/>
      <c r="K116" s="271"/>
      <c r="L116" s="271"/>
      <c r="M116" s="271"/>
    </row>
    <row r="117" spans="2:13" s="16" customFormat="1" x14ac:dyDescent="0.2">
      <c r="B117" s="468" t="s">
        <v>587</v>
      </c>
      <c r="C117" s="271"/>
      <c r="D117" s="271"/>
      <c r="E117" s="271"/>
      <c r="F117" s="271"/>
      <c r="G117" s="271"/>
      <c r="H117" s="271"/>
      <c r="I117" s="271"/>
      <c r="J117" s="471"/>
      <c r="K117" s="271"/>
      <c r="L117" s="271"/>
      <c r="M117" s="271"/>
    </row>
    <row r="118" spans="2:13" s="16" customFormat="1" x14ac:dyDescent="0.2">
      <c r="B118" s="468" t="s">
        <v>589</v>
      </c>
      <c r="C118" s="271"/>
      <c r="D118" s="271"/>
      <c r="E118" s="271"/>
      <c r="F118" s="271"/>
      <c r="G118" s="271"/>
      <c r="H118" s="271"/>
      <c r="I118" s="271"/>
      <c r="J118" s="471"/>
      <c r="K118" s="271"/>
      <c r="L118" s="271"/>
      <c r="M118" s="271"/>
    </row>
    <row r="119" spans="2:13" s="16" customFormat="1" x14ac:dyDescent="0.2">
      <c r="B119" s="468" t="s">
        <v>594</v>
      </c>
      <c r="C119" s="271"/>
      <c r="D119" s="271"/>
      <c r="E119" s="271"/>
      <c r="F119" s="271"/>
      <c r="G119" s="271"/>
      <c r="H119" s="271"/>
      <c r="I119" s="271"/>
      <c r="J119" s="471"/>
      <c r="K119" s="271"/>
      <c r="L119" s="271"/>
      <c r="M119" s="271"/>
    </row>
    <row r="120" spans="2:13" s="16" customFormat="1" x14ac:dyDescent="0.2">
      <c r="B120" s="468" t="s">
        <v>596</v>
      </c>
      <c r="C120" s="271"/>
      <c r="D120" s="271"/>
      <c r="E120" s="271"/>
      <c r="F120" s="271"/>
      <c r="G120" s="271"/>
      <c r="H120" s="271"/>
      <c r="I120" s="271"/>
      <c r="J120" s="471"/>
      <c r="K120" s="271"/>
      <c r="L120" s="271"/>
      <c r="M120" s="271"/>
    </row>
    <row r="121" spans="2:13" s="16" customFormat="1" x14ac:dyDescent="0.2">
      <c r="B121" s="471"/>
      <c r="C121" s="271"/>
      <c r="D121" s="271"/>
      <c r="E121" s="271"/>
      <c r="F121" s="271"/>
      <c r="G121" s="271"/>
      <c r="H121" s="271"/>
      <c r="I121" s="271"/>
      <c r="J121" s="471"/>
      <c r="K121" s="271"/>
      <c r="L121" s="271"/>
      <c r="M121" s="271"/>
    </row>
    <row r="122" spans="2:13" s="16" customFormat="1" x14ac:dyDescent="0.2">
      <c r="B122" s="467" t="s">
        <v>572</v>
      </c>
      <c r="C122" s="271"/>
      <c r="D122" s="271"/>
      <c r="E122" s="271"/>
      <c r="F122" s="271"/>
      <c r="G122" s="271"/>
      <c r="H122" s="271"/>
      <c r="I122" s="271"/>
      <c r="J122" s="471"/>
      <c r="K122" s="271"/>
      <c r="L122" s="271"/>
      <c r="M122" s="271"/>
    </row>
    <row r="123" spans="2:13" s="16" customFormat="1" x14ac:dyDescent="0.2">
      <c r="B123" s="468" t="s">
        <v>573</v>
      </c>
      <c r="C123" s="271"/>
      <c r="D123" s="271"/>
      <c r="E123" s="271"/>
      <c r="F123" s="271"/>
      <c r="G123" s="271"/>
      <c r="H123" s="271"/>
      <c r="I123" s="271"/>
      <c r="J123" s="471"/>
      <c r="K123" s="271"/>
      <c r="L123" s="271"/>
      <c r="M123" s="271"/>
    </row>
    <row r="124" spans="2:13" s="16" customFormat="1" x14ac:dyDescent="0.2">
      <c r="B124" s="468" t="s">
        <v>574</v>
      </c>
      <c r="C124" s="271"/>
      <c r="D124" s="271"/>
      <c r="E124" s="271"/>
      <c r="F124" s="271"/>
      <c r="G124" s="271"/>
      <c r="H124" s="271"/>
      <c r="I124" s="271"/>
      <c r="J124" s="471"/>
      <c r="K124" s="271"/>
      <c r="L124" s="271"/>
      <c r="M124" s="271"/>
    </row>
    <row r="125" spans="2:13" s="16" customFormat="1" x14ac:dyDescent="0.2">
      <c r="B125" s="468" t="s">
        <v>575</v>
      </c>
      <c r="C125" s="271"/>
      <c r="D125" s="271"/>
      <c r="E125" s="271"/>
      <c r="F125" s="271"/>
      <c r="G125" s="271"/>
      <c r="H125" s="271"/>
      <c r="I125" s="271"/>
      <c r="J125" s="471"/>
      <c r="K125" s="271"/>
      <c r="L125" s="271"/>
      <c r="M125" s="271"/>
    </row>
    <row r="126" spans="2:13" s="16" customFormat="1" x14ac:dyDescent="0.2">
      <c r="B126" s="468"/>
      <c r="C126" s="271"/>
      <c r="D126" s="271"/>
      <c r="E126" s="271"/>
      <c r="F126" s="271"/>
      <c r="G126" s="271"/>
      <c r="H126" s="271"/>
      <c r="I126" s="271"/>
      <c r="J126" s="471"/>
      <c r="K126" s="271"/>
      <c r="L126" s="271"/>
      <c r="M126" s="271"/>
    </row>
    <row r="127" spans="2:13" s="16" customFormat="1" x14ac:dyDescent="0.2">
      <c r="B127" s="467" t="s">
        <v>551</v>
      </c>
      <c r="C127" s="271"/>
      <c r="D127" s="271"/>
      <c r="E127" s="271"/>
      <c r="F127" s="271"/>
      <c r="G127" s="271"/>
      <c r="H127" s="271"/>
      <c r="I127" s="271"/>
      <c r="J127" s="471"/>
      <c r="K127" s="271"/>
      <c r="L127" s="271"/>
      <c r="M127" s="271"/>
    </row>
    <row r="128" spans="2:13" s="16" customFormat="1" x14ac:dyDescent="0.2">
      <c r="B128" s="468" t="s">
        <v>571</v>
      </c>
      <c r="C128" s="271"/>
      <c r="D128" s="271"/>
      <c r="E128" s="271"/>
      <c r="F128" s="271"/>
      <c r="G128" s="271"/>
      <c r="H128" s="271"/>
      <c r="I128" s="271"/>
      <c r="J128" s="471"/>
      <c r="K128" s="271"/>
      <c r="L128" s="271"/>
      <c r="M128" s="271"/>
    </row>
    <row r="129" spans="2:13" s="16" customFormat="1" x14ac:dyDescent="0.2">
      <c r="B129" s="468" t="s">
        <v>552</v>
      </c>
      <c r="C129" s="271"/>
      <c r="D129" s="271"/>
      <c r="E129" s="271"/>
      <c r="F129" s="271"/>
      <c r="G129" s="271"/>
      <c r="H129" s="271"/>
      <c r="I129" s="271"/>
      <c r="J129" s="471"/>
      <c r="K129" s="271"/>
      <c r="L129" s="271"/>
      <c r="M129" s="271"/>
    </row>
    <row r="130" spans="2:13" s="16" customFormat="1" x14ac:dyDescent="0.2">
      <c r="B130" s="468" t="s">
        <v>570</v>
      </c>
      <c r="C130" s="271"/>
      <c r="D130" s="271"/>
      <c r="E130" s="271"/>
      <c r="F130" s="271"/>
      <c r="G130" s="271"/>
      <c r="H130" s="271"/>
      <c r="I130" s="271"/>
      <c r="J130" s="471"/>
      <c r="K130" s="271"/>
      <c r="L130" s="271"/>
      <c r="M130" s="271"/>
    </row>
    <row r="131" spans="2:13" s="16" customFormat="1" x14ac:dyDescent="0.2">
      <c r="B131" s="468" t="s">
        <v>555</v>
      </c>
      <c r="C131" s="271"/>
      <c r="D131" s="271"/>
      <c r="E131" s="271"/>
      <c r="F131" s="271"/>
      <c r="G131" s="271"/>
      <c r="H131" s="271"/>
      <c r="I131" s="271"/>
      <c r="J131" s="471"/>
      <c r="K131" s="271"/>
      <c r="L131" s="271"/>
      <c r="M131" s="271"/>
    </row>
    <row r="132" spans="2:13" s="16" customFormat="1" x14ac:dyDescent="0.2">
      <c r="B132" s="468" t="s">
        <v>556</v>
      </c>
      <c r="C132" s="271"/>
      <c r="D132" s="271"/>
      <c r="E132" s="271"/>
      <c r="F132" s="271"/>
      <c r="G132" s="271"/>
      <c r="H132" s="271"/>
      <c r="I132" s="271"/>
      <c r="J132" s="471"/>
      <c r="K132" s="271"/>
      <c r="L132" s="271"/>
      <c r="M132" s="271"/>
    </row>
    <row r="133" spans="2:13" s="16" customFormat="1" x14ac:dyDescent="0.2">
      <c r="B133" s="468"/>
      <c r="C133" s="271"/>
      <c r="D133" s="271"/>
      <c r="E133" s="271"/>
      <c r="F133" s="271"/>
      <c r="G133" s="271"/>
      <c r="H133" s="271"/>
      <c r="I133" s="271"/>
      <c r="J133" s="471"/>
      <c r="K133" s="271"/>
      <c r="L133" s="271"/>
      <c r="M133" s="271"/>
    </row>
    <row r="134" spans="2:13" s="16" customFormat="1" x14ac:dyDescent="0.2">
      <c r="B134" s="467" t="s">
        <v>547</v>
      </c>
      <c r="C134" s="271"/>
      <c r="D134" s="271"/>
      <c r="E134" s="271"/>
      <c r="F134" s="271"/>
      <c r="G134" s="271"/>
      <c r="H134" s="271"/>
      <c r="I134" s="271"/>
      <c r="J134" s="471"/>
      <c r="K134" s="271"/>
      <c r="L134" s="271"/>
      <c r="M134" s="271"/>
    </row>
    <row r="135" spans="2:13" s="16" customFormat="1" x14ac:dyDescent="0.2">
      <c r="B135" s="468" t="s">
        <v>542</v>
      </c>
      <c r="C135" s="271"/>
      <c r="D135" s="271"/>
      <c r="E135" s="271"/>
      <c r="F135" s="271"/>
      <c r="G135" s="271"/>
      <c r="H135" s="271"/>
      <c r="I135" s="271"/>
      <c r="J135" s="471"/>
      <c r="K135" s="271"/>
      <c r="L135" s="271"/>
      <c r="M135" s="271"/>
    </row>
    <row r="136" spans="2:13" s="16" customFormat="1" x14ac:dyDescent="0.2">
      <c r="B136" s="468" t="s">
        <v>543</v>
      </c>
      <c r="C136" s="271"/>
      <c r="D136" s="271"/>
      <c r="E136" s="271"/>
      <c r="F136" s="271"/>
      <c r="G136" s="271"/>
      <c r="H136" s="271"/>
      <c r="I136" s="271"/>
      <c r="J136" s="471"/>
      <c r="K136" s="271"/>
      <c r="L136" s="271"/>
      <c r="M136" s="271"/>
    </row>
    <row r="137" spans="2:13" s="16" customFormat="1" x14ac:dyDescent="0.2">
      <c r="B137" s="474" t="s">
        <v>544</v>
      </c>
      <c r="C137" s="271"/>
      <c r="D137" s="271"/>
      <c r="E137" s="271"/>
      <c r="F137" s="271"/>
      <c r="G137" s="271"/>
      <c r="H137" s="271"/>
      <c r="I137" s="271"/>
      <c r="J137" s="471"/>
      <c r="K137" s="271"/>
      <c r="L137" s="271"/>
      <c r="M137" s="271"/>
    </row>
    <row r="138" spans="2:13" s="16" customFormat="1" x14ac:dyDescent="0.2">
      <c r="B138" s="474" t="s">
        <v>545</v>
      </c>
      <c r="C138" s="271"/>
      <c r="D138" s="271"/>
      <c r="E138" s="271"/>
      <c r="F138" s="271"/>
      <c r="G138" s="271"/>
      <c r="H138" s="271"/>
      <c r="I138" s="271"/>
      <c r="J138" s="471"/>
      <c r="K138" s="271"/>
      <c r="L138" s="271"/>
      <c r="M138" s="271"/>
    </row>
    <row r="139" spans="2:13" s="16" customFormat="1" x14ac:dyDescent="0.2">
      <c r="B139" s="474" t="s">
        <v>546</v>
      </c>
      <c r="C139" s="271"/>
      <c r="D139" s="271"/>
      <c r="E139" s="271"/>
      <c r="F139" s="271"/>
      <c r="G139" s="271"/>
      <c r="H139" s="271"/>
      <c r="I139" s="271"/>
      <c r="J139" s="471"/>
      <c r="K139" s="271"/>
      <c r="L139" s="271"/>
      <c r="M139" s="271"/>
    </row>
    <row r="140" spans="2:13" s="16" customFormat="1" x14ac:dyDescent="0.2">
      <c r="B140" s="468"/>
      <c r="C140" s="271"/>
      <c r="D140" s="271"/>
      <c r="E140" s="271"/>
      <c r="F140" s="271"/>
      <c r="G140" s="271"/>
      <c r="H140" s="271"/>
      <c r="I140" s="271"/>
      <c r="J140" s="471"/>
      <c r="K140" s="271"/>
      <c r="L140" s="271"/>
      <c r="M140" s="271"/>
    </row>
    <row r="141" spans="2:13" s="16" customFormat="1" x14ac:dyDescent="0.2">
      <c r="B141" s="467" t="s">
        <v>535</v>
      </c>
      <c r="C141" s="271"/>
      <c r="D141" s="271"/>
      <c r="E141" s="271"/>
      <c r="F141" s="271"/>
      <c r="G141" s="271"/>
      <c r="H141" s="271"/>
      <c r="I141" s="271"/>
      <c r="J141" s="471"/>
      <c r="K141" s="271"/>
      <c r="L141" s="271"/>
      <c r="M141" s="271"/>
    </row>
    <row r="142" spans="2:13" s="16" customFormat="1" x14ac:dyDescent="0.2">
      <c r="B142" s="468" t="s">
        <v>536</v>
      </c>
      <c r="C142" s="271"/>
      <c r="D142" s="271"/>
      <c r="E142" s="271"/>
      <c r="F142" s="271"/>
      <c r="G142" s="271"/>
      <c r="H142" s="271"/>
      <c r="I142" s="271"/>
      <c r="J142" s="471"/>
      <c r="K142" s="271"/>
      <c r="L142" s="271"/>
      <c r="M142" s="271"/>
    </row>
    <row r="143" spans="2:13" s="16" customFormat="1" x14ac:dyDescent="0.2">
      <c r="B143" s="468" t="s">
        <v>541</v>
      </c>
      <c r="C143" s="271"/>
      <c r="D143" s="271"/>
      <c r="E143" s="271"/>
      <c r="F143" s="271"/>
      <c r="G143" s="271"/>
      <c r="H143" s="271"/>
      <c r="I143" s="271"/>
      <c r="J143" s="471"/>
      <c r="K143" s="271"/>
      <c r="L143" s="271"/>
      <c r="M143" s="271"/>
    </row>
    <row r="144" spans="2:13" s="16" customFormat="1" x14ac:dyDescent="0.2">
      <c r="B144" s="474" t="s">
        <v>537</v>
      </c>
      <c r="C144" s="271"/>
      <c r="D144" s="271"/>
      <c r="E144" s="271"/>
      <c r="F144" s="271"/>
      <c r="G144" s="271"/>
      <c r="H144" s="271"/>
      <c r="I144" s="271"/>
      <c r="J144" s="471"/>
      <c r="K144" s="271"/>
      <c r="L144" s="271"/>
      <c r="M144" s="271"/>
    </row>
    <row r="145" spans="2:13" s="16" customFormat="1" x14ac:dyDescent="0.2">
      <c r="B145" s="474" t="s">
        <v>538</v>
      </c>
      <c r="C145" s="271"/>
      <c r="D145" s="271"/>
      <c r="E145" s="271"/>
      <c r="F145" s="271"/>
      <c r="G145" s="271"/>
      <c r="H145" s="271"/>
      <c r="I145" s="271"/>
      <c r="J145" s="471"/>
      <c r="K145" s="271"/>
      <c r="L145" s="271"/>
      <c r="M145" s="271"/>
    </row>
    <row r="146" spans="2:13" s="16" customFormat="1" x14ac:dyDescent="0.2">
      <c r="B146" s="474" t="s">
        <v>539</v>
      </c>
      <c r="C146" s="271"/>
      <c r="D146" s="271"/>
      <c r="E146" s="271"/>
      <c r="F146" s="271"/>
      <c r="G146" s="271"/>
      <c r="H146" s="271"/>
      <c r="I146" s="271"/>
      <c r="J146" s="471"/>
      <c r="K146" s="271"/>
      <c r="L146" s="271"/>
      <c r="M146" s="271"/>
    </row>
    <row r="147" spans="2:13" s="16" customFormat="1" x14ac:dyDescent="0.2">
      <c r="B147" s="474" t="s">
        <v>540</v>
      </c>
      <c r="C147" s="271"/>
      <c r="D147" s="271"/>
      <c r="E147" s="271"/>
      <c r="F147" s="271"/>
      <c r="G147" s="271"/>
      <c r="H147" s="271"/>
      <c r="I147" s="271"/>
      <c r="J147" s="471"/>
      <c r="K147" s="271"/>
      <c r="L147" s="271"/>
      <c r="M147" s="271"/>
    </row>
    <row r="148" spans="2:13" s="16" customFormat="1" x14ac:dyDescent="0.2">
      <c r="B148" s="468"/>
      <c r="C148" s="271"/>
      <c r="D148" s="271"/>
      <c r="E148" s="271"/>
      <c r="F148" s="271"/>
      <c r="G148" s="271"/>
      <c r="H148" s="271"/>
      <c r="I148" s="271"/>
      <c r="J148" s="471"/>
      <c r="K148" s="271"/>
      <c r="L148" s="271"/>
      <c r="M148" s="271"/>
    </row>
    <row r="149" spans="2:13" s="16" customFormat="1" x14ac:dyDescent="0.2">
      <c r="B149" s="467" t="s">
        <v>519</v>
      </c>
      <c r="C149" s="271"/>
      <c r="D149" s="271"/>
      <c r="E149" s="271"/>
      <c r="F149" s="271"/>
      <c r="G149" s="271"/>
      <c r="H149" s="271"/>
      <c r="I149" s="271"/>
      <c r="J149" s="471"/>
      <c r="K149" s="271"/>
      <c r="L149" s="271"/>
      <c r="M149" s="271"/>
    </row>
    <row r="150" spans="2:13" s="16" customFormat="1" x14ac:dyDescent="0.2">
      <c r="B150" s="468" t="s">
        <v>521</v>
      </c>
      <c r="C150" s="271"/>
      <c r="D150" s="271"/>
      <c r="E150" s="271"/>
      <c r="F150" s="271"/>
      <c r="G150" s="271"/>
      <c r="H150" s="271"/>
      <c r="I150" s="271"/>
      <c r="J150" s="471"/>
      <c r="K150" s="271"/>
      <c r="L150" s="271"/>
      <c r="M150" s="271"/>
    </row>
    <row r="151" spans="2:13" s="16" customFormat="1" x14ac:dyDescent="0.2">
      <c r="B151" s="468" t="s">
        <v>526</v>
      </c>
      <c r="C151" s="271"/>
      <c r="D151" s="271"/>
      <c r="E151" s="271"/>
      <c r="F151" s="271"/>
      <c r="G151" s="271"/>
      <c r="H151" s="271"/>
      <c r="I151" s="271"/>
      <c r="J151" s="471"/>
      <c r="K151" s="271"/>
      <c r="L151" s="271"/>
      <c r="M151" s="271"/>
    </row>
    <row r="152" spans="2:13" s="16" customFormat="1" x14ac:dyDescent="0.2">
      <c r="B152" s="468" t="s">
        <v>527</v>
      </c>
      <c r="C152" s="271"/>
      <c r="D152" s="271"/>
      <c r="E152" s="271"/>
      <c r="F152" s="271"/>
      <c r="G152" s="271"/>
      <c r="H152" s="271"/>
      <c r="I152" s="271"/>
      <c r="J152" s="471"/>
      <c r="K152" s="271"/>
      <c r="L152" s="271"/>
      <c r="M152" s="271"/>
    </row>
    <row r="153" spans="2:13" s="16" customFormat="1" x14ac:dyDescent="0.2">
      <c r="B153" s="468" t="s">
        <v>528</v>
      </c>
      <c r="C153" s="271"/>
      <c r="D153" s="271"/>
      <c r="E153" s="271"/>
      <c r="F153" s="271"/>
      <c r="G153" s="271"/>
      <c r="H153" s="271"/>
      <c r="I153" s="271"/>
      <c r="J153" s="471"/>
      <c r="K153" s="271"/>
      <c r="L153" s="271"/>
      <c r="M153" s="271"/>
    </row>
    <row r="154" spans="2:13" s="16" customFormat="1" x14ac:dyDescent="0.2">
      <c r="B154" s="468" t="s">
        <v>531</v>
      </c>
      <c r="C154" s="271"/>
      <c r="D154" s="271"/>
      <c r="E154" s="271"/>
      <c r="F154" s="271"/>
      <c r="G154" s="271"/>
      <c r="H154" s="271"/>
      <c r="I154" s="271"/>
      <c r="J154" s="471"/>
      <c r="K154" s="271"/>
      <c r="L154" s="271"/>
      <c r="M154" s="271"/>
    </row>
    <row r="155" spans="2:13" s="16" customFormat="1" x14ac:dyDescent="0.2">
      <c r="B155" s="471"/>
      <c r="C155" s="271"/>
      <c r="D155" s="271"/>
      <c r="E155" s="271"/>
      <c r="F155" s="271"/>
      <c r="G155" s="271"/>
      <c r="H155" s="271"/>
      <c r="I155" s="271"/>
      <c r="J155" s="471"/>
      <c r="K155" s="271"/>
      <c r="L155" s="271"/>
      <c r="M155" s="271"/>
    </row>
    <row r="156" spans="2:13" s="16" customFormat="1" x14ac:dyDescent="0.2">
      <c r="B156" s="467" t="s">
        <v>508</v>
      </c>
      <c r="C156" s="271"/>
      <c r="D156" s="271"/>
      <c r="E156" s="271"/>
      <c r="F156" s="271"/>
      <c r="G156" s="271"/>
      <c r="H156" s="271"/>
      <c r="I156" s="271"/>
      <c r="J156" s="471"/>
      <c r="K156" s="271"/>
      <c r="L156" s="271"/>
      <c r="M156" s="271"/>
    </row>
    <row r="157" spans="2:13" s="16" customFormat="1" x14ac:dyDescent="0.2">
      <c r="B157" s="468" t="s">
        <v>501</v>
      </c>
      <c r="C157" s="271"/>
      <c r="D157" s="271"/>
      <c r="E157" s="271"/>
      <c r="F157" s="271"/>
      <c r="G157" s="271"/>
      <c r="H157" s="271"/>
      <c r="I157" s="271"/>
      <c r="J157" s="471"/>
      <c r="K157" s="271"/>
      <c r="L157" s="271"/>
      <c r="M157" s="271"/>
    </row>
    <row r="158" spans="2:13" s="16" customFormat="1" x14ac:dyDescent="0.2">
      <c r="B158" s="468" t="s">
        <v>502</v>
      </c>
      <c r="C158" s="271"/>
      <c r="D158" s="271"/>
      <c r="E158" s="271"/>
      <c r="F158" s="271"/>
      <c r="G158" s="271"/>
      <c r="H158" s="271"/>
      <c r="I158" s="271"/>
      <c r="J158" s="471"/>
      <c r="K158" s="271"/>
      <c r="L158" s="271"/>
      <c r="M158" s="271"/>
    </row>
    <row r="159" spans="2:13" s="16" customFormat="1" x14ac:dyDescent="0.2">
      <c r="B159" s="468" t="s">
        <v>507</v>
      </c>
      <c r="C159" s="271"/>
      <c r="D159" s="271"/>
      <c r="E159" s="271"/>
      <c r="F159" s="271"/>
      <c r="G159" s="271"/>
      <c r="H159" s="271"/>
      <c r="I159" s="271"/>
      <c r="J159" s="471"/>
      <c r="K159" s="271"/>
      <c r="L159" s="271"/>
      <c r="M159" s="271"/>
    </row>
    <row r="160" spans="2:13" s="16" customFormat="1" x14ac:dyDescent="0.2">
      <c r="B160" s="467"/>
      <c r="C160" s="271"/>
      <c r="D160" s="271"/>
      <c r="E160" s="271"/>
      <c r="F160" s="271"/>
      <c r="G160" s="271"/>
      <c r="H160" s="271"/>
      <c r="I160" s="271"/>
      <c r="J160" s="471"/>
      <c r="K160" s="271"/>
      <c r="L160" s="271"/>
      <c r="M160" s="271"/>
    </row>
    <row r="161" spans="2:13" s="16" customFormat="1" x14ac:dyDescent="0.2">
      <c r="B161" s="468"/>
      <c r="C161" s="271"/>
      <c r="D161" s="271"/>
      <c r="E161" s="271"/>
      <c r="F161" s="271"/>
      <c r="G161" s="271"/>
      <c r="H161" s="271"/>
      <c r="I161" s="271"/>
      <c r="J161" s="471"/>
      <c r="K161" s="271"/>
      <c r="L161" s="271"/>
      <c r="M161" s="271"/>
    </row>
    <row r="162" spans="2:13" s="16" customFormat="1" x14ac:dyDescent="0.2">
      <c r="B162" s="468"/>
      <c r="C162" s="271"/>
      <c r="D162" s="271"/>
      <c r="E162" s="271"/>
      <c r="F162" s="271"/>
      <c r="G162" s="271"/>
      <c r="H162" s="271"/>
      <c r="I162" s="271"/>
      <c r="J162" s="471"/>
      <c r="K162" s="271"/>
      <c r="L162" s="271"/>
      <c r="M162" s="271"/>
    </row>
    <row r="163" spans="2:13" s="16" customFormat="1" x14ac:dyDescent="0.2">
      <c r="B163" s="474"/>
      <c r="C163" s="271"/>
      <c r="D163" s="271"/>
      <c r="E163" s="271"/>
      <c r="F163" s="271"/>
      <c r="G163" s="271"/>
      <c r="H163" s="271"/>
      <c r="I163" s="271"/>
      <c r="J163" s="471"/>
      <c r="K163" s="271"/>
      <c r="L163" s="271"/>
      <c r="M163" s="271"/>
    </row>
    <row r="164" spans="2:13" s="16" customFormat="1" x14ac:dyDescent="0.2">
      <c r="B164" s="474"/>
      <c r="C164" s="271"/>
      <c r="D164" s="271"/>
      <c r="E164" s="271"/>
      <c r="F164" s="271"/>
      <c r="G164" s="271"/>
      <c r="H164" s="271"/>
      <c r="I164" s="271"/>
      <c r="J164" s="471"/>
      <c r="K164" s="271"/>
      <c r="L164" s="271"/>
      <c r="M164" s="271"/>
    </row>
    <row r="165" spans="2:13" s="16" customFormat="1" x14ac:dyDescent="0.2">
      <c r="B165" s="474"/>
      <c r="C165" s="271"/>
      <c r="D165" s="271"/>
      <c r="E165" s="271"/>
      <c r="F165" s="271"/>
      <c r="G165" s="271"/>
      <c r="H165" s="271"/>
      <c r="I165" s="271"/>
      <c r="J165" s="471"/>
      <c r="K165" s="271"/>
      <c r="L165" s="271"/>
      <c r="M165" s="271"/>
    </row>
    <row r="166" spans="2:13" s="16" customFormat="1" x14ac:dyDescent="0.2">
      <c r="B166" s="468"/>
      <c r="C166" s="271"/>
      <c r="D166" s="271"/>
      <c r="E166" s="271"/>
      <c r="F166" s="271"/>
      <c r="G166" s="271"/>
      <c r="H166" s="271"/>
      <c r="I166" s="271"/>
      <c r="J166" s="471"/>
      <c r="K166" s="271"/>
      <c r="L166" s="271"/>
      <c r="M166" s="271"/>
    </row>
    <row r="167" spans="2:13" s="16" customFormat="1" x14ac:dyDescent="0.2">
      <c r="B167" s="467"/>
      <c r="C167" s="271"/>
      <c r="D167" s="271"/>
      <c r="E167" s="271"/>
      <c r="F167" s="271"/>
      <c r="G167" s="271"/>
      <c r="H167" s="271"/>
      <c r="I167" s="271"/>
      <c r="J167" s="471"/>
      <c r="K167" s="271"/>
      <c r="L167" s="271"/>
      <c r="M167" s="271"/>
    </row>
    <row r="168" spans="2:13" s="16" customFormat="1" x14ac:dyDescent="0.2">
      <c r="B168" s="468"/>
      <c r="C168" s="271"/>
      <c r="D168" s="271"/>
      <c r="E168" s="271"/>
      <c r="F168" s="271"/>
      <c r="G168" s="271"/>
      <c r="H168" s="271"/>
      <c r="I168" s="271"/>
      <c r="J168" s="471"/>
      <c r="K168" s="271"/>
      <c r="L168" s="271"/>
      <c r="M168" s="271"/>
    </row>
    <row r="169" spans="2:13" s="16" customFormat="1" x14ac:dyDescent="0.2">
      <c r="B169" s="468"/>
      <c r="C169" s="271"/>
      <c r="D169" s="271"/>
      <c r="E169" s="271"/>
      <c r="F169" s="271"/>
      <c r="G169" s="271"/>
      <c r="H169" s="271"/>
      <c r="I169" s="271"/>
      <c r="J169" s="471"/>
      <c r="K169" s="271"/>
      <c r="L169" s="271"/>
      <c r="M169" s="271"/>
    </row>
    <row r="170" spans="2:13" s="16" customFormat="1" x14ac:dyDescent="0.2">
      <c r="B170" s="474"/>
      <c r="C170" s="271"/>
      <c r="D170" s="271"/>
      <c r="E170" s="271"/>
      <c r="F170" s="271"/>
      <c r="G170" s="271"/>
      <c r="H170" s="271"/>
      <c r="I170" s="271"/>
      <c r="J170" s="471"/>
      <c r="K170" s="271"/>
      <c r="L170" s="271"/>
      <c r="M170" s="271"/>
    </row>
    <row r="171" spans="2:13" s="16" customFormat="1" x14ac:dyDescent="0.2">
      <c r="B171" s="474"/>
      <c r="C171" s="271"/>
      <c r="D171" s="271"/>
      <c r="E171" s="271"/>
      <c r="F171" s="271"/>
      <c r="G171" s="271"/>
      <c r="H171" s="271"/>
      <c r="I171" s="271"/>
      <c r="J171" s="471"/>
      <c r="K171" s="271"/>
      <c r="L171" s="271"/>
      <c r="M171" s="271"/>
    </row>
    <row r="172" spans="2:13" s="16" customFormat="1" x14ac:dyDescent="0.2">
      <c r="B172" s="474"/>
      <c r="C172" s="271"/>
      <c r="D172" s="271"/>
      <c r="E172" s="271"/>
      <c r="F172" s="271"/>
      <c r="G172" s="271"/>
      <c r="H172" s="271"/>
      <c r="I172" s="271"/>
      <c r="J172" s="471"/>
      <c r="K172" s="271"/>
      <c r="L172" s="271"/>
      <c r="M172" s="271"/>
    </row>
    <row r="173" spans="2:13" s="16" customFormat="1" x14ac:dyDescent="0.2">
      <c r="B173" s="474"/>
      <c r="C173" s="271"/>
      <c r="D173" s="271"/>
      <c r="E173" s="271"/>
      <c r="F173" s="271"/>
      <c r="G173" s="271"/>
      <c r="H173" s="271"/>
      <c r="I173" s="271"/>
      <c r="J173" s="471"/>
      <c r="K173" s="271"/>
      <c r="L173" s="271"/>
      <c r="M173" s="271"/>
    </row>
    <row r="174" spans="2:13" s="16" customFormat="1" x14ac:dyDescent="0.2">
      <c r="B174" s="468"/>
      <c r="C174" s="271"/>
      <c r="D174" s="271"/>
      <c r="E174" s="271"/>
      <c r="F174" s="271"/>
      <c r="G174" s="271"/>
      <c r="H174" s="271"/>
      <c r="I174" s="271"/>
      <c r="J174" s="471"/>
      <c r="K174" s="271"/>
      <c r="L174" s="271"/>
      <c r="M174" s="271"/>
    </row>
    <row r="175" spans="2:13" s="16" customFormat="1" x14ac:dyDescent="0.2">
      <c r="B175" s="468"/>
      <c r="C175" s="271"/>
      <c r="D175" s="271"/>
      <c r="E175" s="271"/>
      <c r="F175" s="271"/>
      <c r="G175" s="271"/>
      <c r="H175" s="271"/>
      <c r="I175" s="271"/>
      <c r="J175" s="471"/>
      <c r="K175" s="271"/>
      <c r="L175" s="271"/>
      <c r="M175" s="271"/>
    </row>
    <row r="176" spans="2:13" s="16" customFormat="1" x14ac:dyDescent="0.2">
      <c r="B176" s="467"/>
      <c r="C176" s="271"/>
      <c r="D176" s="271"/>
      <c r="E176" s="271"/>
      <c r="F176" s="271"/>
      <c r="G176" s="271"/>
      <c r="H176" s="271"/>
      <c r="I176" s="271"/>
      <c r="J176" s="471"/>
      <c r="K176" s="271"/>
      <c r="L176" s="271"/>
      <c r="M176" s="271"/>
    </row>
    <row r="177" spans="2:13" s="16" customFormat="1" x14ac:dyDescent="0.2">
      <c r="B177" s="468"/>
      <c r="C177" s="271"/>
      <c r="D177" s="271"/>
      <c r="E177" s="271"/>
      <c r="F177" s="271"/>
      <c r="G177" s="271"/>
      <c r="H177" s="271"/>
      <c r="I177" s="271"/>
      <c r="J177" s="471"/>
      <c r="K177" s="271"/>
      <c r="L177" s="271"/>
      <c r="M177" s="271"/>
    </row>
    <row r="178" spans="2:13" s="16" customFormat="1" x14ac:dyDescent="0.2">
      <c r="B178" s="468"/>
      <c r="C178" s="271"/>
      <c r="D178" s="271"/>
      <c r="E178" s="271"/>
      <c r="F178" s="271"/>
      <c r="G178" s="271"/>
      <c r="H178" s="271"/>
      <c r="I178" s="271"/>
      <c r="J178" s="471"/>
      <c r="K178" s="271"/>
      <c r="L178" s="271"/>
      <c r="M178" s="271"/>
    </row>
    <row r="179" spans="2:13" s="16" customFormat="1" x14ac:dyDescent="0.2">
      <c r="B179" s="468"/>
      <c r="C179" s="271"/>
      <c r="D179" s="271"/>
      <c r="E179" s="271"/>
      <c r="F179" s="271"/>
      <c r="G179" s="271"/>
      <c r="H179" s="271"/>
      <c r="I179" s="271"/>
      <c r="J179" s="471"/>
      <c r="K179" s="271"/>
      <c r="L179" s="271"/>
      <c r="M179" s="271"/>
    </row>
    <row r="180" spans="2:13" s="16" customFormat="1" x14ac:dyDescent="0.2">
      <c r="B180" s="468"/>
      <c r="C180" s="271"/>
      <c r="D180" s="271"/>
      <c r="E180" s="271"/>
      <c r="F180" s="271"/>
      <c r="G180" s="271"/>
      <c r="H180" s="271"/>
      <c r="I180" s="271"/>
      <c r="J180" s="471"/>
      <c r="K180" s="271"/>
      <c r="L180" s="271"/>
      <c r="M180" s="271"/>
    </row>
    <row r="181" spans="2:13" s="16" customFormat="1" x14ac:dyDescent="0.2">
      <c r="B181" s="468"/>
      <c r="C181" s="271"/>
      <c r="D181" s="271"/>
      <c r="E181" s="271"/>
      <c r="F181" s="271"/>
      <c r="G181" s="271"/>
      <c r="H181" s="271"/>
      <c r="I181" s="271"/>
      <c r="J181" s="471"/>
      <c r="K181" s="271"/>
      <c r="L181" s="271"/>
      <c r="M181" s="271"/>
    </row>
    <row r="182" spans="2:13" s="16" customFormat="1" x14ac:dyDescent="0.2">
      <c r="B182" s="471"/>
      <c r="C182" s="271"/>
      <c r="D182" s="271"/>
      <c r="E182" s="271"/>
      <c r="F182" s="271"/>
      <c r="G182" s="271"/>
      <c r="H182" s="271"/>
      <c r="I182" s="271"/>
      <c r="J182" s="471"/>
      <c r="K182" s="271"/>
      <c r="L182" s="271"/>
      <c r="M182" s="271"/>
    </row>
    <row r="183" spans="2:13" x14ac:dyDescent="0.2">
      <c r="B183" s="467"/>
    </row>
    <row r="188" spans="2:13" x14ac:dyDescent="0.2">
      <c r="B188" s="469"/>
    </row>
  </sheetData>
  <mergeCells count="4">
    <mergeCell ref="J14:M14"/>
    <mergeCell ref="B5:D5"/>
    <mergeCell ref="B13:M13"/>
    <mergeCell ref="B12:M12"/>
  </mergeCells>
  <hyperlinks>
    <hyperlink ref="B5" r:id="rId1" xr:uid="{B1451EAA-133E-4D35-B158-1A8B51A425F9}"/>
    <hyperlink ref="H10" r:id="rId2" xr:uid="{7E64E30D-B343-40E6-83A1-EF403EE4E0B9}"/>
    <hyperlink ref="B13:M13" r:id="rId3" display="https://www.adventuresincre.com/accelerator/" xr:uid="{B21DDB5C-EF47-4F8A-A113-81F500C064C0}"/>
    <hyperlink ref="J14" r:id="rId4" xr:uid="{26DBD333-1594-4BC3-AF18-594180483AFD}"/>
    <hyperlink ref="H7" r:id="rId5" xr:uid="{E5BF4B90-E5F5-4203-9BDF-64DA4A79E9E0}"/>
    <hyperlink ref="H8" r:id="rId6" xr:uid="{FFD35F32-7C39-4533-8EC0-7B8FE07EC5F1}"/>
    <hyperlink ref="H5" r:id="rId7" display="New to Our Models? Read our Best Practices Guide Now" xr:uid="{F938DBAF-44ED-45A0-AC9D-8B767B6A5AF7}"/>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tint="0.79998168889431442"/>
    <pageSetUpPr fitToPage="1"/>
  </sheetPr>
  <dimension ref="A1:AB87"/>
  <sheetViews>
    <sheetView showGridLines="0" showRowColHeaders="0" view="pageBreakPreview" zoomScaleNormal="100" zoomScaleSheetLayoutView="100" workbookViewId="0"/>
  </sheetViews>
  <sheetFormatPr defaultColWidth="0" defaultRowHeight="14.25" zeroHeight="1" x14ac:dyDescent="0.2"/>
  <cols>
    <col min="1" max="1" width="0.875" customWidth="1"/>
    <col min="2" max="5" width="8.625" customWidth="1"/>
    <col min="6" max="16" width="9" customWidth="1"/>
    <col min="17" max="17" width="0.875" customWidth="1"/>
    <col min="18" max="27" width="9" hidden="1" customWidth="1"/>
    <col min="28" max="28" width="0" hidden="1" customWidth="1"/>
    <col min="29" max="16384" width="9" hidden="1"/>
  </cols>
  <sheetData>
    <row r="1" spans="2:16" ht="5.0999999999999996" customHeight="1" x14ac:dyDescent="0.2"/>
    <row r="2" spans="2:16" ht="15.75" x14ac:dyDescent="0.25">
      <c r="B2" s="337" t="str">
        <f>Underwriting!B2</f>
        <v>[INVESTMENT NAME]</v>
      </c>
      <c r="C2" s="338"/>
      <c r="D2" s="338"/>
      <c r="E2" s="338"/>
      <c r="F2" s="338"/>
      <c r="G2" s="338"/>
      <c r="H2" s="338"/>
      <c r="I2" s="338"/>
      <c r="J2" s="338"/>
      <c r="K2" s="338"/>
      <c r="L2" s="338"/>
      <c r="M2" s="338"/>
      <c r="N2" s="338"/>
      <c r="O2" s="338"/>
      <c r="P2" s="339" t="str">
        <f>UPPER(Underwriting!I2)</f>
        <v>[ENTER COMPANY NAME]</v>
      </c>
    </row>
    <row r="3" spans="2:16" s="4" customFormat="1" ht="12.75" x14ac:dyDescent="0.2">
      <c r="B3" s="340" t="str">
        <f>Underwriting!E11&amp;", "&amp;Underwriting!I10</f>
        <v>[City], [State]</v>
      </c>
      <c r="C3" s="341"/>
      <c r="D3" s="341"/>
      <c r="E3" s="341"/>
      <c r="F3" s="341"/>
      <c r="G3" s="341"/>
      <c r="H3" s="341"/>
      <c r="I3" s="341"/>
      <c r="J3" s="341"/>
      <c r="K3" s="341"/>
      <c r="L3" s="342"/>
      <c r="M3" s="342"/>
      <c r="N3" s="342"/>
      <c r="O3" s="342"/>
      <c r="P3" s="343" t="str">
        <f>"ANALYSIS START - "&amp;UPPER(TEXT(Underwriting!E13,"MMM YYYY"))</f>
        <v>ANALYSIS START - JAN 2022</v>
      </c>
    </row>
    <row r="4" spans="2:16" s="4" customFormat="1" ht="12.75" x14ac:dyDescent="0.2">
      <c r="B4" s="344" t="s">
        <v>0</v>
      </c>
      <c r="C4" s="345"/>
      <c r="D4" s="345"/>
      <c r="E4" s="345"/>
      <c r="F4" s="345"/>
      <c r="G4" s="345"/>
      <c r="H4" s="345"/>
      <c r="I4" s="345"/>
      <c r="J4" s="345"/>
      <c r="K4" s="345"/>
      <c r="L4" s="346"/>
      <c r="M4" s="346"/>
      <c r="N4" s="346"/>
      <c r="O4" s="346"/>
      <c r="P4" s="347"/>
    </row>
    <row r="5" spans="2:16" s="4" customFormat="1" ht="12.75" x14ac:dyDescent="0.2">
      <c r="B5" s="276" t="s">
        <v>4</v>
      </c>
      <c r="C5" s="277"/>
      <c r="D5" s="311"/>
      <c r="E5" s="312" t="str">
        <f>Underwriting!E10&amp;", "&amp;Underwriting!E11&amp;" "&amp;Underwriting!I10</f>
        <v>[Street Address], [City] [State]</v>
      </c>
      <c r="F5" s="323" t="s">
        <v>421</v>
      </c>
      <c r="G5" s="277"/>
      <c r="H5" s="277"/>
      <c r="I5" s="277"/>
      <c r="J5" s="277"/>
      <c r="K5" s="278"/>
      <c r="L5" s="621" t="s">
        <v>444</v>
      </c>
      <c r="M5" s="622"/>
      <c r="N5" s="622"/>
      <c r="O5" s="622"/>
      <c r="P5" s="623"/>
    </row>
    <row r="6" spans="2:16" s="4" customFormat="1" ht="12.75" x14ac:dyDescent="0.2">
      <c r="B6" s="281" t="s">
        <v>13</v>
      </c>
      <c r="C6" s="272"/>
      <c r="D6" s="273"/>
      <c r="E6" s="313">
        <f>Units</f>
        <v>300</v>
      </c>
      <c r="F6" s="324" t="s">
        <v>426</v>
      </c>
      <c r="G6" s="267"/>
      <c r="H6" s="267"/>
      <c r="I6" s="267"/>
      <c r="J6" s="267"/>
      <c r="K6" s="325"/>
      <c r="L6" s="624"/>
      <c r="M6" s="625"/>
      <c r="N6" s="625"/>
      <c r="O6" s="625"/>
      <c r="P6" s="626"/>
    </row>
    <row r="7" spans="2:16" s="4" customFormat="1" ht="12.75" x14ac:dyDescent="0.2">
      <c r="B7" s="314" t="str">
        <f>"NRA ("&amp;Unit_Type&amp;")"</f>
        <v>NRA (SF)</v>
      </c>
      <c r="C7" s="272"/>
      <c r="D7" s="273"/>
      <c r="E7" s="466">
        <f>Units_SF_M2</f>
        <v>255000</v>
      </c>
      <c r="F7" s="326" t="s">
        <v>427</v>
      </c>
      <c r="G7" s="268"/>
      <c r="H7" s="268"/>
      <c r="I7" s="268"/>
      <c r="J7" s="268"/>
      <c r="K7" s="327"/>
      <c r="L7" s="624"/>
      <c r="M7" s="625"/>
      <c r="N7" s="625"/>
      <c r="O7" s="625"/>
      <c r="P7" s="626"/>
    </row>
    <row r="8" spans="2:16" s="4" customFormat="1" ht="12.75" x14ac:dyDescent="0.2">
      <c r="B8" s="281" t="s">
        <v>9</v>
      </c>
      <c r="C8" s="271"/>
      <c r="D8" s="274"/>
      <c r="E8" s="315">
        <f>Underwriting!E15</f>
        <v>4.5</v>
      </c>
      <c r="F8" s="326" t="s">
        <v>428</v>
      </c>
      <c r="G8" s="268"/>
      <c r="H8" s="268"/>
      <c r="I8" s="268"/>
      <c r="J8" s="268"/>
      <c r="K8" s="327"/>
      <c r="L8" s="624"/>
      <c r="M8" s="625"/>
      <c r="N8" s="625"/>
      <c r="O8" s="625"/>
      <c r="P8" s="626"/>
    </row>
    <row r="9" spans="2:16" s="4" customFormat="1" ht="12.75" x14ac:dyDescent="0.2">
      <c r="B9" s="281" t="s">
        <v>425</v>
      </c>
      <c r="C9" s="272"/>
      <c r="D9" s="273"/>
      <c r="E9" s="316" t="str">
        <f>IF(Underwriting!I15=1,Underwriting!I15&amp;" Bldg",Underwriting!I15&amp;" Bldgs")</f>
        <v>1 Bldg</v>
      </c>
      <c r="F9" s="326" t="s">
        <v>429</v>
      </c>
      <c r="G9" s="268"/>
      <c r="H9" s="268"/>
      <c r="I9" s="268"/>
      <c r="J9" s="268"/>
      <c r="K9" s="327"/>
      <c r="L9" s="624"/>
      <c r="M9" s="625"/>
      <c r="N9" s="625"/>
      <c r="O9" s="625"/>
      <c r="P9" s="626"/>
    </row>
    <row r="10" spans="2:16" s="4" customFormat="1" ht="12.75" x14ac:dyDescent="0.2">
      <c r="B10" s="314" t="s">
        <v>424</v>
      </c>
      <c r="C10" s="272"/>
      <c r="D10" s="274"/>
      <c r="E10" s="317" t="str">
        <f>Underwriting!I16&amp;"-Story"</f>
        <v>4-Story</v>
      </c>
      <c r="F10" s="326" t="s">
        <v>430</v>
      </c>
      <c r="G10" s="268"/>
      <c r="H10" s="268"/>
      <c r="I10" s="268"/>
      <c r="J10" s="268"/>
      <c r="K10" s="327"/>
      <c r="L10" s="624"/>
      <c r="M10" s="625"/>
      <c r="N10" s="625"/>
      <c r="O10" s="625"/>
      <c r="P10" s="626"/>
    </row>
    <row r="11" spans="2:16" s="4" customFormat="1" ht="12.75" x14ac:dyDescent="0.2">
      <c r="B11" s="281" t="s">
        <v>438</v>
      </c>
      <c r="C11" s="271"/>
      <c r="D11" s="274"/>
      <c r="E11" s="318">
        <f>Parking_Total</f>
        <v>340</v>
      </c>
      <c r="F11" s="326" t="s">
        <v>431</v>
      </c>
      <c r="G11" s="268"/>
      <c r="H11" s="268"/>
      <c r="I11" s="268"/>
      <c r="J11" s="268"/>
      <c r="K11" s="327"/>
      <c r="L11" s="624"/>
      <c r="M11" s="625"/>
      <c r="N11" s="625"/>
      <c r="O11" s="625"/>
      <c r="P11" s="626"/>
    </row>
    <row r="12" spans="2:16" s="4" customFormat="1" ht="12.75" x14ac:dyDescent="0.2">
      <c r="B12" s="281" t="s">
        <v>17</v>
      </c>
      <c r="C12" s="271"/>
      <c r="D12" s="274"/>
      <c r="E12" s="319">
        <f>Underwriting!E20</f>
        <v>1.1333333333333333</v>
      </c>
      <c r="F12" s="328" t="s">
        <v>422</v>
      </c>
      <c r="G12" s="271"/>
      <c r="H12" s="271"/>
      <c r="I12" s="271"/>
      <c r="J12" s="271"/>
      <c r="K12" s="280"/>
      <c r="L12" s="624"/>
      <c r="M12" s="625"/>
      <c r="N12" s="625"/>
      <c r="O12" s="625"/>
      <c r="P12" s="626"/>
    </row>
    <row r="13" spans="2:16" s="4" customFormat="1" ht="12.75" x14ac:dyDescent="0.2">
      <c r="B13" s="281" t="s">
        <v>439</v>
      </c>
      <c r="C13" s="271"/>
      <c r="D13" s="275">
        <v>1</v>
      </c>
      <c r="E13" s="320">
        <f>Underwriting!E13</f>
        <v>44562</v>
      </c>
      <c r="F13" s="324" t="s">
        <v>432</v>
      </c>
      <c r="G13" s="267"/>
      <c r="H13" s="267"/>
      <c r="I13" s="267"/>
      <c r="J13" s="267"/>
      <c r="K13" s="325"/>
      <c r="L13" s="624"/>
      <c r="M13" s="625"/>
      <c r="N13" s="625"/>
      <c r="O13" s="625"/>
      <c r="P13" s="626"/>
    </row>
    <row r="14" spans="2:16" s="4" customFormat="1" ht="12.75" x14ac:dyDescent="0.2">
      <c r="B14" s="281" t="s">
        <v>440</v>
      </c>
      <c r="C14" s="271"/>
      <c r="D14" s="275">
        <v>1</v>
      </c>
      <c r="E14" s="320">
        <f>Underwriting!E13</f>
        <v>44562</v>
      </c>
      <c r="F14" s="326" t="s">
        <v>433</v>
      </c>
      <c r="G14" s="268"/>
      <c r="H14" s="268"/>
      <c r="I14" s="268"/>
      <c r="J14" s="268"/>
      <c r="K14" s="327"/>
      <c r="L14" s="624"/>
      <c r="M14" s="625"/>
      <c r="N14" s="625"/>
      <c r="O14" s="625"/>
      <c r="P14" s="626"/>
    </row>
    <row r="15" spans="2:16" s="4" customFormat="1" ht="12.75" x14ac:dyDescent="0.2">
      <c r="B15" s="281" t="s">
        <v>442</v>
      </c>
      <c r="C15" s="271"/>
      <c r="D15" s="275">
        <f>Timing_Construction_End</f>
        <v>18</v>
      </c>
      <c r="E15" s="320">
        <f>INDEX(Underwriting!$M$83:$EN$83,1,MATCH(Timing_Construction_End,Underwriting!$M$82:$EN$82,0))</f>
        <v>45107</v>
      </c>
      <c r="F15" s="326" t="s">
        <v>434</v>
      </c>
      <c r="G15" s="268"/>
      <c r="H15" s="268"/>
      <c r="I15" s="268"/>
      <c r="J15" s="268"/>
      <c r="K15" s="327"/>
      <c r="L15" s="624"/>
      <c r="M15" s="625"/>
      <c r="N15" s="625"/>
      <c r="O15" s="625"/>
      <c r="P15" s="626"/>
    </row>
    <row r="16" spans="2:16" s="4" customFormat="1" ht="12.75" x14ac:dyDescent="0.2">
      <c r="B16" s="281" t="s">
        <v>441</v>
      </c>
      <c r="C16" s="271"/>
      <c r="D16" s="275">
        <f>Timing_Operation_Begin_Month</f>
        <v>19</v>
      </c>
      <c r="E16" s="320">
        <f>INDEX(Underwriting!$M$83:$EN$83,1,MATCH(Timing_Operation_Begin_Month,Underwriting!$M$82:$EN$82,0))</f>
        <v>45138</v>
      </c>
      <c r="F16" s="326" t="s">
        <v>435</v>
      </c>
      <c r="G16" s="268"/>
      <c r="H16" s="268"/>
      <c r="I16" s="268"/>
      <c r="J16" s="268"/>
      <c r="K16" s="327"/>
      <c r="L16" s="624"/>
      <c r="M16" s="625"/>
      <c r="N16" s="625"/>
      <c r="O16" s="625"/>
      <c r="P16" s="626"/>
    </row>
    <row r="17" spans="2:16" s="4" customFormat="1" ht="12.75" x14ac:dyDescent="0.2">
      <c r="B17" s="281" t="s">
        <v>443</v>
      </c>
      <c r="C17" s="271"/>
      <c r="D17" s="275">
        <f>Stabilization_1st_Month</f>
        <v>33</v>
      </c>
      <c r="E17" s="320">
        <f>INDEX(Underwriting!$M$83:$EN$83,1,MATCH(Stabilization_1st_Month,Underwriting!$M$82:$EN$82,0))</f>
        <v>45565</v>
      </c>
      <c r="F17" s="326" t="s">
        <v>436</v>
      </c>
      <c r="G17" s="268"/>
      <c r="H17" s="268"/>
      <c r="I17" s="268"/>
      <c r="J17" s="268"/>
      <c r="K17" s="327"/>
      <c r="L17" s="624"/>
      <c r="M17" s="625"/>
      <c r="N17" s="625"/>
      <c r="O17" s="625"/>
      <c r="P17" s="626"/>
    </row>
    <row r="18" spans="2:16" s="4" customFormat="1" ht="12.75" x14ac:dyDescent="0.2">
      <c r="B18" s="282" t="s">
        <v>19</v>
      </c>
      <c r="C18" s="283"/>
      <c r="D18" s="321">
        <f>Timing_Reversion_Month</f>
        <v>45</v>
      </c>
      <c r="E18" s="322">
        <f>INDEX(Underwriting!$M$83:$EN$83,1,MATCH(Timing_Reversion_Month,Underwriting!$M$82:$EN$82,0))</f>
        <v>45930</v>
      </c>
      <c r="F18" s="329" t="s">
        <v>437</v>
      </c>
      <c r="G18" s="330"/>
      <c r="H18" s="330"/>
      <c r="I18" s="330"/>
      <c r="J18" s="330"/>
      <c r="K18" s="331"/>
      <c r="L18" s="627"/>
      <c r="M18" s="628"/>
      <c r="N18" s="628"/>
      <c r="O18" s="628"/>
      <c r="P18" s="629"/>
    </row>
    <row r="19" spans="2:16" x14ac:dyDescent="0.2">
      <c r="B19" s="344" t="s">
        <v>462</v>
      </c>
      <c r="C19" s="345"/>
      <c r="D19" s="345"/>
      <c r="E19" s="345"/>
      <c r="F19" s="345"/>
      <c r="G19" s="345"/>
      <c r="H19" s="345"/>
      <c r="I19" s="348"/>
      <c r="J19" s="348"/>
      <c r="K19" s="348"/>
      <c r="L19" s="346"/>
      <c r="M19" s="346"/>
      <c r="N19" s="349"/>
      <c r="O19" s="349"/>
      <c r="P19" s="350"/>
    </row>
    <row r="20" spans="2:16" s="4" customFormat="1" ht="12.75" x14ac:dyDescent="0.2">
      <c r="B20" s="276" t="s">
        <v>464</v>
      </c>
      <c r="C20" s="277"/>
      <c r="D20" s="277"/>
      <c r="E20" s="277"/>
      <c r="F20" s="312" t="str">
        <f>TEXT(Underwriting!D85,"0.00%")&amp;" / "&amp;TEXT(Underwriting!D114,"0.00%")</f>
        <v>3.00% / 3.00%</v>
      </c>
      <c r="G20" s="589" t="s">
        <v>170</v>
      </c>
      <c r="H20" s="285"/>
      <c r="I20" s="286" t="s">
        <v>459</v>
      </c>
      <c r="J20" s="286" t="s">
        <v>460</v>
      </c>
      <c r="K20" s="287" t="s">
        <v>461</v>
      </c>
      <c r="L20" s="332" t="s">
        <v>446</v>
      </c>
      <c r="M20" s="285"/>
      <c r="N20" s="286" t="s">
        <v>415</v>
      </c>
      <c r="O20" s="286" t="s">
        <v>391</v>
      </c>
      <c r="P20" s="287" t="s">
        <v>195</v>
      </c>
    </row>
    <row r="21" spans="2:16" s="4" customFormat="1" ht="12.75" x14ac:dyDescent="0.2">
      <c r="B21" s="281" t="s">
        <v>465</v>
      </c>
      <c r="C21" s="271"/>
      <c r="D21" s="271"/>
      <c r="E21" s="271"/>
      <c r="F21" s="593" t="str">
        <f>TEXT(Underwriting!G100,"0.00")&amp;" / "&amp;TEXT(Underwriting!H100,"#,##0")</f>
        <v>1.88 / 1,596</v>
      </c>
      <c r="G21" s="272" t="s">
        <v>454</v>
      </c>
      <c r="H21" s="272"/>
      <c r="I21" s="288">
        <f>Underwriting!G163</f>
        <v>6108592.4160000002</v>
      </c>
      <c r="J21" s="288">
        <f ca="1">Underwriting!H163</f>
        <v>6247705.9147973992</v>
      </c>
      <c r="K21" s="333">
        <f ca="1">Underwriting!I163</f>
        <v>6435137.0922413217</v>
      </c>
      <c r="L21" s="281" t="str">
        <f>Underwriting!B223</f>
        <v>[Limited Partner Name]</v>
      </c>
      <c r="M21" s="271"/>
      <c r="N21" s="289">
        <f ca="1">Underwriting!G223</f>
        <v>0.54685400664490957</v>
      </c>
      <c r="O21" s="290">
        <f ca="1">Underwriting!H223</f>
        <v>1.5468540066449099</v>
      </c>
      <c r="P21" s="291">
        <f ca="1">Underwriting!I223</f>
        <v>0.13629054427146911</v>
      </c>
    </row>
    <row r="22" spans="2:16" s="4" customFormat="1" ht="15" x14ac:dyDescent="0.35">
      <c r="B22" s="281" t="s">
        <v>466</v>
      </c>
      <c r="C22" s="271"/>
      <c r="D22" s="271"/>
      <c r="E22" s="271"/>
      <c r="F22" s="594">
        <f>Underwriting!F110</f>
        <v>0.05</v>
      </c>
      <c r="G22" s="590" t="s">
        <v>455</v>
      </c>
      <c r="H22" s="272"/>
      <c r="I22" s="292">
        <f>-Underwriting!G176</f>
        <v>-2733677.6474799998</v>
      </c>
      <c r="J22" s="292">
        <f ca="1">-Underwriting!H176</f>
        <v>-2827498.311050172</v>
      </c>
      <c r="K22" s="334">
        <f ca="1">-Underwriting!I176</f>
        <v>-2912323.2603816772</v>
      </c>
      <c r="L22" s="281" t="str">
        <f>Underwriting!B224</f>
        <v>[General Partner Name]</v>
      </c>
      <c r="M22" s="271"/>
      <c r="N22" s="289">
        <f ca="1">Underwriting!G224</f>
        <v>1.6524051509735154</v>
      </c>
      <c r="O22" s="290">
        <f ca="1">Underwriting!H224</f>
        <v>2.6524051509735158</v>
      </c>
      <c r="P22" s="291">
        <f ca="1">Underwriting!I224</f>
        <v>0.32897186875343332</v>
      </c>
    </row>
    <row r="23" spans="2:16" s="4" customFormat="1" ht="12.75" x14ac:dyDescent="0.2">
      <c r="B23" s="281" t="s">
        <v>467</v>
      </c>
      <c r="C23" s="271"/>
      <c r="D23" s="271"/>
      <c r="E23" s="271"/>
      <c r="F23" s="594">
        <f>Underwriting!G128</f>
        <v>0.44751351233056302</v>
      </c>
      <c r="G23" s="272" t="s">
        <v>456</v>
      </c>
      <c r="H23" s="272"/>
      <c r="I23" s="288">
        <f>I21+I22</f>
        <v>3374914.7685200004</v>
      </c>
      <c r="J23" s="288">
        <f ca="1">J21+J22</f>
        <v>3420207.6037472272</v>
      </c>
      <c r="K23" s="333">
        <f ca="1">K21+K22</f>
        <v>3522813.8318596445</v>
      </c>
      <c r="L23" s="281" t="str">
        <f>Underwriting!B225</f>
        <v/>
      </c>
      <c r="M23" s="271"/>
      <c r="N23" s="289" t="str">
        <f>Underwriting!G225</f>
        <v/>
      </c>
      <c r="O23" s="290" t="str">
        <f>Underwriting!H225</f>
        <v/>
      </c>
      <c r="P23" s="291" t="str">
        <f>Underwriting!I225</f>
        <v/>
      </c>
    </row>
    <row r="24" spans="2:16" s="4" customFormat="1" ht="15" x14ac:dyDescent="0.35">
      <c r="B24" s="281" t="s">
        <v>468</v>
      </c>
      <c r="C24" s="271"/>
      <c r="D24" s="271"/>
      <c r="E24" s="271"/>
      <c r="F24" s="594">
        <f>(-I22-I24+(MAX(Underwriting!$L$48:$EN$48)*12))/I21</f>
        <v>0.85210716338435455</v>
      </c>
      <c r="G24" s="590" t="s">
        <v>457</v>
      </c>
      <c r="H24" s="272"/>
      <c r="I24" s="292">
        <f>-Underwriting!G184</f>
        <v>-60000</v>
      </c>
      <c r="J24" s="292">
        <f ca="1">-Underwriting!H184</f>
        <v>-62109</v>
      </c>
      <c r="K24" s="334">
        <f ca="1">-Underwriting!I184</f>
        <v>-63972.270000000004</v>
      </c>
      <c r="L24" s="297" t="s">
        <v>447</v>
      </c>
      <c r="M24" s="271"/>
      <c r="N24" s="293" t="s">
        <v>415</v>
      </c>
      <c r="O24" s="294" t="s">
        <v>391</v>
      </c>
      <c r="P24" s="295" t="s">
        <v>195</v>
      </c>
    </row>
    <row r="25" spans="2:16" s="4" customFormat="1" ht="12.75" x14ac:dyDescent="0.2">
      <c r="B25" s="281" t="s">
        <v>469</v>
      </c>
      <c r="C25" s="271"/>
      <c r="D25" s="271"/>
      <c r="E25" s="271"/>
      <c r="F25" s="595">
        <f ca="1">Underwriting!E190</f>
        <v>66094697.607271425</v>
      </c>
      <c r="G25" s="591" t="s">
        <v>192</v>
      </c>
      <c r="H25" s="272"/>
      <c r="I25" s="288">
        <f>SUM(I23:I24)</f>
        <v>3314914.7685200004</v>
      </c>
      <c r="J25" s="288">
        <f ca="1">SUM(J23:J24)</f>
        <v>3358098.6037472272</v>
      </c>
      <c r="K25" s="333">
        <f ca="1">SUM(K23:K24)</f>
        <v>3458841.5618596445</v>
      </c>
      <c r="L25" s="281" t="s">
        <v>448</v>
      </c>
      <c r="M25" s="271"/>
      <c r="N25" s="289">
        <f ca="1">Underwriting!I212/Underwriting!I45</f>
        <v>0.30051166426889186</v>
      </c>
      <c r="O25" s="290">
        <f ca="1">Underwriting!G212</f>
        <v>1.2984719861936886</v>
      </c>
      <c r="P25" s="291">
        <f ca="1">Underwriting!H212</f>
        <v>9.2553362250328078E-2</v>
      </c>
    </row>
    <row r="26" spans="2:16" s="4" customFormat="1" ht="15" x14ac:dyDescent="0.35">
      <c r="B26" s="351" t="str">
        <f>IF(Perm_Debt?,"Permanent Loan Payoff","Construction Loan Payoff")</f>
        <v>Construction Loan Payoff</v>
      </c>
      <c r="C26" s="271"/>
      <c r="D26" s="271"/>
      <c r="E26" s="271"/>
      <c r="F26" s="596">
        <f>IF(Perm_Debt?,Underwriting!I79,-Underwriting!I71)</f>
        <v>-43911647.873051375</v>
      </c>
      <c r="G26" s="590" t="s">
        <v>186</v>
      </c>
      <c r="H26" s="271"/>
      <c r="I26" s="296">
        <f>Underwriting!G189</f>
        <v>4.7500000000000001E-2</v>
      </c>
      <c r="J26" s="296">
        <f>Underwriting!H189</f>
        <v>5.1166666666666666E-2</v>
      </c>
      <c r="K26" s="291">
        <f>Underwriting!I189</f>
        <v>5.2499999999999998E-2</v>
      </c>
      <c r="L26" s="281" t="s">
        <v>449</v>
      </c>
      <c r="M26" s="271"/>
      <c r="N26" s="289">
        <f ca="1">Underwriting!I213/Equity_Total</f>
        <v>0.60213156386134048</v>
      </c>
      <c r="O26" s="290">
        <f ca="1">Underwriting!G213</f>
        <v>1.60213156386134</v>
      </c>
      <c r="P26" s="291">
        <f ca="1">Underwriting!H213</f>
        <v>0.14798039793968204</v>
      </c>
    </row>
    <row r="27" spans="2:16" s="4" customFormat="1" ht="12.75" x14ac:dyDescent="0.2">
      <c r="B27" s="281" t="s">
        <v>196</v>
      </c>
      <c r="C27" s="271"/>
      <c r="D27" s="271"/>
      <c r="E27" s="271"/>
      <c r="F27" s="595">
        <f ca="1">Underwriting!E192</f>
        <v>22183049.73422005</v>
      </c>
      <c r="G27" s="591" t="s">
        <v>458</v>
      </c>
      <c r="H27" s="271"/>
      <c r="I27" s="288">
        <f>Underwriting!G191</f>
        <v>71050837.232000008</v>
      </c>
      <c r="J27" s="288">
        <f ca="1">Underwriting!H191</f>
        <v>66844448.281704769</v>
      </c>
      <c r="K27" s="333">
        <f ca="1">Underwriting!I191</f>
        <v>67101215.84494561</v>
      </c>
    </row>
    <row r="28" spans="2:16" s="4" customFormat="1" ht="12.75" x14ac:dyDescent="0.2">
      <c r="B28" s="281" t="str">
        <f>IF(Perm_Debt?=0,"",Underwriting!E140)</f>
        <v/>
      </c>
      <c r="C28" s="271"/>
      <c r="D28" s="271"/>
      <c r="E28" s="271"/>
      <c r="F28" s="594">
        <f ca="1">+Underwriting!F140</f>
        <v>0.24364022301898111</v>
      </c>
      <c r="G28" s="591" t="s">
        <v>470</v>
      </c>
      <c r="H28" s="271"/>
      <c r="I28" s="289">
        <f>I27/$K$36</f>
        <v>1.2135306243155646</v>
      </c>
      <c r="J28" s="289">
        <f ca="1">J27/$K$36</f>
        <v>1.1416865474850826</v>
      </c>
      <c r="K28" s="352">
        <f ca="1">K27/$K$36</f>
        <v>1.1460720735881207</v>
      </c>
      <c r="L28" s="297" t="s">
        <v>450</v>
      </c>
      <c r="M28" s="271"/>
      <c r="N28" s="301" t="str">
        <f>PROPER(Underwriting!G215)</f>
        <v>Untrended</v>
      </c>
      <c r="O28" s="301" t="str">
        <f>PROPER(Underwriting!H215)</f>
        <v>Trended</v>
      </c>
      <c r="P28" s="302" t="str">
        <f>PROPER(Underwriting!I215)</f>
        <v>Sale</v>
      </c>
    </row>
    <row r="29" spans="2:16" s="4" customFormat="1" ht="12.75" x14ac:dyDescent="0.2">
      <c r="B29" s="281" t="str">
        <f>IF(Perm_Debt?=0,"",Underwriting!G79)</f>
        <v/>
      </c>
      <c r="C29" s="271"/>
      <c r="D29" s="271"/>
      <c r="E29" s="271"/>
      <c r="F29" s="597" t="str">
        <f ca="1">+Underwriting!H79</f>
        <v/>
      </c>
      <c r="G29" s="591" t="s">
        <v>506</v>
      </c>
      <c r="H29" s="271"/>
      <c r="I29" s="465">
        <f>I27/Units</f>
        <v>236836.12410666668</v>
      </c>
      <c r="J29" s="465">
        <f ca="1">J27/Units</f>
        <v>222814.82760568257</v>
      </c>
      <c r="K29" s="466">
        <f ca="1">K27/Units</f>
        <v>223670.71948315203</v>
      </c>
      <c r="L29" s="281" t="str">
        <f>Underwriting!B216</f>
        <v>Yield-on-Cost</v>
      </c>
      <c r="M29" s="271"/>
      <c r="N29" s="296">
        <f>Underwriting!G216</f>
        <v>5.7642704654989316E-2</v>
      </c>
      <c r="O29" s="296">
        <f ca="1">Underwriting!H216</f>
        <v>5.8416295012986723E-2</v>
      </c>
      <c r="P29" s="291">
        <f ca="1">Underwriting!I216</f>
        <v>6.0168783863376332E-2</v>
      </c>
    </row>
    <row r="30" spans="2:16" s="4" customFormat="1" ht="12.75" x14ac:dyDescent="0.2">
      <c r="B30" s="281"/>
      <c r="C30" s="271"/>
      <c r="D30" s="271"/>
      <c r="E30" s="271"/>
      <c r="F30" s="595"/>
      <c r="G30" s="591"/>
      <c r="H30" s="271"/>
      <c r="I30" s="289"/>
      <c r="J30" s="289"/>
      <c r="K30" s="352"/>
      <c r="L30" s="281" t="str">
        <f>Underwriting!B217</f>
        <v>Market Cap Rate</v>
      </c>
      <c r="M30" s="271"/>
      <c r="N30" s="303">
        <f>Underwriting!G217</f>
        <v>4.7500000000000001E-2</v>
      </c>
      <c r="O30" s="303">
        <f>Underwriting!H217</f>
        <v>5.1166666666666666E-2</v>
      </c>
      <c r="P30" s="304">
        <f>Underwriting!I217</f>
        <v>5.2499999999999998E-2</v>
      </c>
    </row>
    <row r="31" spans="2:16" s="4" customFormat="1" ht="12.75" x14ac:dyDescent="0.2">
      <c r="B31" s="297" t="s">
        <v>60</v>
      </c>
      <c r="C31" s="298"/>
      <c r="D31" s="293" t="s">
        <v>451</v>
      </c>
      <c r="E31" s="299" t="s">
        <v>452</v>
      </c>
      <c r="F31" s="335" t="s">
        <v>46</v>
      </c>
      <c r="G31" s="592" t="s">
        <v>29</v>
      </c>
      <c r="H31" s="293" t="s">
        <v>451</v>
      </c>
      <c r="I31" s="299" t="s">
        <v>453</v>
      </c>
      <c r="J31" s="299" t="s">
        <v>452</v>
      </c>
      <c r="K31" s="335" t="s">
        <v>46</v>
      </c>
      <c r="L31" s="281" t="str">
        <f>Underwriting!B218</f>
        <v>Development Spread</v>
      </c>
      <c r="M31" s="271"/>
      <c r="N31" s="306">
        <f>Underwriting!G218</f>
        <v>101.42704654989315</v>
      </c>
      <c r="O31" s="306">
        <f ca="1">Underwriting!H218</f>
        <v>72.496283463200569</v>
      </c>
      <c r="P31" s="307">
        <f ca="1">Underwriting!I218</f>
        <v>76.687838633763349</v>
      </c>
    </row>
    <row r="32" spans="2:16" s="4" customFormat="1" ht="12.75" x14ac:dyDescent="0.2">
      <c r="B32" s="279" t="str">
        <f>+Underwriting!B61</f>
        <v>Construction Loan</v>
      </c>
      <c r="C32" s="272"/>
      <c r="D32" s="289">
        <f>IF(Dbl_Promote?=1,F32/$F$37,F32/$F$36)</f>
        <v>0.60000001727336982</v>
      </c>
      <c r="E32" s="288">
        <f t="shared" ref="E32:E37" si="0">IFERROR(F32/Units,"")</f>
        <v>117097.72766147027</v>
      </c>
      <c r="F32" s="333">
        <f>Underwriting!I61</f>
        <v>35129318.298441082</v>
      </c>
      <c r="G32" s="271" t="str">
        <f>Underwriting!B25</f>
        <v>Land Costs</v>
      </c>
      <c r="H32" s="289">
        <f>K32/$K$36</f>
        <v>5.1726180305445686E-2</v>
      </c>
      <c r="I32" s="300">
        <f>K32/Underwriting!$E$18</f>
        <v>9.4364300893007371</v>
      </c>
      <c r="J32" s="288">
        <f>IFERROR(K32/Units,"")</f>
        <v>10095.030000000001</v>
      </c>
      <c r="K32" s="333">
        <f>Underwriting!I29</f>
        <v>3028509</v>
      </c>
      <c r="O32" s="272"/>
      <c r="P32" s="272"/>
    </row>
    <row r="33" spans="1:16" s="4" customFormat="1" ht="12.75" x14ac:dyDescent="0.2">
      <c r="B33" s="279" t="str">
        <f>+Underwriting!B62</f>
        <v>Mezzanine Loan</v>
      </c>
      <c r="C33" s="272"/>
      <c r="D33" s="289">
        <f>IF(Dbl_Promote?=1,F33/$F$37,F33/$F$36)</f>
        <v>0.15000000431834248</v>
      </c>
      <c r="E33" s="288">
        <f t="shared" si="0"/>
        <v>29274.431915367575</v>
      </c>
      <c r="F33" s="333">
        <f>Underwriting!I62</f>
        <v>8782329.5746102724</v>
      </c>
      <c r="G33" s="271" t="str">
        <f>Underwriting!B31</f>
        <v>Hard Costs</v>
      </c>
      <c r="H33" s="289">
        <f>K33/$K$36</f>
        <v>0.78011763724368388</v>
      </c>
      <c r="I33" s="300">
        <f>K33/Underwriting!$E$18</f>
        <v>142.31720768497343</v>
      </c>
      <c r="J33" s="288">
        <f>IFERROR(K33/Units,"")</f>
        <v>152250</v>
      </c>
      <c r="K33" s="333">
        <f>Underwriting!I35</f>
        <v>45675000</v>
      </c>
      <c r="L33" s="270" t="s">
        <v>471</v>
      </c>
      <c r="M33" s="359"/>
      <c r="N33" s="362" t="s">
        <v>473</v>
      </c>
      <c r="O33" s="294" t="str">
        <f>Underwriting!H271</f>
        <v>Dev. Spread</v>
      </c>
      <c r="P33" s="295" t="str">
        <f>Underwriting!I271</f>
        <v>Levered EMx</v>
      </c>
    </row>
    <row r="34" spans="1:16" s="4" customFormat="1" ht="12.75" x14ac:dyDescent="0.2">
      <c r="B34" s="281" t="str">
        <f>Underwriting!B223</f>
        <v>[Limited Partner Name]</v>
      </c>
      <c r="C34" s="272"/>
      <c r="D34" s="289">
        <f>IF(Dbl_Promote?=1,F34/$F$37,F34/$F$36)</f>
        <v>0.23749997948787333</v>
      </c>
      <c r="E34" s="288">
        <f t="shared" si="0"/>
        <v>46351.178528391196</v>
      </c>
      <c r="F34" s="333">
        <f>Underwriting!I65*Underwriting!H229</f>
        <v>13905353.558517359</v>
      </c>
      <c r="G34" s="271" t="str">
        <f>Underwriting!B37</f>
        <v>Soft Costs</v>
      </c>
      <c r="H34" s="289">
        <f>K34/$K$36</f>
        <v>9.8690704634532389E-2</v>
      </c>
      <c r="I34" s="300">
        <f>K34/Underwriting!$E$18</f>
        <v>18.004189160078923</v>
      </c>
      <c r="J34" s="288">
        <f>IFERROR(K34/Units,"")</f>
        <v>19260.761535524696</v>
      </c>
      <c r="K34" s="333">
        <f>Underwriting!I43</f>
        <v>5778228.4606574094</v>
      </c>
      <c r="L34" s="358"/>
      <c r="M34" s="63" t="str">
        <f>Underwriting!B272</f>
        <v>Base Case</v>
      </c>
      <c r="N34" s="361">
        <f>Underwriting!G272</f>
        <v>5.2499999999999998E-2</v>
      </c>
      <c r="O34" s="366">
        <f ca="1">Underwriting!H272</f>
        <v>76.687838633763349</v>
      </c>
      <c r="P34" s="364">
        <f ca="1">Underwriting!I272</f>
        <v>1.60213156386134</v>
      </c>
    </row>
    <row r="35" spans="1:16" s="4" customFormat="1" ht="15" x14ac:dyDescent="0.35">
      <c r="B35" s="281" t="str">
        <f>Underwriting!B224</f>
        <v>[General Partner Name]</v>
      </c>
      <c r="C35" s="272"/>
      <c r="D35" s="289">
        <f>IF(Dbl_Promote?=1,F35/$F$37,F35/$F$36)</f>
        <v>1.2499998920414387E-2</v>
      </c>
      <c r="E35" s="288">
        <f t="shared" si="0"/>
        <v>2439.5357120205895</v>
      </c>
      <c r="F35" s="333">
        <f>IF(B37="",Equity_Total*Underwriting!H228,(Equity_Total-F34)*Underwriting!H249)</f>
        <v>731860.7136061769</v>
      </c>
      <c r="G35" s="271" t="str">
        <f>Underwriting!B47</f>
        <v>Carry Costs</v>
      </c>
      <c r="H35" s="289">
        <f>K35/$K$36</f>
        <v>6.946547781633805E-2</v>
      </c>
      <c r="I35" s="305">
        <f>K35/Underwriting!$E$18</f>
        <v>12.672618027523949</v>
      </c>
      <c r="J35" s="292">
        <f>IFERROR(K35/Units,"")</f>
        <v>13557.082281724937</v>
      </c>
      <c r="K35" s="334">
        <f>Underwriting!I51</f>
        <v>4067124.6845174814</v>
      </c>
      <c r="M35" s="369" t="str">
        <f>Underwriting!B273</f>
        <v>Downside #1</v>
      </c>
      <c r="N35" s="363">
        <f>Underwriting!G273</f>
        <v>0.05</v>
      </c>
      <c r="O35" s="366">
        <f>Underwriting!H273</f>
        <v>101.68783863376329</v>
      </c>
      <c r="P35" s="364">
        <f>Underwriting!I273</f>
        <v>1.8279077818577807</v>
      </c>
    </row>
    <row r="36" spans="1:16" s="4" customFormat="1" ht="15" x14ac:dyDescent="0.35">
      <c r="B36" s="281" t="str">
        <f>IF(Dbl_Promote?=1,Underwriting!B225,"Total Sources")</f>
        <v>Total Sources</v>
      </c>
      <c r="C36" s="272"/>
      <c r="D36" s="289">
        <f>IF(Dbl_Promote?=1,F36/$F$37,F36/$F$36)</f>
        <v>1</v>
      </c>
      <c r="E36" s="292">
        <f t="shared" si="0"/>
        <v>195162.87381724964</v>
      </c>
      <c r="F36" s="334">
        <f>IF(B37="",SUM(F32:F35),(Equity_Total-F34)*Underwriting!H250)</f>
        <v>58548862.145174891</v>
      </c>
      <c r="G36" s="281" t="s">
        <v>83</v>
      </c>
      <c r="H36" s="289">
        <f>K36/$K$36</f>
        <v>1</v>
      </c>
      <c r="I36" s="300">
        <f>SUM(I32:I35)</f>
        <v>182.43044496187704</v>
      </c>
      <c r="J36" s="288">
        <f>SUM(J32:J35)</f>
        <v>195162.87381724964</v>
      </c>
      <c r="K36" s="333">
        <f>SUM(K32:K35)</f>
        <v>58548862.145174891</v>
      </c>
      <c r="M36" s="369" t="str">
        <f>Underwriting!B274</f>
        <v>Downside #2</v>
      </c>
      <c r="N36" s="363">
        <f>Underwriting!G274</f>
        <v>5.2499999999999998E-2</v>
      </c>
      <c r="O36" s="366">
        <f>Underwriting!H274</f>
        <v>76.687838633763349</v>
      </c>
      <c r="P36" s="364">
        <f>Underwriting!I274</f>
        <v>1.60213156386134</v>
      </c>
    </row>
    <row r="37" spans="1:16" s="4" customFormat="1" ht="12.75" x14ac:dyDescent="0.2">
      <c r="B37" s="282" t="str">
        <f>IF(Dbl_Promote?=1,"Total Sources","")</f>
        <v/>
      </c>
      <c r="C37" s="308"/>
      <c r="D37" s="309" t="str">
        <f>IF(Dbl_Promote?=1,F37/$F$37,"")</f>
        <v/>
      </c>
      <c r="E37" s="310" t="str">
        <f t="shared" si="0"/>
        <v/>
      </c>
      <c r="F37" s="336" t="str">
        <f>IF(B37="","",SUM(F32:F36))</f>
        <v/>
      </c>
      <c r="G37" s="598"/>
      <c r="H37" s="308"/>
      <c r="I37" s="308"/>
      <c r="J37" s="308"/>
      <c r="K37" s="588"/>
      <c r="L37" s="282"/>
      <c r="M37" s="370" t="str">
        <f>Underwriting!B275</f>
        <v>Downside #3</v>
      </c>
      <c r="N37" s="360">
        <f>Underwriting!G275</f>
        <v>5.5E-2</v>
      </c>
      <c r="O37" s="367">
        <f>Underwriting!H275</f>
        <v>51.68783863376332</v>
      </c>
      <c r="P37" s="365">
        <f>Underwriting!I275</f>
        <v>1.3968804565918491</v>
      </c>
    </row>
    <row r="38" spans="1:16" x14ac:dyDescent="0.2">
      <c r="A38">
        <v>0</v>
      </c>
      <c r="B38" s="344" t="s">
        <v>445</v>
      </c>
      <c r="C38" s="345"/>
      <c r="D38" s="345"/>
      <c r="E38" s="345"/>
      <c r="F38" s="345"/>
      <c r="G38" s="345"/>
      <c r="H38" s="345"/>
      <c r="I38" s="345"/>
      <c r="J38" s="345"/>
      <c r="K38" s="345"/>
      <c r="L38" s="346"/>
      <c r="M38" s="346"/>
      <c r="N38" s="349" t="s">
        <v>569</v>
      </c>
      <c r="O38" s="477" t="s">
        <v>554</v>
      </c>
      <c r="P38" s="477" t="s">
        <v>553</v>
      </c>
    </row>
    <row r="39" spans="1:16" s="4" customFormat="1" ht="12.75" x14ac:dyDescent="0.2">
      <c r="B39" s="276"/>
      <c r="C39" s="277"/>
      <c r="D39" s="277"/>
      <c r="E39" s="277"/>
      <c r="F39" s="277"/>
      <c r="G39" s="277"/>
      <c r="H39" s="277"/>
      <c r="I39" s="277"/>
      <c r="J39" s="277"/>
      <c r="K39" s="278"/>
      <c r="L39" s="276"/>
      <c r="M39" s="277"/>
      <c r="N39" s="277"/>
      <c r="O39" s="277"/>
      <c r="P39" s="278"/>
    </row>
    <row r="40" spans="1:16" s="4" customFormat="1" ht="12.75" x14ac:dyDescent="0.2">
      <c r="B40" s="279"/>
      <c r="C40" s="272"/>
      <c r="D40" s="272"/>
      <c r="E40" s="272"/>
      <c r="F40" s="271"/>
      <c r="G40" s="271"/>
      <c r="H40" s="271"/>
      <c r="I40" s="271"/>
      <c r="J40" s="271"/>
      <c r="K40" s="280"/>
      <c r="L40" s="281"/>
      <c r="M40" s="271"/>
      <c r="N40" s="271"/>
      <c r="O40" s="271"/>
      <c r="P40" s="280"/>
    </row>
    <row r="41" spans="1:16" s="4" customFormat="1" ht="12.75" x14ac:dyDescent="0.2">
      <c r="B41" s="281"/>
      <c r="C41" s="271"/>
      <c r="D41" s="271"/>
      <c r="E41" s="271"/>
      <c r="F41" s="271"/>
      <c r="G41" s="271"/>
      <c r="H41" s="271"/>
      <c r="I41" s="271"/>
      <c r="J41" s="271"/>
      <c r="K41" s="280"/>
      <c r="L41" s="281"/>
      <c r="M41" s="271"/>
      <c r="N41" s="271"/>
      <c r="O41" s="271"/>
      <c r="P41" s="280"/>
    </row>
    <row r="42" spans="1:16" s="4" customFormat="1" ht="12.75" x14ac:dyDescent="0.2">
      <c r="B42" s="281"/>
      <c r="C42" s="271"/>
      <c r="D42" s="271"/>
      <c r="E42" s="271"/>
      <c r="F42" s="271"/>
      <c r="G42" s="271"/>
      <c r="H42" s="271"/>
      <c r="I42" s="271"/>
      <c r="J42" s="271"/>
      <c r="K42" s="280"/>
      <c r="L42" s="281"/>
      <c r="M42" s="271"/>
      <c r="N42" s="271"/>
      <c r="O42" s="271"/>
      <c r="P42" s="280"/>
    </row>
    <row r="43" spans="1:16" s="4" customFormat="1" ht="12.75" x14ac:dyDescent="0.2">
      <c r="B43" s="281"/>
      <c r="C43" s="271"/>
      <c r="D43" s="271"/>
      <c r="E43" s="271"/>
      <c r="F43" s="271"/>
      <c r="G43" s="271"/>
      <c r="H43" s="271"/>
      <c r="I43" s="271"/>
      <c r="J43" s="271"/>
      <c r="K43" s="280"/>
      <c r="L43" s="281"/>
      <c r="M43" s="271"/>
      <c r="N43" s="271"/>
      <c r="O43" s="271"/>
      <c r="P43" s="280"/>
    </row>
    <row r="44" spans="1:16" s="4" customFormat="1" ht="12.75" x14ac:dyDescent="0.2">
      <c r="B44" s="281"/>
      <c r="C44" s="271"/>
      <c r="D44" s="271"/>
      <c r="E44" s="271"/>
      <c r="F44" s="271"/>
      <c r="G44" s="271"/>
      <c r="H44" s="271"/>
      <c r="I44" s="271"/>
      <c r="J44" s="271"/>
      <c r="K44" s="280"/>
      <c r="L44" s="281"/>
      <c r="M44" s="271"/>
      <c r="N44" s="271"/>
      <c r="O44" s="271"/>
      <c r="P44" s="280"/>
    </row>
    <row r="45" spans="1:16" s="4" customFormat="1" ht="12.75" x14ac:dyDescent="0.2">
      <c r="B45" s="281"/>
      <c r="C45" s="271"/>
      <c r="D45" s="271"/>
      <c r="E45" s="271"/>
      <c r="F45" s="271"/>
      <c r="G45" s="271"/>
      <c r="H45" s="271"/>
      <c r="I45" s="271"/>
      <c r="J45" s="271"/>
      <c r="K45" s="280"/>
      <c r="L45" s="281"/>
      <c r="M45" s="271"/>
      <c r="N45" s="271"/>
      <c r="O45" s="271"/>
      <c r="P45" s="280"/>
    </row>
    <row r="46" spans="1:16" s="4" customFormat="1" ht="12.75" x14ac:dyDescent="0.2">
      <c r="B46" s="281"/>
      <c r="C46" s="271"/>
      <c r="D46" s="271"/>
      <c r="E46" s="271"/>
      <c r="F46" s="271"/>
      <c r="G46" s="271"/>
      <c r="H46" s="271"/>
      <c r="I46" s="271"/>
      <c r="J46" s="271"/>
      <c r="K46" s="280"/>
      <c r="L46" s="281"/>
      <c r="M46" s="271"/>
      <c r="N46" s="271"/>
      <c r="O46" s="271"/>
      <c r="P46" s="280"/>
    </row>
    <row r="47" spans="1:16" s="4" customFormat="1" ht="12.75" x14ac:dyDescent="0.2">
      <c r="B47" s="281"/>
      <c r="C47" s="271"/>
      <c r="D47" s="271"/>
      <c r="E47" s="271"/>
      <c r="F47" s="271"/>
      <c r="G47" s="271"/>
      <c r="H47" s="271"/>
      <c r="I47" s="271"/>
      <c r="J47" s="271"/>
      <c r="K47" s="280"/>
      <c r="L47" s="281"/>
      <c r="M47" s="271"/>
      <c r="N47" s="271"/>
      <c r="O47" s="271"/>
      <c r="P47" s="280"/>
    </row>
    <row r="48" spans="1:16" s="4" customFormat="1" ht="12.75" x14ac:dyDescent="0.2">
      <c r="B48" s="281"/>
      <c r="C48" s="271"/>
      <c r="D48" s="271"/>
      <c r="E48" s="271"/>
      <c r="F48" s="271"/>
      <c r="G48" s="271"/>
      <c r="H48" s="271"/>
      <c r="I48" s="271"/>
      <c r="J48" s="271"/>
      <c r="K48" s="280"/>
      <c r="L48" s="281"/>
      <c r="M48" s="271"/>
      <c r="N48" s="271"/>
      <c r="O48" s="271"/>
      <c r="P48" s="280"/>
    </row>
    <row r="49" spans="2:16" s="4" customFormat="1" ht="12.75" x14ac:dyDescent="0.2">
      <c r="B49" s="281"/>
      <c r="C49" s="271"/>
      <c r="D49" s="271"/>
      <c r="E49" s="271"/>
      <c r="F49" s="271"/>
      <c r="G49" s="271"/>
      <c r="H49" s="271"/>
      <c r="I49" s="271"/>
      <c r="J49" s="271"/>
      <c r="K49" s="280"/>
      <c r="L49" s="281"/>
      <c r="M49" s="271"/>
      <c r="N49" s="271"/>
      <c r="O49" s="271"/>
      <c r="P49" s="280"/>
    </row>
    <row r="50" spans="2:16" s="4" customFormat="1" ht="12.75" x14ac:dyDescent="0.2">
      <c r="B50" s="281"/>
      <c r="C50" s="271"/>
      <c r="D50" s="271"/>
      <c r="E50" s="271"/>
      <c r="F50" s="271"/>
      <c r="G50" s="271"/>
      <c r="H50" s="271"/>
      <c r="I50" s="271"/>
      <c r="J50" s="271"/>
      <c r="K50" s="280"/>
      <c r="L50" s="281"/>
      <c r="M50" s="271"/>
      <c r="N50" s="271"/>
      <c r="O50" s="271"/>
      <c r="P50" s="280"/>
    </row>
    <row r="51" spans="2:16" s="4" customFormat="1" ht="12.75" x14ac:dyDescent="0.2">
      <c r="B51" s="281"/>
      <c r="C51" s="271"/>
      <c r="D51" s="271"/>
      <c r="E51" s="271"/>
      <c r="F51" s="271"/>
      <c r="G51" s="271"/>
      <c r="H51" s="271"/>
      <c r="I51" s="271"/>
      <c r="J51" s="271"/>
      <c r="K51" s="280"/>
      <c r="L51" s="281"/>
      <c r="M51" s="271"/>
      <c r="N51" s="271"/>
      <c r="O51" s="271"/>
      <c r="P51" s="280"/>
    </row>
    <row r="52" spans="2:16" s="4" customFormat="1" ht="12.75" x14ac:dyDescent="0.2">
      <c r="B52" s="281"/>
      <c r="C52" s="271"/>
      <c r="D52" s="271"/>
      <c r="E52" s="271"/>
      <c r="F52" s="271"/>
      <c r="G52" s="271"/>
      <c r="H52" s="271"/>
      <c r="I52" s="271"/>
      <c r="J52" s="271"/>
      <c r="K52" s="280"/>
      <c r="L52" s="281"/>
      <c r="M52" s="271"/>
      <c r="N52" s="271"/>
      <c r="O52" s="271"/>
      <c r="P52" s="280"/>
    </row>
    <row r="53" spans="2:16" x14ac:dyDescent="0.2">
      <c r="B53" s="282"/>
      <c r="C53" s="283"/>
      <c r="D53" s="283"/>
      <c r="E53" s="283"/>
      <c r="F53" s="283"/>
      <c r="G53" s="283"/>
      <c r="H53" s="283"/>
      <c r="I53" s="283"/>
      <c r="J53" s="283"/>
      <c r="K53" s="284"/>
      <c r="L53" s="282"/>
      <c r="M53" s="283"/>
      <c r="N53" s="283"/>
      <c r="O53" s="283"/>
      <c r="P53" s="284"/>
    </row>
    <row r="54" spans="2:16" x14ac:dyDescent="0.2">
      <c r="B54" s="276"/>
      <c r="C54" s="277"/>
      <c r="D54" s="277"/>
      <c r="E54" s="277"/>
      <c r="F54" s="277"/>
      <c r="G54" s="277"/>
      <c r="H54" s="277"/>
      <c r="I54" s="277"/>
      <c r="J54" s="277"/>
      <c r="K54" s="278"/>
      <c r="L54" s="271"/>
      <c r="M54" s="271"/>
      <c r="N54" s="271"/>
      <c r="O54" s="271"/>
      <c r="P54" s="280"/>
    </row>
    <row r="55" spans="2:16" s="4" customFormat="1" ht="12.75" x14ac:dyDescent="0.2">
      <c r="B55" s="281"/>
      <c r="C55" s="271"/>
      <c r="D55" s="271"/>
      <c r="E55" s="271"/>
      <c r="F55" s="271"/>
      <c r="G55" s="271"/>
      <c r="H55" s="271"/>
      <c r="I55" s="271"/>
      <c r="J55" s="271"/>
      <c r="K55" s="280"/>
      <c r="L55" s="271"/>
      <c r="M55" s="271"/>
      <c r="N55" s="271"/>
      <c r="O55" s="271"/>
      <c r="P55" s="280"/>
    </row>
    <row r="56" spans="2:16" s="4" customFormat="1" ht="12.75" x14ac:dyDescent="0.2">
      <c r="B56" s="281"/>
      <c r="C56" s="271"/>
      <c r="D56" s="271"/>
      <c r="E56" s="271"/>
      <c r="F56" s="271"/>
      <c r="G56" s="271"/>
      <c r="H56" s="271"/>
      <c r="I56" s="271"/>
      <c r="J56" s="271"/>
      <c r="K56" s="280"/>
      <c r="L56" s="271"/>
      <c r="M56" s="271"/>
      <c r="N56" s="271"/>
      <c r="O56" s="271"/>
      <c r="P56" s="280"/>
    </row>
    <row r="57" spans="2:16" s="4" customFormat="1" ht="12.75" x14ac:dyDescent="0.2">
      <c r="B57" s="281"/>
      <c r="C57" s="271"/>
      <c r="D57" s="271"/>
      <c r="E57" s="271"/>
      <c r="F57" s="271"/>
      <c r="G57" s="271"/>
      <c r="H57" s="271"/>
      <c r="I57" s="271"/>
      <c r="J57" s="271"/>
      <c r="K57" s="280"/>
      <c r="L57" s="271"/>
      <c r="M57" s="271"/>
      <c r="N57" s="271"/>
      <c r="O57" s="271"/>
      <c r="P57" s="280"/>
    </row>
    <row r="58" spans="2:16" s="4" customFormat="1" ht="12.75" x14ac:dyDescent="0.2">
      <c r="B58" s="281"/>
      <c r="C58" s="271"/>
      <c r="D58" s="271"/>
      <c r="E58" s="271"/>
      <c r="F58" s="271"/>
      <c r="G58" s="271"/>
      <c r="H58" s="271"/>
      <c r="I58" s="271"/>
      <c r="J58" s="271"/>
      <c r="K58" s="280"/>
      <c r="L58" s="271"/>
      <c r="M58" s="271"/>
      <c r="N58" s="271"/>
      <c r="O58" s="271"/>
      <c r="P58" s="280"/>
    </row>
    <row r="59" spans="2:16" s="4" customFormat="1" ht="12.75" x14ac:dyDescent="0.2">
      <c r="B59" s="281"/>
      <c r="C59" s="271"/>
      <c r="D59" s="271"/>
      <c r="E59" s="271"/>
      <c r="F59" s="271"/>
      <c r="G59" s="271"/>
      <c r="H59" s="271"/>
      <c r="I59" s="271"/>
      <c r="J59" s="271"/>
      <c r="K59" s="280"/>
      <c r="L59" s="271"/>
      <c r="M59" s="271"/>
      <c r="N59" s="271"/>
      <c r="O59" s="271"/>
      <c r="P59" s="280"/>
    </row>
    <row r="60" spans="2:16" s="4" customFormat="1" ht="12.75" x14ac:dyDescent="0.2">
      <c r="B60" s="281"/>
      <c r="C60" s="271"/>
      <c r="D60" s="271"/>
      <c r="E60" s="271"/>
      <c r="F60" s="271"/>
      <c r="G60" s="271"/>
      <c r="H60" s="271"/>
      <c r="I60" s="271"/>
      <c r="J60" s="271"/>
      <c r="K60" s="280"/>
      <c r="L60" s="271"/>
      <c r="M60" s="271"/>
      <c r="N60" s="271"/>
      <c r="O60" s="271"/>
      <c r="P60" s="280"/>
    </row>
    <row r="61" spans="2:16" s="4" customFormat="1" ht="12.75" x14ac:dyDescent="0.2">
      <c r="B61" s="281"/>
      <c r="C61" s="271"/>
      <c r="D61" s="271"/>
      <c r="E61" s="271"/>
      <c r="F61" s="271"/>
      <c r="G61" s="271"/>
      <c r="H61" s="271"/>
      <c r="I61" s="271"/>
      <c r="J61" s="271"/>
      <c r="K61" s="280"/>
      <c r="L61" s="271"/>
      <c r="M61" s="271"/>
      <c r="N61" s="271"/>
      <c r="O61" s="271"/>
      <c r="P61" s="280"/>
    </row>
    <row r="62" spans="2:16" s="4" customFormat="1" ht="12.75" x14ac:dyDescent="0.2">
      <c r="B62" s="281"/>
      <c r="C62" s="271"/>
      <c r="D62" s="271"/>
      <c r="E62" s="271"/>
      <c r="F62" s="271"/>
      <c r="G62" s="271"/>
      <c r="H62" s="271"/>
      <c r="I62" s="271"/>
      <c r="J62" s="271"/>
      <c r="K62" s="280"/>
      <c r="L62" s="271"/>
      <c r="M62" s="271"/>
      <c r="N62" s="271"/>
      <c r="O62" s="271"/>
      <c r="P62" s="280"/>
    </row>
    <row r="63" spans="2:16" s="4" customFormat="1" ht="12.75" x14ac:dyDescent="0.2">
      <c r="B63" s="281"/>
      <c r="C63" s="271"/>
      <c r="D63" s="271"/>
      <c r="E63" s="271"/>
      <c r="F63" s="271"/>
      <c r="G63" s="271"/>
      <c r="H63" s="271"/>
      <c r="I63" s="271"/>
      <c r="J63" s="271"/>
      <c r="K63" s="280"/>
      <c r="L63" s="271"/>
      <c r="M63" s="271"/>
      <c r="N63" s="271"/>
      <c r="O63" s="271"/>
      <c r="P63" s="280"/>
    </row>
    <row r="64" spans="2:16" s="4" customFormat="1" ht="12.75" x14ac:dyDescent="0.2">
      <c r="B64" s="281"/>
      <c r="C64" s="271"/>
      <c r="D64" s="271"/>
      <c r="E64" s="271"/>
      <c r="F64" s="271"/>
      <c r="G64" s="271"/>
      <c r="H64" s="271"/>
      <c r="I64" s="271"/>
      <c r="J64" s="271"/>
      <c r="K64" s="280"/>
      <c r="L64" s="271"/>
      <c r="M64" s="271"/>
      <c r="N64" s="271"/>
      <c r="O64" s="271"/>
      <c r="P64" s="280"/>
    </row>
    <row r="65" spans="2:16" s="4" customFormat="1" ht="12.75" x14ac:dyDescent="0.2">
      <c r="B65" s="281"/>
      <c r="C65" s="271"/>
      <c r="D65" s="271"/>
      <c r="E65" s="271"/>
      <c r="F65" s="271"/>
      <c r="G65" s="271"/>
      <c r="H65" s="271"/>
      <c r="I65" s="271"/>
      <c r="J65" s="271"/>
      <c r="K65" s="280"/>
      <c r="L65" s="271"/>
      <c r="M65" s="271"/>
      <c r="N65" s="271"/>
      <c r="O65" s="271"/>
      <c r="P65" s="280"/>
    </row>
    <row r="66" spans="2:16" s="4" customFormat="1" ht="12.75" x14ac:dyDescent="0.2">
      <c r="B66" s="281"/>
      <c r="C66" s="271"/>
      <c r="D66" s="271"/>
      <c r="E66" s="271"/>
      <c r="F66" s="271"/>
      <c r="G66" s="271"/>
      <c r="H66" s="271"/>
      <c r="I66" s="271"/>
      <c r="J66" s="271"/>
      <c r="K66" s="280"/>
      <c r="L66" s="271"/>
      <c r="M66" s="271"/>
      <c r="N66" s="271"/>
      <c r="O66" s="271"/>
      <c r="P66" s="280"/>
    </row>
    <row r="67" spans="2:16" s="4" customFormat="1" ht="12.75" x14ac:dyDescent="0.2">
      <c r="B67" s="282"/>
      <c r="C67" s="283"/>
      <c r="D67" s="283"/>
      <c r="E67" s="283"/>
      <c r="F67" s="283"/>
      <c r="G67" s="283"/>
      <c r="H67" s="283"/>
      <c r="I67" s="283"/>
      <c r="J67" s="283"/>
      <c r="K67" s="284"/>
      <c r="L67" s="271"/>
      <c r="M67" s="271"/>
      <c r="N67" s="271"/>
      <c r="O67" s="271"/>
      <c r="P67" s="280"/>
    </row>
    <row r="68" spans="2:16" s="4" customFormat="1" ht="12.75" x14ac:dyDescent="0.2">
      <c r="B68" s="276"/>
      <c r="C68" s="277"/>
      <c r="D68" s="277"/>
      <c r="E68" s="277"/>
      <c r="F68" s="277"/>
      <c r="G68" s="277"/>
      <c r="H68" s="277"/>
      <c r="I68" s="277"/>
      <c r="J68" s="277"/>
      <c r="K68" s="278"/>
      <c r="L68" s="276"/>
      <c r="M68" s="277"/>
      <c r="N68" s="277"/>
      <c r="O68" s="277"/>
      <c r="P68" s="278"/>
    </row>
    <row r="69" spans="2:16" x14ac:dyDescent="0.2">
      <c r="B69" s="281"/>
      <c r="C69" s="271"/>
      <c r="D69" s="271"/>
      <c r="E69" s="271"/>
      <c r="F69" s="271"/>
      <c r="G69" s="271"/>
      <c r="H69" s="271"/>
      <c r="I69" s="271"/>
      <c r="J69" s="271"/>
      <c r="K69" s="280"/>
      <c r="L69" s="281"/>
      <c r="M69" s="271"/>
      <c r="N69" s="271"/>
      <c r="O69" s="271"/>
      <c r="P69" s="280"/>
    </row>
    <row r="70" spans="2:16" x14ac:dyDescent="0.2">
      <c r="B70" s="281"/>
      <c r="C70" s="271"/>
      <c r="D70" s="271"/>
      <c r="E70" s="271"/>
      <c r="F70" s="271"/>
      <c r="G70" s="271"/>
      <c r="H70" s="271"/>
      <c r="I70" s="271"/>
      <c r="J70" s="271"/>
      <c r="K70" s="280"/>
      <c r="L70" s="281"/>
      <c r="M70" s="271"/>
      <c r="N70" s="271"/>
      <c r="O70" s="271"/>
      <c r="P70" s="280"/>
    </row>
    <row r="71" spans="2:16" s="4" customFormat="1" ht="12.75" x14ac:dyDescent="0.2">
      <c r="B71" s="281"/>
      <c r="C71" s="271"/>
      <c r="D71" s="271"/>
      <c r="E71" s="271"/>
      <c r="F71" s="271"/>
      <c r="G71" s="271"/>
      <c r="H71" s="271"/>
      <c r="I71" s="271"/>
      <c r="J71" s="271"/>
      <c r="K71" s="280"/>
      <c r="L71" s="281"/>
      <c r="M71" s="271"/>
      <c r="N71" s="271"/>
      <c r="O71" s="271"/>
      <c r="P71" s="280"/>
    </row>
    <row r="72" spans="2:16" s="4" customFormat="1" ht="12.75" x14ac:dyDescent="0.2">
      <c r="B72" s="281"/>
      <c r="C72" s="271"/>
      <c r="D72" s="271"/>
      <c r="E72" s="271"/>
      <c r="F72" s="271"/>
      <c r="G72" s="271"/>
      <c r="H72" s="271"/>
      <c r="I72" s="271"/>
      <c r="J72" s="271"/>
      <c r="K72" s="280"/>
      <c r="L72" s="281"/>
      <c r="M72" s="271"/>
      <c r="N72" s="271"/>
      <c r="O72" s="271"/>
      <c r="P72" s="280"/>
    </row>
    <row r="73" spans="2:16" s="4" customFormat="1" ht="12.75" x14ac:dyDescent="0.2">
      <c r="B73" s="281"/>
      <c r="C73" s="271"/>
      <c r="D73" s="271"/>
      <c r="E73" s="271"/>
      <c r="F73" s="271"/>
      <c r="G73" s="271"/>
      <c r="H73" s="271"/>
      <c r="I73" s="271"/>
      <c r="J73" s="271"/>
      <c r="K73" s="280"/>
      <c r="L73" s="281"/>
      <c r="M73" s="271"/>
      <c r="N73" s="271"/>
      <c r="O73" s="271"/>
      <c r="P73" s="280"/>
    </row>
    <row r="74" spans="2:16" s="4" customFormat="1" ht="12.75" x14ac:dyDescent="0.2">
      <c r="B74" s="281"/>
      <c r="C74" s="271"/>
      <c r="D74" s="271"/>
      <c r="E74" s="271"/>
      <c r="F74" s="271"/>
      <c r="G74" s="271"/>
      <c r="H74" s="271"/>
      <c r="I74" s="271"/>
      <c r="J74" s="271"/>
      <c r="K74" s="280"/>
      <c r="L74" s="281"/>
      <c r="M74" s="271"/>
      <c r="N74" s="271"/>
      <c r="O74" s="271"/>
      <c r="P74" s="280"/>
    </row>
    <row r="75" spans="2:16" s="4" customFormat="1" ht="12.75" x14ac:dyDescent="0.2">
      <c r="B75" s="281"/>
      <c r="C75" s="271"/>
      <c r="D75" s="271"/>
      <c r="E75" s="271"/>
      <c r="F75" s="271"/>
      <c r="G75" s="271"/>
      <c r="H75" s="271"/>
      <c r="I75" s="271"/>
      <c r="J75" s="271"/>
      <c r="K75" s="280"/>
      <c r="L75" s="281"/>
      <c r="M75" s="271"/>
      <c r="N75" s="271"/>
      <c r="O75" s="271"/>
      <c r="P75" s="280"/>
    </row>
    <row r="76" spans="2:16" s="4" customFormat="1" ht="12.75" x14ac:dyDescent="0.2">
      <c r="B76" s="281"/>
      <c r="C76" s="271"/>
      <c r="D76" s="271"/>
      <c r="E76" s="271"/>
      <c r="F76" s="271"/>
      <c r="G76" s="271"/>
      <c r="H76" s="271"/>
      <c r="I76" s="271"/>
      <c r="J76" s="271"/>
      <c r="K76" s="280"/>
      <c r="L76" s="281"/>
      <c r="M76" s="271"/>
      <c r="N76" s="271"/>
      <c r="O76" s="271"/>
      <c r="P76" s="280"/>
    </row>
    <row r="77" spans="2:16" s="4" customFormat="1" ht="12.75" x14ac:dyDescent="0.2">
      <c r="B77" s="281"/>
      <c r="C77" s="271"/>
      <c r="D77" s="271"/>
      <c r="E77" s="271"/>
      <c r="F77" s="271"/>
      <c r="G77" s="271"/>
      <c r="H77" s="271"/>
      <c r="I77" s="271"/>
      <c r="J77" s="271"/>
      <c r="K77" s="280"/>
      <c r="L77" s="281"/>
      <c r="M77" s="271"/>
      <c r="N77" s="271"/>
      <c r="O77" s="271"/>
      <c r="P77" s="280"/>
    </row>
    <row r="78" spans="2:16" s="4" customFormat="1" ht="12.75" x14ac:dyDescent="0.2">
      <c r="B78" s="281"/>
      <c r="C78" s="271"/>
      <c r="D78" s="271"/>
      <c r="E78" s="271"/>
      <c r="F78" s="271"/>
      <c r="G78" s="271"/>
      <c r="H78" s="271"/>
      <c r="I78" s="271"/>
      <c r="J78" s="271"/>
      <c r="K78" s="280"/>
      <c r="L78" s="281"/>
      <c r="M78" s="271"/>
      <c r="N78" s="271"/>
      <c r="O78" s="271"/>
      <c r="P78" s="280"/>
    </row>
    <row r="79" spans="2:16" s="4" customFormat="1" ht="12.75" x14ac:dyDescent="0.2">
      <c r="B79" s="281"/>
      <c r="C79" s="271"/>
      <c r="D79" s="271"/>
      <c r="E79" s="271"/>
      <c r="F79" s="271"/>
      <c r="G79" s="271"/>
      <c r="H79" s="271"/>
      <c r="I79" s="271"/>
      <c r="J79" s="271"/>
      <c r="K79" s="280"/>
      <c r="L79" s="281"/>
      <c r="M79" s="271"/>
      <c r="N79" s="271"/>
      <c r="O79" s="271"/>
      <c r="P79" s="280"/>
    </row>
    <row r="80" spans="2:16" s="4" customFormat="1" ht="12.75" x14ac:dyDescent="0.2">
      <c r="B80" s="281"/>
      <c r="C80" s="271"/>
      <c r="D80" s="271"/>
      <c r="E80" s="271"/>
      <c r="F80" s="271"/>
      <c r="G80" s="271"/>
      <c r="H80" s="271"/>
      <c r="I80" s="271"/>
      <c r="J80" s="271"/>
      <c r="K80" s="280"/>
      <c r="L80" s="281"/>
      <c r="M80" s="271"/>
      <c r="N80" s="271"/>
      <c r="O80" s="271"/>
      <c r="P80" s="280"/>
    </row>
    <row r="81" spans="2:16" s="4" customFormat="1" ht="12.75" x14ac:dyDescent="0.2">
      <c r="B81" s="281"/>
      <c r="C81" s="271"/>
      <c r="D81" s="271"/>
      <c r="E81" s="271"/>
      <c r="F81" s="271"/>
      <c r="G81" s="271"/>
      <c r="H81" s="271"/>
      <c r="I81" s="271"/>
      <c r="J81" s="271"/>
      <c r="K81" s="280"/>
      <c r="L81" s="281"/>
      <c r="M81" s="271"/>
      <c r="N81" s="271"/>
      <c r="O81" s="271"/>
      <c r="P81" s="280"/>
    </row>
    <row r="82" spans="2:16" s="4" customFormat="1" ht="12.75" x14ac:dyDescent="0.2">
      <c r="B82" s="281"/>
      <c r="C82" s="271"/>
      <c r="D82" s="271"/>
      <c r="E82" s="271"/>
      <c r="F82" s="271"/>
      <c r="G82" s="271"/>
      <c r="H82" s="271"/>
      <c r="I82" s="271"/>
      <c r="J82" s="271"/>
      <c r="K82" s="280"/>
      <c r="L82" s="281"/>
      <c r="M82" s="271"/>
      <c r="N82" s="271"/>
      <c r="O82" s="271"/>
      <c r="P82" s="280"/>
    </row>
    <row r="83" spans="2:16" s="4" customFormat="1" ht="12.75" x14ac:dyDescent="0.2">
      <c r="B83" s="281"/>
      <c r="C83" s="271"/>
      <c r="D83" s="271"/>
      <c r="E83" s="271"/>
      <c r="F83" s="271"/>
      <c r="G83" s="271"/>
      <c r="H83" s="271"/>
      <c r="I83" s="271"/>
      <c r="J83" s="271"/>
      <c r="K83" s="280"/>
      <c r="L83" s="281"/>
      <c r="M83" s="271"/>
      <c r="N83" s="271"/>
      <c r="O83" s="271"/>
      <c r="P83" s="280"/>
    </row>
    <row r="84" spans="2:16" s="4" customFormat="1" ht="12.75" x14ac:dyDescent="0.2">
      <c r="B84" s="282"/>
      <c r="C84" s="283"/>
      <c r="D84" s="283"/>
      <c r="E84" s="283"/>
      <c r="F84" s="283"/>
      <c r="G84" s="283"/>
      <c r="H84" s="283"/>
      <c r="I84" s="283"/>
      <c r="J84" s="283"/>
      <c r="K84" s="284"/>
      <c r="L84" s="282"/>
      <c r="M84" s="283"/>
      <c r="N84" s="283"/>
      <c r="O84" s="283"/>
      <c r="P84" s="284"/>
    </row>
    <row r="85" spans="2:16" hidden="1" x14ac:dyDescent="0.2"/>
    <row r="86" spans="2:16" hidden="1" x14ac:dyDescent="0.2"/>
    <row r="87" spans="2:16" ht="5.0999999999999996" customHeight="1" x14ac:dyDescent="0.2">
      <c r="P87" s="388">
        <v>0.33</v>
      </c>
    </row>
  </sheetData>
  <mergeCells count="1">
    <mergeCell ref="L5:P18"/>
  </mergeCells>
  <conditionalFormatting sqref="F36">
    <cfRule type="expression" dxfId="50" priority="10">
      <formula>$B$37=""</formula>
    </cfRule>
  </conditionalFormatting>
  <conditionalFormatting sqref="F35">
    <cfRule type="expression" dxfId="49" priority="9">
      <formula>$B$37=""</formula>
    </cfRule>
  </conditionalFormatting>
  <conditionalFormatting sqref="E36">
    <cfRule type="expression" dxfId="48" priority="6">
      <formula>$B$37=""</formula>
    </cfRule>
  </conditionalFormatting>
  <conditionalFormatting sqref="E35">
    <cfRule type="expression" dxfId="47" priority="5">
      <formula>$B$37=""</formula>
    </cfRule>
  </conditionalFormatting>
  <conditionalFormatting sqref="O38">
    <cfRule type="expression" dxfId="46" priority="2">
      <formula>CF_Report?=1</formula>
    </cfRule>
  </conditionalFormatting>
  <conditionalFormatting sqref="P38">
    <cfRule type="expression" dxfId="45" priority="1">
      <formula>CF_Report?=0</formula>
    </cfRule>
  </conditionalFormatting>
  <printOptions horizontalCentered="1"/>
  <pageMargins left="0.25" right="0.25" top="0.5" bottom="0.5" header="0.3" footer="0.3"/>
  <pageSetup scale="6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F6C28-E00F-4AE2-A9DE-895B6FF02164}">
  <sheetPr codeName="Sheet8">
    <tabColor theme="8" tint="0.79998168889431442"/>
    <pageSetUpPr fitToPage="1"/>
  </sheetPr>
  <dimension ref="B1:EI142"/>
  <sheetViews>
    <sheetView showGridLines="0" view="pageBreakPreview" zoomScaleNormal="100" zoomScaleSheetLayoutView="100" workbookViewId="0">
      <selection activeCell="R3" sqref="R3"/>
    </sheetView>
  </sheetViews>
  <sheetFormatPr defaultColWidth="9" defaultRowHeight="14.25" zeroHeight="1" outlineLevelRow="1" x14ac:dyDescent="0.2"/>
  <cols>
    <col min="1" max="1" width="0.875" customWidth="1"/>
    <col min="2" max="6" width="8.625" customWidth="1"/>
    <col min="7" max="7" width="9.25" bestFit="1" customWidth="1"/>
    <col min="8" max="8" width="10.125" bestFit="1" customWidth="1"/>
    <col min="9" max="9" width="9.625" bestFit="1" customWidth="1"/>
    <col min="10" max="10" width="8.75" bestFit="1" customWidth="1"/>
    <col min="11" max="11" width="10.125" bestFit="1" customWidth="1"/>
    <col min="12" max="16" width="9.25" bestFit="1" customWidth="1"/>
    <col min="17" max="17" width="10.125" bestFit="1" customWidth="1"/>
    <col min="18" max="18" width="9" customWidth="1"/>
    <col min="19" max="19" width="0.875" customWidth="1"/>
    <col min="20" max="30" width="9" customWidth="1"/>
    <col min="31" max="39" width="9.125" bestFit="1" customWidth="1"/>
    <col min="40" max="44" width="9.75" bestFit="1" customWidth="1"/>
    <col min="45" max="45" width="11.5" bestFit="1" customWidth="1"/>
  </cols>
  <sheetData>
    <row r="1" spans="2:18" ht="5.0999999999999996" customHeight="1" x14ac:dyDescent="0.2"/>
    <row r="2" spans="2:18" ht="15.75" x14ac:dyDescent="0.25">
      <c r="B2" s="337" t="str">
        <f>Underwriting!B2</f>
        <v>[INVESTMENT NAME]</v>
      </c>
      <c r="C2" s="338"/>
      <c r="D2" s="338"/>
      <c r="E2" s="338"/>
      <c r="F2" s="338"/>
      <c r="G2" s="338"/>
      <c r="H2" s="338"/>
      <c r="I2" s="338"/>
      <c r="J2" s="338"/>
      <c r="K2" s="338"/>
      <c r="L2" s="338"/>
      <c r="M2" s="338"/>
      <c r="N2" s="338"/>
      <c r="O2" s="338"/>
      <c r="P2" s="338"/>
      <c r="Q2" s="338"/>
      <c r="R2" s="339" t="str">
        <f>UPPER(Underwriting!I2)</f>
        <v>[ENTER COMPANY NAME]</v>
      </c>
    </row>
    <row r="3" spans="2:18" s="4" customFormat="1" ht="12.75" x14ac:dyDescent="0.2">
      <c r="B3" s="340" t="str">
        <f>Underwriting!E11&amp;", "&amp;Underwriting!I10</f>
        <v>[City], [State]</v>
      </c>
      <c r="C3" s="341"/>
      <c r="D3" s="341"/>
      <c r="E3" s="341"/>
      <c r="F3" s="341"/>
      <c r="G3" s="341"/>
      <c r="H3" s="341"/>
      <c r="I3" s="341"/>
      <c r="J3" s="341"/>
      <c r="K3" s="341"/>
      <c r="L3" s="341"/>
      <c r="M3" s="341"/>
      <c r="N3" s="342"/>
      <c r="O3" s="342"/>
      <c r="P3" s="342"/>
      <c r="Q3" s="342"/>
      <c r="R3" s="343" t="str">
        <f>"ANALYSIS START - "&amp;UPPER(TEXT(Underwriting!E13,"mmm-yyyy"))</f>
        <v>ANALYSIS START - JAN-2022</v>
      </c>
    </row>
    <row r="4" spans="2:18" s="4" customFormat="1" ht="12.75" x14ac:dyDescent="0.2">
      <c r="B4" s="344" t="s">
        <v>557</v>
      </c>
      <c r="C4" s="345"/>
      <c r="D4" s="345"/>
      <c r="E4" s="345"/>
      <c r="F4" s="345"/>
      <c r="G4" s="345"/>
      <c r="H4" s="348" t="str">
        <f>IF(H5="","",IF(EOMONTH(G6,12)&gt;H6,"EXIT",""))</f>
        <v/>
      </c>
      <c r="I4" s="348" t="str">
        <f t="shared" ref="I4:R4" si="0">IF(I5="","",IF(EOMONTH(H6,12)&gt;I6,"EXIT",""))</f>
        <v/>
      </c>
      <c r="J4" s="348" t="str">
        <f t="shared" si="0"/>
        <v/>
      </c>
      <c r="K4" s="348" t="str">
        <f t="shared" si="0"/>
        <v>EXIT</v>
      </c>
      <c r="L4" s="348" t="str">
        <f t="shared" si="0"/>
        <v/>
      </c>
      <c r="M4" s="348" t="str">
        <f t="shared" si="0"/>
        <v/>
      </c>
      <c r="N4" s="348" t="str">
        <f t="shared" si="0"/>
        <v/>
      </c>
      <c r="O4" s="349" t="str">
        <f t="shared" si="0"/>
        <v/>
      </c>
      <c r="P4" s="349" t="str">
        <f t="shared" si="0"/>
        <v/>
      </c>
      <c r="Q4" s="349" t="str">
        <f t="shared" si="0"/>
        <v/>
      </c>
      <c r="R4" s="350" t="str">
        <f t="shared" si="0"/>
        <v/>
      </c>
    </row>
    <row r="5" spans="2:18" s="271" customFormat="1" ht="12.75" x14ac:dyDescent="0.2">
      <c r="B5" s="498"/>
      <c r="C5" s="277"/>
      <c r="D5" s="277"/>
      <c r="E5" s="277"/>
      <c r="F5" s="499" t="s">
        <v>503</v>
      </c>
      <c r="G5" s="500">
        <v>0</v>
      </c>
      <c r="H5" s="500">
        <f t="shared" ref="H5:R5" si="1">IF(OR(G5="",G5=MAX($G$53:$EI$53)),"",G5+1)</f>
        <v>1</v>
      </c>
      <c r="I5" s="500">
        <f t="shared" si="1"/>
        <v>2</v>
      </c>
      <c r="J5" s="500">
        <f t="shared" si="1"/>
        <v>3</v>
      </c>
      <c r="K5" s="500">
        <f t="shared" si="1"/>
        <v>4</v>
      </c>
      <c r="L5" s="501" t="str">
        <f t="shared" si="1"/>
        <v/>
      </c>
      <c r="M5" s="501" t="str">
        <f t="shared" si="1"/>
        <v/>
      </c>
      <c r="N5" s="501" t="str">
        <f t="shared" si="1"/>
        <v/>
      </c>
      <c r="O5" s="501" t="str">
        <f t="shared" si="1"/>
        <v/>
      </c>
      <c r="P5" s="502" t="str">
        <f t="shared" si="1"/>
        <v/>
      </c>
      <c r="Q5" s="502" t="str">
        <f t="shared" si="1"/>
        <v/>
      </c>
      <c r="R5" s="503" t="str">
        <f t="shared" si="1"/>
        <v/>
      </c>
    </row>
    <row r="6" spans="2:18" s="271" customFormat="1" ht="12.75" x14ac:dyDescent="0.2">
      <c r="B6" s="504"/>
      <c r="C6" s="283"/>
      <c r="D6" s="283"/>
      <c r="E6" s="283"/>
      <c r="F6" s="493" t="s">
        <v>665</v>
      </c>
      <c r="G6" s="494">
        <f>EOMONTH(Underwriting!E13,-1)</f>
        <v>44561</v>
      </c>
      <c r="H6" s="494">
        <f>IF(H5="","",IF(I5="",MAX(Underwriting!$L$196:$EN$196),EOMONTH(G6,12)))</f>
        <v>44926</v>
      </c>
      <c r="I6" s="494">
        <f>IF(I5="","",IF(J5="",MAX(Underwriting!$L$196:$EN$196),EOMONTH(H6,12)))</f>
        <v>45291</v>
      </c>
      <c r="J6" s="494">
        <f>IF(J5="","",IF(K5="",MAX(Underwriting!$L$196:$EN$196),EOMONTH(I6,12)))</f>
        <v>45657</v>
      </c>
      <c r="K6" s="494">
        <f>IF(K5="","",IF(L5="",MAX(Underwriting!$L$196:$EN$196),EOMONTH(J6,12)))</f>
        <v>45930</v>
      </c>
      <c r="L6" s="495" t="str">
        <f>IF(L5="","",IF(M5="",MAX(Underwriting!$L$196:$EN$196),EOMONTH(K6,12)))</f>
        <v/>
      </c>
      <c r="M6" s="495" t="str">
        <f>IF(M5="","",IF(N5="",MAX(Underwriting!$L$196:$EN$196),EOMONTH(L6,12)))</f>
        <v/>
      </c>
      <c r="N6" s="495" t="str">
        <f>IF(N5="","",IF(O5="",MAX(Underwriting!$L$196:$EN$196),EOMONTH(M6,12)))</f>
        <v/>
      </c>
      <c r="O6" s="495" t="str">
        <f>IF(O5="","",IF(P5="",MAX(Underwriting!$L$196:$EN$196),EOMONTH(N6,12)))</f>
        <v/>
      </c>
      <c r="P6" s="496" t="str">
        <f>IF(P5="","",IF(Q5="",MAX(Underwriting!$L$196:$EN$196),EOMONTH(O6,12)))</f>
        <v/>
      </c>
      <c r="Q6" s="496" t="str">
        <f>IF(Q5="","",IF(R5="",MAX(Underwriting!$L$196:$EN$196),EOMONTH(P6,12)))</f>
        <v/>
      </c>
      <c r="R6" s="505" t="str">
        <f>IF(R5="","",IF(S5="",MAX(Underwriting!$L$196:$EN$196),EOMONTH(Q6,12)))</f>
        <v/>
      </c>
    </row>
    <row r="7" spans="2:18" s="271" customFormat="1" ht="12.75" x14ac:dyDescent="0.2">
      <c r="B7" s="328" t="s">
        <v>566</v>
      </c>
      <c r="C7" s="479"/>
      <c r="D7" s="479"/>
      <c r="E7" s="479"/>
      <c r="F7" s="480"/>
      <c r="G7" s="528"/>
      <c r="H7" s="479"/>
      <c r="I7" s="479"/>
      <c r="J7" s="479"/>
      <c r="K7" s="479"/>
      <c r="L7" s="479"/>
      <c r="M7" s="479"/>
      <c r="N7" s="481"/>
      <c r="O7" s="481"/>
      <c r="P7" s="481"/>
      <c r="Q7" s="481"/>
      <c r="R7" s="506"/>
    </row>
    <row r="8" spans="2:18" s="271" customFormat="1" ht="12.75" x14ac:dyDescent="0.2">
      <c r="B8" s="507" t="s">
        <v>30</v>
      </c>
      <c r="C8" s="479"/>
      <c r="D8" s="479"/>
      <c r="E8" s="479"/>
      <c r="F8" s="480"/>
      <c r="G8" s="511">
        <f t="shared" ref="G8:R8" si="2">IF(G$5="","",SUMIF($G$53:$EI$53,G$5,$G55:$EI55))</f>
        <v>3028509</v>
      </c>
      <c r="H8" s="511">
        <f t="shared" si="2"/>
        <v>0</v>
      </c>
      <c r="I8" s="511">
        <f t="shared" si="2"/>
        <v>0</v>
      </c>
      <c r="J8" s="511">
        <f t="shared" si="2"/>
        <v>0</v>
      </c>
      <c r="K8" s="511">
        <f t="shared" si="2"/>
        <v>0</v>
      </c>
      <c r="L8" s="511" t="str">
        <f t="shared" si="2"/>
        <v/>
      </c>
      <c r="M8" s="511" t="str">
        <f t="shared" si="2"/>
        <v/>
      </c>
      <c r="N8" s="512" t="str">
        <f t="shared" si="2"/>
        <v/>
      </c>
      <c r="O8" s="512" t="str">
        <f t="shared" si="2"/>
        <v/>
      </c>
      <c r="P8" s="512" t="str">
        <f t="shared" si="2"/>
        <v/>
      </c>
      <c r="Q8" s="512" t="str">
        <f t="shared" si="2"/>
        <v/>
      </c>
      <c r="R8" s="513" t="str">
        <f t="shared" si="2"/>
        <v/>
      </c>
    </row>
    <row r="9" spans="2:18" s="271" customFormat="1" ht="12.75" x14ac:dyDescent="0.2">
      <c r="B9" s="507" t="s">
        <v>24</v>
      </c>
      <c r="C9" s="479"/>
      <c r="D9" s="479"/>
      <c r="E9" s="479"/>
      <c r="F9" s="480"/>
      <c r="G9" s="529">
        <f t="shared" ref="G9:R9" si="3">IF(G$5="","",SUMIF($G$53:$EI$53,G$5,$G56:$EI56))</f>
        <v>0</v>
      </c>
      <c r="H9" s="511">
        <f t="shared" si="3"/>
        <v>38470627.532850333</v>
      </c>
      <c r="I9" s="511">
        <f t="shared" si="3"/>
        <v>7204372.4671496628</v>
      </c>
      <c r="J9" s="511">
        <f t="shared" si="3"/>
        <v>0</v>
      </c>
      <c r="K9" s="511">
        <f t="shared" si="3"/>
        <v>0</v>
      </c>
      <c r="L9" s="511" t="str">
        <f t="shared" si="3"/>
        <v/>
      </c>
      <c r="M9" s="511" t="str">
        <f t="shared" si="3"/>
        <v/>
      </c>
      <c r="N9" s="512" t="str">
        <f t="shared" si="3"/>
        <v/>
      </c>
      <c r="O9" s="512" t="str">
        <f t="shared" si="3"/>
        <v/>
      </c>
      <c r="P9" s="512" t="str">
        <f t="shared" si="3"/>
        <v/>
      </c>
      <c r="Q9" s="512" t="str">
        <f t="shared" si="3"/>
        <v/>
      </c>
      <c r="R9" s="513" t="str">
        <f t="shared" si="3"/>
        <v/>
      </c>
    </row>
    <row r="10" spans="2:18" s="271" customFormat="1" ht="15" x14ac:dyDescent="0.35">
      <c r="B10" s="507" t="s">
        <v>25</v>
      </c>
      <c r="C10" s="479"/>
      <c r="D10" s="479"/>
      <c r="E10" s="479"/>
      <c r="F10" s="480"/>
      <c r="G10" s="531">
        <f t="shared" ref="G10:R10" si="4">IF(G$5="","",SUMIF($G$53:$EI$53,G$5,$G57:$EI57))</f>
        <v>0</v>
      </c>
      <c r="H10" s="530">
        <f t="shared" si="4"/>
        <v>3852152.3071049396</v>
      </c>
      <c r="I10" s="530">
        <f t="shared" si="4"/>
        <v>1926076.1535524698</v>
      </c>
      <c r="J10" s="530">
        <f t="shared" si="4"/>
        <v>0</v>
      </c>
      <c r="K10" s="530">
        <f t="shared" si="4"/>
        <v>0</v>
      </c>
      <c r="L10" s="530" t="str">
        <f t="shared" si="4"/>
        <v/>
      </c>
      <c r="M10" s="530" t="str">
        <f t="shared" si="4"/>
        <v/>
      </c>
      <c r="N10" s="534" t="str">
        <f t="shared" si="4"/>
        <v/>
      </c>
      <c r="O10" s="534" t="str">
        <f t="shared" si="4"/>
        <v/>
      </c>
      <c r="P10" s="534" t="str">
        <f t="shared" si="4"/>
        <v/>
      </c>
      <c r="Q10" s="534" t="str">
        <f t="shared" si="4"/>
        <v/>
      </c>
      <c r="R10" s="535" t="str">
        <f t="shared" si="4"/>
        <v/>
      </c>
    </row>
    <row r="11" spans="2:18" s="271" customFormat="1" ht="12.75" x14ac:dyDescent="0.2">
      <c r="B11" s="281" t="s">
        <v>564</v>
      </c>
      <c r="C11" s="479"/>
      <c r="D11" s="479"/>
      <c r="E11" s="479"/>
      <c r="F11" s="480"/>
      <c r="G11" s="511">
        <f t="shared" ref="G11:R11" si="5">IF(G$5="","",SUMIF($G$53:$EI$53,G$5,$G58:$EI58))</f>
        <v>3028509</v>
      </c>
      <c r="H11" s="511">
        <f t="shared" si="5"/>
        <v>42322779.83995527</v>
      </c>
      <c r="I11" s="511">
        <f t="shared" si="5"/>
        <v>9130448.6207021326</v>
      </c>
      <c r="J11" s="511">
        <f t="shared" si="5"/>
        <v>0</v>
      </c>
      <c r="K11" s="511">
        <f t="shared" si="5"/>
        <v>0</v>
      </c>
      <c r="L11" s="511" t="str">
        <f t="shared" si="5"/>
        <v/>
      </c>
      <c r="M11" s="511" t="str">
        <f t="shared" si="5"/>
        <v/>
      </c>
      <c r="N11" s="512" t="str">
        <f t="shared" si="5"/>
        <v/>
      </c>
      <c r="O11" s="512" t="str">
        <f t="shared" si="5"/>
        <v/>
      </c>
      <c r="P11" s="512" t="str">
        <f t="shared" si="5"/>
        <v/>
      </c>
      <c r="Q11" s="512" t="str">
        <f t="shared" si="5"/>
        <v/>
      </c>
      <c r="R11" s="513" t="str">
        <f t="shared" si="5"/>
        <v/>
      </c>
    </row>
    <row r="12" spans="2:18" s="271" customFormat="1" ht="5.0999999999999996" customHeight="1" x14ac:dyDescent="0.2">
      <c r="B12" s="281"/>
      <c r="C12" s="479"/>
      <c r="D12" s="479"/>
      <c r="E12" s="479"/>
      <c r="F12" s="480"/>
      <c r="G12" s="511"/>
      <c r="H12" s="514"/>
      <c r="I12" s="511"/>
      <c r="J12" s="511"/>
      <c r="K12" s="511"/>
      <c r="L12" s="511"/>
      <c r="M12" s="511"/>
      <c r="N12" s="512"/>
      <c r="O12" s="512"/>
      <c r="P12" s="512"/>
      <c r="Q12" s="512"/>
      <c r="R12" s="513"/>
    </row>
    <row r="13" spans="2:18" s="271" customFormat="1" ht="12.75" x14ac:dyDescent="0.2">
      <c r="B13" s="507" t="s">
        <v>36</v>
      </c>
      <c r="C13" s="479"/>
      <c r="D13" s="479"/>
      <c r="E13" s="479"/>
      <c r="F13" s="482"/>
      <c r="G13" s="511">
        <f t="shared" ref="G13:R13" si="6">IF(G$5="","",SUMIF($G$53:$EI$53,G$5,$G60:$EI60))</f>
        <v>724650.52766129305</v>
      </c>
      <c r="H13" s="511">
        <f t="shared" si="6"/>
        <v>310750.46175807377</v>
      </c>
      <c r="I13" s="511">
        <f t="shared" si="6"/>
        <v>2577991.5768084596</v>
      </c>
      <c r="J13" s="511">
        <f t="shared" si="6"/>
        <v>453732.11828965484</v>
      </c>
      <c r="K13" s="511">
        <f t="shared" si="6"/>
        <v>0</v>
      </c>
      <c r="L13" s="511" t="str">
        <f t="shared" si="6"/>
        <v/>
      </c>
      <c r="M13" s="511" t="str">
        <f t="shared" si="6"/>
        <v/>
      </c>
      <c r="N13" s="512" t="str">
        <f t="shared" si="6"/>
        <v/>
      </c>
      <c r="O13" s="512" t="str">
        <f t="shared" si="6"/>
        <v/>
      </c>
      <c r="P13" s="512" t="str">
        <f t="shared" si="6"/>
        <v/>
      </c>
      <c r="Q13" s="512" t="str">
        <f t="shared" si="6"/>
        <v/>
      </c>
      <c r="R13" s="513" t="str">
        <f t="shared" si="6"/>
        <v/>
      </c>
    </row>
    <row r="14" spans="2:18" s="271" customFormat="1" ht="5.0999999999999996" customHeight="1" x14ac:dyDescent="0.2">
      <c r="B14" s="281"/>
      <c r="C14" s="479"/>
      <c r="D14" s="479"/>
      <c r="E14" s="479"/>
      <c r="F14" s="482"/>
      <c r="G14" s="511"/>
      <c r="H14" s="511"/>
      <c r="I14" s="511"/>
      <c r="J14" s="511"/>
      <c r="K14" s="511"/>
      <c r="L14" s="511"/>
      <c r="M14" s="511"/>
      <c r="N14" s="512"/>
      <c r="O14" s="512"/>
      <c r="P14" s="512"/>
      <c r="Q14" s="512"/>
      <c r="R14" s="513"/>
    </row>
    <row r="15" spans="2:18" s="271" customFormat="1" ht="12.75" x14ac:dyDescent="0.2">
      <c r="B15" s="281" t="s">
        <v>565</v>
      </c>
      <c r="C15" s="479"/>
      <c r="D15" s="479"/>
      <c r="E15" s="479"/>
      <c r="F15" s="482"/>
      <c r="G15" s="511">
        <f t="shared" ref="G15:R15" si="7">IF(G$5="","",SUMIF($G$53:$EI$53,G$5,$G62:$EI62))</f>
        <v>3753159.5276612928</v>
      </c>
      <c r="H15" s="511">
        <f t="shared" si="7"/>
        <v>42633530.301713347</v>
      </c>
      <c r="I15" s="511">
        <f t="shared" si="7"/>
        <v>11708440.197510593</v>
      </c>
      <c r="J15" s="511">
        <f t="shared" si="7"/>
        <v>453732.11828965484</v>
      </c>
      <c r="K15" s="511">
        <f t="shared" si="7"/>
        <v>0</v>
      </c>
      <c r="L15" s="511" t="str">
        <f t="shared" si="7"/>
        <v/>
      </c>
      <c r="M15" s="511" t="str">
        <f t="shared" si="7"/>
        <v/>
      </c>
      <c r="N15" s="512" t="str">
        <f t="shared" si="7"/>
        <v/>
      </c>
      <c r="O15" s="512" t="str">
        <f t="shared" si="7"/>
        <v/>
      </c>
      <c r="P15" s="512" t="str">
        <f t="shared" si="7"/>
        <v/>
      </c>
      <c r="Q15" s="512" t="str">
        <f t="shared" si="7"/>
        <v/>
      </c>
      <c r="R15" s="513" t="str">
        <f t="shared" si="7"/>
        <v/>
      </c>
    </row>
    <row r="16" spans="2:18" s="271" customFormat="1" ht="5.0999999999999996" customHeight="1" x14ac:dyDescent="0.2">
      <c r="B16" s="281"/>
      <c r="C16" s="479"/>
      <c r="D16" s="479"/>
      <c r="E16" s="479"/>
      <c r="F16" s="482"/>
      <c r="G16" s="511"/>
      <c r="H16" s="511"/>
      <c r="I16" s="511"/>
      <c r="J16" s="511"/>
      <c r="K16" s="511"/>
      <c r="L16" s="511"/>
      <c r="M16" s="511"/>
      <c r="N16" s="512"/>
      <c r="O16" s="512"/>
      <c r="P16" s="512"/>
      <c r="Q16" s="512"/>
      <c r="R16" s="513"/>
    </row>
    <row r="17" spans="2:18" s="271" customFormat="1" ht="12.75" x14ac:dyDescent="0.2">
      <c r="B17" s="281" t="s">
        <v>60</v>
      </c>
      <c r="C17" s="479"/>
      <c r="D17" s="479"/>
      <c r="E17" s="479"/>
      <c r="F17" s="482"/>
      <c r="G17" s="511">
        <f t="shared" ref="G17:R17" si="8">IF(G$5="","",SUMIF($G$53:$EI$53,G$5,$G64:$EI64))</f>
        <v>3753159.5276612928</v>
      </c>
      <c r="H17" s="511">
        <f t="shared" si="8"/>
        <v>42633530.301713347</v>
      </c>
      <c r="I17" s="511">
        <f t="shared" si="8"/>
        <v>11708440.197510593</v>
      </c>
      <c r="J17" s="511">
        <f t="shared" si="8"/>
        <v>453732.11828965484</v>
      </c>
      <c r="K17" s="511">
        <f t="shared" si="8"/>
        <v>0</v>
      </c>
      <c r="L17" s="511" t="str">
        <f t="shared" si="8"/>
        <v/>
      </c>
      <c r="M17" s="511" t="str">
        <f t="shared" si="8"/>
        <v/>
      </c>
      <c r="N17" s="512" t="str">
        <f t="shared" si="8"/>
        <v/>
      </c>
      <c r="O17" s="512" t="str">
        <f t="shared" si="8"/>
        <v/>
      </c>
      <c r="P17" s="512" t="str">
        <f t="shared" si="8"/>
        <v/>
      </c>
      <c r="Q17" s="512" t="str">
        <f t="shared" si="8"/>
        <v/>
      </c>
      <c r="R17" s="513" t="str">
        <f t="shared" si="8"/>
        <v/>
      </c>
    </row>
    <row r="18" spans="2:18" s="271" customFormat="1" ht="12.75" x14ac:dyDescent="0.2">
      <c r="B18" s="281" t="s">
        <v>29</v>
      </c>
      <c r="C18" s="479"/>
      <c r="D18" s="479"/>
      <c r="E18" s="479"/>
      <c r="F18" s="482"/>
      <c r="G18" s="511">
        <f t="shared" ref="G18:R18" si="9">IF(G$5="","",SUMIF($G$53:$EI$53,G$5,$G65:$EI65))</f>
        <v>3753159.5276612928</v>
      </c>
      <c r="H18" s="511">
        <f t="shared" si="9"/>
        <v>42633530.301713347</v>
      </c>
      <c r="I18" s="511">
        <f t="shared" si="9"/>
        <v>11708440.197510593</v>
      </c>
      <c r="J18" s="511">
        <f t="shared" si="9"/>
        <v>453732.11828965484</v>
      </c>
      <c r="K18" s="511">
        <f t="shared" si="9"/>
        <v>0</v>
      </c>
      <c r="L18" s="511" t="str">
        <f t="shared" si="9"/>
        <v/>
      </c>
      <c r="M18" s="511" t="str">
        <f t="shared" si="9"/>
        <v/>
      </c>
      <c r="N18" s="512" t="str">
        <f t="shared" si="9"/>
        <v/>
      </c>
      <c r="O18" s="512" t="str">
        <f t="shared" si="9"/>
        <v/>
      </c>
      <c r="P18" s="512" t="str">
        <f t="shared" si="9"/>
        <v/>
      </c>
      <c r="Q18" s="512" t="str">
        <f t="shared" si="9"/>
        <v/>
      </c>
      <c r="R18" s="513" t="str">
        <f t="shared" si="9"/>
        <v/>
      </c>
    </row>
    <row r="19" spans="2:18" s="478" customFormat="1" x14ac:dyDescent="0.2">
      <c r="B19" s="282"/>
      <c r="C19" s="497"/>
      <c r="D19" s="497"/>
      <c r="E19" s="497"/>
      <c r="F19" s="497"/>
      <c r="G19" s="515"/>
      <c r="H19" s="515"/>
      <c r="I19" s="515"/>
      <c r="J19" s="515"/>
      <c r="K19" s="516"/>
      <c r="L19" s="516"/>
      <c r="M19" s="516"/>
      <c r="N19" s="517"/>
      <c r="O19" s="517"/>
      <c r="P19" s="518"/>
      <c r="Q19" s="518"/>
      <c r="R19" s="519"/>
    </row>
    <row r="20" spans="2:18" s="271" customFormat="1" ht="12.75" x14ac:dyDescent="0.2">
      <c r="B20" s="328" t="s">
        <v>567</v>
      </c>
      <c r="C20" s="479"/>
      <c r="D20" s="479"/>
      <c r="E20" s="479"/>
      <c r="F20" s="479"/>
      <c r="G20" s="511"/>
      <c r="H20" s="529"/>
      <c r="I20" s="511"/>
      <c r="J20" s="511"/>
      <c r="K20" s="529"/>
      <c r="L20" s="529"/>
      <c r="M20" s="529"/>
      <c r="N20" s="511"/>
      <c r="O20" s="511"/>
      <c r="P20" s="529"/>
      <c r="Q20" s="529"/>
      <c r="R20" s="532"/>
    </row>
    <row r="21" spans="2:18" s="271" customFormat="1" ht="12.75" x14ac:dyDescent="0.2">
      <c r="B21" s="507" t="s">
        <v>488</v>
      </c>
      <c r="C21" s="479"/>
      <c r="D21" s="479"/>
      <c r="E21" s="479"/>
      <c r="F21" s="479"/>
      <c r="G21" s="511">
        <f t="shared" ref="G21:R21" si="10">IF(G$5="","",SUMIF($G$53:$EI$53,G$5,$G68:$EI68))</f>
        <v>0</v>
      </c>
      <c r="H21" s="529">
        <f t="shared" si="10"/>
        <v>0</v>
      </c>
      <c r="I21" s="511">
        <f t="shared" si="10"/>
        <v>529568.30769230775</v>
      </c>
      <c r="J21" s="511">
        <f t="shared" si="10"/>
        <v>4457721.58</v>
      </c>
      <c r="K21" s="511">
        <f t="shared" si="10"/>
        <v>4436227.3122000005</v>
      </c>
      <c r="L21" s="511" t="str">
        <f t="shared" si="10"/>
        <v/>
      </c>
      <c r="M21" s="511" t="str">
        <f t="shared" si="10"/>
        <v/>
      </c>
      <c r="N21" s="511" t="str">
        <f t="shared" si="10"/>
        <v/>
      </c>
      <c r="O21" s="511" t="str">
        <f t="shared" si="10"/>
        <v/>
      </c>
      <c r="P21" s="511" t="str">
        <f t="shared" si="10"/>
        <v/>
      </c>
      <c r="Q21" s="511" t="str">
        <f t="shared" si="10"/>
        <v/>
      </c>
      <c r="R21" s="522" t="str">
        <f t="shared" si="10"/>
        <v/>
      </c>
    </row>
    <row r="22" spans="2:18" s="271" customFormat="1" ht="12.75" x14ac:dyDescent="0.2">
      <c r="B22" s="507" t="s">
        <v>125</v>
      </c>
      <c r="C22" s="479"/>
      <c r="D22" s="479"/>
      <c r="E22" s="479"/>
      <c r="F22" s="479"/>
      <c r="G22" s="511">
        <f t="shared" ref="G22:R22" si="11">IF(G$5="","",SUMIF($G$53:$EI$53,G$5,$G69:$EI69))</f>
        <v>0</v>
      </c>
      <c r="H22" s="529">
        <f t="shared" si="11"/>
        <v>0</v>
      </c>
      <c r="I22" s="520">
        <f t="shared" si="11"/>
        <v>91128.703999999998</v>
      </c>
      <c r="J22" s="511">
        <f t="shared" si="11"/>
        <v>571984.49877333338</v>
      </c>
      <c r="K22" s="511">
        <f t="shared" si="11"/>
        <v>533256.69808800006</v>
      </c>
      <c r="L22" s="511" t="str">
        <f t="shared" si="11"/>
        <v/>
      </c>
      <c r="M22" s="511" t="str">
        <f t="shared" si="11"/>
        <v/>
      </c>
      <c r="N22" s="511" t="str">
        <f t="shared" si="11"/>
        <v/>
      </c>
      <c r="O22" s="511" t="str">
        <f t="shared" si="11"/>
        <v/>
      </c>
      <c r="P22" s="511" t="str">
        <f t="shared" si="11"/>
        <v/>
      </c>
      <c r="Q22" s="511" t="str">
        <f t="shared" si="11"/>
        <v/>
      </c>
      <c r="R22" s="522" t="str">
        <f t="shared" si="11"/>
        <v/>
      </c>
    </row>
    <row r="23" spans="2:18" s="271" customFormat="1" ht="15" x14ac:dyDescent="0.35">
      <c r="B23" s="507" t="s">
        <v>560</v>
      </c>
      <c r="C23" s="479"/>
      <c r="D23" s="479"/>
      <c r="E23" s="479"/>
      <c r="F23" s="479"/>
      <c r="G23" s="530">
        <f t="shared" ref="G23:R23" si="12">IF(G$5="","",SUMIF($G$53:$EI$53,G$5,$G70:$EI70))</f>
        <v>0</v>
      </c>
      <c r="H23" s="531">
        <f t="shared" si="12"/>
        <v>0</v>
      </c>
      <c r="I23" s="530">
        <f t="shared" si="12"/>
        <v>0</v>
      </c>
      <c r="J23" s="530">
        <f t="shared" si="12"/>
        <v>0</v>
      </c>
      <c r="K23" s="530">
        <f t="shared" si="12"/>
        <v>0</v>
      </c>
      <c r="L23" s="530" t="str">
        <f t="shared" si="12"/>
        <v/>
      </c>
      <c r="M23" s="530" t="str">
        <f t="shared" si="12"/>
        <v/>
      </c>
      <c r="N23" s="530" t="str">
        <f t="shared" si="12"/>
        <v/>
      </c>
      <c r="O23" s="530" t="str">
        <f t="shared" si="12"/>
        <v/>
      </c>
      <c r="P23" s="530" t="str">
        <f t="shared" si="12"/>
        <v/>
      </c>
      <c r="Q23" s="530" t="str">
        <f t="shared" si="12"/>
        <v/>
      </c>
      <c r="R23" s="536" t="str">
        <f t="shared" si="12"/>
        <v/>
      </c>
    </row>
    <row r="24" spans="2:18" s="271" customFormat="1" ht="12.75" x14ac:dyDescent="0.2">
      <c r="B24" s="281" t="s">
        <v>133</v>
      </c>
      <c r="C24" s="479"/>
      <c r="D24" s="479"/>
      <c r="E24" s="479"/>
      <c r="F24" s="479"/>
      <c r="G24" s="511">
        <f t="shared" ref="G24:R24" si="13">IF(G$5="","",SUMIF($G$53:$EI$53,G$5,$G71:$EI71))</f>
        <v>0</v>
      </c>
      <c r="H24" s="529">
        <f t="shared" si="13"/>
        <v>0</v>
      </c>
      <c r="I24" s="520">
        <f t="shared" si="13"/>
        <v>620697.01169230766</v>
      </c>
      <c r="J24" s="511">
        <f t="shared" si="13"/>
        <v>5029706.0787733328</v>
      </c>
      <c r="K24" s="511">
        <f t="shared" si="13"/>
        <v>4969484.0102879992</v>
      </c>
      <c r="L24" s="511" t="str">
        <f t="shared" si="13"/>
        <v/>
      </c>
      <c r="M24" s="511" t="str">
        <f t="shared" si="13"/>
        <v/>
      </c>
      <c r="N24" s="511" t="str">
        <f t="shared" si="13"/>
        <v/>
      </c>
      <c r="O24" s="511" t="str">
        <f t="shared" si="13"/>
        <v/>
      </c>
      <c r="P24" s="529" t="str">
        <f t="shared" si="13"/>
        <v/>
      </c>
      <c r="Q24" s="529" t="str">
        <f t="shared" si="13"/>
        <v/>
      </c>
      <c r="R24" s="532" t="str">
        <f t="shared" si="13"/>
        <v/>
      </c>
    </row>
    <row r="25" spans="2:18" s="271" customFormat="1" ht="15" x14ac:dyDescent="0.35">
      <c r="B25" s="507" t="s">
        <v>558</v>
      </c>
      <c r="C25" s="479"/>
      <c r="D25" s="479"/>
      <c r="E25" s="479"/>
      <c r="F25" s="479"/>
      <c r="G25" s="530">
        <f t="shared" ref="G25:R25" si="14">IF(G$5="","",SUMIF($G$53:$EI$53,G$5,$G72:$EI72))</f>
        <v>0</v>
      </c>
      <c r="H25" s="531">
        <f t="shared" si="14"/>
        <v>0</v>
      </c>
      <c r="I25" s="537">
        <f t="shared" si="14"/>
        <v>-31034.850584615389</v>
      </c>
      <c r="J25" s="530">
        <f t="shared" si="14"/>
        <v>-251485.30393866671</v>
      </c>
      <c r="K25" s="530">
        <f t="shared" si="14"/>
        <v>-248474.20051439997</v>
      </c>
      <c r="L25" s="530" t="str">
        <f t="shared" si="14"/>
        <v/>
      </c>
      <c r="M25" s="530" t="str">
        <f t="shared" si="14"/>
        <v/>
      </c>
      <c r="N25" s="530" t="str">
        <f t="shared" si="14"/>
        <v/>
      </c>
      <c r="O25" s="530" t="str">
        <f t="shared" si="14"/>
        <v/>
      </c>
      <c r="P25" s="530" t="str">
        <f t="shared" si="14"/>
        <v/>
      </c>
      <c r="Q25" s="530" t="str">
        <f t="shared" si="14"/>
        <v/>
      </c>
      <c r="R25" s="536" t="str">
        <f t="shared" si="14"/>
        <v/>
      </c>
    </row>
    <row r="26" spans="2:18" s="271" customFormat="1" ht="12.75" x14ac:dyDescent="0.2">
      <c r="B26" s="281" t="s">
        <v>147</v>
      </c>
      <c r="C26" s="479"/>
      <c r="D26" s="479"/>
      <c r="E26" s="479"/>
      <c r="F26" s="479"/>
      <c r="G26" s="511">
        <f t="shared" ref="G26:R26" si="15">IF(G$5="","",SUMIF($G$53:$EI$53,G$5,$G73:$EI73))</f>
        <v>0</v>
      </c>
      <c r="H26" s="529">
        <f t="shared" si="15"/>
        <v>0</v>
      </c>
      <c r="I26" s="520">
        <f t="shared" si="15"/>
        <v>589662.1611076924</v>
      </c>
      <c r="J26" s="511">
        <f t="shared" si="15"/>
        <v>4778220.7748346664</v>
      </c>
      <c r="K26" s="511">
        <f t="shared" si="15"/>
        <v>4721009.8097735997</v>
      </c>
      <c r="L26" s="511" t="str">
        <f t="shared" si="15"/>
        <v/>
      </c>
      <c r="M26" s="511" t="str">
        <f t="shared" si="15"/>
        <v/>
      </c>
      <c r="N26" s="511" t="str">
        <f t="shared" si="15"/>
        <v/>
      </c>
      <c r="O26" s="511" t="str">
        <f t="shared" si="15"/>
        <v/>
      </c>
      <c r="P26" s="511" t="str">
        <f t="shared" si="15"/>
        <v/>
      </c>
      <c r="Q26" s="511" t="str">
        <f t="shared" si="15"/>
        <v/>
      </c>
      <c r="R26" s="522" t="str">
        <f t="shared" si="15"/>
        <v/>
      </c>
    </row>
    <row r="27" spans="2:18" s="271" customFormat="1" ht="12.75" x14ac:dyDescent="0.2">
      <c r="B27" s="281"/>
      <c r="C27" s="479"/>
      <c r="D27" s="479"/>
      <c r="E27" s="479"/>
      <c r="F27" s="479"/>
      <c r="G27" s="511"/>
      <c r="H27" s="529"/>
      <c r="I27" s="521"/>
      <c r="J27" s="511"/>
      <c r="K27" s="511"/>
      <c r="L27" s="511"/>
      <c r="M27" s="511"/>
      <c r="N27" s="511"/>
      <c r="O27" s="511"/>
      <c r="P27" s="529"/>
      <c r="Q27" s="529"/>
      <c r="R27" s="532"/>
    </row>
    <row r="28" spans="2:18" s="271" customFormat="1" ht="12.75" x14ac:dyDescent="0.2">
      <c r="B28" s="281" t="s">
        <v>135</v>
      </c>
      <c r="C28" s="479"/>
      <c r="D28" s="479"/>
      <c r="E28" s="479"/>
      <c r="F28" s="479"/>
      <c r="G28" s="511"/>
      <c r="H28" s="529"/>
      <c r="I28" s="521"/>
      <c r="J28" s="511"/>
      <c r="K28" s="511"/>
      <c r="L28" s="511"/>
      <c r="M28" s="511"/>
      <c r="N28" s="511"/>
      <c r="O28" s="511"/>
      <c r="P28" s="511"/>
      <c r="Q28" s="511"/>
      <c r="R28" s="522"/>
    </row>
    <row r="29" spans="2:18" s="271" customFormat="1" ht="12.75" x14ac:dyDescent="0.2">
      <c r="B29" s="507" t="s">
        <v>136</v>
      </c>
      <c r="C29" s="479"/>
      <c r="D29" s="479"/>
      <c r="E29" s="479"/>
      <c r="F29" s="479"/>
      <c r="G29" s="511">
        <f t="shared" ref="G29:R29" si="16">IF(G$5="","",SUMIF($G$53:$EI$53,G$5,$G76:$EI76))</f>
        <v>0</v>
      </c>
      <c r="H29" s="529">
        <f t="shared" si="16"/>
        <v>0</v>
      </c>
      <c r="I29" s="521">
        <f t="shared" si="16"/>
        <v>107500.00000000001</v>
      </c>
      <c r="J29" s="511">
        <f t="shared" si="16"/>
        <v>218224.99999999997</v>
      </c>
      <c r="K29" s="511">
        <f t="shared" si="16"/>
        <v>167748.375</v>
      </c>
      <c r="L29" s="511" t="str">
        <f t="shared" si="16"/>
        <v/>
      </c>
      <c r="M29" s="511" t="str">
        <f t="shared" si="16"/>
        <v/>
      </c>
      <c r="N29" s="511" t="str">
        <f t="shared" si="16"/>
        <v/>
      </c>
      <c r="O29" s="511" t="str">
        <f t="shared" si="16"/>
        <v/>
      </c>
      <c r="P29" s="511" t="str">
        <f t="shared" si="16"/>
        <v/>
      </c>
      <c r="Q29" s="511" t="str">
        <f t="shared" si="16"/>
        <v/>
      </c>
      <c r="R29" s="522" t="str">
        <f t="shared" si="16"/>
        <v/>
      </c>
    </row>
    <row r="30" spans="2:18" s="271" customFormat="1" ht="12.75" x14ac:dyDescent="0.2">
      <c r="B30" s="507" t="s">
        <v>137</v>
      </c>
      <c r="C30" s="479"/>
      <c r="D30" s="479"/>
      <c r="E30" s="479"/>
      <c r="F30" s="479"/>
      <c r="G30" s="511">
        <f t="shared" ref="G30:R30" si="17">IF(G$5="","",SUMIF($G$53:$EI$53,G$5,$G77:$EI77))</f>
        <v>0</v>
      </c>
      <c r="H30" s="529">
        <f t="shared" si="17"/>
        <v>0</v>
      </c>
      <c r="I30" s="521">
        <f t="shared" si="17"/>
        <v>197550</v>
      </c>
      <c r="J30" s="511">
        <f t="shared" si="17"/>
        <v>401026.5</v>
      </c>
      <c r="K30" s="511">
        <f t="shared" si="17"/>
        <v>308266.89750000002</v>
      </c>
      <c r="L30" s="511" t="str">
        <f t="shared" si="17"/>
        <v/>
      </c>
      <c r="M30" s="511" t="str">
        <f t="shared" si="17"/>
        <v/>
      </c>
      <c r="N30" s="511" t="str">
        <f t="shared" si="17"/>
        <v/>
      </c>
      <c r="O30" s="511" t="str">
        <f t="shared" si="17"/>
        <v/>
      </c>
      <c r="P30" s="511" t="str">
        <f t="shared" si="17"/>
        <v/>
      </c>
      <c r="Q30" s="511" t="str">
        <f t="shared" si="17"/>
        <v/>
      </c>
      <c r="R30" s="522" t="str">
        <f t="shared" si="17"/>
        <v/>
      </c>
    </row>
    <row r="31" spans="2:18" s="271" customFormat="1" ht="12.75" x14ac:dyDescent="0.2">
      <c r="B31" s="507" t="s">
        <v>268</v>
      </c>
      <c r="C31" s="483"/>
      <c r="D31" s="483"/>
      <c r="E31" s="483"/>
      <c r="F31" s="484"/>
      <c r="G31" s="533">
        <f t="shared" ref="G31:R31" si="18">IF(G$5="","",SUMIF($G$53:$EI$53,G$5,$G78:$EI78))</f>
        <v>0</v>
      </c>
      <c r="H31" s="529">
        <f t="shared" si="18"/>
        <v>0</v>
      </c>
      <c r="I31" s="511">
        <f t="shared" si="18"/>
        <v>98000</v>
      </c>
      <c r="J31" s="529">
        <f t="shared" si="18"/>
        <v>232913.33333333334</v>
      </c>
      <c r="K31" s="533">
        <f t="shared" si="18"/>
        <v>187254</v>
      </c>
      <c r="L31" s="533" t="str">
        <f t="shared" si="18"/>
        <v/>
      </c>
      <c r="M31" s="529" t="str">
        <f t="shared" si="18"/>
        <v/>
      </c>
      <c r="N31" s="511" t="str">
        <f t="shared" si="18"/>
        <v/>
      </c>
      <c r="O31" s="511" t="str">
        <f t="shared" si="18"/>
        <v/>
      </c>
      <c r="P31" s="511" t="str">
        <f t="shared" si="18"/>
        <v/>
      </c>
      <c r="Q31" s="511" t="str">
        <f t="shared" si="18"/>
        <v/>
      </c>
      <c r="R31" s="522" t="str">
        <f t="shared" si="18"/>
        <v/>
      </c>
    </row>
    <row r="32" spans="2:18" s="271" customFormat="1" ht="12.75" x14ac:dyDescent="0.2">
      <c r="B32" s="507" t="s">
        <v>138</v>
      </c>
      <c r="C32" s="479"/>
      <c r="D32" s="479"/>
      <c r="E32" s="479"/>
      <c r="F32" s="485"/>
      <c r="G32" s="511">
        <f t="shared" ref="G32:R32" si="19">IF(G$5="","",SUMIF($G$53:$EI$53,G$5,$G79:$EI79))</f>
        <v>0</v>
      </c>
      <c r="H32" s="511">
        <f t="shared" si="19"/>
        <v>0</v>
      </c>
      <c r="I32" s="511">
        <f t="shared" si="19"/>
        <v>65000.000000000007</v>
      </c>
      <c r="J32" s="511">
        <f t="shared" si="19"/>
        <v>131950</v>
      </c>
      <c r="K32" s="511">
        <f t="shared" si="19"/>
        <v>101429.24999999999</v>
      </c>
      <c r="L32" s="511" t="str">
        <f t="shared" si="19"/>
        <v/>
      </c>
      <c r="M32" s="511" t="str">
        <f t="shared" si="19"/>
        <v/>
      </c>
      <c r="N32" s="511" t="str">
        <f t="shared" si="19"/>
        <v/>
      </c>
      <c r="O32" s="523" t="str">
        <f t="shared" si="19"/>
        <v/>
      </c>
      <c r="P32" s="529" t="str">
        <f t="shared" si="19"/>
        <v/>
      </c>
      <c r="Q32" s="529" t="str">
        <f t="shared" si="19"/>
        <v/>
      </c>
      <c r="R32" s="532" t="str">
        <f t="shared" si="19"/>
        <v/>
      </c>
    </row>
    <row r="33" spans="2:18" s="271" customFormat="1" ht="12.75" x14ac:dyDescent="0.2">
      <c r="B33" s="507" t="s">
        <v>139</v>
      </c>
      <c r="C33" s="479"/>
      <c r="D33" s="479"/>
      <c r="E33" s="479"/>
      <c r="F33" s="485"/>
      <c r="G33" s="511">
        <f t="shared" ref="G33:R33" si="20">IF(G$5="","",SUMIF($G$53:$EI$53,G$5,$G80:$EI80))</f>
        <v>0</v>
      </c>
      <c r="H33" s="511">
        <f t="shared" si="20"/>
        <v>0</v>
      </c>
      <c r="I33" s="511">
        <f t="shared" si="20"/>
        <v>88666.666666666657</v>
      </c>
      <c r="J33" s="511">
        <f t="shared" si="20"/>
        <v>259264.4444444445</v>
      </c>
      <c r="K33" s="511">
        <f t="shared" si="20"/>
        <v>218463.00000000003</v>
      </c>
      <c r="L33" s="511" t="str">
        <f t="shared" si="20"/>
        <v/>
      </c>
      <c r="M33" s="511" t="str">
        <f t="shared" si="20"/>
        <v/>
      </c>
      <c r="N33" s="524" t="str">
        <f t="shared" si="20"/>
        <v/>
      </c>
      <c r="O33" s="529" t="str">
        <f t="shared" si="20"/>
        <v/>
      </c>
      <c r="P33" s="529" t="str">
        <f t="shared" si="20"/>
        <v/>
      </c>
      <c r="Q33" s="511" t="str">
        <f t="shared" si="20"/>
        <v/>
      </c>
      <c r="R33" s="522" t="str">
        <f t="shared" si="20"/>
        <v/>
      </c>
    </row>
    <row r="34" spans="2:18" s="271" customFormat="1" ht="12.75" x14ac:dyDescent="0.2">
      <c r="B34" s="507" t="s">
        <v>140</v>
      </c>
      <c r="C34" s="479"/>
      <c r="D34" s="479"/>
      <c r="E34" s="479"/>
      <c r="F34" s="485"/>
      <c r="G34" s="511">
        <f t="shared" ref="G34:R34" si="21">IF(G$5="","",SUMIF($G$53:$EI$53,G$5,$G81:$EI81))</f>
        <v>0</v>
      </c>
      <c r="H34" s="511">
        <f t="shared" si="21"/>
        <v>0</v>
      </c>
      <c r="I34" s="511">
        <f t="shared" si="21"/>
        <v>42875</v>
      </c>
      <c r="J34" s="511">
        <f t="shared" si="21"/>
        <v>101899.58333333333</v>
      </c>
      <c r="K34" s="511">
        <f t="shared" si="21"/>
        <v>81923.625</v>
      </c>
      <c r="L34" s="511" t="str">
        <f t="shared" si="21"/>
        <v/>
      </c>
      <c r="M34" s="511" t="str">
        <f t="shared" si="21"/>
        <v/>
      </c>
      <c r="N34" s="511" t="str">
        <f t="shared" si="21"/>
        <v/>
      </c>
      <c r="O34" s="529" t="str">
        <f t="shared" si="21"/>
        <v/>
      </c>
      <c r="P34" s="511" t="str">
        <f t="shared" si="21"/>
        <v/>
      </c>
      <c r="Q34" s="511" t="str">
        <f t="shared" si="21"/>
        <v/>
      </c>
      <c r="R34" s="522" t="str">
        <f t="shared" si="21"/>
        <v/>
      </c>
    </row>
    <row r="35" spans="2:18" s="271" customFormat="1" ht="12.75" x14ac:dyDescent="0.2">
      <c r="B35" s="507" t="s">
        <v>141</v>
      </c>
      <c r="C35" s="479"/>
      <c r="D35" s="479"/>
      <c r="E35" s="479"/>
      <c r="F35" s="485"/>
      <c r="G35" s="511">
        <f t="shared" ref="G35:R35" si="22">IF(G$5="","",SUMIF($G$53:$EI$53,G$5,$G82:$EI82))</f>
        <v>0</v>
      </c>
      <c r="H35" s="511">
        <f t="shared" si="22"/>
        <v>0</v>
      </c>
      <c r="I35" s="511">
        <f t="shared" si="22"/>
        <v>6000</v>
      </c>
      <c r="J35" s="511">
        <f t="shared" si="22"/>
        <v>37660</v>
      </c>
      <c r="K35" s="511">
        <f t="shared" si="22"/>
        <v>35110.125</v>
      </c>
      <c r="L35" s="511" t="str">
        <f t="shared" si="22"/>
        <v/>
      </c>
      <c r="M35" s="511" t="str">
        <f t="shared" si="22"/>
        <v/>
      </c>
      <c r="N35" s="511" t="str">
        <f t="shared" si="22"/>
        <v/>
      </c>
      <c r="O35" s="529" t="str">
        <f t="shared" si="22"/>
        <v/>
      </c>
      <c r="P35" s="511" t="str">
        <f t="shared" si="22"/>
        <v/>
      </c>
      <c r="Q35" s="511" t="str">
        <f t="shared" si="22"/>
        <v/>
      </c>
      <c r="R35" s="522" t="str">
        <f t="shared" si="22"/>
        <v/>
      </c>
    </row>
    <row r="36" spans="2:18" s="271" customFormat="1" ht="12.75" x14ac:dyDescent="0.2">
      <c r="B36" s="507" t="s">
        <v>142</v>
      </c>
      <c r="C36" s="479"/>
      <c r="D36" s="479"/>
      <c r="E36" s="479"/>
      <c r="F36" s="485"/>
      <c r="G36" s="511">
        <f t="shared" ref="G36:R36" si="23">IF(G$5="","",SUMIF($G$53:$EI$53,G$5,$G83:$EI83))</f>
        <v>0</v>
      </c>
      <c r="H36" s="511">
        <f t="shared" si="23"/>
        <v>0</v>
      </c>
      <c r="I36" s="511">
        <f t="shared" si="23"/>
        <v>17689.864833230771</v>
      </c>
      <c r="J36" s="511">
        <f t="shared" si="23"/>
        <v>143346.62324503998</v>
      </c>
      <c r="K36" s="511">
        <f t="shared" si="23"/>
        <v>141630.29429320799</v>
      </c>
      <c r="L36" s="511" t="str">
        <f t="shared" si="23"/>
        <v/>
      </c>
      <c r="M36" s="511" t="str">
        <f t="shared" si="23"/>
        <v/>
      </c>
      <c r="N36" s="511" t="str">
        <f t="shared" si="23"/>
        <v/>
      </c>
      <c r="O36" s="529" t="str">
        <f t="shared" si="23"/>
        <v/>
      </c>
      <c r="P36" s="511" t="str">
        <f t="shared" si="23"/>
        <v/>
      </c>
      <c r="Q36" s="511" t="str">
        <f t="shared" si="23"/>
        <v/>
      </c>
      <c r="R36" s="522" t="str">
        <f t="shared" si="23"/>
        <v/>
      </c>
    </row>
    <row r="37" spans="2:18" s="478" customFormat="1" x14ac:dyDescent="0.2">
      <c r="B37" s="507" t="s">
        <v>143</v>
      </c>
      <c r="C37" s="479"/>
      <c r="D37" s="479"/>
      <c r="E37" s="479"/>
      <c r="F37" s="479"/>
      <c r="G37" s="511">
        <f t="shared" ref="G37:R37" si="24">IF(G$5="","",SUMIF($G$53:$EI$53,G$5,$G84:$EI84))</f>
        <v>0</v>
      </c>
      <c r="H37" s="511">
        <f t="shared" si="24"/>
        <v>0</v>
      </c>
      <c r="I37" s="511">
        <f t="shared" si="24"/>
        <v>52500</v>
      </c>
      <c r="J37" s="511">
        <f t="shared" si="24"/>
        <v>106575</v>
      </c>
      <c r="K37" s="511">
        <f t="shared" si="24"/>
        <v>81923.625</v>
      </c>
      <c r="L37" s="511" t="str">
        <f t="shared" si="24"/>
        <v/>
      </c>
      <c r="M37" s="511" t="str">
        <f t="shared" si="24"/>
        <v/>
      </c>
      <c r="N37" s="525" t="str">
        <f t="shared" si="24"/>
        <v/>
      </c>
      <c r="O37" s="525" t="str">
        <f t="shared" si="24"/>
        <v/>
      </c>
      <c r="P37" s="525" t="str">
        <f t="shared" si="24"/>
        <v/>
      </c>
      <c r="Q37" s="525" t="str">
        <f t="shared" si="24"/>
        <v/>
      </c>
      <c r="R37" s="526" t="str">
        <f t="shared" si="24"/>
        <v/>
      </c>
    </row>
    <row r="38" spans="2:18" s="271" customFormat="1" ht="15" x14ac:dyDescent="0.35">
      <c r="B38" s="507" t="s">
        <v>144</v>
      </c>
      <c r="C38" s="479"/>
      <c r="D38" s="479"/>
      <c r="E38" s="479"/>
      <c r="F38" s="479"/>
      <c r="G38" s="530">
        <f t="shared" ref="G38:R38" si="25">IF(G$5="","",SUMIF($G$53:$EI$53,G$5,$G85:$EI85))</f>
        <v>0</v>
      </c>
      <c r="H38" s="530">
        <f t="shared" si="25"/>
        <v>0</v>
      </c>
      <c r="I38" s="530">
        <f t="shared" si="25"/>
        <v>258829.96875</v>
      </c>
      <c r="J38" s="530">
        <f t="shared" si="25"/>
        <v>658722.2704687498</v>
      </c>
      <c r="K38" s="530">
        <f t="shared" si="25"/>
        <v>674485.01556562493</v>
      </c>
      <c r="L38" s="530" t="str">
        <f t="shared" si="25"/>
        <v/>
      </c>
      <c r="M38" s="530" t="str">
        <f t="shared" si="25"/>
        <v/>
      </c>
      <c r="N38" s="530" t="str">
        <f t="shared" si="25"/>
        <v/>
      </c>
      <c r="O38" s="530" t="str">
        <f t="shared" si="25"/>
        <v/>
      </c>
      <c r="P38" s="530" t="str">
        <f t="shared" si="25"/>
        <v/>
      </c>
      <c r="Q38" s="530" t="str">
        <f t="shared" si="25"/>
        <v/>
      </c>
      <c r="R38" s="536" t="str">
        <f t="shared" si="25"/>
        <v/>
      </c>
    </row>
    <row r="39" spans="2:18" s="271" customFormat="1" ht="12.75" x14ac:dyDescent="0.2">
      <c r="B39" s="281" t="s">
        <v>145</v>
      </c>
      <c r="C39" s="479"/>
      <c r="D39" s="479"/>
      <c r="E39" s="479"/>
      <c r="F39" s="479"/>
      <c r="G39" s="511">
        <f t="shared" ref="G39:R39" si="26">IF(G$5="","",SUMIF($G$53:$EI$53,G$5,$G86:$EI86))</f>
        <v>0</v>
      </c>
      <c r="H39" s="511">
        <f t="shared" si="26"/>
        <v>0</v>
      </c>
      <c r="I39" s="511">
        <f t="shared" si="26"/>
        <v>934611.50024989748</v>
      </c>
      <c r="J39" s="511">
        <f t="shared" si="26"/>
        <v>2291582.754824901</v>
      </c>
      <c r="K39" s="511">
        <f t="shared" si="26"/>
        <v>1998234.2073588327</v>
      </c>
      <c r="L39" s="511" t="str">
        <f t="shared" si="26"/>
        <v/>
      </c>
      <c r="M39" s="511" t="str">
        <f t="shared" si="26"/>
        <v/>
      </c>
      <c r="N39" s="511" t="str">
        <f t="shared" si="26"/>
        <v/>
      </c>
      <c r="O39" s="511" t="str">
        <f t="shared" si="26"/>
        <v/>
      </c>
      <c r="P39" s="511" t="str">
        <f t="shared" si="26"/>
        <v/>
      </c>
      <c r="Q39" s="511" t="str">
        <f t="shared" si="26"/>
        <v/>
      </c>
      <c r="R39" s="522" t="str">
        <f t="shared" si="26"/>
        <v/>
      </c>
    </row>
    <row r="40" spans="2:18" s="271" customFormat="1" ht="12.75" x14ac:dyDescent="0.2">
      <c r="B40" s="281"/>
      <c r="C40" s="479"/>
      <c r="D40" s="479"/>
      <c r="E40" s="479"/>
      <c r="F40" s="479"/>
      <c r="G40" s="511"/>
      <c r="H40" s="511"/>
      <c r="I40" s="511"/>
      <c r="J40" s="511"/>
      <c r="K40" s="511"/>
      <c r="L40" s="511"/>
      <c r="M40" s="511"/>
      <c r="N40" s="511"/>
      <c r="O40" s="511"/>
      <c r="P40" s="511"/>
      <c r="Q40" s="511"/>
      <c r="R40" s="522"/>
    </row>
    <row r="41" spans="2:18" s="271" customFormat="1" ht="12.75" x14ac:dyDescent="0.2">
      <c r="B41" s="281" t="s">
        <v>167</v>
      </c>
      <c r="C41" s="479"/>
      <c r="D41" s="479"/>
      <c r="E41" s="479"/>
      <c r="F41" s="479"/>
      <c r="G41" s="511">
        <f t="shared" ref="G41:R41" si="27">IF(G$5="","",SUMIF($G$53:$EI$53,G$5,$G88:$EI88))</f>
        <v>0</v>
      </c>
      <c r="H41" s="511">
        <f t="shared" si="27"/>
        <v>0</v>
      </c>
      <c r="I41" s="511">
        <f t="shared" si="27"/>
        <v>-344949.33914220502</v>
      </c>
      <c r="J41" s="511">
        <f t="shared" si="27"/>
        <v>2486638.0200097654</v>
      </c>
      <c r="K41" s="511">
        <f t="shared" si="27"/>
        <v>2722775.6024147663</v>
      </c>
      <c r="L41" s="511" t="str">
        <f t="shared" si="27"/>
        <v/>
      </c>
      <c r="M41" s="511" t="str">
        <f t="shared" si="27"/>
        <v/>
      </c>
      <c r="N41" s="511" t="str">
        <f t="shared" si="27"/>
        <v/>
      </c>
      <c r="O41" s="511" t="str">
        <f t="shared" si="27"/>
        <v/>
      </c>
      <c r="P41" s="511" t="str">
        <f t="shared" si="27"/>
        <v/>
      </c>
      <c r="Q41" s="511" t="str">
        <f t="shared" si="27"/>
        <v/>
      </c>
      <c r="R41" s="522" t="str">
        <f t="shared" si="27"/>
        <v/>
      </c>
    </row>
    <row r="42" spans="2:18" s="271" customFormat="1" ht="12.75" x14ac:dyDescent="0.2">
      <c r="B42" s="281"/>
      <c r="C42" s="479"/>
      <c r="D42" s="479"/>
      <c r="E42" s="479"/>
      <c r="F42" s="479"/>
      <c r="G42" s="511"/>
      <c r="H42" s="511"/>
      <c r="I42" s="511"/>
      <c r="J42" s="511"/>
      <c r="K42" s="511"/>
      <c r="L42" s="511"/>
      <c r="M42" s="511"/>
      <c r="N42" s="511"/>
      <c r="O42" s="511"/>
      <c r="P42" s="511"/>
      <c r="Q42" s="511"/>
      <c r="R42" s="522"/>
    </row>
    <row r="43" spans="2:18" s="271" customFormat="1" ht="12.75" x14ac:dyDescent="0.2">
      <c r="B43" s="281" t="s">
        <v>163</v>
      </c>
      <c r="C43" s="479"/>
      <c r="D43" s="479"/>
      <c r="E43" s="479"/>
      <c r="F43" s="479"/>
      <c r="G43" s="511">
        <f t="shared" ref="G43:R43" si="28">IF(G$5="","",SUMIF($G$53:$EI$53,G$5,$G90:$EI90))</f>
        <v>0</v>
      </c>
      <c r="H43" s="511">
        <f t="shared" si="28"/>
        <v>0</v>
      </c>
      <c r="I43" s="511">
        <f t="shared" si="28"/>
        <v>8000</v>
      </c>
      <c r="J43" s="511">
        <f t="shared" si="28"/>
        <v>50213.333333333328</v>
      </c>
      <c r="K43" s="511">
        <f t="shared" si="28"/>
        <v>46813.5</v>
      </c>
      <c r="L43" s="511" t="str">
        <f t="shared" si="28"/>
        <v/>
      </c>
      <c r="M43" s="511" t="str">
        <f t="shared" si="28"/>
        <v/>
      </c>
      <c r="N43" s="511" t="str">
        <f t="shared" si="28"/>
        <v/>
      </c>
      <c r="O43" s="511" t="str">
        <f t="shared" si="28"/>
        <v/>
      </c>
      <c r="P43" s="511" t="str">
        <f t="shared" si="28"/>
        <v/>
      </c>
      <c r="Q43" s="511" t="str">
        <f t="shared" si="28"/>
        <v/>
      </c>
      <c r="R43" s="522" t="str">
        <f t="shared" si="28"/>
        <v/>
      </c>
    </row>
    <row r="44" spans="2:18" s="271" customFormat="1" ht="12.75" x14ac:dyDescent="0.2">
      <c r="B44" s="281"/>
      <c r="C44" s="479"/>
      <c r="D44" s="479"/>
      <c r="E44" s="479"/>
      <c r="F44" s="479"/>
      <c r="G44" s="511"/>
      <c r="H44" s="511"/>
      <c r="I44" s="511"/>
      <c r="J44" s="511"/>
      <c r="K44" s="511"/>
      <c r="L44" s="511"/>
      <c r="M44" s="511"/>
      <c r="N44" s="511"/>
      <c r="O44" s="511"/>
      <c r="P44" s="511"/>
      <c r="Q44" s="511"/>
      <c r="R44" s="522"/>
    </row>
    <row r="45" spans="2:18" s="271" customFormat="1" ht="12.75" x14ac:dyDescent="0.2">
      <c r="B45" s="281" t="s">
        <v>168</v>
      </c>
      <c r="C45" s="479"/>
      <c r="D45" s="479"/>
      <c r="E45" s="479"/>
      <c r="F45" s="479"/>
      <c r="G45" s="511">
        <f t="shared" ref="G45:R45" si="29">IF(G$5="","",SUMIF($G$53:$EI$53,G$5,$G92:$EI92))</f>
        <v>0</v>
      </c>
      <c r="H45" s="511">
        <f t="shared" si="29"/>
        <v>0</v>
      </c>
      <c r="I45" s="511">
        <f t="shared" si="29"/>
        <v>-352949.33914220508</v>
      </c>
      <c r="J45" s="511">
        <f t="shared" si="29"/>
        <v>2436424.6866764324</v>
      </c>
      <c r="K45" s="511">
        <f t="shared" si="29"/>
        <v>2675962.1024147663</v>
      </c>
      <c r="L45" s="511" t="str">
        <f t="shared" si="29"/>
        <v/>
      </c>
      <c r="M45" s="511" t="str">
        <f t="shared" si="29"/>
        <v/>
      </c>
      <c r="N45" s="511" t="str">
        <f t="shared" si="29"/>
        <v/>
      </c>
      <c r="O45" s="511" t="str">
        <f t="shared" si="29"/>
        <v/>
      </c>
      <c r="P45" s="511" t="str">
        <f t="shared" si="29"/>
        <v/>
      </c>
      <c r="Q45" s="511" t="str">
        <f t="shared" si="29"/>
        <v/>
      </c>
      <c r="R45" s="522" t="str">
        <f t="shared" si="29"/>
        <v/>
      </c>
    </row>
    <row r="46" spans="2:18" s="271" customFormat="1" ht="12.75" x14ac:dyDescent="0.2">
      <c r="B46" s="282"/>
      <c r="C46" s="497"/>
      <c r="D46" s="497"/>
      <c r="E46" s="497"/>
      <c r="F46" s="497"/>
      <c r="G46" s="515"/>
      <c r="H46" s="515"/>
      <c r="I46" s="515"/>
      <c r="J46" s="515"/>
      <c r="K46" s="515"/>
      <c r="L46" s="515"/>
      <c r="M46" s="515"/>
      <c r="N46" s="515"/>
      <c r="O46" s="515"/>
      <c r="P46" s="515"/>
      <c r="Q46" s="515"/>
      <c r="R46" s="527"/>
    </row>
    <row r="47" spans="2:18" s="271" customFormat="1" ht="12.75" x14ac:dyDescent="0.2">
      <c r="B47" s="328" t="s">
        <v>568</v>
      </c>
      <c r="C47" s="479"/>
      <c r="D47" s="479"/>
      <c r="E47" s="479"/>
      <c r="F47" s="479"/>
      <c r="G47" s="511"/>
      <c r="H47" s="511"/>
      <c r="I47" s="511"/>
      <c r="J47" s="511"/>
      <c r="K47" s="511"/>
      <c r="L47" s="511"/>
      <c r="M47" s="511"/>
      <c r="N47" s="511"/>
      <c r="O47" s="511"/>
      <c r="P47" s="511"/>
      <c r="Q47" s="511"/>
      <c r="R47" s="522"/>
    </row>
    <row r="48" spans="2:18" s="271" customFormat="1" ht="12.75" x14ac:dyDescent="0.2">
      <c r="B48" s="281"/>
      <c r="C48" s="479"/>
      <c r="D48" s="479"/>
      <c r="E48" s="479"/>
      <c r="F48" s="479"/>
      <c r="G48" s="511"/>
      <c r="H48" s="511"/>
      <c r="I48" s="511"/>
      <c r="J48" s="511"/>
      <c r="K48" s="511"/>
      <c r="L48" s="511"/>
      <c r="M48" s="511"/>
      <c r="N48" s="511"/>
      <c r="O48" s="511"/>
      <c r="P48" s="511"/>
      <c r="Q48" s="511"/>
      <c r="R48" s="522"/>
    </row>
    <row r="49" spans="2:139" s="271" customFormat="1" ht="12.75" x14ac:dyDescent="0.2">
      <c r="B49" s="281" t="s">
        <v>193</v>
      </c>
      <c r="C49" s="479"/>
      <c r="D49" s="479"/>
      <c r="E49" s="479"/>
      <c r="F49" s="479"/>
      <c r="G49" s="511">
        <f t="shared" ref="G49:R49" ca="1" si="30">IF(G$5="","",SUMIF($G$53:$EI$53,G$5,$G106:$EI106))</f>
        <v>-3028509</v>
      </c>
      <c r="H49" s="511">
        <f t="shared" ca="1" si="30"/>
        <v>-42322779.83995527</v>
      </c>
      <c r="I49" s="511">
        <f t="shared" ca="1" si="30"/>
        <v>-9483397.9598443378</v>
      </c>
      <c r="J49" s="511">
        <f t="shared" ca="1" si="30"/>
        <v>2436424.6866764324</v>
      </c>
      <c r="K49" s="511">
        <f t="shared" ca="1" si="30"/>
        <v>68770659.70968619</v>
      </c>
      <c r="L49" s="511" t="str">
        <f t="shared" si="30"/>
        <v/>
      </c>
      <c r="M49" s="511" t="str">
        <f t="shared" si="30"/>
        <v/>
      </c>
      <c r="N49" s="511" t="str">
        <f t="shared" si="30"/>
        <v/>
      </c>
      <c r="O49" s="511" t="str">
        <f t="shared" si="30"/>
        <v/>
      </c>
      <c r="P49" s="511" t="str">
        <f t="shared" si="30"/>
        <v/>
      </c>
      <c r="Q49" s="511" t="str">
        <f t="shared" si="30"/>
        <v/>
      </c>
      <c r="R49" s="522" t="str">
        <f t="shared" si="30"/>
        <v/>
      </c>
    </row>
    <row r="50" spans="2:139" s="271" customFormat="1" ht="12.75" x14ac:dyDescent="0.2">
      <c r="B50" s="281" t="s">
        <v>194</v>
      </c>
      <c r="C50" s="479"/>
      <c r="D50" s="479"/>
      <c r="E50" s="479"/>
      <c r="F50" s="479"/>
      <c r="G50" s="511">
        <f t="shared" ref="G50:R50" ca="1" si="31">IF(G$5="","",SUMIF($G$53:$EI$53,G$5,$G107:$EI107))</f>
        <v>-3753159.5276612928</v>
      </c>
      <c r="H50" s="511">
        <f t="shared" ca="1" si="31"/>
        <v>-10884054.744462244</v>
      </c>
      <c r="I50" s="511">
        <f t="shared" ca="1" si="31"/>
        <v>1.2732925824820995E-11</v>
      </c>
      <c r="J50" s="511">
        <f t="shared" ca="1" si="31"/>
        <v>436020.36640414695</v>
      </c>
      <c r="K50" s="511">
        <f t="shared" ca="1" si="31"/>
        <v>23014722.625966661</v>
      </c>
      <c r="L50" s="511" t="str">
        <f t="shared" si="31"/>
        <v/>
      </c>
      <c r="M50" s="511" t="str">
        <f t="shared" si="31"/>
        <v/>
      </c>
      <c r="N50" s="511" t="str">
        <f t="shared" si="31"/>
        <v/>
      </c>
      <c r="O50" s="511" t="str">
        <f t="shared" si="31"/>
        <v/>
      </c>
      <c r="P50" s="511" t="str">
        <f t="shared" si="31"/>
        <v/>
      </c>
      <c r="Q50" s="511" t="str">
        <f t="shared" si="31"/>
        <v/>
      </c>
      <c r="R50" s="522" t="str">
        <f t="shared" si="31"/>
        <v/>
      </c>
    </row>
    <row r="51" spans="2:139" s="271" customFormat="1" ht="12.75" x14ac:dyDescent="0.2">
      <c r="B51" s="508"/>
      <c r="C51" s="497"/>
      <c r="D51" s="497"/>
      <c r="E51" s="497"/>
      <c r="F51" s="497"/>
      <c r="G51" s="515"/>
      <c r="H51" s="515"/>
      <c r="I51" s="515"/>
      <c r="J51" s="515"/>
      <c r="K51" s="515"/>
      <c r="L51" s="515"/>
      <c r="M51" s="515"/>
      <c r="N51" s="515"/>
      <c r="O51" s="515"/>
      <c r="P51" s="515"/>
      <c r="Q51" s="515"/>
      <c r="R51" s="527"/>
    </row>
    <row r="52" spans="2:139" x14ac:dyDescent="0.2"/>
    <row r="53" spans="2:139" hidden="1" outlineLevel="1" x14ac:dyDescent="0.2">
      <c r="F53" s="509" t="s">
        <v>503</v>
      </c>
      <c r="G53" s="510">
        <f>IF(G54="","",Underwriting!L2)</f>
        <v>0</v>
      </c>
      <c r="H53" s="510">
        <f>IF(H54="","",Underwriting!M2)</f>
        <v>1</v>
      </c>
      <c r="I53" s="510">
        <f>IF(I54="","",Underwriting!N2)</f>
        <v>1</v>
      </c>
      <c r="J53" s="510">
        <f>IF(J54="","",Underwriting!O2)</f>
        <v>1</v>
      </c>
      <c r="K53" s="510">
        <f>IF(K54="","",Underwriting!P2)</f>
        <v>1</v>
      </c>
      <c r="L53" s="510">
        <f>IF(L54="","",Underwriting!Q2)</f>
        <v>1</v>
      </c>
      <c r="M53" s="510">
        <f>IF(M54="","",Underwriting!R2)</f>
        <v>1</v>
      </c>
      <c r="N53" s="510">
        <f>IF(N54="","",Underwriting!S2)</f>
        <v>1</v>
      </c>
      <c r="O53" s="510">
        <f>IF(O54="","",Underwriting!T2)</f>
        <v>1</v>
      </c>
      <c r="P53" s="510">
        <f>IF(P54="","",Underwriting!U2)</f>
        <v>1</v>
      </c>
      <c r="Q53" s="510">
        <f>IF(Q54="","",Underwriting!V2)</f>
        <v>1</v>
      </c>
      <c r="R53" s="510">
        <f>IF(R54="","",Underwriting!W2)</f>
        <v>1</v>
      </c>
      <c r="S53" s="510">
        <f>IF(S54="","",Underwriting!X2)</f>
        <v>1</v>
      </c>
      <c r="T53" s="510">
        <f>IF(T54="","",Underwriting!Y2)</f>
        <v>2</v>
      </c>
      <c r="U53" s="510">
        <f>IF(U54="","",Underwriting!Z2)</f>
        <v>2</v>
      </c>
      <c r="V53" s="510">
        <f>IF(V54="","",Underwriting!AA2)</f>
        <v>2</v>
      </c>
      <c r="W53" s="510">
        <f>IF(W54="","",Underwriting!AB2)</f>
        <v>2</v>
      </c>
      <c r="X53" s="510">
        <f>IF(X54="","",Underwriting!AC2)</f>
        <v>2</v>
      </c>
      <c r="Y53" s="510">
        <f>IF(Y54="","",Underwriting!AD2)</f>
        <v>2</v>
      </c>
      <c r="Z53" s="510">
        <f>IF(Z54="","",Underwriting!AE2)</f>
        <v>2</v>
      </c>
      <c r="AA53" s="510">
        <f>IF(AA54="","",Underwriting!AF2)</f>
        <v>2</v>
      </c>
      <c r="AB53" s="510">
        <f>IF(AB54="","",Underwriting!AG2)</f>
        <v>2</v>
      </c>
      <c r="AC53" s="510">
        <f>IF(AC54="","",Underwriting!AH2)</f>
        <v>2</v>
      </c>
      <c r="AD53" s="510">
        <f>IF(AD54="","",Underwriting!AI2)</f>
        <v>2</v>
      </c>
      <c r="AE53" s="510">
        <f>IF(AE54="","",Underwriting!AJ2)</f>
        <v>2</v>
      </c>
      <c r="AF53" s="510">
        <f>IF(AF54="","",Underwriting!AK2)</f>
        <v>3</v>
      </c>
      <c r="AG53" s="510">
        <f>IF(AG54="","",Underwriting!AL2)</f>
        <v>3</v>
      </c>
      <c r="AH53" s="510">
        <f>IF(AH54="","",Underwriting!AM2)</f>
        <v>3</v>
      </c>
      <c r="AI53" s="510">
        <f>IF(AI54="","",Underwriting!AN2)</f>
        <v>3</v>
      </c>
      <c r="AJ53" s="510">
        <f>IF(AJ54="","",Underwriting!AO2)</f>
        <v>3</v>
      </c>
      <c r="AK53" s="510">
        <f>IF(AK54="","",Underwriting!AP2)</f>
        <v>3</v>
      </c>
      <c r="AL53" s="510">
        <f>IF(AL54="","",Underwriting!AQ2)</f>
        <v>3</v>
      </c>
      <c r="AM53" s="510">
        <f>IF(AM54="","",Underwriting!AR2)</f>
        <v>3</v>
      </c>
      <c r="AN53" s="510">
        <f>IF(AN54="","",Underwriting!AS2)</f>
        <v>3</v>
      </c>
      <c r="AO53" s="510">
        <f>IF(AO54="","",Underwriting!AT2)</f>
        <v>3</v>
      </c>
      <c r="AP53" s="510">
        <f>IF(AP54="","",Underwriting!AU2)</f>
        <v>3</v>
      </c>
      <c r="AQ53" s="510">
        <f>IF(AQ54="","",Underwriting!AV2)</f>
        <v>3</v>
      </c>
      <c r="AR53" s="510">
        <f>IF(AR54="","",Underwriting!AW2)</f>
        <v>4</v>
      </c>
      <c r="AS53" s="510">
        <f>IF(AS54="","",Underwriting!AX2)</f>
        <v>4</v>
      </c>
      <c r="AT53" s="510">
        <f>IF(AT54="","",Underwriting!AY2)</f>
        <v>4</v>
      </c>
      <c r="AU53" s="510">
        <f>IF(AU54="","",Underwriting!AZ2)</f>
        <v>4</v>
      </c>
      <c r="AV53" s="510">
        <f>IF(AV54="","",Underwriting!BA2)</f>
        <v>4</v>
      </c>
      <c r="AW53" s="510">
        <f>IF(AW54="","",Underwriting!BB2)</f>
        <v>4</v>
      </c>
      <c r="AX53" s="510">
        <f>IF(AX54="","",Underwriting!BC2)</f>
        <v>4</v>
      </c>
      <c r="AY53" s="510">
        <f>IF(AY54="","",Underwriting!BD2)</f>
        <v>4</v>
      </c>
      <c r="AZ53" s="510">
        <f>IF(AZ54="","",Underwriting!BE2)</f>
        <v>4</v>
      </c>
      <c r="BA53" s="510" t="str">
        <f>IF(BA54="","",Underwriting!BF2)</f>
        <v/>
      </c>
      <c r="BB53" s="510" t="str">
        <f>IF(BB54="","",Underwriting!BG2)</f>
        <v/>
      </c>
      <c r="BC53" s="510" t="str">
        <f>IF(BC54="","",Underwriting!BH2)</f>
        <v/>
      </c>
      <c r="BD53" s="510" t="str">
        <f>IF(BD54="","",Underwriting!BI2)</f>
        <v/>
      </c>
      <c r="BE53" s="510" t="str">
        <f>IF(BE54="","",Underwriting!BJ2)</f>
        <v/>
      </c>
      <c r="BF53" s="510" t="str">
        <f>IF(BF54="","",Underwriting!BK2)</f>
        <v/>
      </c>
      <c r="BG53" s="510" t="str">
        <f>IF(BG54="","",Underwriting!BL2)</f>
        <v/>
      </c>
      <c r="BH53" s="510" t="str">
        <f>IF(BH54="","",Underwriting!BM2)</f>
        <v/>
      </c>
      <c r="BI53" s="510" t="str">
        <f>IF(BI54="","",Underwriting!BN2)</f>
        <v/>
      </c>
      <c r="BJ53" s="510" t="str">
        <f>IF(BJ54="","",Underwriting!BO2)</f>
        <v/>
      </c>
      <c r="BK53" s="510" t="str">
        <f>IF(BK54="","",Underwriting!BP2)</f>
        <v/>
      </c>
      <c r="BL53" s="510" t="str">
        <f>IF(BL54="","",Underwriting!BQ2)</f>
        <v/>
      </c>
      <c r="BM53" s="510" t="str">
        <f>IF(BM54="","",Underwriting!BR2)</f>
        <v/>
      </c>
      <c r="BN53" s="510" t="str">
        <f>IF(BN54="","",Underwriting!BS2)</f>
        <v/>
      </c>
      <c r="BO53" s="510" t="str">
        <f>IF(BO54="","",Underwriting!BT2)</f>
        <v/>
      </c>
      <c r="BP53" s="510" t="str">
        <f>IF(BP54="","",Underwriting!BU2)</f>
        <v/>
      </c>
      <c r="BQ53" s="510" t="str">
        <f>IF(BQ54="","",Underwriting!BV2)</f>
        <v/>
      </c>
      <c r="BR53" s="510" t="str">
        <f>IF(BR54="","",Underwriting!BW2)</f>
        <v/>
      </c>
      <c r="BS53" s="510" t="str">
        <f>IF(BS54="","",Underwriting!BX2)</f>
        <v/>
      </c>
      <c r="BT53" s="510" t="str">
        <f>IF(BT54="","",Underwriting!BY2)</f>
        <v/>
      </c>
      <c r="BU53" s="510" t="str">
        <f>IF(BU54="","",Underwriting!BZ2)</f>
        <v/>
      </c>
      <c r="BV53" s="510" t="str">
        <f>IF(BV54="","",Underwriting!CA2)</f>
        <v/>
      </c>
      <c r="BW53" s="510" t="str">
        <f>IF(BW54="","",Underwriting!CB2)</f>
        <v/>
      </c>
      <c r="BX53" s="510" t="str">
        <f>IF(BX54="","",Underwriting!CC2)</f>
        <v/>
      </c>
      <c r="BY53" s="510" t="str">
        <f>IF(BY54="","",Underwriting!CD2)</f>
        <v/>
      </c>
      <c r="BZ53" s="510" t="str">
        <f>IF(BZ54="","",Underwriting!CE2)</f>
        <v/>
      </c>
      <c r="CA53" s="510" t="str">
        <f>IF(CA54="","",Underwriting!CF2)</f>
        <v/>
      </c>
      <c r="CB53" s="510" t="str">
        <f>IF(CB54="","",Underwriting!CG2)</f>
        <v/>
      </c>
      <c r="CC53" s="510" t="str">
        <f>IF(CC54="","",Underwriting!CH2)</f>
        <v/>
      </c>
      <c r="CD53" s="510" t="str">
        <f>IF(CD54="","",Underwriting!CI2)</f>
        <v/>
      </c>
      <c r="CE53" s="510" t="str">
        <f>IF(CE54="","",Underwriting!CJ2)</f>
        <v/>
      </c>
      <c r="CF53" s="510" t="str">
        <f>IF(CF54="","",Underwriting!CK2)</f>
        <v/>
      </c>
      <c r="CG53" s="510" t="str">
        <f>IF(CG54="","",Underwriting!CL2)</f>
        <v/>
      </c>
      <c r="CH53" s="510" t="str">
        <f>IF(CH54="","",Underwriting!CM2)</f>
        <v/>
      </c>
      <c r="CI53" s="510" t="str">
        <f>IF(CI54="","",Underwriting!CN2)</f>
        <v/>
      </c>
      <c r="CJ53" s="510" t="str">
        <f>IF(CJ54="","",Underwriting!CO2)</f>
        <v/>
      </c>
      <c r="CK53" s="510" t="str">
        <f>IF(CK54="","",Underwriting!CP2)</f>
        <v/>
      </c>
      <c r="CL53" s="510" t="str">
        <f>IF(CL54="","",Underwriting!CQ2)</f>
        <v/>
      </c>
      <c r="CM53" s="510" t="str">
        <f>IF(CM54="","",Underwriting!CR2)</f>
        <v/>
      </c>
      <c r="CN53" s="510" t="str">
        <f>IF(CN54="","",Underwriting!CS2)</f>
        <v/>
      </c>
      <c r="CO53" s="510" t="str">
        <f>IF(CO54="","",Underwriting!CT2)</f>
        <v/>
      </c>
      <c r="CP53" s="510" t="str">
        <f>IF(CP54="","",Underwriting!CU2)</f>
        <v/>
      </c>
      <c r="CQ53" s="510" t="str">
        <f>IF(CQ54="","",Underwriting!CV2)</f>
        <v/>
      </c>
      <c r="CR53" s="510" t="str">
        <f>IF(CR54="","",Underwriting!CW2)</f>
        <v/>
      </c>
      <c r="CS53" s="510" t="str">
        <f>IF(CS54="","",Underwriting!CX2)</f>
        <v/>
      </c>
      <c r="CT53" s="510" t="str">
        <f>IF(CT54="","",Underwriting!CY2)</f>
        <v/>
      </c>
      <c r="CU53" s="510" t="str">
        <f>IF(CU54="","",Underwriting!CZ2)</f>
        <v/>
      </c>
      <c r="CV53" s="510" t="str">
        <f>IF(CV54="","",Underwriting!DA2)</f>
        <v/>
      </c>
      <c r="CW53" s="510" t="str">
        <f>IF(CW54="","",Underwriting!DB2)</f>
        <v/>
      </c>
      <c r="CX53" s="510" t="str">
        <f>IF(CX54="","",Underwriting!DC2)</f>
        <v/>
      </c>
      <c r="CY53" s="510" t="str">
        <f>IF(CY54="","",Underwriting!DD2)</f>
        <v/>
      </c>
      <c r="CZ53" s="510" t="str">
        <f>IF(CZ54="","",Underwriting!DE2)</f>
        <v/>
      </c>
      <c r="DA53" s="510" t="str">
        <f>IF(DA54="","",Underwriting!DF2)</f>
        <v/>
      </c>
      <c r="DB53" s="510" t="str">
        <f>IF(DB54="","",Underwriting!DG2)</f>
        <v/>
      </c>
      <c r="DC53" s="510" t="str">
        <f>IF(DC54="","",Underwriting!DH2)</f>
        <v/>
      </c>
      <c r="DD53" s="510" t="str">
        <f>IF(DD54="","",Underwriting!DI2)</f>
        <v/>
      </c>
      <c r="DE53" s="510" t="str">
        <f>IF(DE54="","",Underwriting!DJ2)</f>
        <v/>
      </c>
      <c r="DF53" s="510" t="str">
        <f>IF(DF54="","",Underwriting!DK2)</f>
        <v/>
      </c>
      <c r="DG53" s="510" t="str">
        <f>IF(DG54="","",Underwriting!DL2)</f>
        <v/>
      </c>
      <c r="DH53" s="510" t="str">
        <f>IF(DH54="","",Underwriting!DM2)</f>
        <v/>
      </c>
      <c r="DI53" s="510" t="str">
        <f>IF(DI54="","",Underwriting!DN2)</f>
        <v/>
      </c>
      <c r="DJ53" s="510" t="str">
        <f>IF(DJ54="","",Underwriting!DO2)</f>
        <v/>
      </c>
      <c r="DK53" s="510" t="str">
        <f>IF(DK54="","",Underwriting!DP2)</f>
        <v/>
      </c>
      <c r="DL53" s="510" t="str">
        <f>IF(DL54="","",Underwriting!DQ2)</f>
        <v/>
      </c>
      <c r="DM53" s="510" t="str">
        <f>IF(DM54="","",Underwriting!DR2)</f>
        <v/>
      </c>
      <c r="DN53" s="510" t="str">
        <f>IF(DN54="","",Underwriting!DS2)</f>
        <v/>
      </c>
      <c r="DO53" s="510" t="str">
        <f>IF(DO54="","",Underwriting!DT2)</f>
        <v/>
      </c>
      <c r="DP53" s="510" t="str">
        <f>IF(DP54="","",Underwriting!DU2)</f>
        <v/>
      </c>
      <c r="DQ53" s="510" t="str">
        <f>IF(DQ54="","",Underwriting!DV2)</f>
        <v/>
      </c>
      <c r="DR53" s="510" t="str">
        <f>IF(DR54="","",Underwriting!DW2)</f>
        <v/>
      </c>
      <c r="DS53" s="510" t="str">
        <f>IF(DS54="","",Underwriting!DX2)</f>
        <v/>
      </c>
      <c r="DT53" s="510" t="str">
        <f>IF(DT54="","",Underwriting!DY2)</f>
        <v/>
      </c>
      <c r="DU53" s="510" t="str">
        <f>IF(DU54="","",Underwriting!DZ2)</f>
        <v/>
      </c>
      <c r="DV53" s="510" t="str">
        <f>IF(DV54="","",Underwriting!EA2)</f>
        <v/>
      </c>
      <c r="DW53" s="510" t="str">
        <f>IF(DW54="","",Underwriting!EB2)</f>
        <v/>
      </c>
      <c r="DX53" s="510" t="str">
        <f>IF(DX54="","",Underwriting!EC2)</f>
        <v/>
      </c>
      <c r="DY53" s="510" t="str">
        <f>IF(DY54="","",Underwriting!ED2)</f>
        <v/>
      </c>
      <c r="DZ53" s="510" t="str">
        <f>IF(DZ54="","",Underwriting!EE2)</f>
        <v/>
      </c>
      <c r="EA53" s="510" t="str">
        <f>IF(EA54="","",Underwriting!EF2)</f>
        <v/>
      </c>
      <c r="EB53" s="510" t="str">
        <f>IF(EB54="","",Underwriting!EG2)</f>
        <v/>
      </c>
      <c r="EC53" s="510" t="str">
        <f>IF(EC54="","",Underwriting!EH2)</f>
        <v/>
      </c>
      <c r="ED53" s="510" t="str">
        <f>IF(ED54="","",Underwriting!EI2)</f>
        <v/>
      </c>
      <c r="EE53" s="510" t="str">
        <f>IF(EE54="","",Underwriting!EJ2)</f>
        <v/>
      </c>
      <c r="EF53" s="510" t="str">
        <f>IF(EF54="","",Underwriting!EK2)</f>
        <v/>
      </c>
      <c r="EG53" s="510" t="str">
        <f>IF(EG54="","",Underwriting!EL2)</f>
        <v/>
      </c>
      <c r="EH53" s="510" t="str">
        <f>IF(EH54="","",Underwriting!EM2)</f>
        <v/>
      </c>
      <c r="EI53" s="510" t="str">
        <f>IF(EI54="","",Underwriting!EN2)</f>
        <v/>
      </c>
    </row>
    <row r="54" spans="2:139" hidden="1" outlineLevel="1" x14ac:dyDescent="0.2">
      <c r="B54" s="4" t="s">
        <v>563</v>
      </c>
      <c r="C54" s="4"/>
      <c r="D54" s="4"/>
      <c r="E54" s="4"/>
      <c r="F54" s="4"/>
      <c r="G54" s="491">
        <f>Underwriting!L195</f>
        <v>0</v>
      </c>
      <c r="H54" s="491">
        <f>Underwriting!M195</f>
        <v>1</v>
      </c>
      <c r="I54" s="491">
        <f>Underwriting!N195</f>
        <v>2</v>
      </c>
      <c r="J54" s="491">
        <f>Underwriting!O195</f>
        <v>3</v>
      </c>
      <c r="K54" s="491">
        <f>Underwriting!P195</f>
        <v>4</v>
      </c>
      <c r="L54" s="491">
        <f>Underwriting!Q195</f>
        <v>5</v>
      </c>
      <c r="M54" s="491">
        <f>Underwriting!R195</f>
        <v>6</v>
      </c>
      <c r="N54" s="491">
        <f>Underwriting!S195</f>
        <v>7</v>
      </c>
      <c r="O54" s="491">
        <f>Underwriting!T195</f>
        <v>8</v>
      </c>
      <c r="P54" s="491">
        <f>Underwriting!U195</f>
        <v>9</v>
      </c>
      <c r="Q54" s="491">
        <f>Underwriting!V195</f>
        <v>10</v>
      </c>
      <c r="R54" s="491">
        <f>Underwriting!W195</f>
        <v>11</v>
      </c>
      <c r="S54" s="491">
        <f>Underwriting!X195</f>
        <v>12</v>
      </c>
      <c r="T54" s="491">
        <f>Underwriting!Y195</f>
        <v>13</v>
      </c>
      <c r="U54" s="491">
        <f>Underwriting!Z195</f>
        <v>14</v>
      </c>
      <c r="V54" s="491">
        <f>Underwriting!AA195</f>
        <v>15</v>
      </c>
      <c r="W54" s="491">
        <f>Underwriting!AB195</f>
        <v>16</v>
      </c>
      <c r="X54" s="491">
        <f>Underwriting!AC195</f>
        <v>17</v>
      </c>
      <c r="Y54" s="491">
        <f>Underwriting!AD195</f>
        <v>18</v>
      </c>
      <c r="Z54" s="491">
        <f>Underwriting!AE195</f>
        <v>19</v>
      </c>
      <c r="AA54" s="491">
        <f>Underwriting!AF195</f>
        <v>20</v>
      </c>
      <c r="AB54" s="491">
        <f>Underwriting!AG195</f>
        <v>21</v>
      </c>
      <c r="AC54" s="491">
        <f>Underwriting!AH195</f>
        <v>22</v>
      </c>
      <c r="AD54" s="491">
        <f>Underwriting!AI195</f>
        <v>23</v>
      </c>
      <c r="AE54" s="491">
        <f>Underwriting!AJ195</f>
        <v>24</v>
      </c>
      <c r="AF54" s="491">
        <f>Underwriting!AK195</f>
        <v>25</v>
      </c>
      <c r="AG54" s="491">
        <f>Underwriting!AL195</f>
        <v>26</v>
      </c>
      <c r="AH54" s="491">
        <f>Underwriting!AM195</f>
        <v>27</v>
      </c>
      <c r="AI54" s="491">
        <f>Underwriting!AN195</f>
        <v>28</v>
      </c>
      <c r="AJ54" s="491">
        <f>Underwriting!AO195</f>
        <v>29</v>
      </c>
      <c r="AK54" s="491">
        <f>Underwriting!AP195</f>
        <v>30</v>
      </c>
      <c r="AL54" s="491">
        <f>Underwriting!AQ195</f>
        <v>31</v>
      </c>
      <c r="AM54" s="491">
        <f>Underwriting!AR195</f>
        <v>32</v>
      </c>
      <c r="AN54" s="491">
        <f>Underwriting!AS195</f>
        <v>33</v>
      </c>
      <c r="AO54" s="491">
        <f>Underwriting!AT195</f>
        <v>34</v>
      </c>
      <c r="AP54" s="491">
        <f>Underwriting!AU195</f>
        <v>35</v>
      </c>
      <c r="AQ54" s="491">
        <f>Underwriting!AV195</f>
        <v>36</v>
      </c>
      <c r="AR54" s="491">
        <f>Underwriting!AW195</f>
        <v>37</v>
      </c>
      <c r="AS54" s="491">
        <f>Underwriting!AX195</f>
        <v>38</v>
      </c>
      <c r="AT54" s="491">
        <f>Underwriting!AY195</f>
        <v>39</v>
      </c>
      <c r="AU54" s="491">
        <f>Underwriting!AZ195</f>
        <v>40</v>
      </c>
      <c r="AV54" s="491">
        <f>Underwriting!BA195</f>
        <v>41</v>
      </c>
      <c r="AW54" s="491">
        <f>Underwriting!BB195</f>
        <v>42</v>
      </c>
      <c r="AX54" s="491">
        <f>Underwriting!BC195</f>
        <v>43</v>
      </c>
      <c r="AY54" s="491">
        <f>Underwriting!BD195</f>
        <v>44</v>
      </c>
      <c r="AZ54" s="491">
        <f>Underwriting!BE195</f>
        <v>45</v>
      </c>
      <c r="BA54" s="491" t="str">
        <f>Underwriting!BF195</f>
        <v/>
      </c>
      <c r="BB54" s="491" t="str">
        <f>Underwriting!BG195</f>
        <v/>
      </c>
      <c r="BC54" s="491" t="str">
        <f>Underwriting!BH195</f>
        <v/>
      </c>
      <c r="BD54" s="491" t="str">
        <f>Underwriting!BI195</f>
        <v/>
      </c>
      <c r="BE54" s="491" t="str">
        <f>Underwriting!BJ195</f>
        <v/>
      </c>
      <c r="BF54" s="491" t="str">
        <f>Underwriting!BK195</f>
        <v/>
      </c>
      <c r="BG54" s="491" t="str">
        <f>Underwriting!BL195</f>
        <v/>
      </c>
      <c r="BH54" s="491" t="str">
        <f>Underwriting!BM195</f>
        <v/>
      </c>
      <c r="BI54" s="491" t="str">
        <f>Underwriting!BN195</f>
        <v/>
      </c>
      <c r="BJ54" s="491" t="str">
        <f>Underwriting!BO195</f>
        <v/>
      </c>
      <c r="BK54" s="491" t="str">
        <f>Underwriting!BP195</f>
        <v/>
      </c>
      <c r="BL54" s="491" t="str">
        <f>Underwriting!BQ195</f>
        <v/>
      </c>
      <c r="BM54" s="491" t="str">
        <f>Underwriting!BR195</f>
        <v/>
      </c>
      <c r="BN54" s="491" t="str">
        <f>Underwriting!BS195</f>
        <v/>
      </c>
      <c r="BO54" s="491" t="str">
        <f>Underwriting!BT195</f>
        <v/>
      </c>
      <c r="BP54" s="491" t="str">
        <f>Underwriting!BU195</f>
        <v/>
      </c>
      <c r="BQ54" s="491" t="str">
        <f>Underwriting!BV195</f>
        <v/>
      </c>
      <c r="BR54" s="491" t="str">
        <f>Underwriting!BW195</f>
        <v/>
      </c>
      <c r="BS54" s="491" t="str">
        <f>Underwriting!BX195</f>
        <v/>
      </c>
      <c r="BT54" s="491" t="str">
        <f>Underwriting!BY195</f>
        <v/>
      </c>
      <c r="BU54" s="491" t="str">
        <f>Underwriting!BZ195</f>
        <v/>
      </c>
      <c r="BV54" s="491" t="str">
        <f>Underwriting!CA195</f>
        <v/>
      </c>
      <c r="BW54" s="491" t="str">
        <f>Underwriting!CB195</f>
        <v/>
      </c>
      <c r="BX54" s="491" t="str">
        <f>Underwriting!CC195</f>
        <v/>
      </c>
      <c r="BY54" s="491" t="str">
        <f>Underwriting!CD195</f>
        <v/>
      </c>
      <c r="BZ54" s="491" t="str">
        <f>Underwriting!CE195</f>
        <v/>
      </c>
      <c r="CA54" s="491" t="str">
        <f>Underwriting!CF195</f>
        <v/>
      </c>
      <c r="CB54" s="491" t="str">
        <f>Underwriting!CG195</f>
        <v/>
      </c>
      <c r="CC54" s="491" t="str">
        <f>Underwriting!CH195</f>
        <v/>
      </c>
      <c r="CD54" s="491" t="str">
        <f>Underwriting!CI195</f>
        <v/>
      </c>
      <c r="CE54" s="491" t="str">
        <f>Underwriting!CJ195</f>
        <v/>
      </c>
      <c r="CF54" s="491" t="str">
        <f>Underwriting!CK195</f>
        <v/>
      </c>
      <c r="CG54" s="491" t="str">
        <f>Underwriting!CL195</f>
        <v/>
      </c>
      <c r="CH54" s="491" t="str">
        <f>Underwriting!CM195</f>
        <v/>
      </c>
      <c r="CI54" s="491" t="str">
        <f>Underwriting!CN195</f>
        <v/>
      </c>
      <c r="CJ54" s="491" t="str">
        <f>Underwriting!CO195</f>
        <v/>
      </c>
      <c r="CK54" s="491" t="str">
        <f>Underwriting!CP195</f>
        <v/>
      </c>
      <c r="CL54" s="491" t="str">
        <f>Underwriting!CQ195</f>
        <v/>
      </c>
      <c r="CM54" s="491" t="str">
        <f>Underwriting!CR195</f>
        <v/>
      </c>
      <c r="CN54" s="491" t="str">
        <f>Underwriting!CS195</f>
        <v/>
      </c>
      <c r="CO54" s="491" t="str">
        <f>Underwriting!CT195</f>
        <v/>
      </c>
      <c r="CP54" s="491" t="str">
        <f>Underwriting!CU195</f>
        <v/>
      </c>
      <c r="CQ54" s="491" t="str">
        <f>Underwriting!CV195</f>
        <v/>
      </c>
      <c r="CR54" s="491" t="str">
        <f>Underwriting!CW195</f>
        <v/>
      </c>
      <c r="CS54" s="491" t="str">
        <f>Underwriting!CX195</f>
        <v/>
      </c>
      <c r="CT54" s="491" t="str">
        <f>Underwriting!CY195</f>
        <v/>
      </c>
      <c r="CU54" s="491" t="str">
        <f>Underwriting!CZ195</f>
        <v/>
      </c>
      <c r="CV54" s="491" t="str">
        <f>Underwriting!DA195</f>
        <v/>
      </c>
      <c r="CW54" s="491" t="str">
        <f>Underwriting!DB195</f>
        <v/>
      </c>
      <c r="CX54" s="491" t="str">
        <f>Underwriting!DC195</f>
        <v/>
      </c>
      <c r="CY54" s="491" t="str">
        <f>Underwriting!DD195</f>
        <v/>
      </c>
      <c r="CZ54" s="491" t="str">
        <f>Underwriting!DE195</f>
        <v/>
      </c>
      <c r="DA54" s="491" t="str">
        <f>Underwriting!DF195</f>
        <v/>
      </c>
      <c r="DB54" s="491" t="str">
        <f>Underwriting!DG195</f>
        <v/>
      </c>
      <c r="DC54" s="491" t="str">
        <f>Underwriting!DH195</f>
        <v/>
      </c>
      <c r="DD54" s="491" t="str">
        <f>Underwriting!DI195</f>
        <v/>
      </c>
      <c r="DE54" s="491" t="str">
        <f>Underwriting!DJ195</f>
        <v/>
      </c>
      <c r="DF54" s="491" t="str">
        <f>Underwriting!DK195</f>
        <v/>
      </c>
      <c r="DG54" s="491" t="str">
        <f>Underwriting!DL195</f>
        <v/>
      </c>
      <c r="DH54" s="491" t="str">
        <f>Underwriting!DM195</f>
        <v/>
      </c>
      <c r="DI54" s="491" t="str">
        <f>Underwriting!DN195</f>
        <v/>
      </c>
      <c r="DJ54" s="491" t="str">
        <f>Underwriting!DO195</f>
        <v/>
      </c>
      <c r="DK54" s="491" t="str">
        <f>Underwriting!DP195</f>
        <v/>
      </c>
      <c r="DL54" s="491" t="str">
        <f>Underwriting!DQ195</f>
        <v/>
      </c>
      <c r="DM54" s="491" t="str">
        <f>Underwriting!DR195</f>
        <v/>
      </c>
      <c r="DN54" s="491" t="str">
        <f>Underwriting!DS195</f>
        <v/>
      </c>
      <c r="DO54" s="491" t="str">
        <f>Underwriting!DT195</f>
        <v/>
      </c>
      <c r="DP54" s="491" t="str">
        <f>Underwriting!DU195</f>
        <v/>
      </c>
      <c r="DQ54" s="491" t="str">
        <f>Underwriting!DV195</f>
        <v/>
      </c>
      <c r="DR54" s="491" t="str">
        <f>Underwriting!DW195</f>
        <v/>
      </c>
      <c r="DS54" s="491" t="str">
        <f>Underwriting!DX195</f>
        <v/>
      </c>
      <c r="DT54" s="491" t="str">
        <f>Underwriting!DY195</f>
        <v/>
      </c>
      <c r="DU54" s="491" t="str">
        <f>Underwriting!DZ195</f>
        <v/>
      </c>
      <c r="DV54" s="491" t="str">
        <f>Underwriting!EA195</f>
        <v/>
      </c>
      <c r="DW54" s="491" t="str">
        <f>Underwriting!EB195</f>
        <v/>
      </c>
      <c r="DX54" s="491" t="str">
        <f>Underwriting!EC195</f>
        <v/>
      </c>
      <c r="DY54" s="491" t="str">
        <f>Underwriting!ED195</f>
        <v/>
      </c>
      <c r="DZ54" s="491" t="str">
        <f>Underwriting!EE195</f>
        <v/>
      </c>
      <c r="EA54" s="491" t="str">
        <f>Underwriting!EF195</f>
        <v/>
      </c>
      <c r="EB54" s="491" t="str">
        <f>Underwriting!EG195</f>
        <v/>
      </c>
      <c r="EC54" s="491" t="str">
        <f>Underwriting!EH195</f>
        <v/>
      </c>
      <c r="ED54" s="491" t="str">
        <f>Underwriting!EI195</f>
        <v/>
      </c>
      <c r="EE54" s="491" t="str">
        <f>Underwriting!EJ195</f>
        <v/>
      </c>
      <c r="EF54" s="491" t="str">
        <f>Underwriting!EK195</f>
        <v/>
      </c>
      <c r="EG54" s="491" t="str">
        <f>Underwriting!EL195</f>
        <v/>
      </c>
      <c r="EH54" s="491" t="str">
        <f>Underwriting!EM195</f>
        <v/>
      </c>
      <c r="EI54" s="491" t="str">
        <f>Underwriting!EN195</f>
        <v/>
      </c>
    </row>
    <row r="55" spans="2:139" hidden="1" outlineLevel="1" x14ac:dyDescent="0.2">
      <c r="B55" s="468" t="s">
        <v>30</v>
      </c>
      <c r="C55" s="4"/>
      <c r="D55" s="4"/>
      <c r="E55" s="4"/>
      <c r="F55" s="4"/>
      <c r="G55" s="489">
        <f>IF(G$54="","",Underwriting!L29)</f>
        <v>3028509</v>
      </c>
      <c r="H55" s="489">
        <f>IF(H$54="","",Underwriting!M29)</f>
        <v>0</v>
      </c>
      <c r="I55" s="489">
        <f>IF(I$54="","",Underwriting!N29)</f>
        <v>0</v>
      </c>
      <c r="J55" s="489">
        <f>IF(J$54="","",Underwriting!O29)</f>
        <v>0</v>
      </c>
      <c r="K55" s="489">
        <f>IF(K$54="","",Underwriting!P29)</f>
        <v>0</v>
      </c>
      <c r="L55" s="489">
        <f>IF(L$54="","",Underwriting!Q29)</f>
        <v>0</v>
      </c>
      <c r="M55" s="489">
        <f>IF(M$54="","",Underwriting!R29)</f>
        <v>0</v>
      </c>
      <c r="N55" s="489">
        <f>IF(N$54="","",Underwriting!S29)</f>
        <v>0</v>
      </c>
      <c r="O55" s="489">
        <f>IF(O$54="","",Underwriting!T29)</f>
        <v>0</v>
      </c>
      <c r="P55" s="489">
        <f>IF(P$54="","",Underwriting!U29)</f>
        <v>0</v>
      </c>
      <c r="Q55" s="489">
        <f>IF(Q$54="","",Underwriting!V29)</f>
        <v>0</v>
      </c>
      <c r="R55" s="489">
        <f>IF(R$54="","",Underwriting!W29)</f>
        <v>0</v>
      </c>
      <c r="S55" s="489">
        <f>IF(S$54="","",Underwriting!X29)</f>
        <v>0</v>
      </c>
      <c r="T55" s="489">
        <f>IF(T$54="","",Underwriting!Y29)</f>
        <v>0</v>
      </c>
      <c r="U55" s="489">
        <f>IF(U$54="","",Underwriting!Z29)</f>
        <v>0</v>
      </c>
      <c r="V55" s="489">
        <f>IF(V$54="","",Underwriting!AA29)</f>
        <v>0</v>
      </c>
      <c r="W55" s="489">
        <f>IF(W$54="","",Underwriting!AB29)</f>
        <v>0</v>
      </c>
      <c r="X55" s="489">
        <f>IF(X$54="","",Underwriting!AC29)</f>
        <v>0</v>
      </c>
      <c r="Y55" s="489">
        <f>IF(Y$54="","",Underwriting!AD29)</f>
        <v>0</v>
      </c>
      <c r="Z55" s="489">
        <f>IF(Z$54="","",Underwriting!AE29)</f>
        <v>0</v>
      </c>
      <c r="AA55" s="489">
        <f>IF(AA$54="","",Underwriting!AF29)</f>
        <v>0</v>
      </c>
      <c r="AB55" s="489">
        <f>IF(AB$54="","",Underwriting!AG29)</f>
        <v>0</v>
      </c>
      <c r="AC55" s="489">
        <f>IF(AC$54="","",Underwriting!AH29)</f>
        <v>0</v>
      </c>
      <c r="AD55" s="489">
        <f>IF(AD$54="","",Underwriting!AI29)</f>
        <v>0</v>
      </c>
      <c r="AE55" s="489">
        <f>IF(AE$54="","",Underwriting!AJ29)</f>
        <v>0</v>
      </c>
      <c r="AF55" s="489">
        <f>IF(AF$54="","",Underwriting!AK29)</f>
        <v>0</v>
      </c>
      <c r="AG55" s="489">
        <f>IF(AG$54="","",Underwriting!AL29)</f>
        <v>0</v>
      </c>
      <c r="AH55" s="489">
        <f>IF(AH$54="","",Underwriting!AM29)</f>
        <v>0</v>
      </c>
      <c r="AI55" s="489">
        <f>IF(AI$54="","",Underwriting!AN29)</f>
        <v>0</v>
      </c>
      <c r="AJ55" s="489">
        <f>IF(AJ$54="","",Underwriting!AO29)</f>
        <v>0</v>
      </c>
      <c r="AK55" s="489">
        <f>IF(AK$54="","",Underwriting!AP29)</f>
        <v>0</v>
      </c>
      <c r="AL55" s="489">
        <f>IF(AL$54="","",Underwriting!AQ29)</f>
        <v>0</v>
      </c>
      <c r="AM55" s="489">
        <f>IF(AM$54="","",Underwriting!AR29)</f>
        <v>0</v>
      </c>
      <c r="AN55" s="489">
        <f>IF(AN$54="","",Underwriting!AS29)</f>
        <v>0</v>
      </c>
      <c r="AO55" s="489">
        <f>IF(AO$54="","",Underwriting!AT29)</f>
        <v>0</v>
      </c>
      <c r="AP55" s="489">
        <f>IF(AP$54="","",Underwriting!AU29)</f>
        <v>0</v>
      </c>
      <c r="AQ55" s="489">
        <f>IF(AQ$54="","",Underwriting!AV29)</f>
        <v>0</v>
      </c>
      <c r="AR55" s="489">
        <f>IF(AR$54="","",Underwriting!AW29)</f>
        <v>0</v>
      </c>
      <c r="AS55" s="489">
        <f>IF(AS$54="","",Underwriting!AX29)</f>
        <v>0</v>
      </c>
      <c r="AT55" s="489">
        <f>IF(AT$54="","",Underwriting!AY29)</f>
        <v>0</v>
      </c>
      <c r="AU55" s="489">
        <f>IF(AU$54="","",Underwriting!AZ29)</f>
        <v>0</v>
      </c>
      <c r="AV55" s="489">
        <f>IF(AV$54="","",Underwriting!BA29)</f>
        <v>0</v>
      </c>
      <c r="AW55" s="489">
        <f>IF(AW$54="","",Underwriting!BB29)</f>
        <v>0</v>
      </c>
      <c r="AX55" s="489">
        <f>IF(AX$54="","",Underwriting!BC29)</f>
        <v>0</v>
      </c>
      <c r="AY55" s="489">
        <f>IF(AY$54="","",Underwriting!BD29)</f>
        <v>0</v>
      </c>
      <c r="AZ55" s="489">
        <f>IF(AZ$54="","",Underwriting!BE29)</f>
        <v>0</v>
      </c>
      <c r="BA55" s="489" t="str">
        <f>IF(BA$54="","",Underwriting!BF29)</f>
        <v/>
      </c>
      <c r="BB55" s="489" t="str">
        <f>IF(BB$54="","",Underwriting!BG29)</f>
        <v/>
      </c>
      <c r="BC55" s="489" t="str">
        <f>IF(BC$54="","",Underwriting!BH29)</f>
        <v/>
      </c>
      <c r="BD55" s="489" t="str">
        <f>IF(BD$54="","",Underwriting!BI29)</f>
        <v/>
      </c>
      <c r="BE55" s="489" t="str">
        <f>IF(BE$54="","",Underwriting!BJ29)</f>
        <v/>
      </c>
      <c r="BF55" s="489" t="str">
        <f>IF(BF$54="","",Underwriting!BK29)</f>
        <v/>
      </c>
      <c r="BG55" s="489" t="str">
        <f>IF(BG$54="","",Underwriting!BL29)</f>
        <v/>
      </c>
      <c r="BH55" s="489" t="str">
        <f>IF(BH$54="","",Underwriting!BM29)</f>
        <v/>
      </c>
      <c r="BI55" s="489" t="str">
        <f>IF(BI$54="","",Underwriting!BN29)</f>
        <v/>
      </c>
      <c r="BJ55" s="489" t="str">
        <f>IF(BJ$54="","",Underwriting!BO29)</f>
        <v/>
      </c>
      <c r="BK55" s="489" t="str">
        <f>IF(BK$54="","",Underwriting!BP29)</f>
        <v/>
      </c>
      <c r="BL55" s="489" t="str">
        <f>IF(BL$54="","",Underwriting!BQ29)</f>
        <v/>
      </c>
      <c r="BM55" s="489" t="str">
        <f>IF(BM$54="","",Underwriting!BR29)</f>
        <v/>
      </c>
      <c r="BN55" s="489" t="str">
        <f>IF(BN$54="","",Underwriting!BS29)</f>
        <v/>
      </c>
      <c r="BO55" s="489" t="str">
        <f>IF(BO$54="","",Underwriting!BT29)</f>
        <v/>
      </c>
      <c r="BP55" s="489" t="str">
        <f>IF(BP$54="","",Underwriting!BU29)</f>
        <v/>
      </c>
      <c r="BQ55" s="489" t="str">
        <f>IF(BQ$54="","",Underwriting!BV29)</f>
        <v/>
      </c>
      <c r="BR55" s="489" t="str">
        <f>IF(BR$54="","",Underwriting!BW29)</f>
        <v/>
      </c>
      <c r="BS55" s="489" t="str">
        <f>IF(BS$54="","",Underwriting!BX29)</f>
        <v/>
      </c>
      <c r="BT55" s="489" t="str">
        <f>IF(BT$54="","",Underwriting!BY29)</f>
        <v/>
      </c>
      <c r="BU55" s="489" t="str">
        <f>IF(BU$54="","",Underwriting!BZ29)</f>
        <v/>
      </c>
      <c r="BV55" s="489" t="str">
        <f>IF(BV$54="","",Underwriting!CA29)</f>
        <v/>
      </c>
      <c r="BW55" s="489" t="str">
        <f>IF(BW$54="","",Underwriting!CB29)</f>
        <v/>
      </c>
      <c r="BX55" s="489" t="str">
        <f>IF(BX$54="","",Underwriting!CC29)</f>
        <v/>
      </c>
      <c r="BY55" s="489" t="str">
        <f>IF(BY$54="","",Underwriting!CD29)</f>
        <v/>
      </c>
      <c r="BZ55" s="489" t="str">
        <f>IF(BZ$54="","",Underwriting!CE29)</f>
        <v/>
      </c>
      <c r="CA55" s="489" t="str">
        <f>IF(CA$54="","",Underwriting!CF29)</f>
        <v/>
      </c>
      <c r="CB55" s="489" t="str">
        <f>IF(CB$54="","",Underwriting!CG29)</f>
        <v/>
      </c>
      <c r="CC55" s="489" t="str">
        <f>IF(CC$54="","",Underwriting!CH29)</f>
        <v/>
      </c>
      <c r="CD55" s="489" t="str">
        <f>IF(CD$54="","",Underwriting!CI29)</f>
        <v/>
      </c>
      <c r="CE55" s="489" t="str">
        <f>IF(CE$54="","",Underwriting!CJ29)</f>
        <v/>
      </c>
      <c r="CF55" s="489" t="str">
        <f>IF(CF$54="","",Underwriting!CK29)</f>
        <v/>
      </c>
      <c r="CG55" s="489" t="str">
        <f>IF(CG$54="","",Underwriting!CL29)</f>
        <v/>
      </c>
      <c r="CH55" s="489" t="str">
        <f>IF(CH$54="","",Underwriting!CM29)</f>
        <v/>
      </c>
      <c r="CI55" s="489" t="str">
        <f>IF(CI$54="","",Underwriting!CN29)</f>
        <v/>
      </c>
      <c r="CJ55" s="489" t="str">
        <f>IF(CJ$54="","",Underwriting!CO29)</f>
        <v/>
      </c>
      <c r="CK55" s="489" t="str">
        <f>IF(CK$54="","",Underwriting!CP29)</f>
        <v/>
      </c>
      <c r="CL55" s="489" t="str">
        <f>IF(CL$54="","",Underwriting!CQ29)</f>
        <v/>
      </c>
      <c r="CM55" s="489" t="str">
        <f>IF(CM$54="","",Underwriting!CR29)</f>
        <v/>
      </c>
      <c r="CN55" s="489" t="str">
        <f>IF(CN$54="","",Underwriting!CS29)</f>
        <v/>
      </c>
      <c r="CO55" s="489" t="str">
        <f>IF(CO$54="","",Underwriting!CT29)</f>
        <v/>
      </c>
      <c r="CP55" s="489" t="str">
        <f>IF(CP$54="","",Underwriting!CU29)</f>
        <v/>
      </c>
      <c r="CQ55" s="489" t="str">
        <f>IF(CQ$54="","",Underwriting!CV29)</f>
        <v/>
      </c>
      <c r="CR55" s="489" t="str">
        <f>IF(CR$54="","",Underwriting!CW29)</f>
        <v/>
      </c>
      <c r="CS55" s="489" t="str">
        <f>IF(CS$54="","",Underwriting!CX29)</f>
        <v/>
      </c>
      <c r="CT55" s="489" t="str">
        <f>IF(CT$54="","",Underwriting!CY29)</f>
        <v/>
      </c>
      <c r="CU55" s="489" t="str">
        <f>IF(CU$54="","",Underwriting!CZ29)</f>
        <v/>
      </c>
      <c r="CV55" s="489" t="str">
        <f>IF(CV$54="","",Underwriting!DA29)</f>
        <v/>
      </c>
      <c r="CW55" s="489" t="str">
        <f>IF(CW$54="","",Underwriting!DB29)</f>
        <v/>
      </c>
      <c r="CX55" s="489" t="str">
        <f>IF(CX$54="","",Underwriting!DC29)</f>
        <v/>
      </c>
      <c r="CY55" s="489" t="str">
        <f>IF(CY$54="","",Underwriting!DD29)</f>
        <v/>
      </c>
      <c r="CZ55" s="489" t="str">
        <f>IF(CZ$54="","",Underwriting!DE29)</f>
        <v/>
      </c>
      <c r="DA55" s="489" t="str">
        <f>IF(DA$54="","",Underwriting!DF29)</f>
        <v/>
      </c>
      <c r="DB55" s="489" t="str">
        <f>IF(DB$54="","",Underwriting!DG29)</f>
        <v/>
      </c>
      <c r="DC55" s="489" t="str">
        <f>IF(DC$54="","",Underwriting!DH29)</f>
        <v/>
      </c>
      <c r="DD55" s="489" t="str">
        <f>IF(DD$54="","",Underwriting!DI29)</f>
        <v/>
      </c>
      <c r="DE55" s="489" t="str">
        <f>IF(DE$54="","",Underwriting!DJ29)</f>
        <v/>
      </c>
      <c r="DF55" s="489" t="str">
        <f>IF(DF$54="","",Underwriting!DK29)</f>
        <v/>
      </c>
      <c r="DG55" s="489" t="str">
        <f>IF(DG$54="","",Underwriting!DL29)</f>
        <v/>
      </c>
      <c r="DH55" s="489" t="str">
        <f>IF(DH$54="","",Underwriting!DM29)</f>
        <v/>
      </c>
      <c r="DI55" s="489" t="str">
        <f>IF(DI$54="","",Underwriting!DN29)</f>
        <v/>
      </c>
      <c r="DJ55" s="489" t="str">
        <f>IF(DJ$54="","",Underwriting!DO29)</f>
        <v/>
      </c>
      <c r="DK55" s="489" t="str">
        <f>IF(DK$54="","",Underwriting!DP29)</f>
        <v/>
      </c>
      <c r="DL55" s="489" t="str">
        <f>IF(DL$54="","",Underwriting!DQ29)</f>
        <v/>
      </c>
      <c r="DM55" s="489" t="str">
        <f>IF(DM$54="","",Underwriting!DR29)</f>
        <v/>
      </c>
      <c r="DN55" s="489" t="str">
        <f>IF(DN$54="","",Underwriting!DS29)</f>
        <v/>
      </c>
      <c r="DO55" s="489" t="str">
        <f>IF(DO$54="","",Underwriting!DT29)</f>
        <v/>
      </c>
      <c r="DP55" s="489" t="str">
        <f>IF(DP$54="","",Underwriting!DU29)</f>
        <v/>
      </c>
      <c r="DQ55" s="489" t="str">
        <f>IF(DQ$54="","",Underwriting!DV29)</f>
        <v/>
      </c>
      <c r="DR55" s="489" t="str">
        <f>IF(DR$54="","",Underwriting!DW29)</f>
        <v/>
      </c>
      <c r="DS55" s="489" t="str">
        <f>IF(DS$54="","",Underwriting!DX29)</f>
        <v/>
      </c>
      <c r="DT55" s="489" t="str">
        <f>IF(DT$54="","",Underwriting!DY29)</f>
        <v/>
      </c>
      <c r="DU55" s="489" t="str">
        <f>IF(DU$54="","",Underwriting!DZ29)</f>
        <v/>
      </c>
      <c r="DV55" s="489" t="str">
        <f>IF(DV$54="","",Underwriting!EA29)</f>
        <v/>
      </c>
      <c r="DW55" s="489" t="str">
        <f>IF(DW$54="","",Underwriting!EB29)</f>
        <v/>
      </c>
      <c r="DX55" s="489" t="str">
        <f>IF(DX$54="","",Underwriting!EC29)</f>
        <v/>
      </c>
      <c r="DY55" s="489" t="str">
        <f>IF(DY$54="","",Underwriting!ED29)</f>
        <v/>
      </c>
      <c r="DZ55" s="489" t="str">
        <f>IF(DZ$54="","",Underwriting!EE29)</f>
        <v/>
      </c>
      <c r="EA55" s="489" t="str">
        <f>IF(EA$54="","",Underwriting!EF29)</f>
        <v/>
      </c>
      <c r="EB55" s="489" t="str">
        <f>IF(EB$54="","",Underwriting!EG29)</f>
        <v/>
      </c>
      <c r="EC55" s="489" t="str">
        <f>IF(EC$54="","",Underwriting!EH29)</f>
        <v/>
      </c>
      <c r="ED55" s="489" t="str">
        <f>IF(ED$54="","",Underwriting!EI29)</f>
        <v/>
      </c>
      <c r="EE55" s="489" t="str">
        <f>IF(EE$54="","",Underwriting!EJ29)</f>
        <v/>
      </c>
      <c r="EF55" s="489" t="str">
        <f>IF(EF$54="","",Underwriting!EK29)</f>
        <v/>
      </c>
      <c r="EG55" s="489" t="str">
        <f>IF(EG$54="","",Underwriting!EL29)</f>
        <v/>
      </c>
      <c r="EH55" s="489" t="str">
        <f>IF(EH$54="","",Underwriting!EM29)</f>
        <v/>
      </c>
      <c r="EI55" s="489" t="str">
        <f>IF(EI$54="","",Underwriting!EN29)</f>
        <v/>
      </c>
    </row>
    <row r="56" spans="2:139" hidden="1" outlineLevel="1" x14ac:dyDescent="0.2">
      <c r="B56" s="468" t="s">
        <v>24</v>
      </c>
      <c r="C56" s="4"/>
      <c r="D56" s="4"/>
      <c r="E56" s="4"/>
      <c r="F56" s="4"/>
      <c r="G56" s="489">
        <f>IF(G$54="","",Underwriting!L35)</f>
        <v>0</v>
      </c>
      <c r="H56" s="489">
        <f>IF(H$54="","",Underwriting!M35)</f>
        <v>113602.74407117558</v>
      </c>
      <c r="I56" s="489">
        <f>IF(I$54="","",Underwriting!N35)</f>
        <v>274102.52360286721</v>
      </c>
      <c r="J56" s="489">
        <f>IF(J$54="","",Underwriting!O35)</f>
        <v>592396.49133490399</v>
      </c>
      <c r="K56" s="489">
        <f>IF(K$54="","",Underwriting!P35)</f>
        <v>1146808.2116227807</v>
      </c>
      <c r="L56" s="489">
        <f>IF(L$54="","",Underwriting!Q35)</f>
        <v>1988616.9812154213</v>
      </c>
      <c r="M56" s="489">
        <f>IF(M$54="","",Underwriting!R35)</f>
        <v>3088845.5153025156</v>
      </c>
      <c r="N56" s="489">
        <f>IF(N$54="","",Underwriting!S35)</f>
        <v>4297620.6283903196</v>
      </c>
      <c r="O56" s="489">
        <f>IF(O$54="","",Underwriting!T35)</f>
        <v>5356096.9297517324</v>
      </c>
      <c r="P56" s="489">
        <f>IF(P$54="","",Underwriting!U35)</f>
        <v>5979409.9747082833</v>
      </c>
      <c r="Q56" s="489">
        <f>IF(Q$54="","",Underwriting!V35)</f>
        <v>5979409.9747082861</v>
      </c>
      <c r="R56" s="489">
        <f>IF(R$54="","",Underwriting!W35)</f>
        <v>5356096.9297517296</v>
      </c>
      <c r="S56" s="489">
        <f>IF(S$54="","",Underwriting!X35)</f>
        <v>4297620.6283903215</v>
      </c>
      <c r="T56" s="489">
        <f>IF(T$54="","",Underwriting!Y35)</f>
        <v>3088845.5153025142</v>
      </c>
      <c r="U56" s="489">
        <f>IF(U$54="","",Underwriting!Z35)</f>
        <v>1988616.9812154218</v>
      </c>
      <c r="V56" s="489">
        <f>IF(V$54="","",Underwriting!AA35)</f>
        <v>1146808.2116227795</v>
      </c>
      <c r="W56" s="489">
        <f>IF(W$54="","",Underwriting!AB35)</f>
        <v>592396.49133490573</v>
      </c>
      <c r="X56" s="489">
        <f>IF(X$54="","",Underwriting!AC35)</f>
        <v>274102.52360286447</v>
      </c>
      <c r="Y56" s="489">
        <f>IF(Y$54="","",Underwriting!AD35)</f>
        <v>113602.74407117692</v>
      </c>
      <c r="Z56" s="489">
        <f>IF(Z$54="","",Underwriting!AE35)</f>
        <v>0</v>
      </c>
      <c r="AA56" s="489">
        <f>IF(AA$54="","",Underwriting!AF35)</f>
        <v>0</v>
      </c>
      <c r="AB56" s="489">
        <f>IF(AB$54="","",Underwriting!AG35)</f>
        <v>0</v>
      </c>
      <c r="AC56" s="489">
        <f>IF(AC$54="","",Underwriting!AH35)</f>
        <v>0</v>
      </c>
      <c r="AD56" s="489">
        <f>IF(AD$54="","",Underwriting!AI35)</f>
        <v>0</v>
      </c>
      <c r="AE56" s="489">
        <f>IF(AE$54="","",Underwriting!AJ35)</f>
        <v>0</v>
      </c>
      <c r="AF56" s="489">
        <f>IF(AF$54="","",Underwriting!AK35)</f>
        <v>0</v>
      </c>
      <c r="AG56" s="489">
        <f>IF(AG$54="","",Underwriting!AL35)</f>
        <v>0</v>
      </c>
      <c r="AH56" s="489">
        <f>IF(AH$54="","",Underwriting!AM35)</f>
        <v>0</v>
      </c>
      <c r="AI56" s="489">
        <f>IF(AI$54="","",Underwriting!AN35)</f>
        <v>0</v>
      </c>
      <c r="AJ56" s="489">
        <f>IF(AJ$54="","",Underwriting!AO35)</f>
        <v>0</v>
      </c>
      <c r="AK56" s="489">
        <f>IF(AK$54="","",Underwriting!AP35)</f>
        <v>0</v>
      </c>
      <c r="AL56" s="489">
        <f>IF(AL$54="","",Underwriting!AQ35)</f>
        <v>0</v>
      </c>
      <c r="AM56" s="489">
        <f>IF(AM$54="","",Underwriting!AR35)</f>
        <v>0</v>
      </c>
      <c r="AN56" s="489">
        <f>IF(AN$54="","",Underwriting!AS35)</f>
        <v>0</v>
      </c>
      <c r="AO56" s="489">
        <f>IF(AO$54="","",Underwriting!AT35)</f>
        <v>0</v>
      </c>
      <c r="AP56" s="489">
        <f>IF(AP$54="","",Underwriting!AU35)</f>
        <v>0</v>
      </c>
      <c r="AQ56" s="489">
        <f>IF(AQ$54="","",Underwriting!AV35)</f>
        <v>0</v>
      </c>
      <c r="AR56" s="489">
        <f>IF(AR$54="","",Underwriting!AW35)</f>
        <v>0</v>
      </c>
      <c r="AS56" s="489">
        <f>IF(AS$54="","",Underwriting!AX35)</f>
        <v>0</v>
      </c>
      <c r="AT56" s="489">
        <f>IF(AT$54="","",Underwriting!AY35)</f>
        <v>0</v>
      </c>
      <c r="AU56" s="489">
        <f>IF(AU$54="","",Underwriting!AZ35)</f>
        <v>0</v>
      </c>
      <c r="AV56" s="489">
        <f>IF(AV$54="","",Underwriting!BA35)</f>
        <v>0</v>
      </c>
      <c r="AW56" s="489">
        <f>IF(AW$54="","",Underwriting!BB35)</f>
        <v>0</v>
      </c>
      <c r="AX56" s="489">
        <f>IF(AX$54="","",Underwriting!BC35)</f>
        <v>0</v>
      </c>
      <c r="AY56" s="489">
        <f>IF(AY$54="","",Underwriting!BD35)</f>
        <v>0</v>
      </c>
      <c r="AZ56" s="489">
        <f>IF(AZ$54="","",Underwriting!BE35)</f>
        <v>0</v>
      </c>
      <c r="BA56" s="489" t="str">
        <f>IF(BA$54="","",Underwriting!BF35)</f>
        <v/>
      </c>
      <c r="BB56" s="489" t="str">
        <f>IF(BB$54="","",Underwriting!BG35)</f>
        <v/>
      </c>
      <c r="BC56" s="489" t="str">
        <f>IF(BC$54="","",Underwriting!BH35)</f>
        <v/>
      </c>
      <c r="BD56" s="489" t="str">
        <f>IF(BD$54="","",Underwriting!BI35)</f>
        <v/>
      </c>
      <c r="BE56" s="489" t="str">
        <f>IF(BE$54="","",Underwriting!BJ35)</f>
        <v/>
      </c>
      <c r="BF56" s="489" t="str">
        <f>IF(BF$54="","",Underwriting!BK35)</f>
        <v/>
      </c>
      <c r="BG56" s="489" t="str">
        <f>IF(BG$54="","",Underwriting!BL35)</f>
        <v/>
      </c>
      <c r="BH56" s="489" t="str">
        <f>IF(BH$54="","",Underwriting!BM35)</f>
        <v/>
      </c>
      <c r="BI56" s="489" t="str">
        <f>IF(BI$54="","",Underwriting!BN35)</f>
        <v/>
      </c>
      <c r="BJ56" s="489" t="str">
        <f>IF(BJ$54="","",Underwriting!BO35)</f>
        <v/>
      </c>
      <c r="BK56" s="489" t="str">
        <f>IF(BK$54="","",Underwriting!BP35)</f>
        <v/>
      </c>
      <c r="BL56" s="489" t="str">
        <f>IF(BL$54="","",Underwriting!BQ35)</f>
        <v/>
      </c>
      <c r="BM56" s="489" t="str">
        <f>IF(BM$54="","",Underwriting!BR35)</f>
        <v/>
      </c>
      <c r="BN56" s="489" t="str">
        <f>IF(BN$54="","",Underwriting!BS35)</f>
        <v/>
      </c>
      <c r="BO56" s="489" t="str">
        <f>IF(BO$54="","",Underwriting!BT35)</f>
        <v/>
      </c>
      <c r="BP56" s="489" t="str">
        <f>IF(BP$54="","",Underwriting!BU35)</f>
        <v/>
      </c>
      <c r="BQ56" s="489" t="str">
        <f>IF(BQ$54="","",Underwriting!BV35)</f>
        <v/>
      </c>
      <c r="BR56" s="489" t="str">
        <f>IF(BR$54="","",Underwriting!BW35)</f>
        <v/>
      </c>
      <c r="BS56" s="489" t="str">
        <f>IF(BS$54="","",Underwriting!BX35)</f>
        <v/>
      </c>
      <c r="BT56" s="489" t="str">
        <f>IF(BT$54="","",Underwriting!BY35)</f>
        <v/>
      </c>
      <c r="BU56" s="489" t="str">
        <f>IF(BU$54="","",Underwriting!BZ35)</f>
        <v/>
      </c>
      <c r="BV56" s="489" t="str">
        <f>IF(BV$54="","",Underwriting!CA35)</f>
        <v/>
      </c>
      <c r="BW56" s="489" t="str">
        <f>IF(BW$54="","",Underwriting!CB35)</f>
        <v/>
      </c>
      <c r="BX56" s="489" t="str">
        <f>IF(BX$54="","",Underwriting!CC35)</f>
        <v/>
      </c>
      <c r="BY56" s="489" t="str">
        <f>IF(BY$54="","",Underwriting!CD35)</f>
        <v/>
      </c>
      <c r="BZ56" s="489" t="str">
        <f>IF(BZ$54="","",Underwriting!CE35)</f>
        <v/>
      </c>
      <c r="CA56" s="489" t="str">
        <f>IF(CA$54="","",Underwriting!CF35)</f>
        <v/>
      </c>
      <c r="CB56" s="489" t="str">
        <f>IF(CB$54="","",Underwriting!CG35)</f>
        <v/>
      </c>
      <c r="CC56" s="489" t="str">
        <f>IF(CC$54="","",Underwriting!CH35)</f>
        <v/>
      </c>
      <c r="CD56" s="489" t="str">
        <f>IF(CD$54="","",Underwriting!CI35)</f>
        <v/>
      </c>
      <c r="CE56" s="489" t="str">
        <f>IF(CE$54="","",Underwriting!CJ35)</f>
        <v/>
      </c>
      <c r="CF56" s="489" t="str">
        <f>IF(CF$54="","",Underwriting!CK35)</f>
        <v/>
      </c>
      <c r="CG56" s="489" t="str">
        <f>IF(CG$54="","",Underwriting!CL35)</f>
        <v/>
      </c>
      <c r="CH56" s="489" t="str">
        <f>IF(CH$54="","",Underwriting!CM35)</f>
        <v/>
      </c>
      <c r="CI56" s="489" t="str">
        <f>IF(CI$54="","",Underwriting!CN35)</f>
        <v/>
      </c>
      <c r="CJ56" s="489" t="str">
        <f>IF(CJ$54="","",Underwriting!CO35)</f>
        <v/>
      </c>
      <c r="CK56" s="489" t="str">
        <f>IF(CK$54="","",Underwriting!CP35)</f>
        <v/>
      </c>
      <c r="CL56" s="489" t="str">
        <f>IF(CL$54="","",Underwriting!CQ35)</f>
        <v/>
      </c>
      <c r="CM56" s="489" t="str">
        <f>IF(CM$54="","",Underwriting!CR35)</f>
        <v/>
      </c>
      <c r="CN56" s="489" t="str">
        <f>IF(CN$54="","",Underwriting!CS35)</f>
        <v/>
      </c>
      <c r="CO56" s="489" t="str">
        <f>IF(CO$54="","",Underwriting!CT35)</f>
        <v/>
      </c>
      <c r="CP56" s="489" t="str">
        <f>IF(CP$54="","",Underwriting!CU35)</f>
        <v/>
      </c>
      <c r="CQ56" s="489" t="str">
        <f>IF(CQ$54="","",Underwriting!CV35)</f>
        <v/>
      </c>
      <c r="CR56" s="489" t="str">
        <f>IF(CR$54="","",Underwriting!CW35)</f>
        <v/>
      </c>
      <c r="CS56" s="489" t="str">
        <f>IF(CS$54="","",Underwriting!CX35)</f>
        <v/>
      </c>
      <c r="CT56" s="489" t="str">
        <f>IF(CT$54="","",Underwriting!CY35)</f>
        <v/>
      </c>
      <c r="CU56" s="489" t="str">
        <f>IF(CU$54="","",Underwriting!CZ35)</f>
        <v/>
      </c>
      <c r="CV56" s="489" t="str">
        <f>IF(CV$54="","",Underwriting!DA35)</f>
        <v/>
      </c>
      <c r="CW56" s="489" t="str">
        <f>IF(CW$54="","",Underwriting!DB35)</f>
        <v/>
      </c>
      <c r="CX56" s="489" t="str">
        <f>IF(CX$54="","",Underwriting!DC35)</f>
        <v/>
      </c>
      <c r="CY56" s="489" t="str">
        <f>IF(CY$54="","",Underwriting!DD35)</f>
        <v/>
      </c>
      <c r="CZ56" s="489" t="str">
        <f>IF(CZ$54="","",Underwriting!DE35)</f>
        <v/>
      </c>
      <c r="DA56" s="489" t="str">
        <f>IF(DA$54="","",Underwriting!DF35)</f>
        <v/>
      </c>
      <c r="DB56" s="489" t="str">
        <f>IF(DB$54="","",Underwriting!DG35)</f>
        <v/>
      </c>
      <c r="DC56" s="489" t="str">
        <f>IF(DC$54="","",Underwriting!DH35)</f>
        <v/>
      </c>
      <c r="DD56" s="489" t="str">
        <f>IF(DD$54="","",Underwriting!DI35)</f>
        <v/>
      </c>
      <c r="DE56" s="489" t="str">
        <f>IF(DE$54="","",Underwriting!DJ35)</f>
        <v/>
      </c>
      <c r="DF56" s="489" t="str">
        <f>IF(DF$54="","",Underwriting!DK35)</f>
        <v/>
      </c>
      <c r="DG56" s="489" t="str">
        <f>IF(DG$54="","",Underwriting!DL35)</f>
        <v/>
      </c>
      <c r="DH56" s="489" t="str">
        <f>IF(DH$54="","",Underwriting!DM35)</f>
        <v/>
      </c>
      <c r="DI56" s="489" t="str">
        <f>IF(DI$54="","",Underwriting!DN35)</f>
        <v/>
      </c>
      <c r="DJ56" s="489" t="str">
        <f>IF(DJ$54="","",Underwriting!DO35)</f>
        <v/>
      </c>
      <c r="DK56" s="489" t="str">
        <f>IF(DK$54="","",Underwriting!DP35)</f>
        <v/>
      </c>
      <c r="DL56" s="489" t="str">
        <f>IF(DL$54="","",Underwriting!DQ35)</f>
        <v/>
      </c>
      <c r="DM56" s="489" t="str">
        <f>IF(DM$54="","",Underwriting!DR35)</f>
        <v/>
      </c>
      <c r="DN56" s="489" t="str">
        <f>IF(DN$54="","",Underwriting!DS35)</f>
        <v/>
      </c>
      <c r="DO56" s="489" t="str">
        <f>IF(DO$54="","",Underwriting!DT35)</f>
        <v/>
      </c>
      <c r="DP56" s="489" t="str">
        <f>IF(DP$54="","",Underwriting!DU35)</f>
        <v/>
      </c>
      <c r="DQ56" s="489" t="str">
        <f>IF(DQ$54="","",Underwriting!DV35)</f>
        <v/>
      </c>
      <c r="DR56" s="489" t="str">
        <f>IF(DR$54="","",Underwriting!DW35)</f>
        <v/>
      </c>
      <c r="DS56" s="489" t="str">
        <f>IF(DS$54="","",Underwriting!DX35)</f>
        <v/>
      </c>
      <c r="DT56" s="489" t="str">
        <f>IF(DT$54="","",Underwriting!DY35)</f>
        <v/>
      </c>
      <c r="DU56" s="489" t="str">
        <f>IF(DU$54="","",Underwriting!DZ35)</f>
        <v/>
      </c>
      <c r="DV56" s="489" t="str">
        <f>IF(DV$54="","",Underwriting!EA35)</f>
        <v/>
      </c>
      <c r="DW56" s="489" t="str">
        <f>IF(DW$54="","",Underwriting!EB35)</f>
        <v/>
      </c>
      <c r="DX56" s="489" t="str">
        <f>IF(DX$54="","",Underwriting!EC35)</f>
        <v/>
      </c>
      <c r="DY56" s="489" t="str">
        <f>IF(DY$54="","",Underwriting!ED35)</f>
        <v/>
      </c>
      <c r="DZ56" s="489" t="str">
        <f>IF(DZ$54="","",Underwriting!EE35)</f>
        <v/>
      </c>
      <c r="EA56" s="489" t="str">
        <f>IF(EA$54="","",Underwriting!EF35)</f>
        <v/>
      </c>
      <c r="EB56" s="489" t="str">
        <f>IF(EB$54="","",Underwriting!EG35)</f>
        <v/>
      </c>
      <c r="EC56" s="489" t="str">
        <f>IF(EC$54="","",Underwriting!EH35)</f>
        <v/>
      </c>
      <c r="ED56" s="489" t="str">
        <f>IF(ED$54="","",Underwriting!EI35)</f>
        <v/>
      </c>
      <c r="EE56" s="489" t="str">
        <f>IF(EE$54="","",Underwriting!EJ35)</f>
        <v/>
      </c>
      <c r="EF56" s="489" t="str">
        <f>IF(EF$54="","",Underwriting!EK35)</f>
        <v/>
      </c>
      <c r="EG56" s="489" t="str">
        <f>IF(EG$54="","",Underwriting!EL35)</f>
        <v/>
      </c>
      <c r="EH56" s="489" t="str">
        <f>IF(EH$54="","",Underwriting!EM35)</f>
        <v/>
      </c>
      <c r="EI56" s="489" t="str">
        <f>IF(EI$54="","",Underwriting!EN35)</f>
        <v/>
      </c>
    </row>
    <row r="57" spans="2:139" hidden="1" outlineLevel="1" x14ac:dyDescent="0.2">
      <c r="B57" s="468" t="s">
        <v>25</v>
      </c>
      <c r="C57" s="4"/>
      <c r="D57" s="4"/>
      <c r="E57" s="4"/>
      <c r="F57" s="4"/>
      <c r="G57" s="490">
        <f>IF(G$54="","",Underwriting!L43)</f>
        <v>0</v>
      </c>
      <c r="H57" s="490">
        <f>IF(H$54="","",Underwriting!M43)</f>
        <v>321012.69225874497</v>
      </c>
      <c r="I57" s="490">
        <f>IF(I$54="","",Underwriting!N43)</f>
        <v>321012.69225874497</v>
      </c>
      <c r="J57" s="490">
        <f>IF(J$54="","",Underwriting!O43)</f>
        <v>321012.69225874497</v>
      </c>
      <c r="K57" s="490">
        <f>IF(K$54="","",Underwriting!P43)</f>
        <v>321012.69225874497</v>
      </c>
      <c r="L57" s="490">
        <f>IF(L$54="","",Underwriting!Q43)</f>
        <v>321012.69225874497</v>
      </c>
      <c r="M57" s="490">
        <f>IF(M$54="","",Underwriting!R43)</f>
        <v>321012.69225874497</v>
      </c>
      <c r="N57" s="490">
        <f>IF(N$54="","",Underwriting!S43)</f>
        <v>321012.69225874497</v>
      </c>
      <c r="O57" s="490">
        <f>IF(O$54="","",Underwriting!T43)</f>
        <v>321012.69225874497</v>
      </c>
      <c r="P57" s="490">
        <f>IF(P$54="","",Underwriting!U43)</f>
        <v>321012.69225874497</v>
      </c>
      <c r="Q57" s="490">
        <f>IF(Q$54="","",Underwriting!V43)</f>
        <v>321012.69225874497</v>
      </c>
      <c r="R57" s="490">
        <f>IF(R$54="","",Underwriting!W43)</f>
        <v>321012.69225874497</v>
      </c>
      <c r="S57" s="490">
        <f>IF(S$54="","",Underwriting!X43)</f>
        <v>321012.69225874497</v>
      </c>
      <c r="T57" s="490">
        <f>IF(T$54="","",Underwriting!Y43)</f>
        <v>321012.69225874497</v>
      </c>
      <c r="U57" s="490">
        <f>IF(U$54="","",Underwriting!Z43)</f>
        <v>321012.69225874497</v>
      </c>
      <c r="V57" s="490">
        <f>IF(V$54="","",Underwriting!AA43)</f>
        <v>321012.69225874497</v>
      </c>
      <c r="W57" s="490">
        <f>IF(W$54="","",Underwriting!AB43)</f>
        <v>321012.69225874497</v>
      </c>
      <c r="X57" s="490">
        <f>IF(X$54="","",Underwriting!AC43)</f>
        <v>321012.69225874497</v>
      </c>
      <c r="Y57" s="490">
        <f>IF(Y$54="","",Underwriting!AD43)</f>
        <v>321012.69225874497</v>
      </c>
      <c r="Z57" s="490">
        <f>IF(Z$54="","",Underwriting!AE43)</f>
        <v>0</v>
      </c>
      <c r="AA57" s="490">
        <f>IF(AA$54="","",Underwriting!AF43)</f>
        <v>0</v>
      </c>
      <c r="AB57" s="490">
        <f>IF(AB$54="","",Underwriting!AG43)</f>
        <v>0</v>
      </c>
      <c r="AC57" s="490">
        <f>IF(AC$54="","",Underwriting!AH43)</f>
        <v>0</v>
      </c>
      <c r="AD57" s="490">
        <f>IF(AD$54="","",Underwriting!AI43)</f>
        <v>0</v>
      </c>
      <c r="AE57" s="490">
        <f>IF(AE$54="","",Underwriting!AJ43)</f>
        <v>0</v>
      </c>
      <c r="AF57" s="490">
        <f>IF(AF$54="","",Underwriting!AK43)</f>
        <v>0</v>
      </c>
      <c r="AG57" s="490">
        <f>IF(AG$54="","",Underwriting!AL43)</f>
        <v>0</v>
      </c>
      <c r="AH57" s="490">
        <f>IF(AH$54="","",Underwriting!AM43)</f>
        <v>0</v>
      </c>
      <c r="AI57" s="490">
        <f>IF(AI$54="","",Underwriting!AN43)</f>
        <v>0</v>
      </c>
      <c r="AJ57" s="490">
        <f>IF(AJ$54="","",Underwriting!AO43)</f>
        <v>0</v>
      </c>
      <c r="AK57" s="490">
        <f>IF(AK$54="","",Underwriting!AP43)</f>
        <v>0</v>
      </c>
      <c r="AL57" s="490">
        <f>IF(AL$54="","",Underwriting!AQ43)</f>
        <v>0</v>
      </c>
      <c r="AM57" s="490">
        <f>IF(AM$54="","",Underwriting!AR43)</f>
        <v>0</v>
      </c>
      <c r="AN57" s="490">
        <f>IF(AN$54="","",Underwriting!AS43)</f>
        <v>0</v>
      </c>
      <c r="AO57" s="490">
        <f>IF(AO$54="","",Underwriting!AT43)</f>
        <v>0</v>
      </c>
      <c r="AP57" s="490">
        <f>IF(AP$54="","",Underwriting!AU43)</f>
        <v>0</v>
      </c>
      <c r="AQ57" s="490">
        <f>IF(AQ$54="","",Underwriting!AV43)</f>
        <v>0</v>
      </c>
      <c r="AR57" s="490">
        <f>IF(AR$54="","",Underwriting!AW43)</f>
        <v>0</v>
      </c>
      <c r="AS57" s="490">
        <f>IF(AS$54="","",Underwriting!AX43)</f>
        <v>0</v>
      </c>
      <c r="AT57" s="490">
        <f>IF(AT$54="","",Underwriting!AY43)</f>
        <v>0</v>
      </c>
      <c r="AU57" s="490">
        <f>IF(AU$54="","",Underwriting!AZ43)</f>
        <v>0</v>
      </c>
      <c r="AV57" s="490">
        <f>IF(AV$54="","",Underwriting!BA43)</f>
        <v>0</v>
      </c>
      <c r="AW57" s="490">
        <f>IF(AW$54="","",Underwriting!BB43)</f>
        <v>0</v>
      </c>
      <c r="AX57" s="490">
        <f>IF(AX$54="","",Underwriting!BC43)</f>
        <v>0</v>
      </c>
      <c r="AY57" s="490">
        <f>IF(AY$54="","",Underwriting!BD43)</f>
        <v>0</v>
      </c>
      <c r="AZ57" s="490">
        <f>IF(AZ$54="","",Underwriting!BE43)</f>
        <v>0</v>
      </c>
      <c r="BA57" s="490" t="str">
        <f>IF(BA$54="","",Underwriting!BF43)</f>
        <v/>
      </c>
      <c r="BB57" s="490" t="str">
        <f>IF(BB$54="","",Underwriting!BG43)</f>
        <v/>
      </c>
      <c r="BC57" s="490" t="str">
        <f>IF(BC$54="","",Underwriting!BH43)</f>
        <v/>
      </c>
      <c r="BD57" s="490" t="str">
        <f>IF(BD$54="","",Underwriting!BI43)</f>
        <v/>
      </c>
      <c r="BE57" s="490" t="str">
        <f>IF(BE$54="","",Underwriting!BJ43)</f>
        <v/>
      </c>
      <c r="BF57" s="490" t="str">
        <f>IF(BF$54="","",Underwriting!BK43)</f>
        <v/>
      </c>
      <c r="BG57" s="490" t="str">
        <f>IF(BG$54="","",Underwriting!BL43)</f>
        <v/>
      </c>
      <c r="BH57" s="490" t="str">
        <f>IF(BH$54="","",Underwriting!BM43)</f>
        <v/>
      </c>
      <c r="BI57" s="490" t="str">
        <f>IF(BI$54="","",Underwriting!BN43)</f>
        <v/>
      </c>
      <c r="BJ57" s="490" t="str">
        <f>IF(BJ$54="","",Underwriting!BO43)</f>
        <v/>
      </c>
      <c r="BK57" s="490" t="str">
        <f>IF(BK$54="","",Underwriting!BP43)</f>
        <v/>
      </c>
      <c r="BL57" s="490" t="str">
        <f>IF(BL$54="","",Underwriting!BQ43)</f>
        <v/>
      </c>
      <c r="BM57" s="490" t="str">
        <f>IF(BM$54="","",Underwriting!BR43)</f>
        <v/>
      </c>
      <c r="BN57" s="490" t="str">
        <f>IF(BN$54="","",Underwriting!BS43)</f>
        <v/>
      </c>
      <c r="BO57" s="490" t="str">
        <f>IF(BO$54="","",Underwriting!BT43)</f>
        <v/>
      </c>
      <c r="BP57" s="490" t="str">
        <f>IF(BP$54="","",Underwriting!BU43)</f>
        <v/>
      </c>
      <c r="BQ57" s="490" t="str">
        <f>IF(BQ$54="","",Underwriting!BV43)</f>
        <v/>
      </c>
      <c r="BR57" s="490" t="str">
        <f>IF(BR$54="","",Underwriting!BW43)</f>
        <v/>
      </c>
      <c r="BS57" s="490" t="str">
        <f>IF(BS$54="","",Underwriting!BX43)</f>
        <v/>
      </c>
      <c r="BT57" s="490" t="str">
        <f>IF(BT$54="","",Underwriting!BY43)</f>
        <v/>
      </c>
      <c r="BU57" s="490" t="str">
        <f>IF(BU$54="","",Underwriting!BZ43)</f>
        <v/>
      </c>
      <c r="BV57" s="490" t="str">
        <f>IF(BV$54="","",Underwriting!CA43)</f>
        <v/>
      </c>
      <c r="BW57" s="490" t="str">
        <f>IF(BW$54="","",Underwriting!CB43)</f>
        <v/>
      </c>
      <c r="BX57" s="490" t="str">
        <f>IF(BX$54="","",Underwriting!CC43)</f>
        <v/>
      </c>
      <c r="BY57" s="490" t="str">
        <f>IF(BY$54="","",Underwriting!CD43)</f>
        <v/>
      </c>
      <c r="BZ57" s="490" t="str">
        <f>IF(BZ$54="","",Underwriting!CE43)</f>
        <v/>
      </c>
      <c r="CA57" s="490" t="str">
        <f>IF(CA$54="","",Underwriting!CF43)</f>
        <v/>
      </c>
      <c r="CB57" s="490" t="str">
        <f>IF(CB$54="","",Underwriting!CG43)</f>
        <v/>
      </c>
      <c r="CC57" s="490" t="str">
        <f>IF(CC$54="","",Underwriting!CH43)</f>
        <v/>
      </c>
      <c r="CD57" s="490" t="str">
        <f>IF(CD$54="","",Underwriting!CI43)</f>
        <v/>
      </c>
      <c r="CE57" s="490" t="str">
        <f>IF(CE$54="","",Underwriting!CJ43)</f>
        <v/>
      </c>
      <c r="CF57" s="490" t="str">
        <f>IF(CF$54="","",Underwriting!CK43)</f>
        <v/>
      </c>
      <c r="CG57" s="490" t="str">
        <f>IF(CG$54="","",Underwriting!CL43)</f>
        <v/>
      </c>
      <c r="CH57" s="490" t="str">
        <f>IF(CH$54="","",Underwriting!CM43)</f>
        <v/>
      </c>
      <c r="CI57" s="490" t="str">
        <f>IF(CI$54="","",Underwriting!CN43)</f>
        <v/>
      </c>
      <c r="CJ57" s="490" t="str">
        <f>IF(CJ$54="","",Underwriting!CO43)</f>
        <v/>
      </c>
      <c r="CK57" s="490" t="str">
        <f>IF(CK$54="","",Underwriting!CP43)</f>
        <v/>
      </c>
      <c r="CL57" s="490" t="str">
        <f>IF(CL$54="","",Underwriting!CQ43)</f>
        <v/>
      </c>
      <c r="CM57" s="490" t="str">
        <f>IF(CM$54="","",Underwriting!CR43)</f>
        <v/>
      </c>
      <c r="CN57" s="490" t="str">
        <f>IF(CN$54="","",Underwriting!CS43)</f>
        <v/>
      </c>
      <c r="CO57" s="490" t="str">
        <f>IF(CO$54="","",Underwriting!CT43)</f>
        <v/>
      </c>
      <c r="CP57" s="490" t="str">
        <f>IF(CP$54="","",Underwriting!CU43)</f>
        <v/>
      </c>
      <c r="CQ57" s="490" t="str">
        <f>IF(CQ$54="","",Underwriting!CV43)</f>
        <v/>
      </c>
      <c r="CR57" s="490" t="str">
        <f>IF(CR$54="","",Underwriting!CW43)</f>
        <v/>
      </c>
      <c r="CS57" s="490" t="str">
        <f>IF(CS$54="","",Underwriting!CX43)</f>
        <v/>
      </c>
      <c r="CT57" s="490" t="str">
        <f>IF(CT$54="","",Underwriting!CY43)</f>
        <v/>
      </c>
      <c r="CU57" s="490" t="str">
        <f>IF(CU$54="","",Underwriting!CZ43)</f>
        <v/>
      </c>
      <c r="CV57" s="490" t="str">
        <f>IF(CV$54="","",Underwriting!DA43)</f>
        <v/>
      </c>
      <c r="CW57" s="490" t="str">
        <f>IF(CW$54="","",Underwriting!DB43)</f>
        <v/>
      </c>
      <c r="CX57" s="490" t="str">
        <f>IF(CX$54="","",Underwriting!DC43)</f>
        <v/>
      </c>
      <c r="CY57" s="490" t="str">
        <f>IF(CY$54="","",Underwriting!DD43)</f>
        <v/>
      </c>
      <c r="CZ57" s="490" t="str">
        <f>IF(CZ$54="","",Underwriting!DE43)</f>
        <v/>
      </c>
      <c r="DA57" s="490" t="str">
        <f>IF(DA$54="","",Underwriting!DF43)</f>
        <v/>
      </c>
      <c r="DB57" s="490" t="str">
        <f>IF(DB$54="","",Underwriting!DG43)</f>
        <v/>
      </c>
      <c r="DC57" s="490" t="str">
        <f>IF(DC$54="","",Underwriting!DH43)</f>
        <v/>
      </c>
      <c r="DD57" s="490" t="str">
        <f>IF(DD$54="","",Underwriting!DI43)</f>
        <v/>
      </c>
      <c r="DE57" s="490" t="str">
        <f>IF(DE$54="","",Underwriting!DJ43)</f>
        <v/>
      </c>
      <c r="DF57" s="490" t="str">
        <f>IF(DF$54="","",Underwriting!DK43)</f>
        <v/>
      </c>
      <c r="DG57" s="490" t="str">
        <f>IF(DG$54="","",Underwriting!DL43)</f>
        <v/>
      </c>
      <c r="DH57" s="490" t="str">
        <f>IF(DH$54="","",Underwriting!DM43)</f>
        <v/>
      </c>
      <c r="DI57" s="490" t="str">
        <f>IF(DI$54="","",Underwriting!DN43)</f>
        <v/>
      </c>
      <c r="DJ57" s="490" t="str">
        <f>IF(DJ$54="","",Underwriting!DO43)</f>
        <v/>
      </c>
      <c r="DK57" s="490" t="str">
        <f>IF(DK$54="","",Underwriting!DP43)</f>
        <v/>
      </c>
      <c r="DL57" s="490" t="str">
        <f>IF(DL$54="","",Underwriting!DQ43)</f>
        <v/>
      </c>
      <c r="DM57" s="490" t="str">
        <f>IF(DM$54="","",Underwriting!DR43)</f>
        <v/>
      </c>
      <c r="DN57" s="490" t="str">
        <f>IF(DN$54="","",Underwriting!DS43)</f>
        <v/>
      </c>
      <c r="DO57" s="490" t="str">
        <f>IF(DO$54="","",Underwriting!DT43)</f>
        <v/>
      </c>
      <c r="DP57" s="490" t="str">
        <f>IF(DP$54="","",Underwriting!DU43)</f>
        <v/>
      </c>
      <c r="DQ57" s="490" t="str">
        <f>IF(DQ$54="","",Underwriting!DV43)</f>
        <v/>
      </c>
      <c r="DR57" s="490" t="str">
        <f>IF(DR$54="","",Underwriting!DW43)</f>
        <v/>
      </c>
      <c r="DS57" s="490" t="str">
        <f>IF(DS$54="","",Underwriting!DX43)</f>
        <v/>
      </c>
      <c r="DT57" s="490" t="str">
        <f>IF(DT$54="","",Underwriting!DY43)</f>
        <v/>
      </c>
      <c r="DU57" s="490" t="str">
        <f>IF(DU$54="","",Underwriting!DZ43)</f>
        <v/>
      </c>
      <c r="DV57" s="490" t="str">
        <f>IF(DV$54="","",Underwriting!EA43)</f>
        <v/>
      </c>
      <c r="DW57" s="490" t="str">
        <f>IF(DW$54="","",Underwriting!EB43)</f>
        <v/>
      </c>
      <c r="DX57" s="490" t="str">
        <f>IF(DX$54="","",Underwriting!EC43)</f>
        <v/>
      </c>
      <c r="DY57" s="490" t="str">
        <f>IF(DY$54="","",Underwriting!ED43)</f>
        <v/>
      </c>
      <c r="DZ57" s="490" t="str">
        <f>IF(DZ$54="","",Underwriting!EE43)</f>
        <v/>
      </c>
      <c r="EA57" s="490" t="str">
        <f>IF(EA$54="","",Underwriting!EF43)</f>
        <v/>
      </c>
      <c r="EB57" s="490" t="str">
        <f>IF(EB$54="","",Underwriting!EG43)</f>
        <v/>
      </c>
      <c r="EC57" s="490" t="str">
        <f>IF(EC$54="","",Underwriting!EH43)</f>
        <v/>
      </c>
      <c r="ED57" s="490" t="str">
        <f>IF(ED$54="","",Underwriting!EI43)</f>
        <v/>
      </c>
      <c r="EE57" s="490" t="str">
        <f>IF(EE$54="","",Underwriting!EJ43)</f>
        <v/>
      </c>
      <c r="EF57" s="490" t="str">
        <f>IF(EF$54="","",Underwriting!EK43)</f>
        <v/>
      </c>
      <c r="EG57" s="490" t="str">
        <f>IF(EG$54="","",Underwriting!EL43)</f>
        <v/>
      </c>
      <c r="EH57" s="490" t="str">
        <f>IF(EH$54="","",Underwriting!EM43)</f>
        <v/>
      </c>
      <c r="EI57" s="490" t="str">
        <f>IF(EI$54="","",Underwriting!EN43)</f>
        <v/>
      </c>
    </row>
    <row r="58" spans="2:139" hidden="1" outlineLevel="1" x14ac:dyDescent="0.2">
      <c r="B58" s="4" t="s">
        <v>564</v>
      </c>
      <c r="C58" s="4"/>
      <c r="D58" s="4"/>
      <c r="E58" s="4"/>
      <c r="F58" s="4"/>
      <c r="G58" s="489">
        <f>IF(G$54="","",SUM(G55:G57))</f>
        <v>3028509</v>
      </c>
      <c r="H58" s="489">
        <f t="shared" ref="H58:BS58" si="32">IF(H$54="","",SUM(H55:H57))</f>
        <v>434615.43632992054</v>
      </c>
      <c r="I58" s="489">
        <f t="shared" si="32"/>
        <v>595115.21586161223</v>
      </c>
      <c r="J58" s="489">
        <f t="shared" si="32"/>
        <v>913409.18359364895</v>
      </c>
      <c r="K58" s="489">
        <f t="shared" si="32"/>
        <v>1467820.9038815256</v>
      </c>
      <c r="L58" s="489">
        <f t="shared" si="32"/>
        <v>2309629.6734741665</v>
      </c>
      <c r="M58" s="489">
        <f t="shared" si="32"/>
        <v>3409858.2075612606</v>
      </c>
      <c r="N58" s="489">
        <f t="shared" si="32"/>
        <v>4618633.3206490651</v>
      </c>
      <c r="O58" s="489">
        <f t="shared" si="32"/>
        <v>5677109.6220104769</v>
      </c>
      <c r="P58" s="489">
        <f t="shared" si="32"/>
        <v>6300422.6669670288</v>
      </c>
      <c r="Q58" s="489">
        <f t="shared" si="32"/>
        <v>6300422.6669670306</v>
      </c>
      <c r="R58" s="489">
        <f t="shared" si="32"/>
        <v>5677109.622010475</v>
      </c>
      <c r="S58" s="489">
        <f t="shared" si="32"/>
        <v>4618633.3206490669</v>
      </c>
      <c r="T58" s="489">
        <f t="shared" si="32"/>
        <v>3409858.2075612592</v>
      </c>
      <c r="U58" s="489">
        <f t="shared" si="32"/>
        <v>2309629.6734741665</v>
      </c>
      <c r="V58" s="489">
        <f t="shared" si="32"/>
        <v>1467820.9038815245</v>
      </c>
      <c r="W58" s="489">
        <f t="shared" si="32"/>
        <v>913409.1835936507</v>
      </c>
      <c r="X58" s="489">
        <f t="shared" si="32"/>
        <v>595115.21586160944</v>
      </c>
      <c r="Y58" s="489">
        <f t="shared" si="32"/>
        <v>434615.43632992188</v>
      </c>
      <c r="Z58" s="489">
        <f t="shared" si="32"/>
        <v>0</v>
      </c>
      <c r="AA58" s="489">
        <f t="shared" si="32"/>
        <v>0</v>
      </c>
      <c r="AB58" s="489">
        <f t="shared" si="32"/>
        <v>0</v>
      </c>
      <c r="AC58" s="489">
        <f t="shared" si="32"/>
        <v>0</v>
      </c>
      <c r="AD58" s="489">
        <f t="shared" si="32"/>
        <v>0</v>
      </c>
      <c r="AE58" s="489">
        <f t="shared" si="32"/>
        <v>0</v>
      </c>
      <c r="AF58" s="489">
        <f t="shared" si="32"/>
        <v>0</v>
      </c>
      <c r="AG58" s="489">
        <f t="shared" si="32"/>
        <v>0</v>
      </c>
      <c r="AH58" s="489">
        <f t="shared" si="32"/>
        <v>0</v>
      </c>
      <c r="AI58" s="489">
        <f t="shared" si="32"/>
        <v>0</v>
      </c>
      <c r="AJ58" s="489">
        <f t="shared" si="32"/>
        <v>0</v>
      </c>
      <c r="AK58" s="489">
        <f t="shared" si="32"/>
        <v>0</v>
      </c>
      <c r="AL58" s="489">
        <f t="shared" si="32"/>
        <v>0</v>
      </c>
      <c r="AM58" s="489">
        <f t="shared" si="32"/>
        <v>0</v>
      </c>
      <c r="AN58" s="489">
        <f t="shared" si="32"/>
        <v>0</v>
      </c>
      <c r="AO58" s="489">
        <f t="shared" si="32"/>
        <v>0</v>
      </c>
      <c r="AP58" s="489">
        <f t="shared" si="32"/>
        <v>0</v>
      </c>
      <c r="AQ58" s="489">
        <f t="shared" si="32"/>
        <v>0</v>
      </c>
      <c r="AR58" s="489">
        <f t="shared" si="32"/>
        <v>0</v>
      </c>
      <c r="AS58" s="489">
        <f t="shared" si="32"/>
        <v>0</v>
      </c>
      <c r="AT58" s="489">
        <f t="shared" si="32"/>
        <v>0</v>
      </c>
      <c r="AU58" s="489">
        <f t="shared" si="32"/>
        <v>0</v>
      </c>
      <c r="AV58" s="489">
        <f t="shared" si="32"/>
        <v>0</v>
      </c>
      <c r="AW58" s="489">
        <f t="shared" si="32"/>
        <v>0</v>
      </c>
      <c r="AX58" s="489">
        <f t="shared" si="32"/>
        <v>0</v>
      </c>
      <c r="AY58" s="489">
        <f t="shared" si="32"/>
        <v>0</v>
      </c>
      <c r="AZ58" s="489">
        <f t="shared" si="32"/>
        <v>0</v>
      </c>
      <c r="BA58" s="489" t="str">
        <f t="shared" si="32"/>
        <v/>
      </c>
      <c r="BB58" s="489" t="str">
        <f t="shared" si="32"/>
        <v/>
      </c>
      <c r="BC58" s="489" t="str">
        <f t="shared" si="32"/>
        <v/>
      </c>
      <c r="BD58" s="489" t="str">
        <f t="shared" si="32"/>
        <v/>
      </c>
      <c r="BE58" s="489" t="str">
        <f t="shared" si="32"/>
        <v/>
      </c>
      <c r="BF58" s="489" t="str">
        <f t="shared" si="32"/>
        <v/>
      </c>
      <c r="BG58" s="489" t="str">
        <f t="shared" si="32"/>
        <v/>
      </c>
      <c r="BH58" s="489" t="str">
        <f t="shared" si="32"/>
        <v/>
      </c>
      <c r="BI58" s="489" t="str">
        <f t="shared" si="32"/>
        <v/>
      </c>
      <c r="BJ58" s="489" t="str">
        <f t="shared" si="32"/>
        <v/>
      </c>
      <c r="BK58" s="489" t="str">
        <f t="shared" si="32"/>
        <v/>
      </c>
      <c r="BL58" s="489" t="str">
        <f t="shared" si="32"/>
        <v/>
      </c>
      <c r="BM58" s="489" t="str">
        <f t="shared" si="32"/>
        <v/>
      </c>
      <c r="BN58" s="489" t="str">
        <f t="shared" si="32"/>
        <v/>
      </c>
      <c r="BO58" s="489" t="str">
        <f t="shared" si="32"/>
        <v/>
      </c>
      <c r="BP58" s="489" t="str">
        <f t="shared" si="32"/>
        <v/>
      </c>
      <c r="BQ58" s="489" t="str">
        <f t="shared" si="32"/>
        <v/>
      </c>
      <c r="BR58" s="489" t="str">
        <f t="shared" si="32"/>
        <v/>
      </c>
      <c r="BS58" s="489" t="str">
        <f t="shared" si="32"/>
        <v/>
      </c>
      <c r="BT58" s="489" t="str">
        <f t="shared" ref="BT58:EE58" si="33">IF(BT$54="","",SUM(BT55:BT57))</f>
        <v/>
      </c>
      <c r="BU58" s="489" t="str">
        <f t="shared" si="33"/>
        <v/>
      </c>
      <c r="BV58" s="489" t="str">
        <f t="shared" si="33"/>
        <v/>
      </c>
      <c r="BW58" s="489" t="str">
        <f t="shared" si="33"/>
        <v/>
      </c>
      <c r="BX58" s="489" t="str">
        <f t="shared" si="33"/>
        <v/>
      </c>
      <c r="BY58" s="489" t="str">
        <f t="shared" si="33"/>
        <v/>
      </c>
      <c r="BZ58" s="489" t="str">
        <f t="shared" si="33"/>
        <v/>
      </c>
      <c r="CA58" s="489" t="str">
        <f t="shared" si="33"/>
        <v/>
      </c>
      <c r="CB58" s="489" t="str">
        <f t="shared" si="33"/>
        <v/>
      </c>
      <c r="CC58" s="489" t="str">
        <f t="shared" si="33"/>
        <v/>
      </c>
      <c r="CD58" s="489" t="str">
        <f t="shared" si="33"/>
        <v/>
      </c>
      <c r="CE58" s="489" t="str">
        <f t="shared" si="33"/>
        <v/>
      </c>
      <c r="CF58" s="489" t="str">
        <f t="shared" si="33"/>
        <v/>
      </c>
      <c r="CG58" s="489" t="str">
        <f t="shared" si="33"/>
        <v/>
      </c>
      <c r="CH58" s="489" t="str">
        <f t="shared" si="33"/>
        <v/>
      </c>
      <c r="CI58" s="489" t="str">
        <f t="shared" si="33"/>
        <v/>
      </c>
      <c r="CJ58" s="489" t="str">
        <f t="shared" si="33"/>
        <v/>
      </c>
      <c r="CK58" s="489" t="str">
        <f t="shared" si="33"/>
        <v/>
      </c>
      <c r="CL58" s="489" t="str">
        <f t="shared" si="33"/>
        <v/>
      </c>
      <c r="CM58" s="489" t="str">
        <f t="shared" si="33"/>
        <v/>
      </c>
      <c r="CN58" s="489" t="str">
        <f t="shared" si="33"/>
        <v/>
      </c>
      <c r="CO58" s="489" t="str">
        <f t="shared" si="33"/>
        <v/>
      </c>
      <c r="CP58" s="489" t="str">
        <f t="shared" si="33"/>
        <v/>
      </c>
      <c r="CQ58" s="489" t="str">
        <f t="shared" si="33"/>
        <v/>
      </c>
      <c r="CR58" s="489" t="str">
        <f t="shared" si="33"/>
        <v/>
      </c>
      <c r="CS58" s="489" t="str">
        <f t="shared" si="33"/>
        <v/>
      </c>
      <c r="CT58" s="489" t="str">
        <f t="shared" si="33"/>
        <v/>
      </c>
      <c r="CU58" s="489" t="str">
        <f t="shared" si="33"/>
        <v/>
      </c>
      <c r="CV58" s="489" t="str">
        <f t="shared" si="33"/>
        <v/>
      </c>
      <c r="CW58" s="489" t="str">
        <f t="shared" si="33"/>
        <v/>
      </c>
      <c r="CX58" s="489" t="str">
        <f t="shared" si="33"/>
        <v/>
      </c>
      <c r="CY58" s="489" t="str">
        <f t="shared" si="33"/>
        <v/>
      </c>
      <c r="CZ58" s="489" t="str">
        <f t="shared" si="33"/>
        <v/>
      </c>
      <c r="DA58" s="489" t="str">
        <f t="shared" si="33"/>
        <v/>
      </c>
      <c r="DB58" s="489" t="str">
        <f t="shared" si="33"/>
        <v/>
      </c>
      <c r="DC58" s="489" t="str">
        <f t="shared" si="33"/>
        <v/>
      </c>
      <c r="DD58" s="489" t="str">
        <f t="shared" si="33"/>
        <v/>
      </c>
      <c r="DE58" s="489" t="str">
        <f t="shared" si="33"/>
        <v/>
      </c>
      <c r="DF58" s="489" t="str">
        <f t="shared" si="33"/>
        <v/>
      </c>
      <c r="DG58" s="489" t="str">
        <f t="shared" si="33"/>
        <v/>
      </c>
      <c r="DH58" s="489" t="str">
        <f t="shared" si="33"/>
        <v/>
      </c>
      <c r="DI58" s="489" t="str">
        <f t="shared" si="33"/>
        <v/>
      </c>
      <c r="DJ58" s="489" t="str">
        <f t="shared" si="33"/>
        <v/>
      </c>
      <c r="DK58" s="489" t="str">
        <f t="shared" si="33"/>
        <v/>
      </c>
      <c r="DL58" s="489" t="str">
        <f t="shared" si="33"/>
        <v/>
      </c>
      <c r="DM58" s="489" t="str">
        <f t="shared" si="33"/>
        <v/>
      </c>
      <c r="DN58" s="489" t="str">
        <f t="shared" si="33"/>
        <v/>
      </c>
      <c r="DO58" s="489" t="str">
        <f t="shared" si="33"/>
        <v/>
      </c>
      <c r="DP58" s="489" t="str">
        <f t="shared" si="33"/>
        <v/>
      </c>
      <c r="DQ58" s="489" t="str">
        <f t="shared" si="33"/>
        <v/>
      </c>
      <c r="DR58" s="489" t="str">
        <f t="shared" si="33"/>
        <v/>
      </c>
      <c r="DS58" s="489" t="str">
        <f t="shared" si="33"/>
        <v/>
      </c>
      <c r="DT58" s="489" t="str">
        <f t="shared" si="33"/>
        <v/>
      </c>
      <c r="DU58" s="489" t="str">
        <f t="shared" si="33"/>
        <v/>
      </c>
      <c r="DV58" s="489" t="str">
        <f t="shared" si="33"/>
        <v/>
      </c>
      <c r="DW58" s="489" t="str">
        <f t="shared" si="33"/>
        <v/>
      </c>
      <c r="DX58" s="489" t="str">
        <f t="shared" si="33"/>
        <v/>
      </c>
      <c r="DY58" s="489" t="str">
        <f t="shared" si="33"/>
        <v/>
      </c>
      <c r="DZ58" s="489" t="str">
        <f t="shared" si="33"/>
        <v/>
      </c>
      <c r="EA58" s="489" t="str">
        <f t="shared" si="33"/>
        <v/>
      </c>
      <c r="EB58" s="489" t="str">
        <f t="shared" si="33"/>
        <v/>
      </c>
      <c r="EC58" s="489" t="str">
        <f t="shared" si="33"/>
        <v/>
      </c>
      <c r="ED58" s="489" t="str">
        <f t="shared" si="33"/>
        <v/>
      </c>
      <c r="EE58" s="489" t="str">
        <f t="shared" si="33"/>
        <v/>
      </c>
      <c r="EF58" s="489" t="str">
        <f t="shared" ref="EF58:EI58" si="34">IF(EF$54="","",SUM(EF55:EF57))</f>
        <v/>
      </c>
      <c r="EG58" s="489" t="str">
        <f t="shared" si="34"/>
        <v/>
      </c>
      <c r="EH58" s="489" t="str">
        <f t="shared" si="34"/>
        <v/>
      </c>
      <c r="EI58" s="489" t="str">
        <f t="shared" si="34"/>
        <v/>
      </c>
    </row>
    <row r="59" spans="2:139" hidden="1" outlineLevel="1" x14ac:dyDescent="0.2">
      <c r="B59" s="4"/>
      <c r="C59" s="4"/>
      <c r="D59" s="4"/>
      <c r="E59" s="4"/>
      <c r="F59" s="4"/>
      <c r="G59" s="489"/>
      <c r="H59" s="489"/>
      <c r="I59" s="489"/>
      <c r="J59" s="489"/>
      <c r="K59" s="489"/>
      <c r="L59" s="489"/>
      <c r="M59" s="489"/>
      <c r="N59" s="489"/>
      <c r="O59" s="489"/>
      <c r="P59" s="489"/>
      <c r="Q59" s="489"/>
      <c r="R59" s="489"/>
      <c r="S59" s="489"/>
      <c r="T59" s="489"/>
      <c r="U59" s="489"/>
      <c r="V59" s="489"/>
      <c r="W59" s="489"/>
      <c r="X59" s="489"/>
      <c r="Y59" s="489"/>
      <c r="Z59" s="489"/>
      <c r="AA59" s="489"/>
      <c r="AB59" s="489"/>
      <c r="AC59" s="489"/>
      <c r="AD59" s="489"/>
      <c r="AE59" s="489"/>
      <c r="AF59" s="489"/>
      <c r="AG59" s="489"/>
      <c r="AH59" s="489"/>
      <c r="AI59" s="489"/>
      <c r="AJ59" s="489"/>
      <c r="AK59" s="489"/>
      <c r="AL59" s="489"/>
      <c r="AM59" s="489"/>
      <c r="AN59" s="489"/>
      <c r="AO59" s="489"/>
      <c r="AP59" s="489"/>
      <c r="AQ59" s="489"/>
      <c r="AR59" s="489"/>
      <c r="AS59" s="489"/>
      <c r="AT59" s="489"/>
      <c r="AU59" s="489"/>
      <c r="AV59" s="489"/>
      <c r="AW59" s="489"/>
      <c r="AX59" s="489"/>
      <c r="AY59" s="489"/>
      <c r="AZ59" s="489"/>
      <c r="BA59" s="489"/>
      <c r="BB59" s="489"/>
      <c r="BC59" s="489"/>
      <c r="BD59" s="489"/>
      <c r="BE59" s="489"/>
      <c r="BF59" s="489"/>
      <c r="BG59" s="489"/>
      <c r="BH59" s="489"/>
      <c r="BI59" s="489"/>
      <c r="BJ59" s="489"/>
      <c r="BK59" s="489"/>
      <c r="BL59" s="489"/>
      <c r="BM59" s="489"/>
      <c r="BN59" s="489"/>
      <c r="BO59" s="489"/>
      <c r="BP59" s="489"/>
      <c r="BQ59" s="489"/>
      <c r="BR59" s="489"/>
      <c r="BS59" s="489"/>
      <c r="BT59" s="489"/>
      <c r="BU59" s="489"/>
      <c r="BV59" s="489"/>
      <c r="BW59" s="489"/>
      <c r="BX59" s="489"/>
      <c r="BY59" s="489"/>
      <c r="BZ59" s="489"/>
      <c r="CA59" s="489"/>
      <c r="CB59" s="489"/>
      <c r="CC59" s="489"/>
      <c r="CD59" s="489"/>
      <c r="CE59" s="489"/>
      <c r="CF59" s="489"/>
      <c r="CG59" s="489"/>
      <c r="CH59" s="489"/>
      <c r="CI59" s="489"/>
      <c r="CJ59" s="489"/>
      <c r="CK59" s="489"/>
      <c r="CL59" s="489"/>
      <c r="CM59" s="489"/>
      <c r="CN59" s="489"/>
      <c r="CO59" s="489"/>
      <c r="CP59" s="489"/>
      <c r="CQ59" s="489"/>
      <c r="CR59" s="489"/>
      <c r="CS59" s="489"/>
      <c r="CT59" s="489"/>
      <c r="CU59" s="489"/>
      <c r="CV59" s="489"/>
      <c r="CW59" s="489"/>
      <c r="CX59" s="489"/>
      <c r="CY59" s="489"/>
      <c r="CZ59" s="489"/>
      <c r="DA59" s="489"/>
      <c r="DB59" s="489"/>
      <c r="DC59" s="489"/>
      <c r="DD59" s="489"/>
      <c r="DE59" s="489"/>
      <c r="DF59" s="489"/>
      <c r="DG59" s="489"/>
      <c r="DH59" s="489"/>
      <c r="DI59" s="489"/>
      <c r="DJ59" s="489"/>
      <c r="DK59" s="489"/>
      <c r="DL59" s="489"/>
      <c r="DM59" s="489"/>
      <c r="DN59" s="489"/>
      <c r="DO59" s="489"/>
      <c r="DP59" s="489"/>
      <c r="DQ59" s="489"/>
      <c r="DR59" s="489"/>
      <c r="DS59" s="489"/>
      <c r="DT59" s="489"/>
      <c r="DU59" s="489"/>
      <c r="DV59" s="489"/>
      <c r="DW59" s="489"/>
      <c r="DX59" s="489"/>
      <c r="DY59" s="489"/>
      <c r="DZ59" s="489"/>
      <c r="EA59" s="489"/>
      <c r="EB59" s="489"/>
      <c r="EC59" s="489"/>
      <c r="ED59" s="489"/>
      <c r="EE59" s="489"/>
      <c r="EF59" s="489"/>
      <c r="EG59" s="489"/>
      <c r="EH59" s="489"/>
      <c r="EI59" s="489"/>
    </row>
    <row r="60" spans="2:139" hidden="1" outlineLevel="1" x14ac:dyDescent="0.2">
      <c r="B60" s="468" t="s">
        <v>36</v>
      </c>
      <c r="C60" s="4"/>
      <c r="D60" s="4"/>
      <c r="E60" s="4"/>
      <c r="F60" s="4"/>
      <c r="G60" s="489">
        <f>IF(G$54="","",Underwriting!L51)</f>
        <v>724650.52766129305</v>
      </c>
      <c r="H60" s="489">
        <f>IF(H$54="","",Underwriting!M51)</f>
        <v>0</v>
      </c>
      <c r="I60" s="489">
        <f>IF(I$54="","",Underwriting!N51)</f>
        <v>0</v>
      </c>
      <c r="J60" s="489">
        <f>IF(J$54="","",Underwriting!O51)</f>
        <v>0</v>
      </c>
      <c r="K60" s="489">
        <f>IF(K$54="","",Underwriting!P51)</f>
        <v>0</v>
      </c>
      <c r="L60" s="489">
        <f>IF(L$54="","",Underwriting!Q51)</f>
        <v>0</v>
      </c>
      <c r="M60" s="489">
        <f>IF(M$54="","",Underwriting!R51)</f>
        <v>0</v>
      </c>
      <c r="N60" s="489">
        <f>IF(N$54="","",Underwriting!S51)</f>
        <v>0</v>
      </c>
      <c r="O60" s="489">
        <f>IF(O$54="","",Underwriting!T51)</f>
        <v>11937.613320370649</v>
      </c>
      <c r="P60" s="489">
        <f>IF(P$54="","",Underwriting!U51)</f>
        <v>35641.976800915851</v>
      </c>
      <c r="Q60" s="489">
        <f>IF(Q$54="","",Underwriting!V51)</f>
        <v>62042.246149948951</v>
      </c>
      <c r="R60" s="489">
        <f>IF(R$54="","",Underwriting!W51)</f>
        <v>88552.516621269693</v>
      </c>
      <c r="S60" s="489">
        <f>IF(S$54="","",Underwriting!X51)</f>
        <v>112576.10886556865</v>
      </c>
      <c r="T60" s="489">
        <f>IF(T$54="","",Underwriting!Y51)</f>
        <v>137740.51027931506</v>
      </c>
      <c r="U60" s="489">
        <f>IF(U$54="","",Underwriting!Z51)</f>
        <v>158239.44718716296</v>
      </c>
      <c r="V60" s="489">
        <f>IF(V$54="","",Underwriting!AA51)</f>
        <v>172436.75970598898</v>
      </c>
      <c r="W60" s="489">
        <f>IF(W$54="","",Underwriting!AB51)</f>
        <v>181838.46913511437</v>
      </c>
      <c r="X60" s="489">
        <f>IF(X$54="","",Underwriting!AC51)</f>
        <v>188124.93869292663</v>
      </c>
      <c r="Y60" s="489">
        <f>IF(Y$54="","",Underwriting!AD51)</f>
        <v>192657.21471091127</v>
      </c>
      <c r="Z60" s="489">
        <f>IF(Z$54="","",Underwriting!AE51)</f>
        <v>332598.6138216916</v>
      </c>
      <c r="AA60" s="489">
        <f>IF(AA$54="","",Underwriting!AF51)</f>
        <v>302875.04593330395</v>
      </c>
      <c r="AB60" s="489">
        <f>IF(AB$54="","",Underwriting!AG51)</f>
        <v>273012.76806143718</v>
      </c>
      <c r="AC60" s="489">
        <f>IF(AC$54="","",Underwriting!AH51)</f>
        <v>243011.13289283498</v>
      </c>
      <c r="AD60" s="489">
        <f>IF(AD$54="","",Underwriting!AI51)</f>
        <v>212869.49009344599</v>
      </c>
      <c r="AE60" s="489">
        <f>IF(AE$54="","",Underwriting!AJ51)</f>
        <v>182587.1862943265</v>
      </c>
      <c r="AF60" s="489">
        <f>IF(AF$54="","",Underwriting!AK51)</f>
        <v>152163.5650774778</v>
      </c>
      <c r="AG60" s="489">
        <f>IF(AG$54="","",Underwriting!AL51)</f>
        <v>121597.96696161716</v>
      </c>
      <c r="AH60" s="489">
        <f>IF(AH$54="","",Underwriting!AM51)</f>
        <v>90889.7293878825</v>
      </c>
      <c r="AI60" s="489">
        <f>IF(AI$54="","",Underwriting!AN51)</f>
        <v>60038.186705470376</v>
      </c>
      <c r="AJ60" s="489">
        <f>IF(AJ$54="","",Underwriting!AO51)</f>
        <v>29042.670157206972</v>
      </c>
      <c r="AK60" s="489">
        <f>IF(AK$54="","",Underwriting!AP51)</f>
        <v>0</v>
      </c>
      <c r="AL60" s="489">
        <f>IF(AL$54="","",Underwriting!AQ51)</f>
        <v>0</v>
      </c>
      <c r="AM60" s="489">
        <f>IF(AM$54="","",Underwriting!AR51)</f>
        <v>0</v>
      </c>
      <c r="AN60" s="489">
        <f>IF(AN$54="","",Underwriting!AS51)</f>
        <v>0</v>
      </c>
      <c r="AO60" s="489">
        <f>IF(AO$54="","",Underwriting!AT51)</f>
        <v>0</v>
      </c>
      <c r="AP60" s="489">
        <f>IF(AP$54="","",Underwriting!AU51)</f>
        <v>0</v>
      </c>
      <c r="AQ60" s="489">
        <f>IF(AQ$54="","",Underwriting!AV51)</f>
        <v>0</v>
      </c>
      <c r="AR60" s="489">
        <f>IF(AR$54="","",Underwriting!AW51)</f>
        <v>0</v>
      </c>
      <c r="AS60" s="489">
        <f>IF(AS$54="","",Underwriting!AX51)</f>
        <v>0</v>
      </c>
      <c r="AT60" s="489">
        <f>IF(AT$54="","",Underwriting!AY51)</f>
        <v>0</v>
      </c>
      <c r="AU60" s="489">
        <f>IF(AU$54="","",Underwriting!AZ51)</f>
        <v>0</v>
      </c>
      <c r="AV60" s="489">
        <f>IF(AV$54="","",Underwriting!BA51)</f>
        <v>0</v>
      </c>
      <c r="AW60" s="489">
        <f>IF(AW$54="","",Underwriting!BB51)</f>
        <v>0</v>
      </c>
      <c r="AX60" s="489">
        <f>IF(AX$54="","",Underwriting!BC51)</f>
        <v>0</v>
      </c>
      <c r="AY60" s="489">
        <f>IF(AY$54="","",Underwriting!BD51)</f>
        <v>0</v>
      </c>
      <c r="AZ60" s="489">
        <f>IF(AZ$54="","",Underwriting!BE51)</f>
        <v>0</v>
      </c>
      <c r="BA60" s="489" t="str">
        <f>IF(BA$54="","",Underwriting!BF51)</f>
        <v/>
      </c>
      <c r="BB60" s="489" t="str">
        <f>IF(BB$54="","",Underwriting!BG51)</f>
        <v/>
      </c>
      <c r="BC60" s="489" t="str">
        <f>IF(BC$54="","",Underwriting!BH51)</f>
        <v/>
      </c>
      <c r="BD60" s="489" t="str">
        <f>IF(BD$54="","",Underwriting!BI51)</f>
        <v/>
      </c>
      <c r="BE60" s="489" t="str">
        <f>IF(BE$54="","",Underwriting!BJ51)</f>
        <v/>
      </c>
      <c r="BF60" s="489" t="str">
        <f>IF(BF$54="","",Underwriting!BK51)</f>
        <v/>
      </c>
      <c r="BG60" s="489" t="str">
        <f>IF(BG$54="","",Underwriting!BL51)</f>
        <v/>
      </c>
      <c r="BH60" s="489" t="str">
        <f>IF(BH$54="","",Underwriting!BM51)</f>
        <v/>
      </c>
      <c r="BI60" s="489" t="str">
        <f>IF(BI$54="","",Underwriting!BN51)</f>
        <v/>
      </c>
      <c r="BJ60" s="489" t="str">
        <f>IF(BJ$54="","",Underwriting!BO51)</f>
        <v/>
      </c>
      <c r="BK60" s="489" t="str">
        <f>IF(BK$54="","",Underwriting!BP51)</f>
        <v/>
      </c>
      <c r="BL60" s="489" t="str">
        <f>IF(BL$54="","",Underwriting!BQ51)</f>
        <v/>
      </c>
      <c r="BM60" s="489" t="str">
        <f>IF(BM$54="","",Underwriting!BR51)</f>
        <v/>
      </c>
      <c r="BN60" s="489" t="str">
        <f>IF(BN$54="","",Underwriting!BS51)</f>
        <v/>
      </c>
      <c r="BO60" s="489" t="str">
        <f>IF(BO$54="","",Underwriting!BT51)</f>
        <v/>
      </c>
      <c r="BP60" s="489" t="str">
        <f>IF(BP$54="","",Underwriting!BU51)</f>
        <v/>
      </c>
      <c r="BQ60" s="489" t="str">
        <f>IF(BQ$54="","",Underwriting!BV51)</f>
        <v/>
      </c>
      <c r="BR60" s="489" t="str">
        <f>IF(BR$54="","",Underwriting!BW51)</f>
        <v/>
      </c>
      <c r="BS60" s="489" t="str">
        <f>IF(BS$54="","",Underwriting!BX51)</f>
        <v/>
      </c>
      <c r="BT60" s="489" t="str">
        <f>IF(BT$54="","",Underwriting!BY51)</f>
        <v/>
      </c>
      <c r="BU60" s="489" t="str">
        <f>IF(BU$54="","",Underwriting!BZ51)</f>
        <v/>
      </c>
      <c r="BV60" s="489" t="str">
        <f>IF(BV$54="","",Underwriting!CA51)</f>
        <v/>
      </c>
      <c r="BW60" s="489" t="str">
        <f>IF(BW$54="","",Underwriting!CB51)</f>
        <v/>
      </c>
      <c r="BX60" s="489" t="str">
        <f>IF(BX$54="","",Underwriting!CC51)</f>
        <v/>
      </c>
      <c r="BY60" s="489" t="str">
        <f>IF(BY$54="","",Underwriting!CD51)</f>
        <v/>
      </c>
      <c r="BZ60" s="489" t="str">
        <f>IF(BZ$54="","",Underwriting!CE51)</f>
        <v/>
      </c>
      <c r="CA60" s="489" t="str">
        <f>IF(CA$54="","",Underwriting!CF51)</f>
        <v/>
      </c>
      <c r="CB60" s="489" t="str">
        <f>IF(CB$54="","",Underwriting!CG51)</f>
        <v/>
      </c>
      <c r="CC60" s="489" t="str">
        <f>IF(CC$54="","",Underwriting!CH51)</f>
        <v/>
      </c>
      <c r="CD60" s="489" t="str">
        <f>IF(CD$54="","",Underwriting!CI51)</f>
        <v/>
      </c>
      <c r="CE60" s="489" t="str">
        <f>IF(CE$54="","",Underwriting!CJ51)</f>
        <v/>
      </c>
      <c r="CF60" s="489" t="str">
        <f>IF(CF$54="","",Underwriting!CK51)</f>
        <v/>
      </c>
      <c r="CG60" s="489" t="str">
        <f>IF(CG$54="","",Underwriting!CL51)</f>
        <v/>
      </c>
      <c r="CH60" s="489" t="str">
        <f>IF(CH$54="","",Underwriting!CM51)</f>
        <v/>
      </c>
      <c r="CI60" s="489" t="str">
        <f>IF(CI$54="","",Underwriting!CN51)</f>
        <v/>
      </c>
      <c r="CJ60" s="489" t="str">
        <f>IF(CJ$54="","",Underwriting!CO51)</f>
        <v/>
      </c>
      <c r="CK60" s="489" t="str">
        <f>IF(CK$54="","",Underwriting!CP51)</f>
        <v/>
      </c>
      <c r="CL60" s="489" t="str">
        <f>IF(CL$54="","",Underwriting!CQ51)</f>
        <v/>
      </c>
      <c r="CM60" s="489" t="str">
        <f>IF(CM$54="","",Underwriting!CR51)</f>
        <v/>
      </c>
      <c r="CN60" s="489" t="str">
        <f>IF(CN$54="","",Underwriting!CS51)</f>
        <v/>
      </c>
      <c r="CO60" s="489" t="str">
        <f>IF(CO$54="","",Underwriting!CT51)</f>
        <v/>
      </c>
      <c r="CP60" s="489" t="str">
        <f>IF(CP$54="","",Underwriting!CU51)</f>
        <v/>
      </c>
      <c r="CQ60" s="489" t="str">
        <f>IF(CQ$54="","",Underwriting!CV51)</f>
        <v/>
      </c>
      <c r="CR60" s="489" t="str">
        <f>IF(CR$54="","",Underwriting!CW51)</f>
        <v/>
      </c>
      <c r="CS60" s="489" t="str">
        <f>IF(CS$54="","",Underwriting!CX51)</f>
        <v/>
      </c>
      <c r="CT60" s="489" t="str">
        <f>IF(CT$54="","",Underwriting!CY51)</f>
        <v/>
      </c>
      <c r="CU60" s="489" t="str">
        <f>IF(CU$54="","",Underwriting!CZ51)</f>
        <v/>
      </c>
      <c r="CV60" s="489" t="str">
        <f>IF(CV$54="","",Underwriting!DA51)</f>
        <v/>
      </c>
      <c r="CW60" s="489" t="str">
        <f>IF(CW$54="","",Underwriting!DB51)</f>
        <v/>
      </c>
      <c r="CX60" s="489" t="str">
        <f>IF(CX$54="","",Underwriting!DC51)</f>
        <v/>
      </c>
      <c r="CY60" s="489" t="str">
        <f>IF(CY$54="","",Underwriting!DD51)</f>
        <v/>
      </c>
      <c r="CZ60" s="489" t="str">
        <f>IF(CZ$54="","",Underwriting!DE51)</f>
        <v/>
      </c>
      <c r="DA60" s="489" t="str">
        <f>IF(DA$54="","",Underwriting!DF51)</f>
        <v/>
      </c>
      <c r="DB60" s="489" t="str">
        <f>IF(DB$54="","",Underwriting!DG51)</f>
        <v/>
      </c>
      <c r="DC60" s="489" t="str">
        <f>IF(DC$54="","",Underwriting!DH51)</f>
        <v/>
      </c>
      <c r="DD60" s="489" t="str">
        <f>IF(DD$54="","",Underwriting!DI51)</f>
        <v/>
      </c>
      <c r="DE60" s="489" t="str">
        <f>IF(DE$54="","",Underwriting!DJ51)</f>
        <v/>
      </c>
      <c r="DF60" s="489" t="str">
        <f>IF(DF$54="","",Underwriting!DK51)</f>
        <v/>
      </c>
      <c r="DG60" s="489" t="str">
        <f>IF(DG$54="","",Underwriting!DL51)</f>
        <v/>
      </c>
      <c r="DH60" s="489" t="str">
        <f>IF(DH$54="","",Underwriting!DM51)</f>
        <v/>
      </c>
      <c r="DI60" s="489" t="str">
        <f>IF(DI$54="","",Underwriting!DN51)</f>
        <v/>
      </c>
      <c r="DJ60" s="489" t="str">
        <f>IF(DJ$54="","",Underwriting!DO51)</f>
        <v/>
      </c>
      <c r="DK60" s="489" t="str">
        <f>IF(DK$54="","",Underwriting!DP51)</f>
        <v/>
      </c>
      <c r="DL60" s="489" t="str">
        <f>IF(DL$54="","",Underwriting!DQ51)</f>
        <v/>
      </c>
      <c r="DM60" s="489" t="str">
        <f>IF(DM$54="","",Underwriting!DR51)</f>
        <v/>
      </c>
      <c r="DN60" s="489" t="str">
        <f>IF(DN$54="","",Underwriting!DS51)</f>
        <v/>
      </c>
      <c r="DO60" s="489" t="str">
        <f>IF(DO$54="","",Underwriting!DT51)</f>
        <v/>
      </c>
      <c r="DP60" s="489" t="str">
        <f>IF(DP$54="","",Underwriting!DU51)</f>
        <v/>
      </c>
      <c r="DQ60" s="489" t="str">
        <f>IF(DQ$54="","",Underwriting!DV51)</f>
        <v/>
      </c>
      <c r="DR60" s="489" t="str">
        <f>IF(DR$54="","",Underwriting!DW51)</f>
        <v/>
      </c>
      <c r="DS60" s="489" t="str">
        <f>IF(DS$54="","",Underwriting!DX51)</f>
        <v/>
      </c>
      <c r="DT60" s="489" t="str">
        <f>IF(DT$54="","",Underwriting!DY51)</f>
        <v/>
      </c>
      <c r="DU60" s="489" t="str">
        <f>IF(DU$54="","",Underwriting!DZ51)</f>
        <v/>
      </c>
      <c r="DV60" s="489" t="str">
        <f>IF(DV$54="","",Underwriting!EA51)</f>
        <v/>
      </c>
      <c r="DW60" s="489" t="str">
        <f>IF(DW$54="","",Underwriting!EB51)</f>
        <v/>
      </c>
      <c r="DX60" s="489" t="str">
        <f>IF(DX$54="","",Underwriting!EC51)</f>
        <v/>
      </c>
      <c r="DY60" s="489" t="str">
        <f>IF(DY$54="","",Underwriting!ED51)</f>
        <v/>
      </c>
      <c r="DZ60" s="489" t="str">
        <f>IF(DZ$54="","",Underwriting!EE51)</f>
        <v/>
      </c>
      <c r="EA60" s="489" t="str">
        <f>IF(EA$54="","",Underwriting!EF51)</f>
        <v/>
      </c>
      <c r="EB60" s="489" t="str">
        <f>IF(EB$54="","",Underwriting!EG51)</f>
        <v/>
      </c>
      <c r="EC60" s="489" t="str">
        <f>IF(EC$54="","",Underwriting!EH51)</f>
        <v/>
      </c>
      <c r="ED60" s="489" t="str">
        <f>IF(ED$54="","",Underwriting!EI51)</f>
        <v/>
      </c>
      <c r="EE60" s="489" t="str">
        <f>IF(EE$54="","",Underwriting!EJ51)</f>
        <v/>
      </c>
      <c r="EF60" s="489" t="str">
        <f>IF(EF$54="","",Underwriting!EK51)</f>
        <v/>
      </c>
      <c r="EG60" s="489" t="str">
        <f>IF(EG$54="","",Underwriting!EL51)</f>
        <v/>
      </c>
      <c r="EH60" s="489" t="str">
        <f>IF(EH$54="","",Underwriting!EM51)</f>
        <v/>
      </c>
      <c r="EI60" s="489" t="str">
        <f>IF(EI$54="","",Underwriting!EN51)</f>
        <v/>
      </c>
    </row>
    <row r="61" spans="2:139" hidden="1" outlineLevel="1" x14ac:dyDescent="0.2">
      <c r="B61" s="4"/>
      <c r="C61" s="4"/>
      <c r="D61" s="4"/>
      <c r="E61" s="4"/>
      <c r="F61" s="4"/>
      <c r="G61" s="489"/>
      <c r="H61" s="489"/>
      <c r="I61" s="489"/>
      <c r="J61" s="489"/>
      <c r="K61" s="489"/>
      <c r="L61" s="489"/>
      <c r="M61" s="489"/>
      <c r="N61" s="489"/>
      <c r="O61" s="489"/>
      <c r="P61" s="489"/>
      <c r="Q61" s="489"/>
      <c r="R61" s="489"/>
      <c r="S61" s="489"/>
      <c r="T61" s="489"/>
      <c r="U61" s="489"/>
      <c r="V61" s="489"/>
      <c r="W61" s="489"/>
      <c r="X61" s="489"/>
      <c r="Y61" s="489"/>
      <c r="Z61" s="489"/>
      <c r="AA61" s="489"/>
      <c r="AB61" s="489"/>
      <c r="AC61" s="489"/>
      <c r="AD61" s="489"/>
      <c r="AE61" s="489"/>
      <c r="AF61" s="489"/>
      <c r="AG61" s="489"/>
      <c r="AH61" s="489"/>
      <c r="AI61" s="489"/>
      <c r="AJ61" s="489"/>
      <c r="AK61" s="489"/>
      <c r="AL61" s="489"/>
      <c r="AM61" s="489"/>
      <c r="AN61" s="489"/>
      <c r="AO61" s="489"/>
      <c r="AP61" s="489"/>
      <c r="AQ61" s="489"/>
      <c r="AR61" s="489"/>
      <c r="AS61" s="489"/>
      <c r="AT61" s="489"/>
      <c r="AU61" s="489"/>
      <c r="AV61" s="489"/>
      <c r="AW61" s="489"/>
      <c r="AX61" s="489"/>
      <c r="AY61" s="489"/>
      <c r="AZ61" s="489"/>
      <c r="BA61" s="489"/>
      <c r="BB61" s="489"/>
      <c r="BC61" s="489"/>
      <c r="BD61" s="489"/>
      <c r="BE61" s="489"/>
      <c r="BF61" s="489"/>
      <c r="BG61" s="489"/>
      <c r="BH61" s="489"/>
      <c r="BI61" s="489"/>
      <c r="BJ61" s="489"/>
      <c r="BK61" s="489"/>
      <c r="BL61" s="489"/>
      <c r="BM61" s="489"/>
      <c r="BN61" s="489"/>
      <c r="BO61" s="489"/>
      <c r="BP61" s="489"/>
      <c r="BQ61" s="489"/>
      <c r="BR61" s="489"/>
      <c r="BS61" s="489"/>
      <c r="BT61" s="489"/>
      <c r="BU61" s="489"/>
      <c r="BV61" s="489"/>
      <c r="BW61" s="489"/>
      <c r="BX61" s="489"/>
      <c r="BY61" s="489"/>
      <c r="BZ61" s="489"/>
      <c r="CA61" s="489"/>
      <c r="CB61" s="489"/>
      <c r="CC61" s="489"/>
      <c r="CD61" s="489"/>
      <c r="CE61" s="489"/>
      <c r="CF61" s="489"/>
      <c r="CG61" s="489"/>
      <c r="CH61" s="489"/>
      <c r="CI61" s="489"/>
      <c r="CJ61" s="489"/>
      <c r="CK61" s="489"/>
      <c r="CL61" s="489"/>
      <c r="CM61" s="489"/>
      <c r="CN61" s="489"/>
      <c r="CO61" s="489"/>
      <c r="CP61" s="489"/>
      <c r="CQ61" s="489"/>
      <c r="CR61" s="489"/>
      <c r="CS61" s="489"/>
      <c r="CT61" s="489"/>
      <c r="CU61" s="489"/>
      <c r="CV61" s="489"/>
      <c r="CW61" s="489"/>
      <c r="CX61" s="489"/>
      <c r="CY61" s="489"/>
      <c r="CZ61" s="489"/>
      <c r="DA61" s="489"/>
      <c r="DB61" s="489"/>
      <c r="DC61" s="489"/>
      <c r="DD61" s="489"/>
      <c r="DE61" s="489"/>
      <c r="DF61" s="489"/>
      <c r="DG61" s="489"/>
      <c r="DH61" s="489"/>
      <c r="DI61" s="489"/>
      <c r="DJ61" s="489"/>
      <c r="DK61" s="489"/>
      <c r="DL61" s="489"/>
      <c r="DM61" s="489"/>
      <c r="DN61" s="489"/>
      <c r="DO61" s="489"/>
      <c r="DP61" s="489"/>
      <c r="DQ61" s="489"/>
      <c r="DR61" s="489"/>
      <c r="DS61" s="489"/>
      <c r="DT61" s="489"/>
      <c r="DU61" s="489"/>
      <c r="DV61" s="489"/>
      <c r="DW61" s="489"/>
      <c r="DX61" s="489"/>
      <c r="DY61" s="489"/>
      <c r="DZ61" s="489"/>
      <c r="EA61" s="489"/>
      <c r="EB61" s="489"/>
      <c r="EC61" s="489"/>
      <c r="ED61" s="489"/>
      <c r="EE61" s="489"/>
      <c r="EF61" s="489"/>
      <c r="EG61" s="489"/>
      <c r="EH61" s="489"/>
      <c r="EI61" s="489"/>
    </row>
    <row r="62" spans="2:139" hidden="1" outlineLevel="1" x14ac:dyDescent="0.2">
      <c r="B62" s="4" t="s">
        <v>565</v>
      </c>
      <c r="C62" s="4"/>
      <c r="D62" s="4"/>
      <c r="E62" s="4"/>
      <c r="F62" s="4"/>
      <c r="G62" s="489">
        <f>IF(G$54="","",G60+G58)</f>
        <v>3753159.5276612928</v>
      </c>
      <c r="H62" s="489">
        <f t="shared" ref="H62:BS62" si="35">IF(H$54="","",H60+H58)</f>
        <v>434615.43632992054</v>
      </c>
      <c r="I62" s="489">
        <f t="shared" si="35"/>
        <v>595115.21586161223</v>
      </c>
      <c r="J62" s="489">
        <f t="shared" si="35"/>
        <v>913409.18359364895</v>
      </c>
      <c r="K62" s="489">
        <f t="shared" si="35"/>
        <v>1467820.9038815256</v>
      </c>
      <c r="L62" s="489">
        <f t="shared" si="35"/>
        <v>2309629.6734741665</v>
      </c>
      <c r="M62" s="489">
        <f t="shared" si="35"/>
        <v>3409858.2075612606</v>
      </c>
      <c r="N62" s="489">
        <f t="shared" si="35"/>
        <v>4618633.3206490651</v>
      </c>
      <c r="O62" s="489">
        <f t="shared" si="35"/>
        <v>5689047.2353308471</v>
      </c>
      <c r="P62" s="489">
        <f t="shared" si="35"/>
        <v>6336064.6437679445</v>
      </c>
      <c r="Q62" s="489">
        <f t="shared" si="35"/>
        <v>6362464.9131169794</v>
      </c>
      <c r="R62" s="489">
        <f t="shared" si="35"/>
        <v>5765662.1386317443</v>
      </c>
      <c r="S62" s="489">
        <f t="shared" si="35"/>
        <v>4731209.4295146354</v>
      </c>
      <c r="T62" s="489">
        <f t="shared" si="35"/>
        <v>3547598.7178405742</v>
      </c>
      <c r="U62" s="489">
        <f t="shared" si="35"/>
        <v>2467869.1206613295</v>
      </c>
      <c r="V62" s="489">
        <f t="shared" si="35"/>
        <v>1640257.6635875134</v>
      </c>
      <c r="W62" s="489">
        <f t="shared" si="35"/>
        <v>1095247.652728765</v>
      </c>
      <c r="X62" s="489">
        <f t="shared" si="35"/>
        <v>783240.1545545361</v>
      </c>
      <c r="Y62" s="489">
        <f t="shared" si="35"/>
        <v>627272.65104083321</v>
      </c>
      <c r="Z62" s="489">
        <f t="shared" si="35"/>
        <v>332598.6138216916</v>
      </c>
      <c r="AA62" s="489">
        <f t="shared" si="35"/>
        <v>302875.04593330395</v>
      </c>
      <c r="AB62" s="489">
        <f t="shared" si="35"/>
        <v>273012.76806143718</v>
      </c>
      <c r="AC62" s="489">
        <f t="shared" si="35"/>
        <v>243011.13289283498</v>
      </c>
      <c r="AD62" s="489">
        <f t="shared" si="35"/>
        <v>212869.49009344599</v>
      </c>
      <c r="AE62" s="489">
        <f t="shared" si="35"/>
        <v>182587.1862943265</v>
      </c>
      <c r="AF62" s="489">
        <f t="shared" si="35"/>
        <v>152163.5650774778</v>
      </c>
      <c r="AG62" s="489">
        <f t="shared" si="35"/>
        <v>121597.96696161716</v>
      </c>
      <c r="AH62" s="489">
        <f t="shared" si="35"/>
        <v>90889.7293878825</v>
      </c>
      <c r="AI62" s="489">
        <f t="shared" si="35"/>
        <v>60038.186705470376</v>
      </c>
      <c r="AJ62" s="489">
        <f t="shared" si="35"/>
        <v>29042.670157206972</v>
      </c>
      <c r="AK62" s="489">
        <f t="shared" si="35"/>
        <v>0</v>
      </c>
      <c r="AL62" s="489">
        <f t="shared" si="35"/>
        <v>0</v>
      </c>
      <c r="AM62" s="489">
        <f t="shared" si="35"/>
        <v>0</v>
      </c>
      <c r="AN62" s="489">
        <f t="shared" si="35"/>
        <v>0</v>
      </c>
      <c r="AO62" s="489">
        <f t="shared" si="35"/>
        <v>0</v>
      </c>
      <c r="AP62" s="489">
        <f t="shared" si="35"/>
        <v>0</v>
      </c>
      <c r="AQ62" s="489">
        <f t="shared" si="35"/>
        <v>0</v>
      </c>
      <c r="AR62" s="489">
        <f t="shared" si="35"/>
        <v>0</v>
      </c>
      <c r="AS62" s="489">
        <f t="shared" si="35"/>
        <v>0</v>
      </c>
      <c r="AT62" s="489">
        <f t="shared" si="35"/>
        <v>0</v>
      </c>
      <c r="AU62" s="489">
        <f t="shared" si="35"/>
        <v>0</v>
      </c>
      <c r="AV62" s="489">
        <f t="shared" si="35"/>
        <v>0</v>
      </c>
      <c r="AW62" s="489">
        <f t="shared" si="35"/>
        <v>0</v>
      </c>
      <c r="AX62" s="489">
        <f t="shared" si="35"/>
        <v>0</v>
      </c>
      <c r="AY62" s="489">
        <f t="shared" si="35"/>
        <v>0</v>
      </c>
      <c r="AZ62" s="489">
        <f t="shared" si="35"/>
        <v>0</v>
      </c>
      <c r="BA62" s="489" t="str">
        <f t="shared" si="35"/>
        <v/>
      </c>
      <c r="BB62" s="489" t="str">
        <f t="shared" si="35"/>
        <v/>
      </c>
      <c r="BC62" s="489" t="str">
        <f t="shared" si="35"/>
        <v/>
      </c>
      <c r="BD62" s="489" t="str">
        <f t="shared" si="35"/>
        <v/>
      </c>
      <c r="BE62" s="489" t="str">
        <f t="shared" si="35"/>
        <v/>
      </c>
      <c r="BF62" s="489" t="str">
        <f t="shared" si="35"/>
        <v/>
      </c>
      <c r="BG62" s="489" t="str">
        <f t="shared" si="35"/>
        <v/>
      </c>
      <c r="BH62" s="489" t="str">
        <f t="shared" si="35"/>
        <v/>
      </c>
      <c r="BI62" s="489" t="str">
        <f t="shared" si="35"/>
        <v/>
      </c>
      <c r="BJ62" s="489" t="str">
        <f t="shared" si="35"/>
        <v/>
      </c>
      <c r="BK62" s="489" t="str">
        <f t="shared" si="35"/>
        <v/>
      </c>
      <c r="BL62" s="489" t="str">
        <f t="shared" si="35"/>
        <v/>
      </c>
      <c r="BM62" s="489" t="str">
        <f t="shared" si="35"/>
        <v/>
      </c>
      <c r="BN62" s="489" t="str">
        <f t="shared" si="35"/>
        <v/>
      </c>
      <c r="BO62" s="489" t="str">
        <f t="shared" si="35"/>
        <v/>
      </c>
      <c r="BP62" s="489" t="str">
        <f t="shared" si="35"/>
        <v/>
      </c>
      <c r="BQ62" s="489" t="str">
        <f t="shared" si="35"/>
        <v/>
      </c>
      <c r="BR62" s="489" t="str">
        <f t="shared" si="35"/>
        <v/>
      </c>
      <c r="BS62" s="489" t="str">
        <f t="shared" si="35"/>
        <v/>
      </c>
      <c r="BT62" s="489" t="str">
        <f t="shared" ref="BT62:EE62" si="36">IF(BT$54="","",BT60+BT58)</f>
        <v/>
      </c>
      <c r="BU62" s="489" t="str">
        <f t="shared" si="36"/>
        <v/>
      </c>
      <c r="BV62" s="489" t="str">
        <f t="shared" si="36"/>
        <v/>
      </c>
      <c r="BW62" s="489" t="str">
        <f t="shared" si="36"/>
        <v/>
      </c>
      <c r="BX62" s="489" t="str">
        <f t="shared" si="36"/>
        <v/>
      </c>
      <c r="BY62" s="489" t="str">
        <f t="shared" si="36"/>
        <v/>
      </c>
      <c r="BZ62" s="489" t="str">
        <f t="shared" si="36"/>
        <v/>
      </c>
      <c r="CA62" s="489" t="str">
        <f t="shared" si="36"/>
        <v/>
      </c>
      <c r="CB62" s="489" t="str">
        <f t="shared" si="36"/>
        <v/>
      </c>
      <c r="CC62" s="489" t="str">
        <f t="shared" si="36"/>
        <v/>
      </c>
      <c r="CD62" s="489" t="str">
        <f t="shared" si="36"/>
        <v/>
      </c>
      <c r="CE62" s="489" t="str">
        <f t="shared" si="36"/>
        <v/>
      </c>
      <c r="CF62" s="489" t="str">
        <f t="shared" si="36"/>
        <v/>
      </c>
      <c r="CG62" s="489" t="str">
        <f t="shared" si="36"/>
        <v/>
      </c>
      <c r="CH62" s="489" t="str">
        <f t="shared" si="36"/>
        <v/>
      </c>
      <c r="CI62" s="489" t="str">
        <f t="shared" si="36"/>
        <v/>
      </c>
      <c r="CJ62" s="489" t="str">
        <f t="shared" si="36"/>
        <v/>
      </c>
      <c r="CK62" s="489" t="str">
        <f t="shared" si="36"/>
        <v/>
      </c>
      <c r="CL62" s="489" t="str">
        <f t="shared" si="36"/>
        <v/>
      </c>
      <c r="CM62" s="489" t="str">
        <f t="shared" si="36"/>
        <v/>
      </c>
      <c r="CN62" s="489" t="str">
        <f t="shared" si="36"/>
        <v/>
      </c>
      <c r="CO62" s="489" t="str">
        <f t="shared" si="36"/>
        <v/>
      </c>
      <c r="CP62" s="489" t="str">
        <f t="shared" si="36"/>
        <v/>
      </c>
      <c r="CQ62" s="489" t="str">
        <f t="shared" si="36"/>
        <v/>
      </c>
      <c r="CR62" s="489" t="str">
        <f t="shared" si="36"/>
        <v/>
      </c>
      <c r="CS62" s="489" t="str">
        <f t="shared" si="36"/>
        <v/>
      </c>
      <c r="CT62" s="489" t="str">
        <f t="shared" si="36"/>
        <v/>
      </c>
      <c r="CU62" s="489" t="str">
        <f t="shared" si="36"/>
        <v/>
      </c>
      <c r="CV62" s="489" t="str">
        <f t="shared" si="36"/>
        <v/>
      </c>
      <c r="CW62" s="489" t="str">
        <f t="shared" si="36"/>
        <v/>
      </c>
      <c r="CX62" s="489" t="str">
        <f t="shared" si="36"/>
        <v/>
      </c>
      <c r="CY62" s="489" t="str">
        <f t="shared" si="36"/>
        <v/>
      </c>
      <c r="CZ62" s="489" t="str">
        <f t="shared" si="36"/>
        <v/>
      </c>
      <c r="DA62" s="489" t="str">
        <f t="shared" si="36"/>
        <v/>
      </c>
      <c r="DB62" s="489" t="str">
        <f t="shared" si="36"/>
        <v/>
      </c>
      <c r="DC62" s="489" t="str">
        <f t="shared" si="36"/>
        <v/>
      </c>
      <c r="DD62" s="489" t="str">
        <f t="shared" si="36"/>
        <v/>
      </c>
      <c r="DE62" s="489" t="str">
        <f t="shared" si="36"/>
        <v/>
      </c>
      <c r="DF62" s="489" t="str">
        <f t="shared" si="36"/>
        <v/>
      </c>
      <c r="DG62" s="489" t="str">
        <f t="shared" si="36"/>
        <v/>
      </c>
      <c r="DH62" s="489" t="str">
        <f t="shared" si="36"/>
        <v/>
      </c>
      <c r="DI62" s="489" t="str">
        <f t="shared" si="36"/>
        <v/>
      </c>
      <c r="DJ62" s="489" t="str">
        <f t="shared" si="36"/>
        <v/>
      </c>
      <c r="DK62" s="489" t="str">
        <f t="shared" si="36"/>
        <v/>
      </c>
      <c r="DL62" s="489" t="str">
        <f t="shared" si="36"/>
        <v/>
      </c>
      <c r="DM62" s="489" t="str">
        <f t="shared" si="36"/>
        <v/>
      </c>
      <c r="DN62" s="489" t="str">
        <f t="shared" si="36"/>
        <v/>
      </c>
      <c r="DO62" s="489" t="str">
        <f t="shared" si="36"/>
        <v/>
      </c>
      <c r="DP62" s="489" t="str">
        <f t="shared" si="36"/>
        <v/>
      </c>
      <c r="DQ62" s="489" t="str">
        <f t="shared" si="36"/>
        <v/>
      </c>
      <c r="DR62" s="489" t="str">
        <f t="shared" si="36"/>
        <v/>
      </c>
      <c r="DS62" s="489" t="str">
        <f t="shared" si="36"/>
        <v/>
      </c>
      <c r="DT62" s="489" t="str">
        <f t="shared" si="36"/>
        <v/>
      </c>
      <c r="DU62" s="489" t="str">
        <f t="shared" si="36"/>
        <v/>
      </c>
      <c r="DV62" s="489" t="str">
        <f t="shared" si="36"/>
        <v/>
      </c>
      <c r="DW62" s="489" t="str">
        <f t="shared" si="36"/>
        <v/>
      </c>
      <c r="DX62" s="489" t="str">
        <f t="shared" si="36"/>
        <v/>
      </c>
      <c r="DY62" s="489" t="str">
        <f t="shared" si="36"/>
        <v/>
      </c>
      <c r="DZ62" s="489" t="str">
        <f t="shared" si="36"/>
        <v/>
      </c>
      <c r="EA62" s="489" t="str">
        <f t="shared" si="36"/>
        <v/>
      </c>
      <c r="EB62" s="489" t="str">
        <f t="shared" si="36"/>
        <v/>
      </c>
      <c r="EC62" s="489" t="str">
        <f t="shared" si="36"/>
        <v/>
      </c>
      <c r="ED62" s="489" t="str">
        <f t="shared" si="36"/>
        <v/>
      </c>
      <c r="EE62" s="489" t="str">
        <f t="shared" si="36"/>
        <v/>
      </c>
      <c r="EF62" s="489" t="str">
        <f t="shared" ref="EF62:EI62" si="37">IF(EF$54="","",EF60+EF58)</f>
        <v/>
      </c>
      <c r="EG62" s="489" t="str">
        <f t="shared" si="37"/>
        <v/>
      </c>
      <c r="EH62" s="489" t="str">
        <f t="shared" si="37"/>
        <v/>
      </c>
      <c r="EI62" s="489" t="str">
        <f t="shared" si="37"/>
        <v/>
      </c>
    </row>
    <row r="63" spans="2:139" hidden="1" outlineLevel="1" x14ac:dyDescent="0.2">
      <c r="B63" s="4"/>
      <c r="C63" s="4"/>
      <c r="D63" s="4"/>
      <c r="E63" s="4"/>
      <c r="F63" s="4"/>
      <c r="G63" s="489"/>
      <c r="H63" s="489"/>
      <c r="I63" s="489"/>
      <c r="J63" s="489"/>
      <c r="K63" s="489"/>
      <c r="L63" s="489"/>
      <c r="M63" s="489"/>
      <c r="N63" s="489"/>
      <c r="O63" s="489"/>
      <c r="P63" s="489"/>
      <c r="Q63" s="489"/>
      <c r="R63" s="489"/>
      <c r="S63" s="489"/>
      <c r="T63" s="489"/>
      <c r="U63" s="489"/>
      <c r="V63" s="489"/>
      <c r="W63" s="489"/>
      <c r="X63" s="489"/>
      <c r="Y63" s="489"/>
      <c r="Z63" s="489"/>
      <c r="AA63" s="489"/>
      <c r="AB63" s="489"/>
      <c r="AC63" s="489"/>
      <c r="AD63" s="489"/>
      <c r="AE63" s="489"/>
      <c r="AF63" s="489"/>
      <c r="AG63" s="489"/>
      <c r="AH63" s="489"/>
      <c r="AI63" s="489"/>
      <c r="AJ63" s="489"/>
      <c r="AK63" s="489"/>
      <c r="AL63" s="489"/>
      <c r="AM63" s="489"/>
      <c r="AN63" s="489"/>
      <c r="AO63" s="489"/>
      <c r="AP63" s="489"/>
      <c r="AQ63" s="489"/>
      <c r="AR63" s="489"/>
      <c r="AS63" s="489"/>
      <c r="AT63" s="489"/>
      <c r="AU63" s="489"/>
      <c r="AV63" s="489"/>
      <c r="AW63" s="489"/>
      <c r="AX63" s="489"/>
      <c r="AY63" s="489"/>
      <c r="AZ63" s="489"/>
      <c r="BA63" s="489"/>
      <c r="BB63" s="489"/>
      <c r="BC63" s="489"/>
      <c r="BD63" s="489"/>
      <c r="BE63" s="489"/>
      <c r="BF63" s="489"/>
      <c r="BG63" s="489"/>
      <c r="BH63" s="489"/>
      <c r="BI63" s="489"/>
      <c r="BJ63" s="489"/>
      <c r="BK63" s="489"/>
      <c r="BL63" s="489"/>
      <c r="BM63" s="489"/>
      <c r="BN63" s="489"/>
      <c r="BO63" s="489"/>
      <c r="BP63" s="489"/>
      <c r="BQ63" s="489"/>
      <c r="BR63" s="489"/>
      <c r="BS63" s="489"/>
      <c r="BT63" s="489"/>
      <c r="BU63" s="489"/>
      <c r="BV63" s="489"/>
      <c r="BW63" s="489"/>
      <c r="BX63" s="489"/>
      <c r="BY63" s="489"/>
      <c r="BZ63" s="489"/>
      <c r="CA63" s="489"/>
      <c r="CB63" s="489"/>
      <c r="CC63" s="489"/>
      <c r="CD63" s="489"/>
      <c r="CE63" s="489"/>
      <c r="CF63" s="489"/>
      <c r="CG63" s="489"/>
      <c r="CH63" s="489"/>
      <c r="CI63" s="489"/>
      <c r="CJ63" s="489"/>
      <c r="CK63" s="489"/>
      <c r="CL63" s="489"/>
      <c r="CM63" s="489"/>
      <c r="CN63" s="489"/>
      <c r="CO63" s="489"/>
      <c r="CP63" s="489"/>
      <c r="CQ63" s="489"/>
      <c r="CR63" s="489"/>
      <c r="CS63" s="489"/>
      <c r="CT63" s="489"/>
      <c r="CU63" s="489"/>
      <c r="CV63" s="489"/>
      <c r="CW63" s="489"/>
      <c r="CX63" s="489"/>
      <c r="CY63" s="489"/>
      <c r="CZ63" s="489"/>
      <c r="DA63" s="489"/>
      <c r="DB63" s="489"/>
      <c r="DC63" s="489"/>
      <c r="DD63" s="489"/>
      <c r="DE63" s="489"/>
      <c r="DF63" s="489"/>
      <c r="DG63" s="489"/>
      <c r="DH63" s="489"/>
      <c r="DI63" s="489"/>
      <c r="DJ63" s="489"/>
      <c r="DK63" s="489"/>
      <c r="DL63" s="489"/>
      <c r="DM63" s="489"/>
      <c r="DN63" s="489"/>
      <c r="DO63" s="489"/>
      <c r="DP63" s="489"/>
      <c r="DQ63" s="489"/>
      <c r="DR63" s="489"/>
      <c r="DS63" s="489"/>
      <c r="DT63" s="489"/>
      <c r="DU63" s="489"/>
      <c r="DV63" s="489"/>
      <c r="DW63" s="489"/>
      <c r="DX63" s="489"/>
      <c r="DY63" s="489"/>
      <c r="DZ63" s="489"/>
      <c r="EA63" s="489"/>
      <c r="EB63" s="489"/>
      <c r="EC63" s="489"/>
      <c r="ED63" s="489"/>
      <c r="EE63" s="489"/>
      <c r="EF63" s="489"/>
      <c r="EG63" s="489"/>
      <c r="EH63" s="489"/>
      <c r="EI63" s="489"/>
    </row>
    <row r="64" spans="2:139" hidden="1" outlineLevel="1" x14ac:dyDescent="0.2">
      <c r="B64" s="4" t="s">
        <v>60</v>
      </c>
      <c r="C64" s="4"/>
      <c r="D64" s="4"/>
      <c r="E64" s="4"/>
      <c r="F64" s="4"/>
      <c r="G64" s="489">
        <f>IF(G$54="","",Underwriting!L53)</f>
        <v>3753159.5276612928</v>
      </c>
      <c r="H64" s="489">
        <f>IF(H$54="","",Underwriting!M53)</f>
        <v>434615.43632992054</v>
      </c>
      <c r="I64" s="489">
        <f>IF(I$54="","",Underwriting!N53)</f>
        <v>595115.21586161223</v>
      </c>
      <c r="J64" s="489">
        <f>IF(J$54="","",Underwriting!O53)</f>
        <v>913409.18359364895</v>
      </c>
      <c r="K64" s="489">
        <f>IF(K$54="","",Underwriting!P53)</f>
        <v>1467820.9038815256</v>
      </c>
      <c r="L64" s="489">
        <f>IF(L$54="","",Underwriting!Q53)</f>
        <v>2309629.6734741665</v>
      </c>
      <c r="M64" s="489">
        <f>IF(M$54="","",Underwriting!R53)</f>
        <v>3409858.2075612606</v>
      </c>
      <c r="N64" s="489">
        <f>IF(N$54="","",Underwriting!S53)</f>
        <v>4618633.3206490651</v>
      </c>
      <c r="O64" s="489">
        <f>IF(O$54="","",Underwriting!T53)</f>
        <v>5689047.235330848</v>
      </c>
      <c r="P64" s="489">
        <f>IF(P$54="","",Underwriting!U53)</f>
        <v>6336064.6437679445</v>
      </c>
      <c r="Q64" s="489">
        <f>IF(Q$54="","",Underwriting!V53)</f>
        <v>6362464.9131169803</v>
      </c>
      <c r="R64" s="489">
        <f>IF(R$54="","",Underwriting!W53)</f>
        <v>5765662.1386317443</v>
      </c>
      <c r="S64" s="489">
        <f>IF(S$54="","",Underwriting!X53)</f>
        <v>4731209.4295146354</v>
      </c>
      <c r="T64" s="489">
        <f>IF(T$54="","",Underwriting!Y53)</f>
        <v>3547598.7178405742</v>
      </c>
      <c r="U64" s="489">
        <f>IF(U$54="","",Underwriting!Z53)</f>
        <v>2467869.1206613295</v>
      </c>
      <c r="V64" s="489">
        <f>IF(V$54="","",Underwriting!AA53)</f>
        <v>1640257.6635875134</v>
      </c>
      <c r="W64" s="489">
        <f>IF(W$54="","",Underwriting!AB53)</f>
        <v>1095247.652728765</v>
      </c>
      <c r="X64" s="489">
        <f>IF(X$54="","",Underwriting!AC53)</f>
        <v>783240.1545545361</v>
      </c>
      <c r="Y64" s="489">
        <f>IF(Y$54="","",Underwriting!AD53)</f>
        <v>627272.65104083321</v>
      </c>
      <c r="Z64" s="489">
        <f>IF(Z$54="","",Underwriting!AE53)</f>
        <v>332598.6138216916</v>
      </c>
      <c r="AA64" s="489">
        <f>IF(AA$54="","",Underwriting!AF53)</f>
        <v>302875.04593330395</v>
      </c>
      <c r="AB64" s="489">
        <f>IF(AB$54="","",Underwriting!AG53)</f>
        <v>273012.76806143718</v>
      </c>
      <c r="AC64" s="489">
        <f>IF(AC$54="","",Underwriting!AH53)</f>
        <v>243011.13289283498</v>
      </c>
      <c r="AD64" s="489">
        <f>IF(AD$54="","",Underwriting!AI53)</f>
        <v>212869.49009344599</v>
      </c>
      <c r="AE64" s="489">
        <f>IF(AE$54="","",Underwriting!AJ53)</f>
        <v>182587.1862943265</v>
      </c>
      <c r="AF64" s="489">
        <f>IF(AF$54="","",Underwriting!AK53)</f>
        <v>152163.5650774778</v>
      </c>
      <c r="AG64" s="489">
        <f>IF(AG$54="","",Underwriting!AL53)</f>
        <v>121597.96696161716</v>
      </c>
      <c r="AH64" s="489">
        <f>IF(AH$54="","",Underwriting!AM53)</f>
        <v>90889.7293878825</v>
      </c>
      <c r="AI64" s="489">
        <f>IF(AI$54="","",Underwriting!AN53)</f>
        <v>60038.186705470376</v>
      </c>
      <c r="AJ64" s="489">
        <f>IF(AJ$54="","",Underwriting!AO53)</f>
        <v>29042.670157206972</v>
      </c>
      <c r="AK64" s="489">
        <f>IF(AK$54="","",Underwriting!AP53)</f>
        <v>0</v>
      </c>
      <c r="AL64" s="489">
        <f>IF(AL$54="","",Underwriting!AQ53)</f>
        <v>0</v>
      </c>
      <c r="AM64" s="489">
        <f>IF(AM$54="","",Underwriting!AR53)</f>
        <v>0</v>
      </c>
      <c r="AN64" s="489">
        <f>IF(AN$54="","",Underwriting!AS53)</f>
        <v>0</v>
      </c>
      <c r="AO64" s="489">
        <f>IF(AO$54="","",Underwriting!AT53)</f>
        <v>0</v>
      </c>
      <c r="AP64" s="489">
        <f>IF(AP$54="","",Underwriting!AU53)</f>
        <v>0</v>
      </c>
      <c r="AQ64" s="489">
        <f>IF(AQ$54="","",Underwriting!AV53)</f>
        <v>0</v>
      </c>
      <c r="AR64" s="489">
        <f>IF(AR$54="","",Underwriting!AW53)</f>
        <v>0</v>
      </c>
      <c r="AS64" s="489">
        <f>IF(AS$54="","",Underwriting!AX53)</f>
        <v>0</v>
      </c>
      <c r="AT64" s="489">
        <f>IF(AT$54="","",Underwriting!AY53)</f>
        <v>0</v>
      </c>
      <c r="AU64" s="489">
        <f>IF(AU$54="","",Underwriting!AZ53)</f>
        <v>0</v>
      </c>
      <c r="AV64" s="489">
        <f>IF(AV$54="","",Underwriting!BA53)</f>
        <v>0</v>
      </c>
      <c r="AW64" s="489">
        <f>IF(AW$54="","",Underwriting!BB53)</f>
        <v>0</v>
      </c>
      <c r="AX64" s="489">
        <f>IF(AX$54="","",Underwriting!BC53)</f>
        <v>0</v>
      </c>
      <c r="AY64" s="489">
        <f>IF(AY$54="","",Underwriting!BD53)</f>
        <v>0</v>
      </c>
      <c r="AZ64" s="489">
        <f>IF(AZ$54="","",Underwriting!BE53)</f>
        <v>0</v>
      </c>
      <c r="BA64" s="489" t="str">
        <f>IF(BA$54="","",Underwriting!BF53)</f>
        <v/>
      </c>
      <c r="BB64" s="489" t="str">
        <f>IF(BB$54="","",Underwriting!BG53)</f>
        <v/>
      </c>
      <c r="BC64" s="489" t="str">
        <f>IF(BC$54="","",Underwriting!BH53)</f>
        <v/>
      </c>
      <c r="BD64" s="489" t="str">
        <f>IF(BD$54="","",Underwriting!BI53)</f>
        <v/>
      </c>
      <c r="BE64" s="489" t="str">
        <f>IF(BE$54="","",Underwriting!BJ53)</f>
        <v/>
      </c>
      <c r="BF64" s="489" t="str">
        <f>IF(BF$54="","",Underwriting!BK53)</f>
        <v/>
      </c>
      <c r="BG64" s="489" t="str">
        <f>IF(BG$54="","",Underwriting!BL53)</f>
        <v/>
      </c>
      <c r="BH64" s="489" t="str">
        <f>IF(BH$54="","",Underwriting!BM53)</f>
        <v/>
      </c>
      <c r="BI64" s="489" t="str">
        <f>IF(BI$54="","",Underwriting!BN53)</f>
        <v/>
      </c>
      <c r="BJ64" s="489" t="str">
        <f>IF(BJ$54="","",Underwriting!BO53)</f>
        <v/>
      </c>
      <c r="BK64" s="489" t="str">
        <f>IF(BK$54="","",Underwriting!BP53)</f>
        <v/>
      </c>
      <c r="BL64" s="489" t="str">
        <f>IF(BL$54="","",Underwriting!BQ53)</f>
        <v/>
      </c>
      <c r="BM64" s="489" t="str">
        <f>IF(BM$54="","",Underwriting!BR53)</f>
        <v/>
      </c>
      <c r="BN64" s="489" t="str">
        <f>IF(BN$54="","",Underwriting!BS53)</f>
        <v/>
      </c>
      <c r="BO64" s="489" t="str">
        <f>IF(BO$54="","",Underwriting!BT53)</f>
        <v/>
      </c>
      <c r="BP64" s="489" t="str">
        <f>IF(BP$54="","",Underwriting!BU53)</f>
        <v/>
      </c>
      <c r="BQ64" s="489" t="str">
        <f>IF(BQ$54="","",Underwriting!BV53)</f>
        <v/>
      </c>
      <c r="BR64" s="489" t="str">
        <f>IF(BR$54="","",Underwriting!BW53)</f>
        <v/>
      </c>
      <c r="BS64" s="489" t="str">
        <f>IF(BS$54="","",Underwriting!BX53)</f>
        <v/>
      </c>
      <c r="BT64" s="489" t="str">
        <f>IF(BT$54="","",Underwriting!BY53)</f>
        <v/>
      </c>
      <c r="BU64" s="489" t="str">
        <f>IF(BU$54="","",Underwriting!BZ53)</f>
        <v/>
      </c>
      <c r="BV64" s="489" t="str">
        <f>IF(BV$54="","",Underwriting!CA53)</f>
        <v/>
      </c>
      <c r="BW64" s="489" t="str">
        <f>IF(BW$54="","",Underwriting!CB53)</f>
        <v/>
      </c>
      <c r="BX64" s="489" t="str">
        <f>IF(BX$54="","",Underwriting!CC53)</f>
        <v/>
      </c>
      <c r="BY64" s="489" t="str">
        <f>IF(BY$54="","",Underwriting!CD53)</f>
        <v/>
      </c>
      <c r="BZ64" s="489" t="str">
        <f>IF(BZ$54="","",Underwriting!CE53)</f>
        <v/>
      </c>
      <c r="CA64" s="489" t="str">
        <f>IF(CA$54="","",Underwriting!CF53)</f>
        <v/>
      </c>
      <c r="CB64" s="489" t="str">
        <f>IF(CB$54="","",Underwriting!CG53)</f>
        <v/>
      </c>
      <c r="CC64" s="489" t="str">
        <f>IF(CC$54="","",Underwriting!CH53)</f>
        <v/>
      </c>
      <c r="CD64" s="489" t="str">
        <f>IF(CD$54="","",Underwriting!CI53)</f>
        <v/>
      </c>
      <c r="CE64" s="489" t="str">
        <f>IF(CE$54="","",Underwriting!CJ53)</f>
        <v/>
      </c>
      <c r="CF64" s="489" t="str">
        <f>IF(CF$54="","",Underwriting!CK53)</f>
        <v/>
      </c>
      <c r="CG64" s="489" t="str">
        <f>IF(CG$54="","",Underwriting!CL53)</f>
        <v/>
      </c>
      <c r="CH64" s="489" t="str">
        <f>IF(CH$54="","",Underwriting!CM53)</f>
        <v/>
      </c>
      <c r="CI64" s="489" t="str">
        <f>IF(CI$54="","",Underwriting!CN53)</f>
        <v/>
      </c>
      <c r="CJ64" s="489" t="str">
        <f>IF(CJ$54="","",Underwriting!CO53)</f>
        <v/>
      </c>
      <c r="CK64" s="489" t="str">
        <f>IF(CK$54="","",Underwriting!CP53)</f>
        <v/>
      </c>
      <c r="CL64" s="489" t="str">
        <f>IF(CL$54="","",Underwriting!CQ53)</f>
        <v/>
      </c>
      <c r="CM64" s="489" t="str">
        <f>IF(CM$54="","",Underwriting!CR53)</f>
        <v/>
      </c>
      <c r="CN64" s="489" t="str">
        <f>IF(CN$54="","",Underwriting!CS53)</f>
        <v/>
      </c>
      <c r="CO64" s="489" t="str">
        <f>IF(CO$54="","",Underwriting!CT53)</f>
        <v/>
      </c>
      <c r="CP64" s="489" t="str">
        <f>IF(CP$54="","",Underwriting!CU53)</f>
        <v/>
      </c>
      <c r="CQ64" s="489" t="str">
        <f>IF(CQ$54="","",Underwriting!CV53)</f>
        <v/>
      </c>
      <c r="CR64" s="489" t="str">
        <f>IF(CR$54="","",Underwriting!CW53)</f>
        <v/>
      </c>
      <c r="CS64" s="489" t="str">
        <f>IF(CS$54="","",Underwriting!CX53)</f>
        <v/>
      </c>
      <c r="CT64" s="489" t="str">
        <f>IF(CT$54="","",Underwriting!CY53)</f>
        <v/>
      </c>
      <c r="CU64" s="489" t="str">
        <f>IF(CU$54="","",Underwriting!CZ53)</f>
        <v/>
      </c>
      <c r="CV64" s="489" t="str">
        <f>IF(CV$54="","",Underwriting!DA53)</f>
        <v/>
      </c>
      <c r="CW64" s="489" t="str">
        <f>IF(CW$54="","",Underwriting!DB53)</f>
        <v/>
      </c>
      <c r="CX64" s="489" t="str">
        <f>IF(CX$54="","",Underwriting!DC53)</f>
        <v/>
      </c>
      <c r="CY64" s="489" t="str">
        <f>IF(CY$54="","",Underwriting!DD53)</f>
        <v/>
      </c>
      <c r="CZ64" s="489" t="str">
        <f>IF(CZ$54="","",Underwriting!DE53)</f>
        <v/>
      </c>
      <c r="DA64" s="489" t="str">
        <f>IF(DA$54="","",Underwriting!DF53)</f>
        <v/>
      </c>
      <c r="DB64" s="489" t="str">
        <f>IF(DB$54="","",Underwriting!DG53)</f>
        <v/>
      </c>
      <c r="DC64" s="489" t="str">
        <f>IF(DC$54="","",Underwriting!DH53)</f>
        <v/>
      </c>
      <c r="DD64" s="489" t="str">
        <f>IF(DD$54="","",Underwriting!DI53)</f>
        <v/>
      </c>
      <c r="DE64" s="489" t="str">
        <f>IF(DE$54="","",Underwriting!DJ53)</f>
        <v/>
      </c>
      <c r="DF64" s="489" t="str">
        <f>IF(DF$54="","",Underwriting!DK53)</f>
        <v/>
      </c>
      <c r="DG64" s="489" t="str">
        <f>IF(DG$54="","",Underwriting!DL53)</f>
        <v/>
      </c>
      <c r="DH64" s="489" t="str">
        <f>IF(DH$54="","",Underwriting!DM53)</f>
        <v/>
      </c>
      <c r="DI64" s="489" t="str">
        <f>IF(DI$54="","",Underwriting!DN53)</f>
        <v/>
      </c>
      <c r="DJ64" s="489" t="str">
        <f>IF(DJ$54="","",Underwriting!DO53)</f>
        <v/>
      </c>
      <c r="DK64" s="489" t="str">
        <f>IF(DK$54="","",Underwriting!DP53)</f>
        <v/>
      </c>
      <c r="DL64" s="489" t="str">
        <f>IF(DL$54="","",Underwriting!DQ53)</f>
        <v/>
      </c>
      <c r="DM64" s="489" t="str">
        <f>IF(DM$54="","",Underwriting!DR53)</f>
        <v/>
      </c>
      <c r="DN64" s="489" t="str">
        <f>IF(DN$54="","",Underwriting!DS53)</f>
        <v/>
      </c>
      <c r="DO64" s="489" t="str">
        <f>IF(DO$54="","",Underwriting!DT53)</f>
        <v/>
      </c>
      <c r="DP64" s="489" t="str">
        <f>IF(DP$54="","",Underwriting!DU53)</f>
        <v/>
      </c>
      <c r="DQ64" s="489" t="str">
        <f>IF(DQ$54="","",Underwriting!DV53)</f>
        <v/>
      </c>
      <c r="DR64" s="489" t="str">
        <f>IF(DR$54="","",Underwriting!DW53)</f>
        <v/>
      </c>
      <c r="DS64" s="489" t="str">
        <f>IF(DS$54="","",Underwriting!DX53)</f>
        <v/>
      </c>
      <c r="DT64" s="489" t="str">
        <f>IF(DT$54="","",Underwriting!DY53)</f>
        <v/>
      </c>
      <c r="DU64" s="489" t="str">
        <f>IF(DU$54="","",Underwriting!DZ53)</f>
        <v/>
      </c>
      <c r="DV64" s="489" t="str">
        <f>IF(DV$54="","",Underwriting!EA53)</f>
        <v/>
      </c>
      <c r="DW64" s="489" t="str">
        <f>IF(DW$54="","",Underwriting!EB53)</f>
        <v/>
      </c>
      <c r="DX64" s="489" t="str">
        <f>IF(DX$54="","",Underwriting!EC53)</f>
        <v/>
      </c>
      <c r="DY64" s="489" t="str">
        <f>IF(DY$54="","",Underwriting!ED53)</f>
        <v/>
      </c>
      <c r="DZ64" s="489" t="str">
        <f>IF(DZ$54="","",Underwriting!EE53)</f>
        <v/>
      </c>
      <c r="EA64" s="489" t="str">
        <f>IF(EA$54="","",Underwriting!EF53)</f>
        <v/>
      </c>
      <c r="EB64" s="489" t="str">
        <f>IF(EB$54="","",Underwriting!EG53)</f>
        <v/>
      </c>
      <c r="EC64" s="489" t="str">
        <f>IF(EC$54="","",Underwriting!EH53)</f>
        <v/>
      </c>
      <c r="ED64" s="489" t="str">
        <f>IF(ED$54="","",Underwriting!EI53)</f>
        <v/>
      </c>
      <c r="EE64" s="489" t="str">
        <f>IF(EE$54="","",Underwriting!EJ53)</f>
        <v/>
      </c>
      <c r="EF64" s="489" t="str">
        <f>IF(EF$54="","",Underwriting!EK53)</f>
        <v/>
      </c>
      <c r="EG64" s="489" t="str">
        <f>IF(EG$54="","",Underwriting!EL53)</f>
        <v/>
      </c>
      <c r="EH64" s="489" t="str">
        <f>IF(EH$54="","",Underwriting!EM53)</f>
        <v/>
      </c>
      <c r="EI64" s="489" t="str">
        <f>IF(EI$54="","",Underwriting!EN53)</f>
        <v/>
      </c>
    </row>
    <row r="65" spans="2:139" hidden="1" outlineLevel="1" x14ac:dyDescent="0.2">
      <c r="B65" s="4" t="s">
        <v>29</v>
      </c>
      <c r="C65" s="4"/>
      <c r="D65" s="4"/>
      <c r="E65" s="4"/>
      <c r="F65" s="4"/>
      <c r="G65" s="489">
        <f>IF(G$54="","",Underwriting!L73)</f>
        <v>3753159.5276612928</v>
      </c>
      <c r="H65" s="489">
        <f>IF(H$54="","",Underwriting!M73)</f>
        <v>434615.43632992054</v>
      </c>
      <c r="I65" s="489">
        <f>IF(I$54="","",Underwriting!N73)</f>
        <v>595115.21586161223</v>
      </c>
      <c r="J65" s="489">
        <f>IF(J$54="","",Underwriting!O73)</f>
        <v>913409.18359364895</v>
      </c>
      <c r="K65" s="489">
        <f>IF(K$54="","",Underwriting!P73)</f>
        <v>1467820.9038815256</v>
      </c>
      <c r="L65" s="489">
        <f>IF(L$54="","",Underwriting!Q73)</f>
        <v>2309629.6734741665</v>
      </c>
      <c r="M65" s="489">
        <f>IF(M$54="","",Underwriting!R73)</f>
        <v>3409858.2075612606</v>
      </c>
      <c r="N65" s="489">
        <f>IF(N$54="","",Underwriting!S73)</f>
        <v>4618633.3206490651</v>
      </c>
      <c r="O65" s="489">
        <f>IF(O$54="","",Underwriting!T73)</f>
        <v>5689047.2353308471</v>
      </c>
      <c r="P65" s="489">
        <f>IF(P$54="","",Underwriting!U73)</f>
        <v>6336064.6437679445</v>
      </c>
      <c r="Q65" s="489">
        <f>IF(Q$54="","",Underwriting!V73)</f>
        <v>6362464.9131169794</v>
      </c>
      <c r="R65" s="489">
        <f>IF(R$54="","",Underwriting!W73)</f>
        <v>5765662.1386317443</v>
      </c>
      <c r="S65" s="489">
        <f>IF(S$54="","",Underwriting!X73)</f>
        <v>4731209.4295146354</v>
      </c>
      <c r="T65" s="489">
        <f>IF(T$54="","",Underwriting!Y73)</f>
        <v>3547598.7178405742</v>
      </c>
      <c r="U65" s="489">
        <f>IF(U$54="","",Underwriting!Z73)</f>
        <v>2467869.1206613295</v>
      </c>
      <c r="V65" s="489">
        <f>IF(V$54="","",Underwriting!AA73)</f>
        <v>1640257.6635875134</v>
      </c>
      <c r="W65" s="489">
        <f>IF(W$54="","",Underwriting!AB73)</f>
        <v>1095247.652728765</v>
      </c>
      <c r="X65" s="489">
        <f>IF(X$54="","",Underwriting!AC73)</f>
        <v>783240.1545545361</v>
      </c>
      <c r="Y65" s="489">
        <f>IF(Y$54="","",Underwriting!AD73)</f>
        <v>627272.65104083321</v>
      </c>
      <c r="Z65" s="489">
        <f>IF(Z$54="","",Underwriting!AE73)</f>
        <v>332598.6138216916</v>
      </c>
      <c r="AA65" s="489">
        <f>IF(AA$54="","",Underwriting!AF73)</f>
        <v>302875.04593330395</v>
      </c>
      <c r="AB65" s="489">
        <f>IF(AB$54="","",Underwriting!AG73)</f>
        <v>273012.76806143718</v>
      </c>
      <c r="AC65" s="489">
        <f>IF(AC$54="","",Underwriting!AH73)</f>
        <v>243011.13289283498</v>
      </c>
      <c r="AD65" s="489">
        <f>IF(AD$54="","",Underwriting!AI73)</f>
        <v>212869.49009344599</v>
      </c>
      <c r="AE65" s="489">
        <f>IF(AE$54="","",Underwriting!AJ73)</f>
        <v>182587.1862943265</v>
      </c>
      <c r="AF65" s="489">
        <f>IF(AF$54="","",Underwriting!AK73)</f>
        <v>152163.5650774778</v>
      </c>
      <c r="AG65" s="489">
        <f>IF(AG$54="","",Underwriting!AL73)</f>
        <v>121597.96696161716</v>
      </c>
      <c r="AH65" s="489">
        <f>IF(AH$54="","",Underwriting!AM73)</f>
        <v>90889.7293878825</v>
      </c>
      <c r="AI65" s="489">
        <f>IF(AI$54="","",Underwriting!AN73)</f>
        <v>60038.186705470376</v>
      </c>
      <c r="AJ65" s="489">
        <f>IF(AJ$54="","",Underwriting!AO73)</f>
        <v>29042.670157206972</v>
      </c>
      <c r="AK65" s="489">
        <f>IF(AK$54="","",Underwriting!AP73)</f>
        <v>0</v>
      </c>
      <c r="AL65" s="489">
        <f>IF(AL$54="","",Underwriting!AQ73)</f>
        <v>0</v>
      </c>
      <c r="AM65" s="489">
        <f>IF(AM$54="","",Underwriting!AR73)</f>
        <v>0</v>
      </c>
      <c r="AN65" s="489">
        <f>IF(AN$54="","",Underwriting!AS73)</f>
        <v>0</v>
      </c>
      <c r="AO65" s="489">
        <f>IF(AO$54="","",Underwriting!AT73)</f>
        <v>0</v>
      </c>
      <c r="AP65" s="489">
        <f>IF(AP$54="","",Underwriting!AU73)</f>
        <v>0</v>
      </c>
      <c r="AQ65" s="489">
        <f>IF(AQ$54="","",Underwriting!AV73)</f>
        <v>0</v>
      </c>
      <c r="AR65" s="489">
        <f>IF(AR$54="","",Underwriting!AW73)</f>
        <v>0</v>
      </c>
      <c r="AS65" s="489">
        <f>IF(AS$54="","",Underwriting!AX73)</f>
        <v>0</v>
      </c>
      <c r="AT65" s="489">
        <f>IF(AT$54="","",Underwriting!AY73)</f>
        <v>0</v>
      </c>
      <c r="AU65" s="489">
        <f>IF(AU$54="","",Underwriting!AZ73)</f>
        <v>0</v>
      </c>
      <c r="AV65" s="489">
        <f>IF(AV$54="","",Underwriting!BA73)</f>
        <v>0</v>
      </c>
      <c r="AW65" s="489">
        <f>IF(AW$54="","",Underwriting!BB73)</f>
        <v>0</v>
      </c>
      <c r="AX65" s="489">
        <f>IF(AX$54="","",Underwriting!BC73)</f>
        <v>0</v>
      </c>
      <c r="AY65" s="489">
        <f>IF(AY$54="","",Underwriting!BD73)</f>
        <v>0</v>
      </c>
      <c r="AZ65" s="489">
        <f>IF(AZ$54="","",Underwriting!BE73)</f>
        <v>0</v>
      </c>
      <c r="BA65" s="489" t="str">
        <f>IF(BA$54="","",Underwriting!BF73)</f>
        <v/>
      </c>
      <c r="BB65" s="489" t="str">
        <f>IF(BB$54="","",Underwriting!BG73)</f>
        <v/>
      </c>
      <c r="BC65" s="489" t="str">
        <f>IF(BC$54="","",Underwriting!BH73)</f>
        <v/>
      </c>
      <c r="BD65" s="489" t="str">
        <f>IF(BD$54="","",Underwriting!BI73)</f>
        <v/>
      </c>
      <c r="BE65" s="489" t="str">
        <f>IF(BE$54="","",Underwriting!BJ73)</f>
        <v/>
      </c>
      <c r="BF65" s="489" t="str">
        <f>IF(BF$54="","",Underwriting!BK73)</f>
        <v/>
      </c>
      <c r="BG65" s="489" t="str">
        <f>IF(BG$54="","",Underwriting!BL73)</f>
        <v/>
      </c>
      <c r="BH65" s="489" t="str">
        <f>IF(BH$54="","",Underwriting!BM73)</f>
        <v/>
      </c>
      <c r="BI65" s="489" t="str">
        <f>IF(BI$54="","",Underwriting!BN73)</f>
        <v/>
      </c>
      <c r="BJ65" s="489" t="str">
        <f>IF(BJ$54="","",Underwriting!BO73)</f>
        <v/>
      </c>
      <c r="BK65" s="489" t="str">
        <f>IF(BK$54="","",Underwriting!BP73)</f>
        <v/>
      </c>
      <c r="BL65" s="489" t="str">
        <f>IF(BL$54="","",Underwriting!BQ73)</f>
        <v/>
      </c>
      <c r="BM65" s="489" t="str">
        <f>IF(BM$54="","",Underwriting!BR73)</f>
        <v/>
      </c>
      <c r="BN65" s="489" t="str">
        <f>IF(BN$54="","",Underwriting!BS73)</f>
        <v/>
      </c>
      <c r="BO65" s="489" t="str">
        <f>IF(BO$54="","",Underwriting!BT73)</f>
        <v/>
      </c>
      <c r="BP65" s="489" t="str">
        <f>IF(BP$54="","",Underwriting!BU73)</f>
        <v/>
      </c>
      <c r="BQ65" s="489" t="str">
        <f>IF(BQ$54="","",Underwriting!BV73)</f>
        <v/>
      </c>
      <c r="BR65" s="489" t="str">
        <f>IF(BR$54="","",Underwriting!BW73)</f>
        <v/>
      </c>
      <c r="BS65" s="489" t="str">
        <f>IF(BS$54="","",Underwriting!BX73)</f>
        <v/>
      </c>
      <c r="BT65" s="489" t="str">
        <f>IF(BT$54="","",Underwriting!BY73)</f>
        <v/>
      </c>
      <c r="BU65" s="489" t="str">
        <f>IF(BU$54="","",Underwriting!BZ73)</f>
        <v/>
      </c>
      <c r="BV65" s="489" t="str">
        <f>IF(BV$54="","",Underwriting!CA73)</f>
        <v/>
      </c>
      <c r="BW65" s="489" t="str">
        <f>IF(BW$54="","",Underwriting!CB73)</f>
        <v/>
      </c>
      <c r="BX65" s="489" t="str">
        <f>IF(BX$54="","",Underwriting!CC73)</f>
        <v/>
      </c>
      <c r="BY65" s="489" t="str">
        <f>IF(BY$54="","",Underwriting!CD73)</f>
        <v/>
      </c>
      <c r="BZ65" s="489" t="str">
        <f>IF(BZ$54="","",Underwriting!CE73)</f>
        <v/>
      </c>
      <c r="CA65" s="489" t="str">
        <f>IF(CA$54="","",Underwriting!CF73)</f>
        <v/>
      </c>
      <c r="CB65" s="489" t="str">
        <f>IF(CB$54="","",Underwriting!CG73)</f>
        <v/>
      </c>
      <c r="CC65" s="489" t="str">
        <f>IF(CC$54="","",Underwriting!CH73)</f>
        <v/>
      </c>
      <c r="CD65" s="489" t="str">
        <f>IF(CD$54="","",Underwriting!CI73)</f>
        <v/>
      </c>
      <c r="CE65" s="489" t="str">
        <f>IF(CE$54="","",Underwriting!CJ73)</f>
        <v/>
      </c>
      <c r="CF65" s="489" t="str">
        <f>IF(CF$54="","",Underwriting!CK73)</f>
        <v/>
      </c>
      <c r="CG65" s="489" t="str">
        <f>IF(CG$54="","",Underwriting!CL73)</f>
        <v/>
      </c>
      <c r="CH65" s="489" t="str">
        <f>IF(CH$54="","",Underwriting!CM73)</f>
        <v/>
      </c>
      <c r="CI65" s="489" t="str">
        <f>IF(CI$54="","",Underwriting!CN73)</f>
        <v/>
      </c>
      <c r="CJ65" s="489" t="str">
        <f>IF(CJ$54="","",Underwriting!CO73)</f>
        <v/>
      </c>
      <c r="CK65" s="489" t="str">
        <f>IF(CK$54="","",Underwriting!CP73)</f>
        <v/>
      </c>
      <c r="CL65" s="489" t="str">
        <f>IF(CL$54="","",Underwriting!CQ73)</f>
        <v/>
      </c>
      <c r="CM65" s="489" t="str">
        <f>IF(CM$54="","",Underwriting!CR73)</f>
        <v/>
      </c>
      <c r="CN65" s="489" t="str">
        <f>IF(CN$54="","",Underwriting!CS73)</f>
        <v/>
      </c>
      <c r="CO65" s="489" t="str">
        <f>IF(CO$54="","",Underwriting!CT73)</f>
        <v/>
      </c>
      <c r="CP65" s="489" t="str">
        <f>IF(CP$54="","",Underwriting!CU73)</f>
        <v/>
      </c>
      <c r="CQ65" s="489" t="str">
        <f>IF(CQ$54="","",Underwriting!CV73)</f>
        <v/>
      </c>
      <c r="CR65" s="489" t="str">
        <f>IF(CR$54="","",Underwriting!CW73)</f>
        <v/>
      </c>
      <c r="CS65" s="489" t="str">
        <f>IF(CS$54="","",Underwriting!CX73)</f>
        <v/>
      </c>
      <c r="CT65" s="489" t="str">
        <f>IF(CT$54="","",Underwriting!CY73)</f>
        <v/>
      </c>
      <c r="CU65" s="489" t="str">
        <f>IF(CU$54="","",Underwriting!CZ73)</f>
        <v/>
      </c>
      <c r="CV65" s="489" t="str">
        <f>IF(CV$54="","",Underwriting!DA73)</f>
        <v/>
      </c>
      <c r="CW65" s="489" t="str">
        <f>IF(CW$54="","",Underwriting!DB73)</f>
        <v/>
      </c>
      <c r="CX65" s="489" t="str">
        <f>IF(CX$54="","",Underwriting!DC73)</f>
        <v/>
      </c>
      <c r="CY65" s="489" t="str">
        <f>IF(CY$54="","",Underwriting!DD73)</f>
        <v/>
      </c>
      <c r="CZ65" s="489" t="str">
        <f>IF(CZ$54="","",Underwriting!DE73)</f>
        <v/>
      </c>
      <c r="DA65" s="489" t="str">
        <f>IF(DA$54="","",Underwriting!DF73)</f>
        <v/>
      </c>
      <c r="DB65" s="489" t="str">
        <f>IF(DB$54="","",Underwriting!DG73)</f>
        <v/>
      </c>
      <c r="DC65" s="489" t="str">
        <f>IF(DC$54="","",Underwriting!DH73)</f>
        <v/>
      </c>
      <c r="DD65" s="489" t="str">
        <f>IF(DD$54="","",Underwriting!DI73)</f>
        <v/>
      </c>
      <c r="DE65" s="489" t="str">
        <f>IF(DE$54="","",Underwriting!DJ73)</f>
        <v/>
      </c>
      <c r="DF65" s="489" t="str">
        <f>IF(DF$54="","",Underwriting!DK73)</f>
        <v/>
      </c>
      <c r="DG65" s="489" t="str">
        <f>IF(DG$54="","",Underwriting!DL73)</f>
        <v/>
      </c>
      <c r="DH65" s="489" t="str">
        <f>IF(DH$54="","",Underwriting!DM73)</f>
        <v/>
      </c>
      <c r="DI65" s="489" t="str">
        <f>IF(DI$54="","",Underwriting!DN73)</f>
        <v/>
      </c>
      <c r="DJ65" s="489" t="str">
        <f>IF(DJ$54="","",Underwriting!DO73)</f>
        <v/>
      </c>
      <c r="DK65" s="489" t="str">
        <f>IF(DK$54="","",Underwriting!DP73)</f>
        <v/>
      </c>
      <c r="DL65" s="489" t="str">
        <f>IF(DL$54="","",Underwriting!DQ73)</f>
        <v/>
      </c>
      <c r="DM65" s="489" t="str">
        <f>IF(DM$54="","",Underwriting!DR73)</f>
        <v/>
      </c>
      <c r="DN65" s="489" t="str">
        <f>IF(DN$54="","",Underwriting!DS73)</f>
        <v/>
      </c>
      <c r="DO65" s="489" t="str">
        <f>IF(DO$54="","",Underwriting!DT73)</f>
        <v/>
      </c>
      <c r="DP65" s="489" t="str">
        <f>IF(DP$54="","",Underwriting!DU73)</f>
        <v/>
      </c>
      <c r="DQ65" s="489" t="str">
        <f>IF(DQ$54="","",Underwriting!DV73)</f>
        <v/>
      </c>
      <c r="DR65" s="489" t="str">
        <f>IF(DR$54="","",Underwriting!DW73)</f>
        <v/>
      </c>
      <c r="DS65" s="489" t="str">
        <f>IF(DS$54="","",Underwriting!DX73)</f>
        <v/>
      </c>
      <c r="DT65" s="489" t="str">
        <f>IF(DT$54="","",Underwriting!DY73)</f>
        <v/>
      </c>
      <c r="DU65" s="489" t="str">
        <f>IF(DU$54="","",Underwriting!DZ73)</f>
        <v/>
      </c>
      <c r="DV65" s="489" t="str">
        <f>IF(DV$54="","",Underwriting!EA73)</f>
        <v/>
      </c>
      <c r="DW65" s="489" t="str">
        <f>IF(DW$54="","",Underwriting!EB73)</f>
        <v/>
      </c>
      <c r="DX65" s="489" t="str">
        <f>IF(DX$54="","",Underwriting!EC73)</f>
        <v/>
      </c>
      <c r="DY65" s="489" t="str">
        <f>IF(DY$54="","",Underwriting!ED73)</f>
        <v/>
      </c>
      <c r="DZ65" s="489" t="str">
        <f>IF(DZ$54="","",Underwriting!EE73)</f>
        <v/>
      </c>
      <c r="EA65" s="489" t="str">
        <f>IF(EA$54="","",Underwriting!EF73)</f>
        <v/>
      </c>
      <c r="EB65" s="489" t="str">
        <f>IF(EB$54="","",Underwriting!EG73)</f>
        <v/>
      </c>
      <c r="EC65" s="489" t="str">
        <f>IF(EC$54="","",Underwriting!EH73)</f>
        <v/>
      </c>
      <c r="ED65" s="489" t="str">
        <f>IF(ED$54="","",Underwriting!EI73)</f>
        <v/>
      </c>
      <c r="EE65" s="489" t="str">
        <f>IF(EE$54="","",Underwriting!EJ73)</f>
        <v/>
      </c>
      <c r="EF65" s="489" t="str">
        <f>IF(EF$54="","",Underwriting!EK73)</f>
        <v/>
      </c>
      <c r="EG65" s="489" t="str">
        <f>IF(EG$54="","",Underwriting!EL73)</f>
        <v/>
      </c>
      <c r="EH65" s="489" t="str">
        <f>IF(EH$54="","",Underwriting!EM73)</f>
        <v/>
      </c>
      <c r="EI65" s="489" t="str">
        <f>IF(EI$54="","",Underwriting!EN73)</f>
        <v/>
      </c>
    </row>
    <row r="66" spans="2:139" hidden="1" outlineLevel="1" x14ac:dyDescent="0.2">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c r="ED66" s="4"/>
      <c r="EE66" s="4"/>
      <c r="EF66" s="4"/>
      <c r="EG66" s="4"/>
      <c r="EH66" s="4"/>
      <c r="EI66" s="4"/>
    </row>
    <row r="67" spans="2:139" hidden="1" outlineLevel="1" x14ac:dyDescent="0.2">
      <c r="B67" s="4" t="s">
        <v>559</v>
      </c>
      <c r="C67" s="4"/>
      <c r="D67" s="4"/>
      <c r="E67" s="4"/>
      <c r="F67" s="4"/>
      <c r="G67" s="491">
        <f>+G54</f>
        <v>0</v>
      </c>
      <c r="H67" s="491">
        <f t="shared" ref="H67:BS67" si="38">+H54</f>
        <v>1</v>
      </c>
      <c r="I67" s="491">
        <f t="shared" si="38"/>
        <v>2</v>
      </c>
      <c r="J67" s="491">
        <f t="shared" si="38"/>
        <v>3</v>
      </c>
      <c r="K67" s="491">
        <f t="shared" si="38"/>
        <v>4</v>
      </c>
      <c r="L67" s="491">
        <f t="shared" si="38"/>
        <v>5</v>
      </c>
      <c r="M67" s="491">
        <f t="shared" si="38"/>
        <v>6</v>
      </c>
      <c r="N67" s="491">
        <f t="shared" si="38"/>
        <v>7</v>
      </c>
      <c r="O67" s="491">
        <f t="shared" si="38"/>
        <v>8</v>
      </c>
      <c r="P67" s="491">
        <f t="shared" si="38"/>
        <v>9</v>
      </c>
      <c r="Q67" s="491">
        <f t="shared" si="38"/>
        <v>10</v>
      </c>
      <c r="R67" s="491">
        <f t="shared" si="38"/>
        <v>11</v>
      </c>
      <c r="S67" s="491">
        <f t="shared" si="38"/>
        <v>12</v>
      </c>
      <c r="T67" s="491">
        <f t="shared" si="38"/>
        <v>13</v>
      </c>
      <c r="U67" s="491">
        <f t="shared" si="38"/>
        <v>14</v>
      </c>
      <c r="V67" s="491">
        <f t="shared" si="38"/>
        <v>15</v>
      </c>
      <c r="W67" s="491">
        <f t="shared" si="38"/>
        <v>16</v>
      </c>
      <c r="X67" s="491">
        <f t="shared" si="38"/>
        <v>17</v>
      </c>
      <c r="Y67" s="491">
        <f t="shared" si="38"/>
        <v>18</v>
      </c>
      <c r="Z67" s="491">
        <f t="shared" si="38"/>
        <v>19</v>
      </c>
      <c r="AA67" s="491">
        <f t="shared" si="38"/>
        <v>20</v>
      </c>
      <c r="AB67" s="491">
        <f t="shared" si="38"/>
        <v>21</v>
      </c>
      <c r="AC67" s="491">
        <f t="shared" si="38"/>
        <v>22</v>
      </c>
      <c r="AD67" s="491">
        <f t="shared" si="38"/>
        <v>23</v>
      </c>
      <c r="AE67" s="491">
        <f t="shared" si="38"/>
        <v>24</v>
      </c>
      <c r="AF67" s="491">
        <f t="shared" si="38"/>
        <v>25</v>
      </c>
      <c r="AG67" s="491">
        <f t="shared" si="38"/>
        <v>26</v>
      </c>
      <c r="AH67" s="491">
        <f t="shared" si="38"/>
        <v>27</v>
      </c>
      <c r="AI67" s="491">
        <f t="shared" si="38"/>
        <v>28</v>
      </c>
      <c r="AJ67" s="491">
        <f t="shared" si="38"/>
        <v>29</v>
      </c>
      <c r="AK67" s="491">
        <f t="shared" si="38"/>
        <v>30</v>
      </c>
      <c r="AL67" s="491">
        <f t="shared" si="38"/>
        <v>31</v>
      </c>
      <c r="AM67" s="491">
        <f t="shared" si="38"/>
        <v>32</v>
      </c>
      <c r="AN67" s="491">
        <f t="shared" si="38"/>
        <v>33</v>
      </c>
      <c r="AO67" s="491">
        <f t="shared" si="38"/>
        <v>34</v>
      </c>
      <c r="AP67" s="491">
        <f t="shared" si="38"/>
        <v>35</v>
      </c>
      <c r="AQ67" s="491">
        <f t="shared" si="38"/>
        <v>36</v>
      </c>
      <c r="AR67" s="491">
        <f t="shared" si="38"/>
        <v>37</v>
      </c>
      <c r="AS67" s="491">
        <f t="shared" si="38"/>
        <v>38</v>
      </c>
      <c r="AT67" s="491">
        <f t="shared" si="38"/>
        <v>39</v>
      </c>
      <c r="AU67" s="491">
        <f t="shared" si="38"/>
        <v>40</v>
      </c>
      <c r="AV67" s="491">
        <f t="shared" si="38"/>
        <v>41</v>
      </c>
      <c r="AW67" s="491">
        <f t="shared" si="38"/>
        <v>42</v>
      </c>
      <c r="AX67" s="491">
        <f t="shared" si="38"/>
        <v>43</v>
      </c>
      <c r="AY67" s="491">
        <f t="shared" si="38"/>
        <v>44</v>
      </c>
      <c r="AZ67" s="491">
        <f t="shared" si="38"/>
        <v>45</v>
      </c>
      <c r="BA67" s="491" t="str">
        <f t="shared" si="38"/>
        <v/>
      </c>
      <c r="BB67" s="491" t="str">
        <f t="shared" si="38"/>
        <v/>
      </c>
      <c r="BC67" s="491" t="str">
        <f t="shared" si="38"/>
        <v/>
      </c>
      <c r="BD67" s="491" t="str">
        <f t="shared" si="38"/>
        <v/>
      </c>
      <c r="BE67" s="491" t="str">
        <f t="shared" si="38"/>
        <v/>
      </c>
      <c r="BF67" s="491" t="str">
        <f t="shared" si="38"/>
        <v/>
      </c>
      <c r="BG67" s="491" t="str">
        <f t="shared" si="38"/>
        <v/>
      </c>
      <c r="BH67" s="491" t="str">
        <f t="shared" si="38"/>
        <v/>
      </c>
      <c r="BI67" s="491" t="str">
        <f t="shared" si="38"/>
        <v/>
      </c>
      <c r="BJ67" s="491" t="str">
        <f t="shared" si="38"/>
        <v/>
      </c>
      <c r="BK67" s="491" t="str">
        <f t="shared" si="38"/>
        <v/>
      </c>
      <c r="BL67" s="491" t="str">
        <f t="shared" si="38"/>
        <v/>
      </c>
      <c r="BM67" s="491" t="str">
        <f t="shared" si="38"/>
        <v/>
      </c>
      <c r="BN67" s="491" t="str">
        <f t="shared" si="38"/>
        <v/>
      </c>
      <c r="BO67" s="491" t="str">
        <f t="shared" si="38"/>
        <v/>
      </c>
      <c r="BP67" s="491" t="str">
        <f t="shared" si="38"/>
        <v/>
      </c>
      <c r="BQ67" s="491" t="str">
        <f t="shared" si="38"/>
        <v/>
      </c>
      <c r="BR67" s="491" t="str">
        <f t="shared" si="38"/>
        <v/>
      </c>
      <c r="BS67" s="491" t="str">
        <f t="shared" si="38"/>
        <v/>
      </c>
      <c r="BT67" s="491" t="str">
        <f t="shared" ref="BT67:EE67" si="39">+BT54</f>
        <v/>
      </c>
      <c r="BU67" s="491" t="str">
        <f t="shared" si="39"/>
        <v/>
      </c>
      <c r="BV67" s="491" t="str">
        <f t="shared" si="39"/>
        <v/>
      </c>
      <c r="BW67" s="491" t="str">
        <f t="shared" si="39"/>
        <v/>
      </c>
      <c r="BX67" s="491" t="str">
        <f t="shared" si="39"/>
        <v/>
      </c>
      <c r="BY67" s="491" t="str">
        <f t="shared" si="39"/>
        <v/>
      </c>
      <c r="BZ67" s="491" t="str">
        <f t="shared" si="39"/>
        <v/>
      </c>
      <c r="CA67" s="491" t="str">
        <f t="shared" si="39"/>
        <v/>
      </c>
      <c r="CB67" s="491" t="str">
        <f t="shared" si="39"/>
        <v/>
      </c>
      <c r="CC67" s="491" t="str">
        <f t="shared" si="39"/>
        <v/>
      </c>
      <c r="CD67" s="491" t="str">
        <f t="shared" si="39"/>
        <v/>
      </c>
      <c r="CE67" s="491" t="str">
        <f t="shared" si="39"/>
        <v/>
      </c>
      <c r="CF67" s="491" t="str">
        <f t="shared" si="39"/>
        <v/>
      </c>
      <c r="CG67" s="491" t="str">
        <f t="shared" si="39"/>
        <v/>
      </c>
      <c r="CH67" s="491" t="str">
        <f t="shared" si="39"/>
        <v/>
      </c>
      <c r="CI67" s="491" t="str">
        <f t="shared" si="39"/>
        <v/>
      </c>
      <c r="CJ67" s="491" t="str">
        <f t="shared" si="39"/>
        <v/>
      </c>
      <c r="CK67" s="491" t="str">
        <f t="shared" si="39"/>
        <v/>
      </c>
      <c r="CL67" s="491" t="str">
        <f t="shared" si="39"/>
        <v/>
      </c>
      <c r="CM67" s="491" t="str">
        <f t="shared" si="39"/>
        <v/>
      </c>
      <c r="CN67" s="491" t="str">
        <f t="shared" si="39"/>
        <v/>
      </c>
      <c r="CO67" s="491" t="str">
        <f t="shared" si="39"/>
        <v/>
      </c>
      <c r="CP67" s="491" t="str">
        <f t="shared" si="39"/>
        <v/>
      </c>
      <c r="CQ67" s="491" t="str">
        <f t="shared" si="39"/>
        <v/>
      </c>
      <c r="CR67" s="491" t="str">
        <f t="shared" si="39"/>
        <v/>
      </c>
      <c r="CS67" s="491" t="str">
        <f t="shared" si="39"/>
        <v/>
      </c>
      <c r="CT67" s="491" t="str">
        <f t="shared" si="39"/>
        <v/>
      </c>
      <c r="CU67" s="491" t="str">
        <f t="shared" si="39"/>
        <v/>
      </c>
      <c r="CV67" s="491" t="str">
        <f t="shared" si="39"/>
        <v/>
      </c>
      <c r="CW67" s="491" t="str">
        <f t="shared" si="39"/>
        <v/>
      </c>
      <c r="CX67" s="491" t="str">
        <f t="shared" si="39"/>
        <v/>
      </c>
      <c r="CY67" s="491" t="str">
        <f t="shared" si="39"/>
        <v/>
      </c>
      <c r="CZ67" s="491" t="str">
        <f t="shared" si="39"/>
        <v/>
      </c>
      <c r="DA67" s="491" t="str">
        <f t="shared" si="39"/>
        <v/>
      </c>
      <c r="DB67" s="491" t="str">
        <f t="shared" si="39"/>
        <v/>
      </c>
      <c r="DC67" s="491" t="str">
        <f t="shared" si="39"/>
        <v/>
      </c>
      <c r="DD67" s="491" t="str">
        <f t="shared" si="39"/>
        <v/>
      </c>
      <c r="DE67" s="491" t="str">
        <f t="shared" si="39"/>
        <v/>
      </c>
      <c r="DF67" s="491" t="str">
        <f t="shared" si="39"/>
        <v/>
      </c>
      <c r="DG67" s="491" t="str">
        <f t="shared" si="39"/>
        <v/>
      </c>
      <c r="DH67" s="491" t="str">
        <f t="shared" si="39"/>
        <v/>
      </c>
      <c r="DI67" s="491" t="str">
        <f t="shared" si="39"/>
        <v/>
      </c>
      <c r="DJ67" s="491" t="str">
        <f t="shared" si="39"/>
        <v/>
      </c>
      <c r="DK67" s="491" t="str">
        <f t="shared" si="39"/>
        <v/>
      </c>
      <c r="DL67" s="491" t="str">
        <f t="shared" si="39"/>
        <v/>
      </c>
      <c r="DM67" s="491" t="str">
        <f t="shared" si="39"/>
        <v/>
      </c>
      <c r="DN67" s="491" t="str">
        <f t="shared" si="39"/>
        <v/>
      </c>
      <c r="DO67" s="491" t="str">
        <f t="shared" si="39"/>
        <v/>
      </c>
      <c r="DP67" s="491" t="str">
        <f t="shared" si="39"/>
        <v/>
      </c>
      <c r="DQ67" s="491" t="str">
        <f t="shared" si="39"/>
        <v/>
      </c>
      <c r="DR67" s="491" t="str">
        <f t="shared" si="39"/>
        <v/>
      </c>
      <c r="DS67" s="491" t="str">
        <f t="shared" si="39"/>
        <v/>
      </c>
      <c r="DT67" s="491" t="str">
        <f t="shared" si="39"/>
        <v/>
      </c>
      <c r="DU67" s="491" t="str">
        <f t="shared" si="39"/>
        <v/>
      </c>
      <c r="DV67" s="491" t="str">
        <f t="shared" si="39"/>
        <v/>
      </c>
      <c r="DW67" s="491" t="str">
        <f t="shared" si="39"/>
        <v/>
      </c>
      <c r="DX67" s="491" t="str">
        <f t="shared" si="39"/>
        <v/>
      </c>
      <c r="DY67" s="491" t="str">
        <f t="shared" si="39"/>
        <v/>
      </c>
      <c r="DZ67" s="491" t="str">
        <f t="shared" si="39"/>
        <v/>
      </c>
      <c r="EA67" s="491" t="str">
        <f t="shared" si="39"/>
        <v/>
      </c>
      <c r="EB67" s="491" t="str">
        <f t="shared" si="39"/>
        <v/>
      </c>
      <c r="EC67" s="491" t="str">
        <f t="shared" si="39"/>
        <v/>
      </c>
      <c r="ED67" s="491" t="str">
        <f t="shared" si="39"/>
        <v/>
      </c>
      <c r="EE67" s="491" t="str">
        <f t="shared" si="39"/>
        <v/>
      </c>
      <c r="EF67" s="491" t="str">
        <f t="shared" ref="EF67:EI67" si="40">+EF54</f>
        <v/>
      </c>
      <c r="EG67" s="491" t="str">
        <f t="shared" si="40"/>
        <v/>
      </c>
      <c r="EH67" s="491" t="str">
        <f t="shared" si="40"/>
        <v/>
      </c>
      <c r="EI67" s="491" t="str">
        <f t="shared" si="40"/>
        <v/>
      </c>
    </row>
    <row r="68" spans="2:139" hidden="1" outlineLevel="1" x14ac:dyDescent="0.2">
      <c r="B68" s="486" t="s">
        <v>488</v>
      </c>
      <c r="C68" s="4"/>
      <c r="D68" s="4"/>
      <c r="E68" s="4"/>
      <c r="F68" s="4"/>
      <c r="G68" s="487">
        <f>IF(G$67="","",Underwriting!L100)</f>
        <v>0</v>
      </c>
      <c r="H68" s="487">
        <f>IF(H$67="","",Underwriting!M100)</f>
        <v>0</v>
      </c>
      <c r="I68" s="487">
        <f>IF(I$67="","",Underwriting!N100)</f>
        <v>0</v>
      </c>
      <c r="J68" s="487">
        <f>IF(J$67="","",Underwriting!O100)</f>
        <v>0</v>
      </c>
      <c r="K68" s="487">
        <f>IF(K$67="","",Underwriting!P100)</f>
        <v>0</v>
      </c>
      <c r="L68" s="487">
        <f>IF(L$67="","",Underwriting!Q100)</f>
        <v>0</v>
      </c>
      <c r="M68" s="487">
        <f>IF(M$67="","",Underwriting!R100)</f>
        <v>0</v>
      </c>
      <c r="N68" s="487">
        <f>IF(N$67="","",Underwriting!S100)</f>
        <v>0</v>
      </c>
      <c r="O68" s="487">
        <f>IF(O$67="","",Underwriting!T100)</f>
        <v>0</v>
      </c>
      <c r="P68" s="487">
        <f>IF(P$67="","",Underwriting!U100)</f>
        <v>0</v>
      </c>
      <c r="Q68" s="487">
        <f>IF(Q$67="","",Underwriting!V100)</f>
        <v>0</v>
      </c>
      <c r="R68" s="487">
        <f>IF(R$67="","",Underwriting!W100)</f>
        <v>0</v>
      </c>
      <c r="S68" s="487">
        <f>IF(S$67="","",Underwriting!X100)</f>
        <v>0</v>
      </c>
      <c r="T68" s="487">
        <f>IF(T$67="","",Underwriting!Y100)</f>
        <v>0</v>
      </c>
      <c r="U68" s="487">
        <f>IF(U$67="","",Underwriting!Z100)</f>
        <v>0</v>
      </c>
      <c r="V68" s="487">
        <f>IF(V$67="","",Underwriting!AA100)</f>
        <v>0</v>
      </c>
      <c r="W68" s="487">
        <f>IF(W$67="","",Underwriting!AB100)</f>
        <v>0</v>
      </c>
      <c r="X68" s="487">
        <f>IF(X$67="","",Underwriting!AC100)</f>
        <v>0</v>
      </c>
      <c r="Y68" s="487">
        <f>IF(Y$67="","",Underwriting!AD100)</f>
        <v>0</v>
      </c>
      <c r="Z68" s="487">
        <f>IF(Z$67="","",Underwriting!AE100)</f>
        <v>7911.3846153846243</v>
      </c>
      <c r="AA68" s="487">
        <f>IF(AA$67="","",Underwriting!AF100)</f>
        <v>40051.384615384624</v>
      </c>
      <c r="AB68" s="487">
        <f>IF(AB$67="","",Underwriting!AG100)</f>
        <v>72191.384615384624</v>
      </c>
      <c r="AC68" s="487">
        <f>IF(AC$67="","",Underwriting!AH100)</f>
        <v>104331.38461538462</v>
      </c>
      <c r="AD68" s="487">
        <f>IF(AD$67="","",Underwriting!AI100)</f>
        <v>136471.38461538462</v>
      </c>
      <c r="AE68" s="487">
        <f>IF(AE$67="","",Underwriting!AJ100)</f>
        <v>168611.38461538462</v>
      </c>
      <c r="AF68" s="487">
        <f>IF(AF$67="","",Underwriting!AK100)</f>
        <v>200751.38461538462</v>
      </c>
      <c r="AG68" s="487">
        <f>IF(AG$67="","",Underwriting!AL100)</f>
        <v>232891.38461538462</v>
      </c>
      <c r="AH68" s="487">
        <f>IF(AH$67="","",Underwriting!AM100)</f>
        <v>265031.38461538462</v>
      </c>
      <c r="AI68" s="487">
        <f>IF(AI$67="","",Underwriting!AN100)</f>
        <v>297171.38461538462</v>
      </c>
      <c r="AJ68" s="487">
        <f>IF(AJ$67="","",Underwriting!AO100)</f>
        <v>329311.38461538462</v>
      </c>
      <c r="AK68" s="487">
        <f>IF(AK$67="","",Underwriting!AP100)</f>
        <v>361451.38461538462</v>
      </c>
      <c r="AL68" s="487">
        <f>IF(AL$67="","",Underwriting!AQ100)</f>
        <v>405399.12615384615</v>
      </c>
      <c r="AM68" s="487">
        <f>IF(AM$67="","",Underwriting!AR100)</f>
        <v>438503.32615384617</v>
      </c>
      <c r="AN68" s="487">
        <f>IF(AN$67="","",Underwriting!AS100)</f>
        <v>479994.83</v>
      </c>
      <c r="AO68" s="487">
        <f>IF(AO$67="","",Underwriting!AT100)</f>
        <v>481200.08</v>
      </c>
      <c r="AP68" s="487">
        <f>IF(AP$67="","",Underwriting!AU100)</f>
        <v>482405.33</v>
      </c>
      <c r="AQ68" s="487">
        <f>IF(AQ$67="","",Underwriting!AV100)</f>
        <v>483610.58</v>
      </c>
      <c r="AR68" s="487">
        <f>IF(AR$67="","",Underwriting!AW100)</f>
        <v>484815.83</v>
      </c>
      <c r="AS68" s="487">
        <f>IF(AS$67="","",Underwriting!AX100)</f>
        <v>486021.08</v>
      </c>
      <c r="AT68" s="487">
        <f>IF(AT$67="","",Underwriting!AY100)</f>
        <v>487226.33</v>
      </c>
      <c r="AU68" s="487">
        <f>IF(AU$67="","",Underwriting!AZ100)</f>
        <v>488431.58</v>
      </c>
      <c r="AV68" s="487">
        <f>IF(AV$67="","",Underwriting!BA100)</f>
        <v>489636.83</v>
      </c>
      <c r="AW68" s="487">
        <f>IF(AW$67="","",Underwriting!BB100)</f>
        <v>490842.08</v>
      </c>
      <c r="AX68" s="487">
        <f>IF(AX$67="","",Underwriting!BC100)</f>
        <v>506808.7499</v>
      </c>
      <c r="AY68" s="487">
        <f>IF(AY$67="","",Underwriting!BD100)</f>
        <v>508050.15739999997</v>
      </c>
      <c r="AZ68" s="487">
        <f>IF(AZ$67="","",Underwriting!BE100)</f>
        <v>494394.67489999998</v>
      </c>
      <c r="BA68" s="487" t="str">
        <f>IF(BA$67="","",Underwriting!BF100)</f>
        <v/>
      </c>
      <c r="BB68" s="487" t="str">
        <f>IF(BB$67="","",Underwriting!BG100)</f>
        <v/>
      </c>
      <c r="BC68" s="487" t="str">
        <f>IF(BC$67="","",Underwriting!BH100)</f>
        <v/>
      </c>
      <c r="BD68" s="487" t="str">
        <f>IF(BD$67="","",Underwriting!BI100)</f>
        <v/>
      </c>
      <c r="BE68" s="487" t="str">
        <f>IF(BE$67="","",Underwriting!BJ100)</f>
        <v/>
      </c>
      <c r="BF68" s="487" t="str">
        <f>IF(BF$67="","",Underwriting!BK100)</f>
        <v/>
      </c>
      <c r="BG68" s="487" t="str">
        <f>IF(BG$67="","",Underwriting!BL100)</f>
        <v/>
      </c>
      <c r="BH68" s="487" t="str">
        <f>IF(BH$67="","",Underwriting!BM100)</f>
        <v/>
      </c>
      <c r="BI68" s="487" t="str">
        <f>IF(BI$67="","",Underwriting!BN100)</f>
        <v/>
      </c>
      <c r="BJ68" s="487" t="str">
        <f>IF(BJ$67="","",Underwriting!BO100)</f>
        <v/>
      </c>
      <c r="BK68" s="487" t="str">
        <f>IF(BK$67="","",Underwriting!BP100)</f>
        <v/>
      </c>
      <c r="BL68" s="487" t="str">
        <f>IF(BL$67="","",Underwriting!BQ100)</f>
        <v/>
      </c>
      <c r="BM68" s="487" t="str">
        <f>IF(BM$67="","",Underwriting!BR100)</f>
        <v/>
      </c>
      <c r="BN68" s="487" t="str">
        <f>IF(BN$67="","",Underwriting!BS100)</f>
        <v/>
      </c>
      <c r="BO68" s="487" t="str">
        <f>IF(BO$67="","",Underwriting!BT100)</f>
        <v/>
      </c>
      <c r="BP68" s="487" t="str">
        <f>IF(BP$67="","",Underwriting!BU100)</f>
        <v/>
      </c>
      <c r="BQ68" s="487" t="str">
        <f>IF(BQ$67="","",Underwriting!BV100)</f>
        <v/>
      </c>
      <c r="BR68" s="487" t="str">
        <f>IF(BR$67="","",Underwriting!BW100)</f>
        <v/>
      </c>
      <c r="BS68" s="487" t="str">
        <f>IF(BS$67="","",Underwriting!BX100)</f>
        <v/>
      </c>
      <c r="BT68" s="487" t="str">
        <f>IF(BT$67="","",Underwriting!BY100)</f>
        <v/>
      </c>
      <c r="BU68" s="487" t="str">
        <f>IF(BU$67="","",Underwriting!BZ100)</f>
        <v/>
      </c>
      <c r="BV68" s="487" t="str">
        <f>IF(BV$67="","",Underwriting!CA100)</f>
        <v/>
      </c>
      <c r="BW68" s="487" t="str">
        <f>IF(BW$67="","",Underwriting!CB100)</f>
        <v/>
      </c>
      <c r="BX68" s="487" t="str">
        <f>IF(BX$67="","",Underwriting!CC100)</f>
        <v/>
      </c>
      <c r="BY68" s="487" t="str">
        <f>IF(BY$67="","",Underwriting!CD100)</f>
        <v/>
      </c>
      <c r="BZ68" s="487" t="str">
        <f>IF(BZ$67="","",Underwriting!CE100)</f>
        <v/>
      </c>
      <c r="CA68" s="487" t="str">
        <f>IF(CA$67="","",Underwriting!CF100)</f>
        <v/>
      </c>
      <c r="CB68" s="487" t="str">
        <f>IF(CB$67="","",Underwriting!CG100)</f>
        <v/>
      </c>
      <c r="CC68" s="487" t="str">
        <f>IF(CC$67="","",Underwriting!CH100)</f>
        <v/>
      </c>
      <c r="CD68" s="487" t="str">
        <f>IF(CD$67="","",Underwriting!CI100)</f>
        <v/>
      </c>
      <c r="CE68" s="487" t="str">
        <f>IF(CE$67="","",Underwriting!CJ100)</f>
        <v/>
      </c>
      <c r="CF68" s="487" t="str">
        <f>IF(CF$67="","",Underwriting!CK100)</f>
        <v/>
      </c>
      <c r="CG68" s="487" t="str">
        <f>IF(CG$67="","",Underwriting!CL100)</f>
        <v/>
      </c>
      <c r="CH68" s="487" t="str">
        <f>IF(CH$67="","",Underwriting!CM100)</f>
        <v/>
      </c>
      <c r="CI68" s="487" t="str">
        <f>IF(CI$67="","",Underwriting!CN100)</f>
        <v/>
      </c>
      <c r="CJ68" s="487" t="str">
        <f>IF(CJ$67="","",Underwriting!CO100)</f>
        <v/>
      </c>
      <c r="CK68" s="487" t="str">
        <f>IF(CK$67="","",Underwriting!CP100)</f>
        <v/>
      </c>
      <c r="CL68" s="487" t="str">
        <f>IF(CL$67="","",Underwriting!CQ100)</f>
        <v/>
      </c>
      <c r="CM68" s="487" t="str">
        <f>IF(CM$67="","",Underwriting!CR100)</f>
        <v/>
      </c>
      <c r="CN68" s="487" t="str">
        <f>IF(CN$67="","",Underwriting!CS100)</f>
        <v/>
      </c>
      <c r="CO68" s="487" t="str">
        <f>IF(CO$67="","",Underwriting!CT100)</f>
        <v/>
      </c>
      <c r="CP68" s="487" t="str">
        <f>IF(CP$67="","",Underwriting!CU100)</f>
        <v/>
      </c>
      <c r="CQ68" s="487" t="str">
        <f>IF(CQ$67="","",Underwriting!CV100)</f>
        <v/>
      </c>
      <c r="CR68" s="487" t="str">
        <f>IF(CR$67="","",Underwriting!CW100)</f>
        <v/>
      </c>
      <c r="CS68" s="487" t="str">
        <f>IF(CS$67="","",Underwriting!CX100)</f>
        <v/>
      </c>
      <c r="CT68" s="487" t="str">
        <f>IF(CT$67="","",Underwriting!CY100)</f>
        <v/>
      </c>
      <c r="CU68" s="487" t="str">
        <f>IF(CU$67="","",Underwriting!CZ100)</f>
        <v/>
      </c>
      <c r="CV68" s="487" t="str">
        <f>IF(CV$67="","",Underwriting!DA100)</f>
        <v/>
      </c>
      <c r="CW68" s="487" t="str">
        <f>IF(CW$67="","",Underwriting!DB100)</f>
        <v/>
      </c>
      <c r="CX68" s="487" t="str">
        <f>IF(CX$67="","",Underwriting!DC100)</f>
        <v/>
      </c>
      <c r="CY68" s="487" t="str">
        <f>IF(CY$67="","",Underwriting!DD100)</f>
        <v/>
      </c>
      <c r="CZ68" s="487" t="str">
        <f>IF(CZ$67="","",Underwriting!DE100)</f>
        <v/>
      </c>
      <c r="DA68" s="487" t="str">
        <f>IF(DA$67="","",Underwriting!DF100)</f>
        <v/>
      </c>
      <c r="DB68" s="487" t="str">
        <f>IF(DB$67="","",Underwriting!DG100)</f>
        <v/>
      </c>
      <c r="DC68" s="487" t="str">
        <f>IF(DC$67="","",Underwriting!DH100)</f>
        <v/>
      </c>
      <c r="DD68" s="487" t="str">
        <f>IF(DD$67="","",Underwriting!DI100)</f>
        <v/>
      </c>
      <c r="DE68" s="487" t="str">
        <f>IF(DE$67="","",Underwriting!DJ100)</f>
        <v/>
      </c>
      <c r="DF68" s="487" t="str">
        <f>IF(DF$67="","",Underwriting!DK100)</f>
        <v/>
      </c>
      <c r="DG68" s="487" t="str">
        <f>IF(DG$67="","",Underwriting!DL100)</f>
        <v/>
      </c>
      <c r="DH68" s="487" t="str">
        <f>IF(DH$67="","",Underwriting!DM100)</f>
        <v/>
      </c>
      <c r="DI68" s="487" t="str">
        <f>IF(DI$67="","",Underwriting!DN100)</f>
        <v/>
      </c>
      <c r="DJ68" s="487" t="str">
        <f>IF(DJ$67="","",Underwriting!DO100)</f>
        <v/>
      </c>
      <c r="DK68" s="487" t="str">
        <f>IF(DK$67="","",Underwriting!DP100)</f>
        <v/>
      </c>
      <c r="DL68" s="487" t="str">
        <f>IF(DL$67="","",Underwriting!DQ100)</f>
        <v/>
      </c>
      <c r="DM68" s="487" t="str">
        <f>IF(DM$67="","",Underwriting!DR100)</f>
        <v/>
      </c>
      <c r="DN68" s="487" t="str">
        <f>IF(DN$67="","",Underwriting!DS100)</f>
        <v/>
      </c>
      <c r="DO68" s="487" t="str">
        <f>IF(DO$67="","",Underwriting!DT100)</f>
        <v/>
      </c>
      <c r="DP68" s="487" t="str">
        <f>IF(DP$67="","",Underwriting!DU100)</f>
        <v/>
      </c>
      <c r="DQ68" s="487" t="str">
        <f>IF(DQ$67="","",Underwriting!DV100)</f>
        <v/>
      </c>
      <c r="DR68" s="487" t="str">
        <f>IF(DR$67="","",Underwriting!DW100)</f>
        <v/>
      </c>
      <c r="DS68" s="487" t="str">
        <f>IF(DS$67="","",Underwriting!DX100)</f>
        <v/>
      </c>
      <c r="DT68" s="487" t="str">
        <f>IF(DT$67="","",Underwriting!DY100)</f>
        <v/>
      </c>
      <c r="DU68" s="487" t="str">
        <f>IF(DU$67="","",Underwriting!DZ100)</f>
        <v/>
      </c>
      <c r="DV68" s="487" t="str">
        <f>IF(DV$67="","",Underwriting!EA100)</f>
        <v/>
      </c>
      <c r="DW68" s="487" t="str">
        <f>IF(DW$67="","",Underwriting!EB100)</f>
        <v/>
      </c>
      <c r="DX68" s="487" t="str">
        <f>IF(DX$67="","",Underwriting!EC100)</f>
        <v/>
      </c>
      <c r="DY68" s="487" t="str">
        <f>IF(DY$67="","",Underwriting!ED100)</f>
        <v/>
      </c>
      <c r="DZ68" s="487" t="str">
        <f>IF(DZ$67="","",Underwriting!EE100)</f>
        <v/>
      </c>
      <c r="EA68" s="487" t="str">
        <f>IF(EA$67="","",Underwriting!EF100)</f>
        <v/>
      </c>
      <c r="EB68" s="487" t="str">
        <f>IF(EB$67="","",Underwriting!EG100)</f>
        <v/>
      </c>
      <c r="EC68" s="487" t="str">
        <f>IF(EC$67="","",Underwriting!EH100)</f>
        <v/>
      </c>
      <c r="ED68" s="487" t="str">
        <f>IF(ED$67="","",Underwriting!EI100)</f>
        <v/>
      </c>
      <c r="EE68" s="487" t="str">
        <f>IF(EE$67="","",Underwriting!EJ100)</f>
        <v/>
      </c>
      <c r="EF68" s="487" t="str">
        <f>IF(EF$67="","",Underwriting!EK100)</f>
        <v/>
      </c>
      <c r="EG68" s="487" t="str">
        <f>IF(EG$67="","",Underwriting!EL100)</f>
        <v/>
      </c>
      <c r="EH68" s="487" t="str">
        <f>IF(EH$67="","",Underwriting!EM100)</f>
        <v/>
      </c>
      <c r="EI68" s="487" t="str">
        <f>IF(EI$67="","",Underwriting!EN100)</f>
        <v/>
      </c>
    </row>
    <row r="69" spans="2:139" hidden="1" outlineLevel="1" x14ac:dyDescent="0.2">
      <c r="B69" s="486" t="s">
        <v>125</v>
      </c>
      <c r="C69" s="4"/>
      <c r="D69" s="4"/>
      <c r="E69" s="4"/>
      <c r="F69" s="4"/>
      <c r="G69" s="487">
        <f>IF(G$67="","",Underwriting!L106)</f>
        <v>0</v>
      </c>
      <c r="H69" s="487">
        <f>IF(H$67="","",Underwriting!M106)</f>
        <v>0</v>
      </c>
      <c r="I69" s="487">
        <f>IF(I$67="","",Underwriting!N106)</f>
        <v>0</v>
      </c>
      <c r="J69" s="487">
        <f>IF(J$67="","",Underwriting!O106)</f>
        <v>0</v>
      </c>
      <c r="K69" s="487">
        <f>IF(K$67="","",Underwriting!P106)</f>
        <v>0</v>
      </c>
      <c r="L69" s="487">
        <f>IF(L$67="","",Underwriting!Q106)</f>
        <v>0</v>
      </c>
      <c r="M69" s="487">
        <f>IF(M$67="","",Underwriting!R106)</f>
        <v>0</v>
      </c>
      <c r="N69" s="487">
        <f>IF(N$67="","",Underwriting!S106)</f>
        <v>0</v>
      </c>
      <c r="O69" s="487">
        <f>IF(O$67="","",Underwriting!T106)</f>
        <v>0</v>
      </c>
      <c r="P69" s="487">
        <f>IF(P$67="","",Underwriting!U106)</f>
        <v>0</v>
      </c>
      <c r="Q69" s="487">
        <f>IF(Q$67="","",Underwriting!V106)</f>
        <v>0</v>
      </c>
      <c r="R69" s="487">
        <f>IF(R$67="","",Underwriting!W106)</f>
        <v>0</v>
      </c>
      <c r="S69" s="487">
        <f>IF(S$67="","",Underwriting!X106)</f>
        <v>0</v>
      </c>
      <c r="T69" s="487">
        <f>IF(T$67="","",Underwriting!Y106)</f>
        <v>0</v>
      </c>
      <c r="U69" s="487">
        <f>IF(U$67="","",Underwriting!Z106)</f>
        <v>0</v>
      </c>
      <c r="V69" s="487">
        <f>IF(V$67="","",Underwriting!AA106)</f>
        <v>0</v>
      </c>
      <c r="W69" s="487">
        <f>IF(W$67="","",Underwriting!AB106)</f>
        <v>0</v>
      </c>
      <c r="X69" s="487">
        <f>IF(X$67="","",Underwriting!AC106)</f>
        <v>0</v>
      </c>
      <c r="Y69" s="487">
        <f>IF(Y$67="","",Underwriting!AD106)</f>
        <v>0</v>
      </c>
      <c r="Z69" s="487">
        <f>IF(Z$67="","",Underwriting!AE106)</f>
        <v>5695.5439999999981</v>
      </c>
      <c r="AA69" s="487">
        <f>IF(AA$67="","",Underwriting!AF106)</f>
        <v>9492.5733333333301</v>
      </c>
      <c r="AB69" s="487">
        <f>IF(AB$67="","",Underwriting!AG106)</f>
        <v>13289.602666666664</v>
      </c>
      <c r="AC69" s="487">
        <f>IF(AC$67="","",Underwriting!AH106)</f>
        <v>17086.632000000001</v>
      </c>
      <c r="AD69" s="487">
        <f>IF(AD$67="","",Underwriting!AI106)</f>
        <v>20883.661333333333</v>
      </c>
      <c r="AE69" s="487">
        <f>IF(AE$67="","",Underwriting!AJ106)</f>
        <v>24680.690666666665</v>
      </c>
      <c r="AF69" s="487">
        <f>IF(AF$67="","",Underwriting!AK106)</f>
        <v>28477.72</v>
      </c>
      <c r="AG69" s="487">
        <f>IF(AG$67="","",Underwriting!AL106)</f>
        <v>32274.749333333333</v>
      </c>
      <c r="AH69" s="487">
        <f>IF(AH$67="","",Underwriting!AM106)</f>
        <v>36071.778666666665</v>
      </c>
      <c r="AI69" s="487">
        <f>IF(AI$67="","",Underwriting!AN106)</f>
        <v>39868.807999999997</v>
      </c>
      <c r="AJ69" s="487">
        <f>IF(AJ$67="","",Underwriting!AO106)</f>
        <v>43665.837333333329</v>
      </c>
      <c r="AK69" s="487">
        <f>IF(AK$67="","",Underwriting!AP106)</f>
        <v>47462.866666666669</v>
      </c>
      <c r="AL69" s="487">
        <f>IF(AL$67="","",Underwriting!AQ106)</f>
        <v>52797.692880000002</v>
      </c>
      <c r="AM69" s="487">
        <f>IF(AM$67="","",Underwriting!AR106)</f>
        <v>56708.633093333337</v>
      </c>
      <c r="AN69" s="487">
        <f>IF(AN$67="","",Underwriting!AS106)</f>
        <v>58664.103199999998</v>
      </c>
      <c r="AO69" s="487">
        <f>IF(AO$67="","",Underwriting!AT106)</f>
        <v>58664.103199999998</v>
      </c>
      <c r="AP69" s="487">
        <f>IF(AP$67="","",Underwriting!AU106)</f>
        <v>58664.103199999998</v>
      </c>
      <c r="AQ69" s="487">
        <f>IF(AQ$67="","",Underwriting!AV106)</f>
        <v>58664.103199999998</v>
      </c>
      <c r="AR69" s="487">
        <f>IF(AR$67="","",Underwriting!AW106)</f>
        <v>58664.103199999998</v>
      </c>
      <c r="AS69" s="487">
        <f>IF(AS$67="","",Underwriting!AX106)</f>
        <v>58664.103199999998</v>
      </c>
      <c r="AT69" s="487">
        <f>IF(AT$67="","",Underwriting!AY106)</f>
        <v>58664.103199999998</v>
      </c>
      <c r="AU69" s="487">
        <f>IF(AU$67="","",Underwriting!AZ106)</f>
        <v>58664.103199999998</v>
      </c>
      <c r="AV69" s="487">
        <f>IF(AV$67="","",Underwriting!BA106)</f>
        <v>58664.103199999998</v>
      </c>
      <c r="AW69" s="487">
        <f>IF(AW$67="","",Underwriting!BB106)</f>
        <v>58664.103199999998</v>
      </c>
      <c r="AX69" s="487">
        <f>IF(AX$67="","",Underwriting!BC106)</f>
        <v>60424.026295999996</v>
      </c>
      <c r="AY69" s="487">
        <f>IF(AY$67="","",Underwriting!BD106)</f>
        <v>60424.026295999996</v>
      </c>
      <c r="AZ69" s="487">
        <f>IF(AZ$67="","",Underwriting!BE106)</f>
        <v>60424.026295999996</v>
      </c>
      <c r="BA69" s="487" t="str">
        <f>IF(BA$67="","",Underwriting!BF106)</f>
        <v/>
      </c>
      <c r="BB69" s="487" t="str">
        <f>IF(BB$67="","",Underwriting!BG106)</f>
        <v/>
      </c>
      <c r="BC69" s="487" t="str">
        <f>IF(BC$67="","",Underwriting!BH106)</f>
        <v/>
      </c>
      <c r="BD69" s="487" t="str">
        <f>IF(BD$67="","",Underwriting!BI106)</f>
        <v/>
      </c>
      <c r="BE69" s="487" t="str">
        <f>IF(BE$67="","",Underwriting!BJ106)</f>
        <v/>
      </c>
      <c r="BF69" s="487" t="str">
        <f>IF(BF$67="","",Underwriting!BK106)</f>
        <v/>
      </c>
      <c r="BG69" s="487" t="str">
        <f>IF(BG$67="","",Underwriting!BL106)</f>
        <v/>
      </c>
      <c r="BH69" s="487" t="str">
        <f>IF(BH$67="","",Underwriting!BM106)</f>
        <v/>
      </c>
      <c r="BI69" s="487" t="str">
        <f>IF(BI$67="","",Underwriting!BN106)</f>
        <v/>
      </c>
      <c r="BJ69" s="487" t="str">
        <f>IF(BJ$67="","",Underwriting!BO106)</f>
        <v/>
      </c>
      <c r="BK69" s="487" t="str">
        <f>IF(BK$67="","",Underwriting!BP106)</f>
        <v/>
      </c>
      <c r="BL69" s="487" t="str">
        <f>IF(BL$67="","",Underwriting!BQ106)</f>
        <v/>
      </c>
      <c r="BM69" s="487" t="str">
        <f>IF(BM$67="","",Underwriting!BR106)</f>
        <v/>
      </c>
      <c r="BN69" s="487" t="str">
        <f>IF(BN$67="","",Underwriting!BS106)</f>
        <v/>
      </c>
      <c r="BO69" s="487" t="str">
        <f>IF(BO$67="","",Underwriting!BT106)</f>
        <v/>
      </c>
      <c r="BP69" s="487" t="str">
        <f>IF(BP$67="","",Underwriting!BU106)</f>
        <v/>
      </c>
      <c r="BQ69" s="487" t="str">
        <f>IF(BQ$67="","",Underwriting!BV106)</f>
        <v/>
      </c>
      <c r="BR69" s="487" t="str">
        <f>IF(BR$67="","",Underwriting!BW106)</f>
        <v/>
      </c>
      <c r="BS69" s="487" t="str">
        <f>IF(BS$67="","",Underwriting!BX106)</f>
        <v/>
      </c>
      <c r="BT69" s="487" t="str">
        <f>IF(BT$67="","",Underwriting!BY106)</f>
        <v/>
      </c>
      <c r="BU69" s="487" t="str">
        <f>IF(BU$67="","",Underwriting!BZ106)</f>
        <v/>
      </c>
      <c r="BV69" s="487" t="str">
        <f>IF(BV$67="","",Underwriting!CA106)</f>
        <v/>
      </c>
      <c r="BW69" s="487" t="str">
        <f>IF(BW$67="","",Underwriting!CB106)</f>
        <v/>
      </c>
      <c r="BX69" s="487" t="str">
        <f>IF(BX$67="","",Underwriting!CC106)</f>
        <v/>
      </c>
      <c r="BY69" s="487" t="str">
        <f>IF(BY$67="","",Underwriting!CD106)</f>
        <v/>
      </c>
      <c r="BZ69" s="487" t="str">
        <f>IF(BZ$67="","",Underwriting!CE106)</f>
        <v/>
      </c>
      <c r="CA69" s="487" t="str">
        <f>IF(CA$67="","",Underwriting!CF106)</f>
        <v/>
      </c>
      <c r="CB69" s="487" t="str">
        <f>IF(CB$67="","",Underwriting!CG106)</f>
        <v/>
      </c>
      <c r="CC69" s="487" t="str">
        <f>IF(CC$67="","",Underwriting!CH106)</f>
        <v/>
      </c>
      <c r="CD69" s="487" t="str">
        <f>IF(CD$67="","",Underwriting!CI106)</f>
        <v/>
      </c>
      <c r="CE69" s="487" t="str">
        <f>IF(CE$67="","",Underwriting!CJ106)</f>
        <v/>
      </c>
      <c r="CF69" s="487" t="str">
        <f>IF(CF$67="","",Underwriting!CK106)</f>
        <v/>
      </c>
      <c r="CG69" s="487" t="str">
        <f>IF(CG$67="","",Underwriting!CL106)</f>
        <v/>
      </c>
      <c r="CH69" s="487" t="str">
        <f>IF(CH$67="","",Underwriting!CM106)</f>
        <v/>
      </c>
      <c r="CI69" s="487" t="str">
        <f>IF(CI$67="","",Underwriting!CN106)</f>
        <v/>
      </c>
      <c r="CJ69" s="487" t="str">
        <f>IF(CJ$67="","",Underwriting!CO106)</f>
        <v/>
      </c>
      <c r="CK69" s="487" t="str">
        <f>IF(CK$67="","",Underwriting!CP106)</f>
        <v/>
      </c>
      <c r="CL69" s="487" t="str">
        <f>IF(CL$67="","",Underwriting!CQ106)</f>
        <v/>
      </c>
      <c r="CM69" s="487" t="str">
        <f>IF(CM$67="","",Underwriting!CR106)</f>
        <v/>
      </c>
      <c r="CN69" s="487" t="str">
        <f>IF(CN$67="","",Underwriting!CS106)</f>
        <v/>
      </c>
      <c r="CO69" s="487" t="str">
        <f>IF(CO$67="","",Underwriting!CT106)</f>
        <v/>
      </c>
      <c r="CP69" s="487" t="str">
        <f>IF(CP$67="","",Underwriting!CU106)</f>
        <v/>
      </c>
      <c r="CQ69" s="487" t="str">
        <f>IF(CQ$67="","",Underwriting!CV106)</f>
        <v/>
      </c>
      <c r="CR69" s="487" t="str">
        <f>IF(CR$67="","",Underwriting!CW106)</f>
        <v/>
      </c>
      <c r="CS69" s="487" t="str">
        <f>IF(CS$67="","",Underwriting!CX106)</f>
        <v/>
      </c>
      <c r="CT69" s="487" t="str">
        <f>IF(CT$67="","",Underwriting!CY106)</f>
        <v/>
      </c>
      <c r="CU69" s="487" t="str">
        <f>IF(CU$67="","",Underwriting!CZ106)</f>
        <v/>
      </c>
      <c r="CV69" s="487" t="str">
        <f>IF(CV$67="","",Underwriting!DA106)</f>
        <v/>
      </c>
      <c r="CW69" s="487" t="str">
        <f>IF(CW$67="","",Underwriting!DB106)</f>
        <v/>
      </c>
      <c r="CX69" s="487" t="str">
        <f>IF(CX$67="","",Underwriting!DC106)</f>
        <v/>
      </c>
      <c r="CY69" s="487" t="str">
        <f>IF(CY$67="","",Underwriting!DD106)</f>
        <v/>
      </c>
      <c r="CZ69" s="487" t="str">
        <f>IF(CZ$67="","",Underwriting!DE106)</f>
        <v/>
      </c>
      <c r="DA69" s="487" t="str">
        <f>IF(DA$67="","",Underwriting!DF106)</f>
        <v/>
      </c>
      <c r="DB69" s="487" t="str">
        <f>IF(DB$67="","",Underwriting!DG106)</f>
        <v/>
      </c>
      <c r="DC69" s="487" t="str">
        <f>IF(DC$67="","",Underwriting!DH106)</f>
        <v/>
      </c>
      <c r="DD69" s="487" t="str">
        <f>IF(DD$67="","",Underwriting!DI106)</f>
        <v/>
      </c>
      <c r="DE69" s="487" t="str">
        <f>IF(DE$67="","",Underwriting!DJ106)</f>
        <v/>
      </c>
      <c r="DF69" s="487" t="str">
        <f>IF(DF$67="","",Underwriting!DK106)</f>
        <v/>
      </c>
      <c r="DG69" s="487" t="str">
        <f>IF(DG$67="","",Underwriting!DL106)</f>
        <v/>
      </c>
      <c r="DH69" s="487" t="str">
        <f>IF(DH$67="","",Underwriting!DM106)</f>
        <v/>
      </c>
      <c r="DI69" s="487" t="str">
        <f>IF(DI$67="","",Underwriting!DN106)</f>
        <v/>
      </c>
      <c r="DJ69" s="487" t="str">
        <f>IF(DJ$67="","",Underwriting!DO106)</f>
        <v/>
      </c>
      <c r="DK69" s="487" t="str">
        <f>IF(DK$67="","",Underwriting!DP106)</f>
        <v/>
      </c>
      <c r="DL69" s="487" t="str">
        <f>IF(DL$67="","",Underwriting!DQ106)</f>
        <v/>
      </c>
      <c r="DM69" s="487" t="str">
        <f>IF(DM$67="","",Underwriting!DR106)</f>
        <v/>
      </c>
      <c r="DN69" s="487" t="str">
        <f>IF(DN$67="","",Underwriting!DS106)</f>
        <v/>
      </c>
      <c r="DO69" s="487" t="str">
        <f>IF(DO$67="","",Underwriting!DT106)</f>
        <v/>
      </c>
      <c r="DP69" s="487" t="str">
        <f>IF(DP$67="","",Underwriting!DU106)</f>
        <v/>
      </c>
      <c r="DQ69" s="487" t="str">
        <f>IF(DQ$67="","",Underwriting!DV106)</f>
        <v/>
      </c>
      <c r="DR69" s="487" t="str">
        <f>IF(DR$67="","",Underwriting!DW106)</f>
        <v/>
      </c>
      <c r="DS69" s="487" t="str">
        <f>IF(DS$67="","",Underwriting!DX106)</f>
        <v/>
      </c>
      <c r="DT69" s="487" t="str">
        <f>IF(DT$67="","",Underwriting!DY106)</f>
        <v/>
      </c>
      <c r="DU69" s="487" t="str">
        <f>IF(DU$67="","",Underwriting!DZ106)</f>
        <v/>
      </c>
      <c r="DV69" s="487" t="str">
        <f>IF(DV$67="","",Underwriting!EA106)</f>
        <v/>
      </c>
      <c r="DW69" s="487" t="str">
        <f>IF(DW$67="","",Underwriting!EB106)</f>
        <v/>
      </c>
      <c r="DX69" s="487" t="str">
        <f>IF(DX$67="","",Underwriting!EC106)</f>
        <v/>
      </c>
      <c r="DY69" s="487" t="str">
        <f>IF(DY$67="","",Underwriting!ED106)</f>
        <v/>
      </c>
      <c r="DZ69" s="487" t="str">
        <f>IF(DZ$67="","",Underwriting!EE106)</f>
        <v/>
      </c>
      <c r="EA69" s="487" t="str">
        <f>IF(EA$67="","",Underwriting!EF106)</f>
        <v/>
      </c>
      <c r="EB69" s="487" t="str">
        <f>IF(EB$67="","",Underwriting!EG106)</f>
        <v/>
      </c>
      <c r="EC69" s="487" t="str">
        <f>IF(EC$67="","",Underwriting!EH106)</f>
        <v/>
      </c>
      <c r="ED69" s="487" t="str">
        <f>IF(ED$67="","",Underwriting!EI106)</f>
        <v/>
      </c>
      <c r="EE69" s="487" t="str">
        <f>IF(EE$67="","",Underwriting!EJ106)</f>
        <v/>
      </c>
      <c r="EF69" s="487" t="str">
        <f>IF(EF$67="","",Underwriting!EK106)</f>
        <v/>
      </c>
      <c r="EG69" s="487" t="str">
        <f>IF(EG$67="","",Underwriting!EL106)</f>
        <v/>
      </c>
      <c r="EH69" s="487" t="str">
        <f>IF(EH$67="","",Underwriting!EM106)</f>
        <v/>
      </c>
      <c r="EI69" s="487" t="str">
        <f>IF(EI$67="","",Underwriting!EN106)</f>
        <v/>
      </c>
    </row>
    <row r="70" spans="2:139" hidden="1" outlineLevel="1" x14ac:dyDescent="0.2">
      <c r="B70" s="486" t="s">
        <v>560</v>
      </c>
      <c r="C70" s="4"/>
      <c r="D70" s="4"/>
      <c r="E70" s="4"/>
      <c r="F70" s="4"/>
      <c r="G70" s="488">
        <f>IF(G$67="","",Underwriting!L108)</f>
        <v>0</v>
      </c>
      <c r="H70" s="488">
        <f>IF(H$67="","",Underwriting!M108)</f>
        <v>0</v>
      </c>
      <c r="I70" s="488">
        <f>IF(I$67="","",Underwriting!N108)</f>
        <v>0</v>
      </c>
      <c r="J70" s="488">
        <f>IF(J$67="","",Underwriting!O108)</f>
        <v>0</v>
      </c>
      <c r="K70" s="488">
        <f>IF(K$67="","",Underwriting!P108)</f>
        <v>0</v>
      </c>
      <c r="L70" s="488">
        <f>IF(L$67="","",Underwriting!Q108)</f>
        <v>0</v>
      </c>
      <c r="M70" s="488">
        <f>IF(M$67="","",Underwriting!R108)</f>
        <v>0</v>
      </c>
      <c r="N70" s="488">
        <f>IF(N$67="","",Underwriting!S108)</f>
        <v>0</v>
      </c>
      <c r="O70" s="488">
        <f>IF(O$67="","",Underwriting!T108)</f>
        <v>0</v>
      </c>
      <c r="P70" s="488">
        <f>IF(P$67="","",Underwriting!U108)</f>
        <v>0</v>
      </c>
      <c r="Q70" s="488">
        <f>IF(Q$67="","",Underwriting!V108)</f>
        <v>0</v>
      </c>
      <c r="R70" s="488">
        <f>IF(R$67="","",Underwriting!W108)</f>
        <v>0</v>
      </c>
      <c r="S70" s="488">
        <f>IF(S$67="","",Underwriting!X108)</f>
        <v>0</v>
      </c>
      <c r="T70" s="488">
        <f>IF(T$67="","",Underwriting!Y108)</f>
        <v>0</v>
      </c>
      <c r="U70" s="488">
        <f>IF(U$67="","",Underwriting!Z108)</f>
        <v>0</v>
      </c>
      <c r="V70" s="488">
        <f>IF(V$67="","",Underwriting!AA108)</f>
        <v>0</v>
      </c>
      <c r="W70" s="488">
        <f>IF(W$67="","",Underwriting!AB108)</f>
        <v>0</v>
      </c>
      <c r="X70" s="488">
        <f>IF(X$67="","",Underwriting!AC108)</f>
        <v>0</v>
      </c>
      <c r="Y70" s="488">
        <f>IF(Y$67="","",Underwriting!AD108)</f>
        <v>0</v>
      </c>
      <c r="Z70" s="488">
        <f>IF(Z$67="","",Underwriting!AE108)</f>
        <v>0</v>
      </c>
      <c r="AA70" s="488">
        <f>IF(AA$67="","",Underwriting!AF108)</f>
        <v>0</v>
      </c>
      <c r="AB70" s="488">
        <f>IF(AB$67="","",Underwriting!AG108)</f>
        <v>0</v>
      </c>
      <c r="AC70" s="488">
        <f>IF(AC$67="","",Underwriting!AH108)</f>
        <v>0</v>
      </c>
      <c r="AD70" s="488">
        <f>IF(AD$67="","",Underwriting!AI108)</f>
        <v>0</v>
      </c>
      <c r="AE70" s="488">
        <f>IF(AE$67="","",Underwriting!AJ108)</f>
        <v>0</v>
      </c>
      <c r="AF70" s="488">
        <f>IF(AF$67="","",Underwriting!AK108)</f>
        <v>0</v>
      </c>
      <c r="AG70" s="488">
        <f>IF(AG$67="","",Underwriting!AL108)</f>
        <v>0</v>
      </c>
      <c r="AH70" s="488">
        <f>IF(AH$67="","",Underwriting!AM108)</f>
        <v>0</v>
      </c>
      <c r="AI70" s="488">
        <f>IF(AI$67="","",Underwriting!AN108)</f>
        <v>0</v>
      </c>
      <c r="AJ70" s="488">
        <f>IF(AJ$67="","",Underwriting!AO108)</f>
        <v>0</v>
      </c>
      <c r="AK70" s="488">
        <f>IF(AK$67="","",Underwriting!AP108)</f>
        <v>0</v>
      </c>
      <c r="AL70" s="488">
        <f>IF(AL$67="","",Underwriting!AQ108)</f>
        <v>0</v>
      </c>
      <c r="AM70" s="488">
        <f>IF(AM$67="","",Underwriting!AR108)</f>
        <v>0</v>
      </c>
      <c r="AN70" s="488">
        <f>IF(AN$67="","",Underwriting!AS108)</f>
        <v>0</v>
      </c>
      <c r="AO70" s="488">
        <f>IF(AO$67="","",Underwriting!AT108)</f>
        <v>0</v>
      </c>
      <c r="AP70" s="488">
        <f>IF(AP$67="","",Underwriting!AU108)</f>
        <v>0</v>
      </c>
      <c r="AQ70" s="488">
        <f>IF(AQ$67="","",Underwriting!AV108)</f>
        <v>0</v>
      </c>
      <c r="AR70" s="488">
        <f>IF(AR$67="","",Underwriting!AW108)</f>
        <v>0</v>
      </c>
      <c r="AS70" s="488">
        <f>IF(AS$67="","",Underwriting!AX108)</f>
        <v>0</v>
      </c>
      <c r="AT70" s="488">
        <f>IF(AT$67="","",Underwriting!AY108)</f>
        <v>0</v>
      </c>
      <c r="AU70" s="488">
        <f>IF(AU$67="","",Underwriting!AZ108)</f>
        <v>0</v>
      </c>
      <c r="AV70" s="488">
        <f>IF(AV$67="","",Underwriting!BA108)</f>
        <v>0</v>
      </c>
      <c r="AW70" s="488">
        <f>IF(AW$67="","",Underwriting!BB108)</f>
        <v>0</v>
      </c>
      <c r="AX70" s="488">
        <f>IF(AX$67="","",Underwriting!BC108)</f>
        <v>0</v>
      </c>
      <c r="AY70" s="488">
        <f>IF(AY$67="","",Underwriting!BD108)</f>
        <v>0</v>
      </c>
      <c r="AZ70" s="488">
        <f>IF(AZ$67="","",Underwriting!BE108)</f>
        <v>0</v>
      </c>
      <c r="BA70" s="488" t="str">
        <f>IF(BA$67="","",Underwriting!BF108)</f>
        <v/>
      </c>
      <c r="BB70" s="488" t="str">
        <f>IF(BB$67="","",Underwriting!BG108)</f>
        <v/>
      </c>
      <c r="BC70" s="488" t="str">
        <f>IF(BC$67="","",Underwriting!BH108)</f>
        <v/>
      </c>
      <c r="BD70" s="488" t="str">
        <f>IF(BD$67="","",Underwriting!BI108)</f>
        <v/>
      </c>
      <c r="BE70" s="488" t="str">
        <f>IF(BE$67="","",Underwriting!BJ108)</f>
        <v/>
      </c>
      <c r="BF70" s="488" t="str">
        <f>IF(BF$67="","",Underwriting!BK108)</f>
        <v/>
      </c>
      <c r="BG70" s="488" t="str">
        <f>IF(BG$67="","",Underwriting!BL108)</f>
        <v/>
      </c>
      <c r="BH70" s="488" t="str">
        <f>IF(BH$67="","",Underwriting!BM108)</f>
        <v/>
      </c>
      <c r="BI70" s="488" t="str">
        <f>IF(BI$67="","",Underwriting!BN108)</f>
        <v/>
      </c>
      <c r="BJ70" s="488" t="str">
        <f>IF(BJ$67="","",Underwriting!BO108)</f>
        <v/>
      </c>
      <c r="BK70" s="488" t="str">
        <f>IF(BK$67="","",Underwriting!BP108)</f>
        <v/>
      </c>
      <c r="BL70" s="488" t="str">
        <f>IF(BL$67="","",Underwriting!BQ108)</f>
        <v/>
      </c>
      <c r="BM70" s="488" t="str">
        <f>IF(BM$67="","",Underwriting!BR108)</f>
        <v/>
      </c>
      <c r="BN70" s="488" t="str">
        <f>IF(BN$67="","",Underwriting!BS108)</f>
        <v/>
      </c>
      <c r="BO70" s="488" t="str">
        <f>IF(BO$67="","",Underwriting!BT108)</f>
        <v/>
      </c>
      <c r="BP70" s="488" t="str">
        <f>IF(BP$67="","",Underwriting!BU108)</f>
        <v/>
      </c>
      <c r="BQ70" s="488" t="str">
        <f>IF(BQ$67="","",Underwriting!BV108)</f>
        <v/>
      </c>
      <c r="BR70" s="488" t="str">
        <f>IF(BR$67="","",Underwriting!BW108)</f>
        <v/>
      </c>
      <c r="BS70" s="488" t="str">
        <f>IF(BS$67="","",Underwriting!BX108)</f>
        <v/>
      </c>
      <c r="BT70" s="488" t="str">
        <f>IF(BT$67="","",Underwriting!BY108)</f>
        <v/>
      </c>
      <c r="BU70" s="488" t="str">
        <f>IF(BU$67="","",Underwriting!BZ108)</f>
        <v/>
      </c>
      <c r="BV70" s="488" t="str">
        <f>IF(BV$67="","",Underwriting!CA108)</f>
        <v/>
      </c>
      <c r="BW70" s="488" t="str">
        <f>IF(BW$67="","",Underwriting!CB108)</f>
        <v/>
      </c>
      <c r="BX70" s="488" t="str">
        <f>IF(BX$67="","",Underwriting!CC108)</f>
        <v/>
      </c>
      <c r="BY70" s="488" t="str">
        <f>IF(BY$67="","",Underwriting!CD108)</f>
        <v/>
      </c>
      <c r="BZ70" s="488" t="str">
        <f>IF(BZ$67="","",Underwriting!CE108)</f>
        <v/>
      </c>
      <c r="CA70" s="488" t="str">
        <f>IF(CA$67="","",Underwriting!CF108)</f>
        <v/>
      </c>
      <c r="CB70" s="488" t="str">
        <f>IF(CB$67="","",Underwriting!CG108)</f>
        <v/>
      </c>
      <c r="CC70" s="488" t="str">
        <f>IF(CC$67="","",Underwriting!CH108)</f>
        <v/>
      </c>
      <c r="CD70" s="488" t="str">
        <f>IF(CD$67="","",Underwriting!CI108)</f>
        <v/>
      </c>
      <c r="CE70" s="488" t="str">
        <f>IF(CE$67="","",Underwriting!CJ108)</f>
        <v/>
      </c>
      <c r="CF70" s="488" t="str">
        <f>IF(CF$67="","",Underwriting!CK108)</f>
        <v/>
      </c>
      <c r="CG70" s="488" t="str">
        <f>IF(CG$67="","",Underwriting!CL108)</f>
        <v/>
      </c>
      <c r="CH70" s="488" t="str">
        <f>IF(CH$67="","",Underwriting!CM108)</f>
        <v/>
      </c>
      <c r="CI70" s="488" t="str">
        <f>IF(CI$67="","",Underwriting!CN108)</f>
        <v/>
      </c>
      <c r="CJ70" s="488" t="str">
        <f>IF(CJ$67="","",Underwriting!CO108)</f>
        <v/>
      </c>
      <c r="CK70" s="488" t="str">
        <f>IF(CK$67="","",Underwriting!CP108)</f>
        <v/>
      </c>
      <c r="CL70" s="488" t="str">
        <f>IF(CL$67="","",Underwriting!CQ108)</f>
        <v/>
      </c>
      <c r="CM70" s="488" t="str">
        <f>IF(CM$67="","",Underwriting!CR108)</f>
        <v/>
      </c>
      <c r="CN70" s="488" t="str">
        <f>IF(CN$67="","",Underwriting!CS108)</f>
        <v/>
      </c>
      <c r="CO70" s="488" t="str">
        <f>IF(CO$67="","",Underwriting!CT108)</f>
        <v/>
      </c>
      <c r="CP70" s="488" t="str">
        <f>IF(CP$67="","",Underwriting!CU108)</f>
        <v/>
      </c>
      <c r="CQ70" s="488" t="str">
        <f>IF(CQ$67="","",Underwriting!CV108)</f>
        <v/>
      </c>
      <c r="CR70" s="488" t="str">
        <f>IF(CR$67="","",Underwriting!CW108)</f>
        <v/>
      </c>
      <c r="CS70" s="488" t="str">
        <f>IF(CS$67="","",Underwriting!CX108)</f>
        <v/>
      </c>
      <c r="CT70" s="488" t="str">
        <f>IF(CT$67="","",Underwriting!CY108)</f>
        <v/>
      </c>
      <c r="CU70" s="488" t="str">
        <f>IF(CU$67="","",Underwriting!CZ108)</f>
        <v/>
      </c>
      <c r="CV70" s="488" t="str">
        <f>IF(CV$67="","",Underwriting!DA108)</f>
        <v/>
      </c>
      <c r="CW70" s="488" t="str">
        <f>IF(CW$67="","",Underwriting!DB108)</f>
        <v/>
      </c>
      <c r="CX70" s="488" t="str">
        <f>IF(CX$67="","",Underwriting!DC108)</f>
        <v/>
      </c>
      <c r="CY70" s="488" t="str">
        <f>IF(CY$67="","",Underwriting!DD108)</f>
        <v/>
      </c>
      <c r="CZ70" s="488" t="str">
        <f>IF(CZ$67="","",Underwriting!DE108)</f>
        <v/>
      </c>
      <c r="DA70" s="488" t="str">
        <f>IF(DA$67="","",Underwriting!DF108)</f>
        <v/>
      </c>
      <c r="DB70" s="488" t="str">
        <f>IF(DB$67="","",Underwriting!DG108)</f>
        <v/>
      </c>
      <c r="DC70" s="488" t="str">
        <f>IF(DC$67="","",Underwriting!DH108)</f>
        <v/>
      </c>
      <c r="DD70" s="488" t="str">
        <f>IF(DD$67="","",Underwriting!DI108)</f>
        <v/>
      </c>
      <c r="DE70" s="488" t="str">
        <f>IF(DE$67="","",Underwriting!DJ108)</f>
        <v/>
      </c>
      <c r="DF70" s="488" t="str">
        <f>IF(DF$67="","",Underwriting!DK108)</f>
        <v/>
      </c>
      <c r="DG70" s="488" t="str">
        <f>IF(DG$67="","",Underwriting!DL108)</f>
        <v/>
      </c>
      <c r="DH70" s="488" t="str">
        <f>IF(DH$67="","",Underwriting!DM108)</f>
        <v/>
      </c>
      <c r="DI70" s="488" t="str">
        <f>IF(DI$67="","",Underwriting!DN108)</f>
        <v/>
      </c>
      <c r="DJ70" s="488" t="str">
        <f>IF(DJ$67="","",Underwriting!DO108)</f>
        <v/>
      </c>
      <c r="DK70" s="488" t="str">
        <f>IF(DK$67="","",Underwriting!DP108)</f>
        <v/>
      </c>
      <c r="DL70" s="488" t="str">
        <f>IF(DL$67="","",Underwriting!DQ108)</f>
        <v/>
      </c>
      <c r="DM70" s="488" t="str">
        <f>IF(DM$67="","",Underwriting!DR108)</f>
        <v/>
      </c>
      <c r="DN70" s="488" t="str">
        <f>IF(DN$67="","",Underwriting!DS108)</f>
        <v/>
      </c>
      <c r="DO70" s="488" t="str">
        <f>IF(DO$67="","",Underwriting!DT108)</f>
        <v/>
      </c>
      <c r="DP70" s="488" t="str">
        <f>IF(DP$67="","",Underwriting!DU108)</f>
        <v/>
      </c>
      <c r="DQ70" s="488" t="str">
        <f>IF(DQ$67="","",Underwriting!DV108)</f>
        <v/>
      </c>
      <c r="DR70" s="488" t="str">
        <f>IF(DR$67="","",Underwriting!DW108)</f>
        <v/>
      </c>
      <c r="DS70" s="488" t="str">
        <f>IF(DS$67="","",Underwriting!DX108)</f>
        <v/>
      </c>
      <c r="DT70" s="488" t="str">
        <f>IF(DT$67="","",Underwriting!DY108)</f>
        <v/>
      </c>
      <c r="DU70" s="488" t="str">
        <f>IF(DU$67="","",Underwriting!DZ108)</f>
        <v/>
      </c>
      <c r="DV70" s="488" t="str">
        <f>IF(DV$67="","",Underwriting!EA108)</f>
        <v/>
      </c>
      <c r="DW70" s="488" t="str">
        <f>IF(DW$67="","",Underwriting!EB108)</f>
        <v/>
      </c>
      <c r="DX70" s="488" t="str">
        <f>IF(DX$67="","",Underwriting!EC108)</f>
        <v/>
      </c>
      <c r="DY70" s="488" t="str">
        <f>IF(DY$67="","",Underwriting!ED108)</f>
        <v/>
      </c>
      <c r="DZ70" s="488" t="str">
        <f>IF(DZ$67="","",Underwriting!EE108)</f>
        <v/>
      </c>
      <c r="EA70" s="488" t="str">
        <f>IF(EA$67="","",Underwriting!EF108)</f>
        <v/>
      </c>
      <c r="EB70" s="488" t="str">
        <f>IF(EB$67="","",Underwriting!EG108)</f>
        <v/>
      </c>
      <c r="EC70" s="488" t="str">
        <f>IF(EC$67="","",Underwriting!EH108)</f>
        <v/>
      </c>
      <c r="ED70" s="488" t="str">
        <f>IF(ED$67="","",Underwriting!EI108)</f>
        <v/>
      </c>
      <c r="EE70" s="488" t="str">
        <f>IF(EE$67="","",Underwriting!EJ108)</f>
        <v/>
      </c>
      <c r="EF70" s="488" t="str">
        <f>IF(EF$67="","",Underwriting!EK108)</f>
        <v/>
      </c>
      <c r="EG70" s="488" t="str">
        <f>IF(EG$67="","",Underwriting!EL108)</f>
        <v/>
      </c>
      <c r="EH70" s="488" t="str">
        <f>IF(EH$67="","",Underwriting!EM108)</f>
        <v/>
      </c>
      <c r="EI70" s="488" t="str">
        <f>IF(EI$67="","",Underwriting!EN108)</f>
        <v/>
      </c>
    </row>
    <row r="71" spans="2:139" hidden="1" outlineLevel="1" x14ac:dyDescent="0.2">
      <c r="B71" s="212" t="s">
        <v>133</v>
      </c>
      <c r="C71" s="4"/>
      <c r="D71" s="4"/>
      <c r="E71" s="4"/>
      <c r="F71" s="4"/>
      <c r="G71" s="487">
        <f>SUM(G68:G70)</f>
        <v>0</v>
      </c>
      <c r="H71" s="487">
        <f t="shared" ref="H71:BS71" si="41">SUM(H68:H70)</f>
        <v>0</v>
      </c>
      <c r="I71" s="487">
        <f t="shared" si="41"/>
        <v>0</v>
      </c>
      <c r="J71" s="487">
        <f t="shared" si="41"/>
        <v>0</v>
      </c>
      <c r="K71" s="487">
        <f t="shared" si="41"/>
        <v>0</v>
      </c>
      <c r="L71" s="487">
        <f t="shared" si="41"/>
        <v>0</v>
      </c>
      <c r="M71" s="487">
        <f t="shared" si="41"/>
        <v>0</v>
      </c>
      <c r="N71" s="487">
        <f t="shared" si="41"/>
        <v>0</v>
      </c>
      <c r="O71" s="487">
        <f t="shared" si="41"/>
        <v>0</v>
      </c>
      <c r="P71" s="487">
        <f t="shared" si="41"/>
        <v>0</v>
      </c>
      <c r="Q71" s="487">
        <f t="shared" si="41"/>
        <v>0</v>
      </c>
      <c r="R71" s="487">
        <f t="shared" si="41"/>
        <v>0</v>
      </c>
      <c r="S71" s="487">
        <f t="shared" si="41"/>
        <v>0</v>
      </c>
      <c r="T71" s="487">
        <f t="shared" si="41"/>
        <v>0</v>
      </c>
      <c r="U71" s="487">
        <f t="shared" si="41"/>
        <v>0</v>
      </c>
      <c r="V71" s="487">
        <f t="shared" si="41"/>
        <v>0</v>
      </c>
      <c r="W71" s="487">
        <f t="shared" si="41"/>
        <v>0</v>
      </c>
      <c r="X71" s="487">
        <f t="shared" si="41"/>
        <v>0</v>
      </c>
      <c r="Y71" s="487">
        <f t="shared" si="41"/>
        <v>0</v>
      </c>
      <c r="Z71" s="487">
        <f t="shared" si="41"/>
        <v>13606.928615384622</v>
      </c>
      <c r="AA71" s="487">
        <f t="shared" si="41"/>
        <v>49543.957948717958</v>
      </c>
      <c r="AB71" s="487">
        <f t="shared" si="41"/>
        <v>85480.987282051283</v>
      </c>
      <c r="AC71" s="487">
        <f t="shared" si="41"/>
        <v>121418.01661538462</v>
      </c>
      <c r="AD71" s="487">
        <f t="shared" si="41"/>
        <v>157355.04594871795</v>
      </c>
      <c r="AE71" s="487">
        <f t="shared" si="41"/>
        <v>193292.07528205129</v>
      </c>
      <c r="AF71" s="487">
        <f t="shared" si="41"/>
        <v>229229.10461538463</v>
      </c>
      <c r="AG71" s="487">
        <f t="shared" si="41"/>
        <v>265166.13394871796</v>
      </c>
      <c r="AH71" s="487">
        <f t="shared" si="41"/>
        <v>301103.16328205128</v>
      </c>
      <c r="AI71" s="487">
        <f t="shared" si="41"/>
        <v>337040.19261538464</v>
      </c>
      <c r="AJ71" s="487">
        <f t="shared" si="41"/>
        <v>372977.22194871795</v>
      </c>
      <c r="AK71" s="487">
        <f t="shared" si="41"/>
        <v>408914.25128205132</v>
      </c>
      <c r="AL71" s="487">
        <f t="shared" si="41"/>
        <v>458196.81903384614</v>
      </c>
      <c r="AM71" s="487">
        <f t="shared" si="41"/>
        <v>495211.9592471795</v>
      </c>
      <c r="AN71" s="487">
        <f t="shared" si="41"/>
        <v>538658.93319999997</v>
      </c>
      <c r="AO71" s="487">
        <f t="shared" si="41"/>
        <v>539864.18319999997</v>
      </c>
      <c r="AP71" s="487">
        <f t="shared" si="41"/>
        <v>541069.43319999997</v>
      </c>
      <c r="AQ71" s="487">
        <f t="shared" si="41"/>
        <v>542274.68319999997</v>
      </c>
      <c r="AR71" s="487">
        <f t="shared" si="41"/>
        <v>543479.93319999997</v>
      </c>
      <c r="AS71" s="487">
        <f t="shared" si="41"/>
        <v>544685.18319999997</v>
      </c>
      <c r="AT71" s="487">
        <f t="shared" si="41"/>
        <v>545890.43319999997</v>
      </c>
      <c r="AU71" s="487">
        <f t="shared" si="41"/>
        <v>547095.68319999997</v>
      </c>
      <c r="AV71" s="487">
        <f t="shared" si="41"/>
        <v>548300.93319999997</v>
      </c>
      <c r="AW71" s="487">
        <f t="shared" si="41"/>
        <v>549506.18319999997</v>
      </c>
      <c r="AX71" s="487">
        <f t="shared" si="41"/>
        <v>567232.77619599993</v>
      </c>
      <c r="AY71" s="487">
        <f t="shared" si="41"/>
        <v>568474.18369599991</v>
      </c>
      <c r="AZ71" s="487">
        <f t="shared" si="41"/>
        <v>554818.70119599998</v>
      </c>
      <c r="BA71" s="487">
        <f t="shared" si="41"/>
        <v>0</v>
      </c>
      <c r="BB71" s="487">
        <f t="shared" si="41"/>
        <v>0</v>
      </c>
      <c r="BC71" s="487">
        <f t="shared" si="41"/>
        <v>0</v>
      </c>
      <c r="BD71" s="487">
        <f t="shared" si="41"/>
        <v>0</v>
      </c>
      <c r="BE71" s="487">
        <f t="shared" si="41"/>
        <v>0</v>
      </c>
      <c r="BF71" s="487">
        <f t="shared" si="41"/>
        <v>0</v>
      </c>
      <c r="BG71" s="487">
        <f t="shared" si="41"/>
        <v>0</v>
      </c>
      <c r="BH71" s="487">
        <f t="shared" si="41"/>
        <v>0</v>
      </c>
      <c r="BI71" s="487">
        <f t="shared" si="41"/>
        <v>0</v>
      </c>
      <c r="BJ71" s="487">
        <f t="shared" si="41"/>
        <v>0</v>
      </c>
      <c r="BK71" s="487">
        <f t="shared" si="41"/>
        <v>0</v>
      </c>
      <c r="BL71" s="487">
        <f t="shared" si="41"/>
        <v>0</v>
      </c>
      <c r="BM71" s="487">
        <f t="shared" si="41"/>
        <v>0</v>
      </c>
      <c r="BN71" s="487">
        <f t="shared" si="41"/>
        <v>0</v>
      </c>
      <c r="BO71" s="487">
        <f t="shared" si="41"/>
        <v>0</v>
      </c>
      <c r="BP71" s="487">
        <f t="shared" si="41"/>
        <v>0</v>
      </c>
      <c r="BQ71" s="487">
        <f t="shared" si="41"/>
        <v>0</v>
      </c>
      <c r="BR71" s="487">
        <f t="shared" si="41"/>
        <v>0</v>
      </c>
      <c r="BS71" s="487">
        <f t="shared" si="41"/>
        <v>0</v>
      </c>
      <c r="BT71" s="487">
        <f t="shared" ref="BT71:EE71" si="42">SUM(BT68:BT70)</f>
        <v>0</v>
      </c>
      <c r="BU71" s="487">
        <f t="shared" si="42"/>
        <v>0</v>
      </c>
      <c r="BV71" s="487">
        <f t="shared" si="42"/>
        <v>0</v>
      </c>
      <c r="BW71" s="487">
        <f t="shared" si="42"/>
        <v>0</v>
      </c>
      <c r="BX71" s="487">
        <f t="shared" si="42"/>
        <v>0</v>
      </c>
      <c r="BY71" s="487">
        <f t="shared" si="42"/>
        <v>0</v>
      </c>
      <c r="BZ71" s="487">
        <f t="shared" si="42"/>
        <v>0</v>
      </c>
      <c r="CA71" s="487">
        <f t="shared" si="42"/>
        <v>0</v>
      </c>
      <c r="CB71" s="487">
        <f t="shared" si="42"/>
        <v>0</v>
      </c>
      <c r="CC71" s="487">
        <f t="shared" si="42"/>
        <v>0</v>
      </c>
      <c r="CD71" s="487">
        <f t="shared" si="42"/>
        <v>0</v>
      </c>
      <c r="CE71" s="487">
        <f t="shared" si="42"/>
        <v>0</v>
      </c>
      <c r="CF71" s="487">
        <f t="shared" si="42"/>
        <v>0</v>
      </c>
      <c r="CG71" s="487">
        <f t="shared" si="42"/>
        <v>0</v>
      </c>
      <c r="CH71" s="487">
        <f t="shared" si="42"/>
        <v>0</v>
      </c>
      <c r="CI71" s="487">
        <f t="shared" si="42"/>
        <v>0</v>
      </c>
      <c r="CJ71" s="487">
        <f t="shared" si="42"/>
        <v>0</v>
      </c>
      <c r="CK71" s="487">
        <f t="shared" si="42"/>
        <v>0</v>
      </c>
      <c r="CL71" s="487">
        <f t="shared" si="42"/>
        <v>0</v>
      </c>
      <c r="CM71" s="487">
        <f t="shared" si="42"/>
        <v>0</v>
      </c>
      <c r="CN71" s="487">
        <f t="shared" si="42"/>
        <v>0</v>
      </c>
      <c r="CO71" s="487">
        <f t="shared" si="42"/>
        <v>0</v>
      </c>
      <c r="CP71" s="487">
        <f t="shared" si="42"/>
        <v>0</v>
      </c>
      <c r="CQ71" s="487">
        <f t="shared" si="42"/>
        <v>0</v>
      </c>
      <c r="CR71" s="487">
        <f t="shared" si="42"/>
        <v>0</v>
      </c>
      <c r="CS71" s="487">
        <f t="shared" si="42"/>
        <v>0</v>
      </c>
      <c r="CT71" s="487">
        <f t="shared" si="42"/>
        <v>0</v>
      </c>
      <c r="CU71" s="487">
        <f t="shared" si="42"/>
        <v>0</v>
      </c>
      <c r="CV71" s="487">
        <f t="shared" si="42"/>
        <v>0</v>
      </c>
      <c r="CW71" s="487">
        <f t="shared" si="42"/>
        <v>0</v>
      </c>
      <c r="CX71" s="487">
        <f t="shared" si="42"/>
        <v>0</v>
      </c>
      <c r="CY71" s="487">
        <f t="shared" si="42"/>
        <v>0</v>
      </c>
      <c r="CZ71" s="487">
        <f t="shared" si="42"/>
        <v>0</v>
      </c>
      <c r="DA71" s="487">
        <f t="shared" si="42"/>
        <v>0</v>
      </c>
      <c r="DB71" s="487">
        <f t="shared" si="42"/>
        <v>0</v>
      </c>
      <c r="DC71" s="487">
        <f t="shared" si="42"/>
        <v>0</v>
      </c>
      <c r="DD71" s="487">
        <f t="shared" si="42"/>
        <v>0</v>
      </c>
      <c r="DE71" s="487">
        <f t="shared" si="42"/>
        <v>0</v>
      </c>
      <c r="DF71" s="487">
        <f t="shared" si="42"/>
        <v>0</v>
      </c>
      <c r="DG71" s="487">
        <f t="shared" si="42"/>
        <v>0</v>
      </c>
      <c r="DH71" s="487">
        <f t="shared" si="42"/>
        <v>0</v>
      </c>
      <c r="DI71" s="487">
        <f t="shared" si="42"/>
        <v>0</v>
      </c>
      <c r="DJ71" s="487">
        <f t="shared" si="42"/>
        <v>0</v>
      </c>
      <c r="DK71" s="487">
        <f t="shared" si="42"/>
        <v>0</v>
      </c>
      <c r="DL71" s="487">
        <f t="shared" si="42"/>
        <v>0</v>
      </c>
      <c r="DM71" s="487">
        <f t="shared" si="42"/>
        <v>0</v>
      </c>
      <c r="DN71" s="487">
        <f t="shared" si="42"/>
        <v>0</v>
      </c>
      <c r="DO71" s="487">
        <f t="shared" si="42"/>
        <v>0</v>
      </c>
      <c r="DP71" s="487">
        <f t="shared" si="42"/>
        <v>0</v>
      </c>
      <c r="DQ71" s="487">
        <f t="shared" si="42"/>
        <v>0</v>
      </c>
      <c r="DR71" s="487">
        <f t="shared" si="42"/>
        <v>0</v>
      </c>
      <c r="DS71" s="487">
        <f t="shared" si="42"/>
        <v>0</v>
      </c>
      <c r="DT71" s="487">
        <f t="shared" si="42"/>
        <v>0</v>
      </c>
      <c r="DU71" s="487">
        <f t="shared" si="42"/>
        <v>0</v>
      </c>
      <c r="DV71" s="487">
        <f t="shared" si="42"/>
        <v>0</v>
      </c>
      <c r="DW71" s="487">
        <f t="shared" si="42"/>
        <v>0</v>
      </c>
      <c r="DX71" s="487">
        <f t="shared" si="42"/>
        <v>0</v>
      </c>
      <c r="DY71" s="487">
        <f t="shared" si="42"/>
        <v>0</v>
      </c>
      <c r="DZ71" s="487">
        <f t="shared" si="42"/>
        <v>0</v>
      </c>
      <c r="EA71" s="487">
        <f t="shared" si="42"/>
        <v>0</v>
      </c>
      <c r="EB71" s="487">
        <f t="shared" si="42"/>
        <v>0</v>
      </c>
      <c r="EC71" s="487">
        <f t="shared" si="42"/>
        <v>0</v>
      </c>
      <c r="ED71" s="487">
        <f t="shared" si="42"/>
        <v>0</v>
      </c>
      <c r="EE71" s="487">
        <f t="shared" si="42"/>
        <v>0</v>
      </c>
      <c r="EF71" s="487">
        <f t="shared" ref="EF71:EI71" si="43">SUM(EF68:EF70)</f>
        <v>0</v>
      </c>
      <c r="EG71" s="487">
        <f t="shared" si="43"/>
        <v>0</v>
      </c>
      <c r="EH71" s="487">
        <f t="shared" si="43"/>
        <v>0</v>
      </c>
      <c r="EI71" s="487">
        <f t="shared" si="43"/>
        <v>0</v>
      </c>
    </row>
    <row r="72" spans="2:139" hidden="1" outlineLevel="1" x14ac:dyDescent="0.2">
      <c r="B72" s="486" t="s">
        <v>558</v>
      </c>
      <c r="C72" s="4"/>
      <c r="D72" s="4"/>
      <c r="E72" s="4"/>
      <c r="F72" s="4"/>
      <c r="G72" s="487">
        <f>IF(G$67="","",Underwriting!L110)</f>
        <v>0</v>
      </c>
      <c r="H72" s="487">
        <f>IF(H$67="","",Underwriting!M110)</f>
        <v>0</v>
      </c>
      <c r="I72" s="487">
        <f>IF(I$67="","",Underwriting!N110)</f>
        <v>0</v>
      </c>
      <c r="J72" s="487">
        <f>IF(J$67="","",Underwriting!O110)</f>
        <v>0</v>
      </c>
      <c r="K72" s="487">
        <f>IF(K$67="","",Underwriting!P110)</f>
        <v>0</v>
      </c>
      <c r="L72" s="487">
        <f>IF(L$67="","",Underwriting!Q110)</f>
        <v>0</v>
      </c>
      <c r="M72" s="487">
        <f>IF(M$67="","",Underwriting!R110)</f>
        <v>0</v>
      </c>
      <c r="N72" s="487">
        <f>IF(N$67="","",Underwriting!S110)</f>
        <v>0</v>
      </c>
      <c r="O72" s="487">
        <f>IF(O$67="","",Underwriting!T110)</f>
        <v>0</v>
      </c>
      <c r="P72" s="487">
        <f>IF(P$67="","",Underwriting!U110)</f>
        <v>0</v>
      </c>
      <c r="Q72" s="487">
        <f>IF(Q$67="","",Underwriting!V110)</f>
        <v>0</v>
      </c>
      <c r="R72" s="487">
        <f>IF(R$67="","",Underwriting!W110)</f>
        <v>0</v>
      </c>
      <c r="S72" s="487">
        <f>IF(S$67="","",Underwriting!X110)</f>
        <v>0</v>
      </c>
      <c r="T72" s="487">
        <f>IF(T$67="","",Underwriting!Y110)</f>
        <v>0</v>
      </c>
      <c r="U72" s="487">
        <f>IF(U$67="","",Underwriting!Z110)</f>
        <v>0</v>
      </c>
      <c r="V72" s="487">
        <f>IF(V$67="","",Underwriting!AA110)</f>
        <v>0</v>
      </c>
      <c r="W72" s="487">
        <f>IF(W$67="","",Underwriting!AB110)</f>
        <v>0</v>
      </c>
      <c r="X72" s="487">
        <f>IF(X$67="","",Underwriting!AC110)</f>
        <v>0</v>
      </c>
      <c r="Y72" s="487">
        <f>IF(Y$67="","",Underwriting!AD110)</f>
        <v>0</v>
      </c>
      <c r="Z72" s="487">
        <f>IF(Z$67="","",Underwriting!AE110)</f>
        <v>-680.34643076923112</v>
      </c>
      <c r="AA72" s="487">
        <f>IF(AA$67="","",Underwriting!AF110)</f>
        <v>-2477.1978974358981</v>
      </c>
      <c r="AB72" s="487">
        <f>IF(AB$67="","",Underwriting!AG110)</f>
        <v>-4274.0493641025641</v>
      </c>
      <c r="AC72" s="487">
        <f>IF(AC$67="","",Underwriting!AH110)</f>
        <v>-6070.9008307692311</v>
      </c>
      <c r="AD72" s="487">
        <f>IF(AD$67="","",Underwriting!AI110)</f>
        <v>-7867.7522974358981</v>
      </c>
      <c r="AE72" s="487">
        <f>IF(AE$67="","",Underwriting!AJ110)</f>
        <v>-9664.603764102565</v>
      </c>
      <c r="AF72" s="487">
        <f>IF(AF$67="","",Underwriting!AK110)</f>
        <v>-11461.455230769232</v>
      </c>
      <c r="AG72" s="487">
        <f>IF(AG$67="","",Underwriting!AL110)</f>
        <v>-13258.306697435899</v>
      </c>
      <c r="AH72" s="487">
        <f>IF(AH$67="","",Underwriting!AM110)</f>
        <v>-15055.158164102564</v>
      </c>
      <c r="AI72" s="487">
        <f>IF(AI$67="","",Underwriting!AN110)</f>
        <v>-16852.009630769233</v>
      </c>
      <c r="AJ72" s="487">
        <f>IF(AJ$67="","",Underwriting!AO110)</f>
        <v>-18648.8610974359</v>
      </c>
      <c r="AK72" s="487">
        <f>IF(AK$67="","",Underwriting!AP110)</f>
        <v>-20445.712564102567</v>
      </c>
      <c r="AL72" s="487">
        <f>IF(AL$67="","",Underwriting!AQ110)</f>
        <v>-22909.840951692309</v>
      </c>
      <c r="AM72" s="487">
        <f>IF(AM$67="","",Underwriting!AR110)</f>
        <v>-24760.597962358977</v>
      </c>
      <c r="AN72" s="487">
        <f>IF(AN$67="","",Underwriting!AS110)</f>
        <v>-26932.946660000001</v>
      </c>
      <c r="AO72" s="487">
        <f>IF(AO$67="","",Underwriting!AT110)</f>
        <v>-26993.209159999999</v>
      </c>
      <c r="AP72" s="487">
        <f>IF(AP$67="","",Underwriting!AU110)</f>
        <v>-27053.471659999999</v>
      </c>
      <c r="AQ72" s="487">
        <f>IF(AQ$67="","",Underwriting!AV110)</f>
        <v>-27113.73416</v>
      </c>
      <c r="AR72" s="487">
        <f>IF(AR$67="","",Underwriting!AW110)</f>
        <v>-27173.996660000001</v>
      </c>
      <c r="AS72" s="487">
        <f>IF(AS$67="","",Underwriting!AX110)</f>
        <v>-27234.259160000001</v>
      </c>
      <c r="AT72" s="487">
        <f>IF(AT$67="","",Underwriting!AY110)</f>
        <v>-27294.521659999999</v>
      </c>
      <c r="AU72" s="487">
        <f>IF(AU$67="","",Underwriting!AZ110)</f>
        <v>-27354.784159999999</v>
      </c>
      <c r="AV72" s="487">
        <f>IF(AV$67="","",Underwriting!BA110)</f>
        <v>-27415.04666</v>
      </c>
      <c r="AW72" s="487">
        <f>IF(AW$67="","",Underwriting!BB110)</f>
        <v>-27475.309160000001</v>
      </c>
      <c r="AX72" s="487">
        <f>IF(AX$67="","",Underwriting!BC110)</f>
        <v>-28361.638809799999</v>
      </c>
      <c r="AY72" s="487">
        <f>IF(AY$67="","",Underwriting!BD110)</f>
        <v>-28423.709184799998</v>
      </c>
      <c r="AZ72" s="487">
        <f>IF(AZ$67="","",Underwriting!BE110)</f>
        <v>-27740.935059800002</v>
      </c>
      <c r="BA72" s="487" t="str">
        <f>IF(BA$67="","",Underwriting!BF110)</f>
        <v/>
      </c>
      <c r="BB72" s="487" t="str">
        <f>IF(BB$67="","",Underwriting!BG110)</f>
        <v/>
      </c>
      <c r="BC72" s="487" t="str">
        <f>IF(BC$67="","",Underwriting!BH110)</f>
        <v/>
      </c>
      <c r="BD72" s="487" t="str">
        <f>IF(BD$67="","",Underwriting!BI110)</f>
        <v/>
      </c>
      <c r="BE72" s="487" t="str">
        <f>IF(BE$67="","",Underwriting!BJ110)</f>
        <v/>
      </c>
      <c r="BF72" s="487" t="str">
        <f>IF(BF$67="","",Underwriting!BK110)</f>
        <v/>
      </c>
      <c r="BG72" s="487" t="str">
        <f>IF(BG$67="","",Underwriting!BL110)</f>
        <v/>
      </c>
      <c r="BH72" s="487" t="str">
        <f>IF(BH$67="","",Underwriting!BM110)</f>
        <v/>
      </c>
      <c r="BI72" s="487" t="str">
        <f>IF(BI$67="","",Underwriting!BN110)</f>
        <v/>
      </c>
      <c r="BJ72" s="487" t="str">
        <f>IF(BJ$67="","",Underwriting!BO110)</f>
        <v/>
      </c>
      <c r="BK72" s="487" t="str">
        <f>IF(BK$67="","",Underwriting!BP110)</f>
        <v/>
      </c>
      <c r="BL72" s="487" t="str">
        <f>IF(BL$67="","",Underwriting!BQ110)</f>
        <v/>
      </c>
      <c r="BM72" s="487" t="str">
        <f>IF(BM$67="","",Underwriting!BR110)</f>
        <v/>
      </c>
      <c r="BN72" s="487" t="str">
        <f>IF(BN$67="","",Underwriting!BS110)</f>
        <v/>
      </c>
      <c r="BO72" s="487" t="str">
        <f>IF(BO$67="","",Underwriting!BT110)</f>
        <v/>
      </c>
      <c r="BP72" s="487" t="str">
        <f>IF(BP$67="","",Underwriting!BU110)</f>
        <v/>
      </c>
      <c r="BQ72" s="487" t="str">
        <f>IF(BQ$67="","",Underwriting!BV110)</f>
        <v/>
      </c>
      <c r="BR72" s="487" t="str">
        <f>IF(BR$67="","",Underwriting!BW110)</f>
        <v/>
      </c>
      <c r="BS72" s="487" t="str">
        <f>IF(BS$67="","",Underwriting!BX110)</f>
        <v/>
      </c>
      <c r="BT72" s="487" t="str">
        <f>IF(BT$67="","",Underwriting!BY110)</f>
        <v/>
      </c>
      <c r="BU72" s="487" t="str">
        <f>IF(BU$67="","",Underwriting!BZ110)</f>
        <v/>
      </c>
      <c r="BV72" s="487" t="str">
        <f>IF(BV$67="","",Underwriting!CA110)</f>
        <v/>
      </c>
      <c r="BW72" s="487" t="str">
        <f>IF(BW$67="","",Underwriting!CB110)</f>
        <v/>
      </c>
      <c r="BX72" s="487" t="str">
        <f>IF(BX$67="","",Underwriting!CC110)</f>
        <v/>
      </c>
      <c r="BY72" s="487" t="str">
        <f>IF(BY$67="","",Underwriting!CD110)</f>
        <v/>
      </c>
      <c r="BZ72" s="487" t="str">
        <f>IF(BZ$67="","",Underwriting!CE110)</f>
        <v/>
      </c>
      <c r="CA72" s="487" t="str">
        <f>IF(CA$67="","",Underwriting!CF110)</f>
        <v/>
      </c>
      <c r="CB72" s="487" t="str">
        <f>IF(CB$67="","",Underwriting!CG110)</f>
        <v/>
      </c>
      <c r="CC72" s="487" t="str">
        <f>IF(CC$67="","",Underwriting!CH110)</f>
        <v/>
      </c>
      <c r="CD72" s="487" t="str">
        <f>IF(CD$67="","",Underwriting!CI110)</f>
        <v/>
      </c>
      <c r="CE72" s="487" t="str">
        <f>IF(CE$67="","",Underwriting!CJ110)</f>
        <v/>
      </c>
      <c r="CF72" s="487" t="str">
        <f>IF(CF$67="","",Underwriting!CK110)</f>
        <v/>
      </c>
      <c r="CG72" s="487" t="str">
        <f>IF(CG$67="","",Underwriting!CL110)</f>
        <v/>
      </c>
      <c r="CH72" s="487" t="str">
        <f>IF(CH$67="","",Underwriting!CM110)</f>
        <v/>
      </c>
      <c r="CI72" s="487" t="str">
        <f>IF(CI$67="","",Underwriting!CN110)</f>
        <v/>
      </c>
      <c r="CJ72" s="487" t="str">
        <f>IF(CJ$67="","",Underwriting!CO110)</f>
        <v/>
      </c>
      <c r="CK72" s="487" t="str">
        <f>IF(CK$67="","",Underwriting!CP110)</f>
        <v/>
      </c>
      <c r="CL72" s="487" t="str">
        <f>IF(CL$67="","",Underwriting!CQ110)</f>
        <v/>
      </c>
      <c r="CM72" s="487" t="str">
        <f>IF(CM$67="","",Underwriting!CR110)</f>
        <v/>
      </c>
      <c r="CN72" s="487" t="str">
        <f>IF(CN$67="","",Underwriting!CS110)</f>
        <v/>
      </c>
      <c r="CO72" s="487" t="str">
        <f>IF(CO$67="","",Underwriting!CT110)</f>
        <v/>
      </c>
      <c r="CP72" s="487" t="str">
        <f>IF(CP$67="","",Underwriting!CU110)</f>
        <v/>
      </c>
      <c r="CQ72" s="487" t="str">
        <f>IF(CQ$67="","",Underwriting!CV110)</f>
        <v/>
      </c>
      <c r="CR72" s="487" t="str">
        <f>IF(CR$67="","",Underwriting!CW110)</f>
        <v/>
      </c>
      <c r="CS72" s="487" t="str">
        <f>IF(CS$67="","",Underwriting!CX110)</f>
        <v/>
      </c>
      <c r="CT72" s="487" t="str">
        <f>IF(CT$67="","",Underwriting!CY110)</f>
        <v/>
      </c>
      <c r="CU72" s="487" t="str">
        <f>IF(CU$67="","",Underwriting!CZ110)</f>
        <v/>
      </c>
      <c r="CV72" s="487" t="str">
        <f>IF(CV$67="","",Underwriting!DA110)</f>
        <v/>
      </c>
      <c r="CW72" s="487" t="str">
        <f>IF(CW$67="","",Underwriting!DB110)</f>
        <v/>
      </c>
      <c r="CX72" s="487" t="str">
        <f>IF(CX$67="","",Underwriting!DC110)</f>
        <v/>
      </c>
      <c r="CY72" s="487" t="str">
        <f>IF(CY$67="","",Underwriting!DD110)</f>
        <v/>
      </c>
      <c r="CZ72" s="487" t="str">
        <f>IF(CZ$67="","",Underwriting!DE110)</f>
        <v/>
      </c>
      <c r="DA72" s="487" t="str">
        <f>IF(DA$67="","",Underwriting!DF110)</f>
        <v/>
      </c>
      <c r="DB72" s="487" t="str">
        <f>IF(DB$67="","",Underwriting!DG110)</f>
        <v/>
      </c>
      <c r="DC72" s="487" t="str">
        <f>IF(DC$67="","",Underwriting!DH110)</f>
        <v/>
      </c>
      <c r="DD72" s="487" t="str">
        <f>IF(DD$67="","",Underwriting!DI110)</f>
        <v/>
      </c>
      <c r="DE72" s="487" t="str">
        <f>IF(DE$67="","",Underwriting!DJ110)</f>
        <v/>
      </c>
      <c r="DF72" s="487" t="str">
        <f>IF(DF$67="","",Underwriting!DK110)</f>
        <v/>
      </c>
      <c r="DG72" s="487" t="str">
        <f>IF(DG$67="","",Underwriting!DL110)</f>
        <v/>
      </c>
      <c r="DH72" s="487" t="str">
        <f>IF(DH$67="","",Underwriting!DM110)</f>
        <v/>
      </c>
      <c r="DI72" s="487" t="str">
        <f>IF(DI$67="","",Underwriting!DN110)</f>
        <v/>
      </c>
      <c r="DJ72" s="487" t="str">
        <f>IF(DJ$67="","",Underwriting!DO110)</f>
        <v/>
      </c>
      <c r="DK72" s="487" t="str">
        <f>IF(DK$67="","",Underwriting!DP110)</f>
        <v/>
      </c>
      <c r="DL72" s="487" t="str">
        <f>IF(DL$67="","",Underwriting!DQ110)</f>
        <v/>
      </c>
      <c r="DM72" s="487" t="str">
        <f>IF(DM$67="","",Underwriting!DR110)</f>
        <v/>
      </c>
      <c r="DN72" s="487" t="str">
        <f>IF(DN$67="","",Underwriting!DS110)</f>
        <v/>
      </c>
      <c r="DO72" s="487" t="str">
        <f>IF(DO$67="","",Underwriting!DT110)</f>
        <v/>
      </c>
      <c r="DP72" s="487" t="str">
        <f>IF(DP$67="","",Underwriting!DU110)</f>
        <v/>
      </c>
      <c r="DQ72" s="487" t="str">
        <f>IF(DQ$67="","",Underwriting!DV110)</f>
        <v/>
      </c>
      <c r="DR72" s="487" t="str">
        <f>IF(DR$67="","",Underwriting!DW110)</f>
        <v/>
      </c>
      <c r="DS72" s="487" t="str">
        <f>IF(DS$67="","",Underwriting!DX110)</f>
        <v/>
      </c>
      <c r="DT72" s="487" t="str">
        <f>IF(DT$67="","",Underwriting!DY110)</f>
        <v/>
      </c>
      <c r="DU72" s="487" t="str">
        <f>IF(DU$67="","",Underwriting!DZ110)</f>
        <v/>
      </c>
      <c r="DV72" s="487" t="str">
        <f>IF(DV$67="","",Underwriting!EA110)</f>
        <v/>
      </c>
      <c r="DW72" s="487" t="str">
        <f>IF(DW$67="","",Underwriting!EB110)</f>
        <v/>
      </c>
      <c r="DX72" s="487" t="str">
        <f>IF(DX$67="","",Underwriting!EC110)</f>
        <v/>
      </c>
      <c r="DY72" s="487" t="str">
        <f>IF(DY$67="","",Underwriting!ED110)</f>
        <v/>
      </c>
      <c r="DZ72" s="487" t="str">
        <f>IF(DZ$67="","",Underwriting!EE110)</f>
        <v/>
      </c>
      <c r="EA72" s="487" t="str">
        <f>IF(EA$67="","",Underwriting!EF110)</f>
        <v/>
      </c>
      <c r="EB72" s="487" t="str">
        <f>IF(EB$67="","",Underwriting!EG110)</f>
        <v/>
      </c>
      <c r="EC72" s="487" t="str">
        <f>IF(EC$67="","",Underwriting!EH110)</f>
        <v/>
      </c>
      <c r="ED72" s="487" t="str">
        <f>IF(ED$67="","",Underwriting!EI110)</f>
        <v/>
      </c>
      <c r="EE72" s="487" t="str">
        <f>IF(EE$67="","",Underwriting!EJ110)</f>
        <v/>
      </c>
      <c r="EF72" s="487" t="str">
        <f>IF(EF$67="","",Underwriting!EK110)</f>
        <v/>
      </c>
      <c r="EG72" s="487" t="str">
        <f>IF(EG$67="","",Underwriting!EL110)</f>
        <v/>
      </c>
      <c r="EH72" s="487" t="str">
        <f>IF(EH$67="","",Underwriting!EM110)</f>
        <v/>
      </c>
      <c r="EI72" s="487" t="str">
        <f>IF(EI$67="","",Underwriting!EN110)</f>
        <v/>
      </c>
    </row>
    <row r="73" spans="2:139" hidden="1" outlineLevel="1" x14ac:dyDescent="0.2">
      <c r="B73" s="212" t="s">
        <v>147</v>
      </c>
      <c r="C73" s="4"/>
      <c r="D73" s="4"/>
      <c r="E73" s="4"/>
      <c r="F73" s="4"/>
      <c r="G73" s="487">
        <f>SUM(G71:G72)</f>
        <v>0</v>
      </c>
      <c r="H73" s="487">
        <f t="shared" ref="H73:BS73" si="44">SUM(H71:H72)</f>
        <v>0</v>
      </c>
      <c r="I73" s="487">
        <f t="shared" si="44"/>
        <v>0</v>
      </c>
      <c r="J73" s="487">
        <f t="shared" si="44"/>
        <v>0</v>
      </c>
      <c r="K73" s="487">
        <f t="shared" si="44"/>
        <v>0</v>
      </c>
      <c r="L73" s="487">
        <f t="shared" si="44"/>
        <v>0</v>
      </c>
      <c r="M73" s="487">
        <f t="shared" si="44"/>
        <v>0</v>
      </c>
      <c r="N73" s="487">
        <f t="shared" si="44"/>
        <v>0</v>
      </c>
      <c r="O73" s="487">
        <f t="shared" si="44"/>
        <v>0</v>
      </c>
      <c r="P73" s="487">
        <f t="shared" si="44"/>
        <v>0</v>
      </c>
      <c r="Q73" s="487">
        <f t="shared" si="44"/>
        <v>0</v>
      </c>
      <c r="R73" s="487">
        <f t="shared" si="44"/>
        <v>0</v>
      </c>
      <c r="S73" s="487">
        <f t="shared" si="44"/>
        <v>0</v>
      </c>
      <c r="T73" s="487">
        <f t="shared" si="44"/>
        <v>0</v>
      </c>
      <c r="U73" s="487">
        <f t="shared" si="44"/>
        <v>0</v>
      </c>
      <c r="V73" s="487">
        <f t="shared" si="44"/>
        <v>0</v>
      </c>
      <c r="W73" s="487">
        <f t="shared" si="44"/>
        <v>0</v>
      </c>
      <c r="X73" s="487">
        <f t="shared" si="44"/>
        <v>0</v>
      </c>
      <c r="Y73" s="487">
        <f t="shared" si="44"/>
        <v>0</v>
      </c>
      <c r="Z73" s="487">
        <f t="shared" si="44"/>
        <v>12926.582184615392</v>
      </c>
      <c r="AA73" s="487">
        <f t="shared" si="44"/>
        <v>47066.760051282057</v>
      </c>
      <c r="AB73" s="487">
        <f t="shared" si="44"/>
        <v>81206.937917948715</v>
      </c>
      <c r="AC73" s="487">
        <f t="shared" si="44"/>
        <v>115347.11578461539</v>
      </c>
      <c r="AD73" s="487">
        <f t="shared" si="44"/>
        <v>149487.29365128206</v>
      </c>
      <c r="AE73" s="487">
        <f t="shared" si="44"/>
        <v>183627.47151794872</v>
      </c>
      <c r="AF73" s="487">
        <f t="shared" si="44"/>
        <v>217767.64938461539</v>
      </c>
      <c r="AG73" s="487">
        <f t="shared" si="44"/>
        <v>251907.82725128205</v>
      </c>
      <c r="AH73" s="487">
        <f t="shared" si="44"/>
        <v>286048.00511794869</v>
      </c>
      <c r="AI73" s="487">
        <f t="shared" si="44"/>
        <v>320188.18298461539</v>
      </c>
      <c r="AJ73" s="487">
        <f t="shared" si="44"/>
        <v>354328.36085128208</v>
      </c>
      <c r="AK73" s="487">
        <f t="shared" si="44"/>
        <v>388468.53871794877</v>
      </c>
      <c r="AL73" s="487">
        <f t="shared" si="44"/>
        <v>435286.97808215383</v>
      </c>
      <c r="AM73" s="487">
        <f t="shared" si="44"/>
        <v>470451.36128482054</v>
      </c>
      <c r="AN73" s="487">
        <f t="shared" si="44"/>
        <v>511725.98653999995</v>
      </c>
      <c r="AO73" s="487">
        <f t="shared" si="44"/>
        <v>512870.97404</v>
      </c>
      <c r="AP73" s="487">
        <f t="shared" si="44"/>
        <v>514015.96153999999</v>
      </c>
      <c r="AQ73" s="487">
        <f t="shared" si="44"/>
        <v>515160.94903999998</v>
      </c>
      <c r="AR73" s="487">
        <f t="shared" si="44"/>
        <v>516305.93653999997</v>
      </c>
      <c r="AS73" s="487">
        <f t="shared" si="44"/>
        <v>517450.92403999995</v>
      </c>
      <c r="AT73" s="487">
        <f t="shared" si="44"/>
        <v>518595.91154</v>
      </c>
      <c r="AU73" s="487">
        <f t="shared" si="44"/>
        <v>519740.89903999999</v>
      </c>
      <c r="AV73" s="487">
        <f t="shared" si="44"/>
        <v>520885.88653999998</v>
      </c>
      <c r="AW73" s="487">
        <f t="shared" si="44"/>
        <v>522030.87403999997</v>
      </c>
      <c r="AX73" s="487">
        <f t="shared" si="44"/>
        <v>538871.1373861999</v>
      </c>
      <c r="AY73" s="487">
        <f t="shared" si="44"/>
        <v>540050.47451119986</v>
      </c>
      <c r="AZ73" s="487">
        <f t="shared" si="44"/>
        <v>527077.76613619993</v>
      </c>
      <c r="BA73" s="487">
        <f t="shared" si="44"/>
        <v>0</v>
      </c>
      <c r="BB73" s="487">
        <f t="shared" si="44"/>
        <v>0</v>
      </c>
      <c r="BC73" s="487">
        <f t="shared" si="44"/>
        <v>0</v>
      </c>
      <c r="BD73" s="487">
        <f t="shared" si="44"/>
        <v>0</v>
      </c>
      <c r="BE73" s="487">
        <f t="shared" si="44"/>
        <v>0</v>
      </c>
      <c r="BF73" s="487">
        <f t="shared" si="44"/>
        <v>0</v>
      </c>
      <c r="BG73" s="487">
        <f t="shared" si="44"/>
        <v>0</v>
      </c>
      <c r="BH73" s="487">
        <f t="shared" si="44"/>
        <v>0</v>
      </c>
      <c r="BI73" s="487">
        <f t="shared" si="44"/>
        <v>0</v>
      </c>
      <c r="BJ73" s="487">
        <f t="shared" si="44"/>
        <v>0</v>
      </c>
      <c r="BK73" s="487">
        <f t="shared" si="44"/>
        <v>0</v>
      </c>
      <c r="BL73" s="487">
        <f t="shared" si="44"/>
        <v>0</v>
      </c>
      <c r="BM73" s="487">
        <f t="shared" si="44"/>
        <v>0</v>
      </c>
      <c r="BN73" s="487">
        <f t="shared" si="44"/>
        <v>0</v>
      </c>
      <c r="BO73" s="487">
        <f t="shared" si="44"/>
        <v>0</v>
      </c>
      <c r="BP73" s="487">
        <f t="shared" si="44"/>
        <v>0</v>
      </c>
      <c r="BQ73" s="487">
        <f t="shared" si="44"/>
        <v>0</v>
      </c>
      <c r="BR73" s="487">
        <f t="shared" si="44"/>
        <v>0</v>
      </c>
      <c r="BS73" s="487">
        <f t="shared" si="44"/>
        <v>0</v>
      </c>
      <c r="BT73" s="487">
        <f t="shared" ref="BT73:EE73" si="45">SUM(BT71:BT72)</f>
        <v>0</v>
      </c>
      <c r="BU73" s="487">
        <f t="shared" si="45"/>
        <v>0</v>
      </c>
      <c r="BV73" s="487">
        <f t="shared" si="45"/>
        <v>0</v>
      </c>
      <c r="BW73" s="487">
        <f t="shared" si="45"/>
        <v>0</v>
      </c>
      <c r="BX73" s="487">
        <f t="shared" si="45"/>
        <v>0</v>
      </c>
      <c r="BY73" s="487">
        <f t="shared" si="45"/>
        <v>0</v>
      </c>
      <c r="BZ73" s="487">
        <f t="shared" si="45"/>
        <v>0</v>
      </c>
      <c r="CA73" s="487">
        <f t="shared" si="45"/>
        <v>0</v>
      </c>
      <c r="CB73" s="487">
        <f t="shared" si="45"/>
        <v>0</v>
      </c>
      <c r="CC73" s="487">
        <f t="shared" si="45"/>
        <v>0</v>
      </c>
      <c r="CD73" s="487">
        <f t="shared" si="45"/>
        <v>0</v>
      </c>
      <c r="CE73" s="487">
        <f t="shared" si="45"/>
        <v>0</v>
      </c>
      <c r="CF73" s="487">
        <f t="shared" si="45"/>
        <v>0</v>
      </c>
      <c r="CG73" s="487">
        <f t="shared" si="45"/>
        <v>0</v>
      </c>
      <c r="CH73" s="487">
        <f t="shared" si="45"/>
        <v>0</v>
      </c>
      <c r="CI73" s="487">
        <f t="shared" si="45"/>
        <v>0</v>
      </c>
      <c r="CJ73" s="487">
        <f t="shared" si="45"/>
        <v>0</v>
      </c>
      <c r="CK73" s="487">
        <f t="shared" si="45"/>
        <v>0</v>
      </c>
      <c r="CL73" s="487">
        <f t="shared" si="45"/>
        <v>0</v>
      </c>
      <c r="CM73" s="487">
        <f t="shared" si="45"/>
        <v>0</v>
      </c>
      <c r="CN73" s="487">
        <f t="shared" si="45"/>
        <v>0</v>
      </c>
      <c r="CO73" s="487">
        <f t="shared" si="45"/>
        <v>0</v>
      </c>
      <c r="CP73" s="487">
        <f t="shared" si="45"/>
        <v>0</v>
      </c>
      <c r="CQ73" s="487">
        <f t="shared" si="45"/>
        <v>0</v>
      </c>
      <c r="CR73" s="487">
        <f t="shared" si="45"/>
        <v>0</v>
      </c>
      <c r="CS73" s="487">
        <f t="shared" si="45"/>
        <v>0</v>
      </c>
      <c r="CT73" s="487">
        <f t="shared" si="45"/>
        <v>0</v>
      </c>
      <c r="CU73" s="487">
        <f t="shared" si="45"/>
        <v>0</v>
      </c>
      <c r="CV73" s="487">
        <f t="shared" si="45"/>
        <v>0</v>
      </c>
      <c r="CW73" s="487">
        <f t="shared" si="45"/>
        <v>0</v>
      </c>
      <c r="CX73" s="487">
        <f t="shared" si="45"/>
        <v>0</v>
      </c>
      <c r="CY73" s="487">
        <f t="shared" si="45"/>
        <v>0</v>
      </c>
      <c r="CZ73" s="487">
        <f t="shared" si="45"/>
        <v>0</v>
      </c>
      <c r="DA73" s="487">
        <f t="shared" si="45"/>
        <v>0</v>
      </c>
      <c r="DB73" s="487">
        <f t="shared" si="45"/>
        <v>0</v>
      </c>
      <c r="DC73" s="487">
        <f t="shared" si="45"/>
        <v>0</v>
      </c>
      <c r="DD73" s="487">
        <f t="shared" si="45"/>
        <v>0</v>
      </c>
      <c r="DE73" s="487">
        <f t="shared" si="45"/>
        <v>0</v>
      </c>
      <c r="DF73" s="487">
        <f t="shared" si="45"/>
        <v>0</v>
      </c>
      <c r="DG73" s="487">
        <f t="shared" si="45"/>
        <v>0</v>
      </c>
      <c r="DH73" s="487">
        <f t="shared" si="45"/>
        <v>0</v>
      </c>
      <c r="DI73" s="487">
        <f t="shared" si="45"/>
        <v>0</v>
      </c>
      <c r="DJ73" s="487">
        <f t="shared" si="45"/>
        <v>0</v>
      </c>
      <c r="DK73" s="487">
        <f t="shared" si="45"/>
        <v>0</v>
      </c>
      <c r="DL73" s="487">
        <f t="shared" si="45"/>
        <v>0</v>
      </c>
      <c r="DM73" s="487">
        <f t="shared" si="45"/>
        <v>0</v>
      </c>
      <c r="DN73" s="487">
        <f t="shared" si="45"/>
        <v>0</v>
      </c>
      <c r="DO73" s="487">
        <f t="shared" si="45"/>
        <v>0</v>
      </c>
      <c r="DP73" s="487">
        <f t="shared" si="45"/>
        <v>0</v>
      </c>
      <c r="DQ73" s="487">
        <f t="shared" si="45"/>
        <v>0</v>
      </c>
      <c r="DR73" s="487">
        <f t="shared" si="45"/>
        <v>0</v>
      </c>
      <c r="DS73" s="487">
        <f t="shared" si="45"/>
        <v>0</v>
      </c>
      <c r="DT73" s="487">
        <f t="shared" si="45"/>
        <v>0</v>
      </c>
      <c r="DU73" s="487">
        <f t="shared" si="45"/>
        <v>0</v>
      </c>
      <c r="DV73" s="487">
        <f t="shared" si="45"/>
        <v>0</v>
      </c>
      <c r="DW73" s="487">
        <f t="shared" si="45"/>
        <v>0</v>
      </c>
      <c r="DX73" s="487">
        <f t="shared" si="45"/>
        <v>0</v>
      </c>
      <c r="DY73" s="487">
        <f t="shared" si="45"/>
        <v>0</v>
      </c>
      <c r="DZ73" s="487">
        <f t="shared" si="45"/>
        <v>0</v>
      </c>
      <c r="EA73" s="487">
        <f t="shared" si="45"/>
        <v>0</v>
      </c>
      <c r="EB73" s="487">
        <f t="shared" si="45"/>
        <v>0</v>
      </c>
      <c r="EC73" s="487">
        <f t="shared" si="45"/>
        <v>0</v>
      </c>
      <c r="ED73" s="487">
        <f t="shared" si="45"/>
        <v>0</v>
      </c>
      <c r="EE73" s="487">
        <f t="shared" si="45"/>
        <v>0</v>
      </c>
      <c r="EF73" s="487">
        <f t="shared" ref="EF73:EI73" si="46">SUM(EF71:EF72)</f>
        <v>0</v>
      </c>
      <c r="EG73" s="487">
        <f t="shared" si="46"/>
        <v>0</v>
      </c>
      <c r="EH73" s="487">
        <f t="shared" si="46"/>
        <v>0</v>
      </c>
      <c r="EI73" s="487">
        <f t="shared" si="46"/>
        <v>0</v>
      </c>
    </row>
    <row r="74" spans="2:139" hidden="1" outlineLevel="1" x14ac:dyDescent="0.2">
      <c r="B74" s="212"/>
      <c r="C74" s="4"/>
      <c r="D74" s="4"/>
      <c r="E74" s="4"/>
      <c r="F74" s="4"/>
      <c r="G74" s="487"/>
      <c r="H74" s="487"/>
      <c r="I74" s="487"/>
      <c r="J74" s="487"/>
      <c r="K74" s="487"/>
      <c r="L74" s="487"/>
      <c r="M74" s="487"/>
      <c r="N74" s="487"/>
      <c r="O74" s="487"/>
      <c r="P74" s="487"/>
      <c r="Q74" s="487"/>
      <c r="R74" s="487"/>
      <c r="S74" s="487"/>
      <c r="T74" s="487"/>
      <c r="U74" s="487"/>
      <c r="V74" s="487"/>
      <c r="W74" s="487"/>
      <c r="X74" s="487"/>
      <c r="Y74" s="487"/>
      <c r="Z74" s="487"/>
      <c r="AA74" s="487"/>
      <c r="AB74" s="487"/>
      <c r="AC74" s="487"/>
      <c r="AD74" s="487"/>
      <c r="AE74" s="487"/>
      <c r="AF74" s="487"/>
      <c r="AG74" s="487"/>
      <c r="AH74" s="487"/>
      <c r="AI74" s="487"/>
      <c r="AJ74" s="487"/>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487"/>
      <c r="BJ74" s="487"/>
      <c r="BK74" s="487"/>
      <c r="BL74" s="487"/>
      <c r="BM74" s="487"/>
      <c r="BN74" s="487"/>
      <c r="BO74" s="487"/>
      <c r="BP74" s="487"/>
      <c r="BQ74" s="487"/>
      <c r="BR74" s="487"/>
      <c r="BS74" s="487"/>
      <c r="BT74" s="487"/>
      <c r="BU74" s="487"/>
      <c r="BV74" s="487"/>
      <c r="BW74" s="487"/>
      <c r="BX74" s="487"/>
      <c r="BY74" s="487"/>
      <c r="BZ74" s="487"/>
      <c r="CA74" s="487"/>
      <c r="CB74" s="487"/>
      <c r="CC74" s="487"/>
      <c r="CD74" s="487"/>
      <c r="CE74" s="487"/>
      <c r="CF74" s="487"/>
      <c r="CG74" s="487"/>
      <c r="CH74" s="487"/>
      <c r="CI74" s="487"/>
      <c r="CJ74" s="487"/>
      <c r="CK74" s="487"/>
      <c r="CL74" s="487"/>
      <c r="CM74" s="487"/>
      <c r="CN74" s="487"/>
      <c r="CO74" s="487"/>
      <c r="CP74" s="487"/>
      <c r="CQ74" s="487"/>
      <c r="CR74" s="487"/>
      <c r="CS74" s="487"/>
      <c r="CT74" s="487"/>
      <c r="CU74" s="487"/>
      <c r="CV74" s="487"/>
      <c r="CW74" s="487"/>
      <c r="CX74" s="487"/>
      <c r="CY74" s="487"/>
      <c r="CZ74" s="487"/>
      <c r="DA74" s="487"/>
      <c r="DB74" s="487"/>
      <c r="DC74" s="487"/>
      <c r="DD74" s="487"/>
      <c r="DE74" s="487"/>
      <c r="DF74" s="487"/>
      <c r="DG74" s="487"/>
      <c r="DH74" s="487"/>
      <c r="DI74" s="487"/>
      <c r="DJ74" s="487"/>
      <c r="DK74" s="487"/>
      <c r="DL74" s="487"/>
      <c r="DM74" s="487"/>
      <c r="DN74" s="487"/>
      <c r="DO74" s="487"/>
      <c r="DP74" s="487"/>
      <c r="DQ74" s="487"/>
      <c r="DR74" s="487"/>
      <c r="DS74" s="487"/>
      <c r="DT74" s="487"/>
      <c r="DU74" s="487"/>
      <c r="DV74" s="487"/>
      <c r="DW74" s="487"/>
      <c r="DX74" s="487"/>
      <c r="DY74" s="487"/>
      <c r="DZ74" s="487"/>
      <c r="EA74" s="487"/>
      <c r="EB74" s="487"/>
      <c r="EC74" s="487"/>
      <c r="ED74" s="487"/>
      <c r="EE74" s="487"/>
      <c r="EF74" s="487"/>
      <c r="EG74" s="487"/>
      <c r="EH74" s="487"/>
      <c r="EI74" s="487"/>
    </row>
    <row r="75" spans="2:139" hidden="1" outlineLevel="1" x14ac:dyDescent="0.2">
      <c r="B75" s="212" t="s">
        <v>135</v>
      </c>
      <c r="C75" s="4"/>
      <c r="D75" s="4"/>
      <c r="E75" s="4"/>
      <c r="F75" s="4"/>
      <c r="G75" s="487"/>
      <c r="H75" s="487"/>
      <c r="I75" s="487"/>
      <c r="J75" s="487"/>
      <c r="K75" s="487"/>
      <c r="L75" s="487"/>
      <c r="M75" s="487"/>
      <c r="N75" s="487"/>
      <c r="O75" s="487"/>
      <c r="P75" s="487"/>
      <c r="Q75" s="487"/>
      <c r="R75" s="487"/>
      <c r="S75" s="487"/>
      <c r="T75" s="487"/>
      <c r="U75" s="487"/>
      <c r="V75" s="487"/>
      <c r="W75" s="487"/>
      <c r="X75" s="487"/>
      <c r="Y75" s="487"/>
      <c r="Z75" s="487"/>
      <c r="AA75" s="487"/>
      <c r="AB75" s="487"/>
      <c r="AC75" s="487"/>
      <c r="AD75" s="487"/>
      <c r="AE75" s="487"/>
      <c r="AF75" s="487"/>
      <c r="AG75" s="487"/>
      <c r="AH75" s="487"/>
      <c r="AI75" s="487"/>
      <c r="AJ75" s="487"/>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487"/>
      <c r="BJ75" s="487"/>
      <c r="BK75" s="487"/>
      <c r="BL75" s="487"/>
      <c r="BM75" s="487"/>
      <c r="BN75" s="487"/>
      <c r="BO75" s="487"/>
      <c r="BP75" s="487"/>
      <c r="BQ75" s="487"/>
      <c r="BR75" s="487"/>
      <c r="BS75" s="487"/>
      <c r="BT75" s="487"/>
      <c r="BU75" s="487"/>
      <c r="BV75" s="487"/>
      <c r="BW75" s="487"/>
      <c r="BX75" s="487"/>
      <c r="BY75" s="487"/>
      <c r="BZ75" s="487"/>
      <c r="CA75" s="487"/>
      <c r="CB75" s="487"/>
      <c r="CC75" s="487"/>
      <c r="CD75" s="487"/>
      <c r="CE75" s="487"/>
      <c r="CF75" s="487"/>
      <c r="CG75" s="487"/>
      <c r="CH75" s="487"/>
      <c r="CI75" s="487"/>
      <c r="CJ75" s="487"/>
      <c r="CK75" s="487"/>
      <c r="CL75" s="487"/>
      <c r="CM75" s="487"/>
      <c r="CN75" s="487"/>
      <c r="CO75" s="487"/>
      <c r="CP75" s="487"/>
      <c r="CQ75" s="487"/>
      <c r="CR75" s="487"/>
      <c r="CS75" s="487"/>
      <c r="CT75" s="487"/>
      <c r="CU75" s="487"/>
      <c r="CV75" s="487"/>
      <c r="CW75" s="487"/>
      <c r="CX75" s="487"/>
      <c r="CY75" s="487"/>
      <c r="CZ75" s="487"/>
      <c r="DA75" s="487"/>
      <c r="DB75" s="487"/>
      <c r="DC75" s="487"/>
      <c r="DD75" s="487"/>
      <c r="DE75" s="487"/>
      <c r="DF75" s="487"/>
      <c r="DG75" s="487"/>
      <c r="DH75" s="487"/>
      <c r="DI75" s="487"/>
      <c r="DJ75" s="487"/>
      <c r="DK75" s="487"/>
      <c r="DL75" s="487"/>
      <c r="DM75" s="487"/>
      <c r="DN75" s="487"/>
      <c r="DO75" s="487"/>
      <c r="DP75" s="487"/>
      <c r="DQ75" s="487"/>
      <c r="DR75" s="487"/>
      <c r="DS75" s="487"/>
      <c r="DT75" s="487"/>
      <c r="DU75" s="487"/>
      <c r="DV75" s="487"/>
      <c r="DW75" s="487"/>
      <c r="DX75" s="487"/>
      <c r="DY75" s="487"/>
      <c r="DZ75" s="487"/>
      <c r="EA75" s="487"/>
      <c r="EB75" s="487"/>
      <c r="EC75" s="487"/>
      <c r="ED75" s="487"/>
      <c r="EE75" s="487"/>
      <c r="EF75" s="487"/>
      <c r="EG75" s="487"/>
      <c r="EH75" s="487"/>
      <c r="EI75" s="487"/>
    </row>
    <row r="76" spans="2:139" hidden="1" outlineLevel="1" x14ac:dyDescent="0.2">
      <c r="B76" s="486" t="s">
        <v>136</v>
      </c>
      <c r="C76" s="4"/>
      <c r="D76" s="4"/>
      <c r="E76" s="4"/>
      <c r="F76" s="4"/>
      <c r="G76" s="487">
        <f>IF(G$67="","",Underwriting!L118)</f>
        <v>0</v>
      </c>
      <c r="H76" s="487">
        <f>IF(H$67="","",Underwriting!M118)</f>
        <v>0</v>
      </c>
      <c r="I76" s="487">
        <f>IF(I$67="","",Underwriting!N118)</f>
        <v>0</v>
      </c>
      <c r="J76" s="487">
        <f>IF(J$67="","",Underwriting!O118)</f>
        <v>0</v>
      </c>
      <c r="K76" s="487">
        <f>IF(K$67="","",Underwriting!P118)</f>
        <v>0</v>
      </c>
      <c r="L76" s="487">
        <f>IF(L$67="","",Underwriting!Q118)</f>
        <v>0</v>
      </c>
      <c r="M76" s="487">
        <f>IF(M$67="","",Underwriting!R118)</f>
        <v>0</v>
      </c>
      <c r="N76" s="487">
        <f>IF(N$67="","",Underwriting!S118)</f>
        <v>0</v>
      </c>
      <c r="O76" s="487">
        <f>IF(O$67="","",Underwriting!T118)</f>
        <v>0</v>
      </c>
      <c r="P76" s="487">
        <f>IF(P$67="","",Underwriting!U118)</f>
        <v>0</v>
      </c>
      <c r="Q76" s="487">
        <f>IF(Q$67="","",Underwriting!V118)</f>
        <v>0</v>
      </c>
      <c r="R76" s="487">
        <f>IF(R$67="","",Underwriting!W118)</f>
        <v>0</v>
      </c>
      <c r="S76" s="487">
        <f>IF(S$67="","",Underwriting!X118)</f>
        <v>0</v>
      </c>
      <c r="T76" s="487">
        <f>IF(T$67="","",Underwriting!Y118)</f>
        <v>0</v>
      </c>
      <c r="U76" s="487">
        <f>IF(U$67="","",Underwriting!Z118)</f>
        <v>0</v>
      </c>
      <c r="V76" s="487">
        <f>IF(V$67="","",Underwriting!AA118)</f>
        <v>0</v>
      </c>
      <c r="W76" s="487">
        <f>IF(W$67="","",Underwriting!AB118)</f>
        <v>0</v>
      </c>
      <c r="X76" s="487">
        <f>IF(X$67="","",Underwriting!AC118)</f>
        <v>0</v>
      </c>
      <c r="Y76" s="487">
        <f>IF(Y$67="","",Underwriting!AD118)</f>
        <v>0</v>
      </c>
      <c r="Z76" s="487">
        <f>IF(Z$67="","",Underwriting!AE118)</f>
        <v>17916.666666666668</v>
      </c>
      <c r="AA76" s="487">
        <f>IF(AA$67="","",Underwriting!AF118)</f>
        <v>17916.666666666668</v>
      </c>
      <c r="AB76" s="487">
        <f>IF(AB$67="","",Underwriting!AG118)</f>
        <v>17916.666666666668</v>
      </c>
      <c r="AC76" s="487">
        <f>IF(AC$67="","",Underwriting!AH118)</f>
        <v>17916.666666666668</v>
      </c>
      <c r="AD76" s="487">
        <f>IF(AD$67="","",Underwriting!AI118)</f>
        <v>17916.666666666668</v>
      </c>
      <c r="AE76" s="487">
        <f>IF(AE$67="","",Underwriting!AJ118)</f>
        <v>17916.666666666668</v>
      </c>
      <c r="AF76" s="487">
        <f>IF(AF$67="","",Underwriting!AK118)</f>
        <v>17916.666666666668</v>
      </c>
      <c r="AG76" s="487">
        <f>IF(AG$67="","",Underwriting!AL118)</f>
        <v>17916.666666666668</v>
      </c>
      <c r="AH76" s="487">
        <f>IF(AH$67="","",Underwriting!AM118)</f>
        <v>17916.666666666668</v>
      </c>
      <c r="AI76" s="487">
        <f>IF(AI$67="","",Underwriting!AN118)</f>
        <v>17916.666666666668</v>
      </c>
      <c r="AJ76" s="487">
        <f>IF(AJ$67="","",Underwriting!AO118)</f>
        <v>17916.666666666668</v>
      </c>
      <c r="AK76" s="487">
        <f>IF(AK$67="","",Underwriting!AP118)</f>
        <v>17916.666666666668</v>
      </c>
      <c r="AL76" s="487">
        <f>IF(AL$67="","",Underwriting!AQ118)</f>
        <v>18454.166666666668</v>
      </c>
      <c r="AM76" s="487">
        <f>IF(AM$67="","",Underwriting!AR118)</f>
        <v>18454.166666666668</v>
      </c>
      <c r="AN76" s="487">
        <f>IF(AN$67="","",Underwriting!AS118)</f>
        <v>18454.166666666668</v>
      </c>
      <c r="AO76" s="487">
        <f>IF(AO$67="","",Underwriting!AT118)</f>
        <v>18454.166666666668</v>
      </c>
      <c r="AP76" s="487">
        <f>IF(AP$67="","",Underwriting!AU118)</f>
        <v>18454.166666666668</v>
      </c>
      <c r="AQ76" s="487">
        <f>IF(AQ$67="","",Underwriting!AV118)</f>
        <v>18454.166666666668</v>
      </c>
      <c r="AR76" s="487">
        <f>IF(AR$67="","",Underwriting!AW118)</f>
        <v>18454.166666666668</v>
      </c>
      <c r="AS76" s="487">
        <f>IF(AS$67="","",Underwriting!AX118)</f>
        <v>18454.166666666668</v>
      </c>
      <c r="AT76" s="487">
        <f>IF(AT$67="","",Underwriting!AY118)</f>
        <v>18454.166666666668</v>
      </c>
      <c r="AU76" s="487">
        <f>IF(AU$67="","",Underwriting!AZ118)</f>
        <v>18454.166666666668</v>
      </c>
      <c r="AV76" s="487">
        <f>IF(AV$67="","",Underwriting!BA118)</f>
        <v>18454.166666666668</v>
      </c>
      <c r="AW76" s="487">
        <f>IF(AW$67="","",Underwriting!BB118)</f>
        <v>18454.166666666668</v>
      </c>
      <c r="AX76" s="487">
        <f>IF(AX$67="","",Underwriting!BC118)</f>
        <v>19007.791666666668</v>
      </c>
      <c r="AY76" s="487">
        <f>IF(AY$67="","",Underwriting!BD118)</f>
        <v>19007.791666666668</v>
      </c>
      <c r="AZ76" s="487">
        <f>IF(AZ$67="","",Underwriting!BE118)</f>
        <v>19007.791666666668</v>
      </c>
      <c r="BA76" s="487" t="str">
        <f>IF(BA$67="","",Underwriting!BF118)</f>
        <v/>
      </c>
      <c r="BB76" s="487" t="str">
        <f>IF(BB$67="","",Underwriting!BG118)</f>
        <v/>
      </c>
      <c r="BC76" s="487" t="str">
        <f>IF(BC$67="","",Underwriting!BH118)</f>
        <v/>
      </c>
      <c r="BD76" s="487" t="str">
        <f>IF(BD$67="","",Underwriting!BI118)</f>
        <v/>
      </c>
      <c r="BE76" s="487" t="str">
        <f>IF(BE$67="","",Underwriting!BJ118)</f>
        <v/>
      </c>
      <c r="BF76" s="487" t="str">
        <f>IF(BF$67="","",Underwriting!BK118)</f>
        <v/>
      </c>
      <c r="BG76" s="487" t="str">
        <f>IF(BG$67="","",Underwriting!BL118)</f>
        <v/>
      </c>
      <c r="BH76" s="487" t="str">
        <f>IF(BH$67="","",Underwriting!BM118)</f>
        <v/>
      </c>
      <c r="BI76" s="487" t="str">
        <f>IF(BI$67="","",Underwriting!BN118)</f>
        <v/>
      </c>
      <c r="BJ76" s="487" t="str">
        <f>IF(BJ$67="","",Underwriting!BO118)</f>
        <v/>
      </c>
      <c r="BK76" s="487" t="str">
        <f>IF(BK$67="","",Underwriting!BP118)</f>
        <v/>
      </c>
      <c r="BL76" s="487" t="str">
        <f>IF(BL$67="","",Underwriting!BQ118)</f>
        <v/>
      </c>
      <c r="BM76" s="487" t="str">
        <f>IF(BM$67="","",Underwriting!BR118)</f>
        <v/>
      </c>
      <c r="BN76" s="487" t="str">
        <f>IF(BN$67="","",Underwriting!BS118)</f>
        <v/>
      </c>
      <c r="BO76" s="487" t="str">
        <f>IF(BO$67="","",Underwriting!BT118)</f>
        <v/>
      </c>
      <c r="BP76" s="487" t="str">
        <f>IF(BP$67="","",Underwriting!BU118)</f>
        <v/>
      </c>
      <c r="BQ76" s="487" t="str">
        <f>IF(BQ$67="","",Underwriting!BV118)</f>
        <v/>
      </c>
      <c r="BR76" s="487" t="str">
        <f>IF(BR$67="","",Underwriting!BW118)</f>
        <v/>
      </c>
      <c r="BS76" s="487" t="str">
        <f>IF(BS$67="","",Underwriting!BX118)</f>
        <v/>
      </c>
      <c r="BT76" s="487" t="str">
        <f>IF(BT$67="","",Underwriting!BY118)</f>
        <v/>
      </c>
      <c r="BU76" s="487" t="str">
        <f>IF(BU$67="","",Underwriting!BZ118)</f>
        <v/>
      </c>
      <c r="BV76" s="487" t="str">
        <f>IF(BV$67="","",Underwriting!CA118)</f>
        <v/>
      </c>
      <c r="BW76" s="487" t="str">
        <f>IF(BW$67="","",Underwriting!CB118)</f>
        <v/>
      </c>
      <c r="BX76" s="487" t="str">
        <f>IF(BX$67="","",Underwriting!CC118)</f>
        <v/>
      </c>
      <c r="BY76" s="487" t="str">
        <f>IF(BY$67="","",Underwriting!CD118)</f>
        <v/>
      </c>
      <c r="BZ76" s="487" t="str">
        <f>IF(BZ$67="","",Underwriting!CE118)</f>
        <v/>
      </c>
      <c r="CA76" s="487" t="str">
        <f>IF(CA$67="","",Underwriting!CF118)</f>
        <v/>
      </c>
      <c r="CB76" s="487" t="str">
        <f>IF(CB$67="","",Underwriting!CG118)</f>
        <v/>
      </c>
      <c r="CC76" s="487" t="str">
        <f>IF(CC$67="","",Underwriting!CH118)</f>
        <v/>
      </c>
      <c r="CD76" s="487" t="str">
        <f>IF(CD$67="","",Underwriting!CI118)</f>
        <v/>
      </c>
      <c r="CE76" s="487" t="str">
        <f>IF(CE$67="","",Underwriting!CJ118)</f>
        <v/>
      </c>
      <c r="CF76" s="487" t="str">
        <f>IF(CF$67="","",Underwriting!CK118)</f>
        <v/>
      </c>
      <c r="CG76" s="487" t="str">
        <f>IF(CG$67="","",Underwriting!CL118)</f>
        <v/>
      </c>
      <c r="CH76" s="487" t="str">
        <f>IF(CH$67="","",Underwriting!CM118)</f>
        <v/>
      </c>
      <c r="CI76" s="487" t="str">
        <f>IF(CI$67="","",Underwriting!CN118)</f>
        <v/>
      </c>
      <c r="CJ76" s="487" t="str">
        <f>IF(CJ$67="","",Underwriting!CO118)</f>
        <v/>
      </c>
      <c r="CK76" s="487" t="str">
        <f>IF(CK$67="","",Underwriting!CP118)</f>
        <v/>
      </c>
      <c r="CL76" s="487" t="str">
        <f>IF(CL$67="","",Underwriting!CQ118)</f>
        <v/>
      </c>
      <c r="CM76" s="487" t="str">
        <f>IF(CM$67="","",Underwriting!CR118)</f>
        <v/>
      </c>
      <c r="CN76" s="487" t="str">
        <f>IF(CN$67="","",Underwriting!CS118)</f>
        <v/>
      </c>
      <c r="CO76" s="487" t="str">
        <f>IF(CO$67="","",Underwriting!CT118)</f>
        <v/>
      </c>
      <c r="CP76" s="487" t="str">
        <f>IF(CP$67="","",Underwriting!CU118)</f>
        <v/>
      </c>
      <c r="CQ76" s="487" t="str">
        <f>IF(CQ$67="","",Underwriting!CV118)</f>
        <v/>
      </c>
      <c r="CR76" s="487" t="str">
        <f>IF(CR$67="","",Underwriting!CW118)</f>
        <v/>
      </c>
      <c r="CS76" s="487" t="str">
        <f>IF(CS$67="","",Underwriting!CX118)</f>
        <v/>
      </c>
      <c r="CT76" s="487" t="str">
        <f>IF(CT$67="","",Underwriting!CY118)</f>
        <v/>
      </c>
      <c r="CU76" s="487" t="str">
        <f>IF(CU$67="","",Underwriting!CZ118)</f>
        <v/>
      </c>
      <c r="CV76" s="487" t="str">
        <f>IF(CV$67="","",Underwriting!DA118)</f>
        <v/>
      </c>
      <c r="CW76" s="487" t="str">
        <f>IF(CW$67="","",Underwriting!DB118)</f>
        <v/>
      </c>
      <c r="CX76" s="487" t="str">
        <f>IF(CX$67="","",Underwriting!DC118)</f>
        <v/>
      </c>
      <c r="CY76" s="487" t="str">
        <f>IF(CY$67="","",Underwriting!DD118)</f>
        <v/>
      </c>
      <c r="CZ76" s="487" t="str">
        <f>IF(CZ$67="","",Underwriting!DE118)</f>
        <v/>
      </c>
      <c r="DA76" s="487" t="str">
        <f>IF(DA$67="","",Underwriting!DF118)</f>
        <v/>
      </c>
      <c r="DB76" s="487" t="str">
        <f>IF(DB$67="","",Underwriting!DG118)</f>
        <v/>
      </c>
      <c r="DC76" s="487" t="str">
        <f>IF(DC$67="","",Underwriting!DH118)</f>
        <v/>
      </c>
      <c r="DD76" s="487" t="str">
        <f>IF(DD$67="","",Underwriting!DI118)</f>
        <v/>
      </c>
      <c r="DE76" s="487" t="str">
        <f>IF(DE$67="","",Underwriting!DJ118)</f>
        <v/>
      </c>
      <c r="DF76" s="487" t="str">
        <f>IF(DF$67="","",Underwriting!DK118)</f>
        <v/>
      </c>
      <c r="DG76" s="487" t="str">
        <f>IF(DG$67="","",Underwriting!DL118)</f>
        <v/>
      </c>
      <c r="DH76" s="487" t="str">
        <f>IF(DH$67="","",Underwriting!DM118)</f>
        <v/>
      </c>
      <c r="DI76" s="487" t="str">
        <f>IF(DI$67="","",Underwriting!DN118)</f>
        <v/>
      </c>
      <c r="DJ76" s="487" t="str">
        <f>IF(DJ$67="","",Underwriting!DO118)</f>
        <v/>
      </c>
      <c r="DK76" s="487" t="str">
        <f>IF(DK$67="","",Underwriting!DP118)</f>
        <v/>
      </c>
      <c r="DL76" s="487" t="str">
        <f>IF(DL$67="","",Underwriting!DQ118)</f>
        <v/>
      </c>
      <c r="DM76" s="487" t="str">
        <f>IF(DM$67="","",Underwriting!DR118)</f>
        <v/>
      </c>
      <c r="DN76" s="487" t="str">
        <f>IF(DN$67="","",Underwriting!DS118)</f>
        <v/>
      </c>
      <c r="DO76" s="487" t="str">
        <f>IF(DO$67="","",Underwriting!DT118)</f>
        <v/>
      </c>
      <c r="DP76" s="487" t="str">
        <f>IF(DP$67="","",Underwriting!DU118)</f>
        <v/>
      </c>
      <c r="DQ76" s="487" t="str">
        <f>IF(DQ$67="","",Underwriting!DV118)</f>
        <v/>
      </c>
      <c r="DR76" s="487" t="str">
        <f>IF(DR$67="","",Underwriting!DW118)</f>
        <v/>
      </c>
      <c r="DS76" s="487" t="str">
        <f>IF(DS$67="","",Underwriting!DX118)</f>
        <v/>
      </c>
      <c r="DT76" s="487" t="str">
        <f>IF(DT$67="","",Underwriting!DY118)</f>
        <v/>
      </c>
      <c r="DU76" s="487" t="str">
        <f>IF(DU$67="","",Underwriting!DZ118)</f>
        <v/>
      </c>
      <c r="DV76" s="487" t="str">
        <f>IF(DV$67="","",Underwriting!EA118)</f>
        <v/>
      </c>
      <c r="DW76" s="487" t="str">
        <f>IF(DW$67="","",Underwriting!EB118)</f>
        <v/>
      </c>
      <c r="DX76" s="487" t="str">
        <f>IF(DX$67="","",Underwriting!EC118)</f>
        <v/>
      </c>
      <c r="DY76" s="487" t="str">
        <f>IF(DY$67="","",Underwriting!ED118)</f>
        <v/>
      </c>
      <c r="DZ76" s="487" t="str">
        <f>IF(DZ$67="","",Underwriting!EE118)</f>
        <v/>
      </c>
      <c r="EA76" s="487" t="str">
        <f>IF(EA$67="","",Underwriting!EF118)</f>
        <v/>
      </c>
      <c r="EB76" s="487" t="str">
        <f>IF(EB$67="","",Underwriting!EG118)</f>
        <v/>
      </c>
      <c r="EC76" s="487" t="str">
        <f>IF(EC$67="","",Underwriting!EH118)</f>
        <v/>
      </c>
      <c r="ED76" s="487" t="str">
        <f>IF(ED$67="","",Underwriting!EI118)</f>
        <v/>
      </c>
      <c r="EE76" s="487" t="str">
        <f>IF(EE$67="","",Underwriting!EJ118)</f>
        <v/>
      </c>
      <c r="EF76" s="487" t="str">
        <f>IF(EF$67="","",Underwriting!EK118)</f>
        <v/>
      </c>
      <c r="EG76" s="487" t="str">
        <f>IF(EG$67="","",Underwriting!EL118)</f>
        <v/>
      </c>
      <c r="EH76" s="487" t="str">
        <f>IF(EH$67="","",Underwriting!EM118)</f>
        <v/>
      </c>
      <c r="EI76" s="487" t="str">
        <f>IF(EI$67="","",Underwriting!EN118)</f>
        <v/>
      </c>
    </row>
    <row r="77" spans="2:139" hidden="1" outlineLevel="1" x14ac:dyDescent="0.2">
      <c r="B77" s="486" t="s">
        <v>137</v>
      </c>
      <c r="C77" s="4"/>
      <c r="D77" s="4"/>
      <c r="E77" s="4"/>
      <c r="F77" s="4"/>
      <c r="G77" s="487">
        <f>IF(G$67="","",Underwriting!L119)</f>
        <v>0</v>
      </c>
      <c r="H77" s="487">
        <f>IF(H$67="","",Underwriting!M119)</f>
        <v>0</v>
      </c>
      <c r="I77" s="487">
        <f>IF(I$67="","",Underwriting!N119)</f>
        <v>0</v>
      </c>
      <c r="J77" s="487">
        <f>IF(J$67="","",Underwriting!O119)</f>
        <v>0</v>
      </c>
      <c r="K77" s="487">
        <f>IF(K$67="","",Underwriting!P119)</f>
        <v>0</v>
      </c>
      <c r="L77" s="487">
        <f>IF(L$67="","",Underwriting!Q119)</f>
        <v>0</v>
      </c>
      <c r="M77" s="487">
        <f>IF(M$67="","",Underwriting!R119)</f>
        <v>0</v>
      </c>
      <c r="N77" s="487">
        <f>IF(N$67="","",Underwriting!S119)</f>
        <v>0</v>
      </c>
      <c r="O77" s="487">
        <f>IF(O$67="","",Underwriting!T119)</f>
        <v>0</v>
      </c>
      <c r="P77" s="487">
        <f>IF(P$67="","",Underwriting!U119)</f>
        <v>0</v>
      </c>
      <c r="Q77" s="487">
        <f>IF(Q$67="","",Underwriting!V119)</f>
        <v>0</v>
      </c>
      <c r="R77" s="487">
        <f>IF(R$67="","",Underwriting!W119)</f>
        <v>0</v>
      </c>
      <c r="S77" s="487">
        <f>IF(S$67="","",Underwriting!X119)</f>
        <v>0</v>
      </c>
      <c r="T77" s="487">
        <f>IF(T$67="","",Underwriting!Y119)</f>
        <v>0</v>
      </c>
      <c r="U77" s="487">
        <f>IF(U$67="","",Underwriting!Z119)</f>
        <v>0</v>
      </c>
      <c r="V77" s="487">
        <f>IF(V$67="","",Underwriting!AA119)</f>
        <v>0</v>
      </c>
      <c r="W77" s="487">
        <f>IF(W$67="","",Underwriting!AB119)</f>
        <v>0</v>
      </c>
      <c r="X77" s="487">
        <f>IF(X$67="","",Underwriting!AC119)</f>
        <v>0</v>
      </c>
      <c r="Y77" s="487">
        <f>IF(Y$67="","",Underwriting!AD119)</f>
        <v>0</v>
      </c>
      <c r="Z77" s="487">
        <f>IF(Z$67="","",Underwriting!AE119)</f>
        <v>32925</v>
      </c>
      <c r="AA77" s="487">
        <f>IF(AA$67="","",Underwriting!AF119)</f>
        <v>32925</v>
      </c>
      <c r="AB77" s="487">
        <f>IF(AB$67="","",Underwriting!AG119)</f>
        <v>32925</v>
      </c>
      <c r="AC77" s="487">
        <f>IF(AC$67="","",Underwriting!AH119)</f>
        <v>32925</v>
      </c>
      <c r="AD77" s="487">
        <f>IF(AD$67="","",Underwriting!AI119)</f>
        <v>32925</v>
      </c>
      <c r="AE77" s="487">
        <f>IF(AE$67="","",Underwriting!AJ119)</f>
        <v>32925</v>
      </c>
      <c r="AF77" s="487">
        <f>IF(AF$67="","",Underwriting!AK119)</f>
        <v>32925</v>
      </c>
      <c r="AG77" s="487">
        <f>IF(AG$67="","",Underwriting!AL119)</f>
        <v>32925</v>
      </c>
      <c r="AH77" s="487">
        <f>IF(AH$67="","",Underwriting!AM119)</f>
        <v>32925</v>
      </c>
      <c r="AI77" s="487">
        <f>IF(AI$67="","",Underwriting!AN119)</f>
        <v>32925</v>
      </c>
      <c r="AJ77" s="487">
        <f>IF(AJ$67="","",Underwriting!AO119)</f>
        <v>32925</v>
      </c>
      <c r="AK77" s="487">
        <f>IF(AK$67="","",Underwriting!AP119)</f>
        <v>32925</v>
      </c>
      <c r="AL77" s="487">
        <f>IF(AL$67="","",Underwriting!AQ119)</f>
        <v>33912.75</v>
      </c>
      <c r="AM77" s="487">
        <f>IF(AM$67="","",Underwriting!AR119)</f>
        <v>33912.75</v>
      </c>
      <c r="AN77" s="487">
        <f>IF(AN$67="","",Underwriting!AS119)</f>
        <v>33912.75</v>
      </c>
      <c r="AO77" s="487">
        <f>IF(AO$67="","",Underwriting!AT119)</f>
        <v>33912.75</v>
      </c>
      <c r="AP77" s="487">
        <f>IF(AP$67="","",Underwriting!AU119)</f>
        <v>33912.75</v>
      </c>
      <c r="AQ77" s="487">
        <f>IF(AQ$67="","",Underwriting!AV119)</f>
        <v>33912.75</v>
      </c>
      <c r="AR77" s="487">
        <f>IF(AR$67="","",Underwriting!AW119)</f>
        <v>33912.75</v>
      </c>
      <c r="AS77" s="487">
        <f>IF(AS$67="","",Underwriting!AX119)</f>
        <v>33912.75</v>
      </c>
      <c r="AT77" s="487">
        <f>IF(AT$67="","",Underwriting!AY119)</f>
        <v>33912.75</v>
      </c>
      <c r="AU77" s="487">
        <f>IF(AU$67="","",Underwriting!AZ119)</f>
        <v>33912.75</v>
      </c>
      <c r="AV77" s="487">
        <f>IF(AV$67="","",Underwriting!BA119)</f>
        <v>33912.75</v>
      </c>
      <c r="AW77" s="487">
        <f>IF(AW$67="","",Underwriting!BB119)</f>
        <v>33912.75</v>
      </c>
      <c r="AX77" s="487">
        <f>IF(AX$67="","",Underwriting!BC119)</f>
        <v>34930.1325</v>
      </c>
      <c r="AY77" s="487">
        <f>IF(AY$67="","",Underwriting!BD119)</f>
        <v>34930.1325</v>
      </c>
      <c r="AZ77" s="487">
        <f>IF(AZ$67="","",Underwriting!BE119)</f>
        <v>34930.1325</v>
      </c>
      <c r="BA77" s="487" t="str">
        <f>IF(BA$67="","",Underwriting!BF119)</f>
        <v/>
      </c>
      <c r="BB77" s="487" t="str">
        <f>IF(BB$67="","",Underwriting!BG119)</f>
        <v/>
      </c>
      <c r="BC77" s="487" t="str">
        <f>IF(BC$67="","",Underwriting!BH119)</f>
        <v/>
      </c>
      <c r="BD77" s="487" t="str">
        <f>IF(BD$67="","",Underwriting!BI119)</f>
        <v/>
      </c>
      <c r="BE77" s="487" t="str">
        <f>IF(BE$67="","",Underwriting!BJ119)</f>
        <v/>
      </c>
      <c r="BF77" s="487" t="str">
        <f>IF(BF$67="","",Underwriting!BK119)</f>
        <v/>
      </c>
      <c r="BG77" s="487" t="str">
        <f>IF(BG$67="","",Underwriting!BL119)</f>
        <v/>
      </c>
      <c r="BH77" s="487" t="str">
        <f>IF(BH$67="","",Underwriting!BM119)</f>
        <v/>
      </c>
      <c r="BI77" s="487" t="str">
        <f>IF(BI$67="","",Underwriting!BN119)</f>
        <v/>
      </c>
      <c r="BJ77" s="487" t="str">
        <f>IF(BJ$67="","",Underwriting!BO119)</f>
        <v/>
      </c>
      <c r="BK77" s="487" t="str">
        <f>IF(BK$67="","",Underwriting!BP119)</f>
        <v/>
      </c>
      <c r="BL77" s="487" t="str">
        <f>IF(BL$67="","",Underwriting!BQ119)</f>
        <v/>
      </c>
      <c r="BM77" s="487" t="str">
        <f>IF(BM$67="","",Underwriting!BR119)</f>
        <v/>
      </c>
      <c r="BN77" s="487" t="str">
        <f>IF(BN$67="","",Underwriting!BS119)</f>
        <v/>
      </c>
      <c r="BO77" s="487" t="str">
        <f>IF(BO$67="","",Underwriting!BT119)</f>
        <v/>
      </c>
      <c r="BP77" s="487" t="str">
        <f>IF(BP$67="","",Underwriting!BU119)</f>
        <v/>
      </c>
      <c r="BQ77" s="487" t="str">
        <f>IF(BQ$67="","",Underwriting!BV119)</f>
        <v/>
      </c>
      <c r="BR77" s="487" t="str">
        <f>IF(BR$67="","",Underwriting!BW119)</f>
        <v/>
      </c>
      <c r="BS77" s="487" t="str">
        <f>IF(BS$67="","",Underwriting!BX119)</f>
        <v/>
      </c>
      <c r="BT77" s="487" t="str">
        <f>IF(BT$67="","",Underwriting!BY119)</f>
        <v/>
      </c>
      <c r="BU77" s="487" t="str">
        <f>IF(BU$67="","",Underwriting!BZ119)</f>
        <v/>
      </c>
      <c r="BV77" s="487" t="str">
        <f>IF(BV$67="","",Underwriting!CA119)</f>
        <v/>
      </c>
      <c r="BW77" s="487" t="str">
        <f>IF(BW$67="","",Underwriting!CB119)</f>
        <v/>
      </c>
      <c r="BX77" s="487" t="str">
        <f>IF(BX$67="","",Underwriting!CC119)</f>
        <v/>
      </c>
      <c r="BY77" s="487" t="str">
        <f>IF(BY$67="","",Underwriting!CD119)</f>
        <v/>
      </c>
      <c r="BZ77" s="487" t="str">
        <f>IF(BZ$67="","",Underwriting!CE119)</f>
        <v/>
      </c>
      <c r="CA77" s="487" t="str">
        <f>IF(CA$67="","",Underwriting!CF119)</f>
        <v/>
      </c>
      <c r="CB77" s="487" t="str">
        <f>IF(CB$67="","",Underwriting!CG119)</f>
        <v/>
      </c>
      <c r="CC77" s="487" t="str">
        <f>IF(CC$67="","",Underwriting!CH119)</f>
        <v/>
      </c>
      <c r="CD77" s="487" t="str">
        <f>IF(CD$67="","",Underwriting!CI119)</f>
        <v/>
      </c>
      <c r="CE77" s="487" t="str">
        <f>IF(CE$67="","",Underwriting!CJ119)</f>
        <v/>
      </c>
      <c r="CF77" s="487" t="str">
        <f>IF(CF$67="","",Underwriting!CK119)</f>
        <v/>
      </c>
      <c r="CG77" s="487" t="str">
        <f>IF(CG$67="","",Underwriting!CL119)</f>
        <v/>
      </c>
      <c r="CH77" s="487" t="str">
        <f>IF(CH$67="","",Underwriting!CM119)</f>
        <v/>
      </c>
      <c r="CI77" s="487" t="str">
        <f>IF(CI$67="","",Underwriting!CN119)</f>
        <v/>
      </c>
      <c r="CJ77" s="487" t="str">
        <f>IF(CJ$67="","",Underwriting!CO119)</f>
        <v/>
      </c>
      <c r="CK77" s="487" t="str">
        <f>IF(CK$67="","",Underwriting!CP119)</f>
        <v/>
      </c>
      <c r="CL77" s="487" t="str">
        <f>IF(CL$67="","",Underwriting!CQ119)</f>
        <v/>
      </c>
      <c r="CM77" s="487" t="str">
        <f>IF(CM$67="","",Underwriting!CR119)</f>
        <v/>
      </c>
      <c r="CN77" s="487" t="str">
        <f>IF(CN$67="","",Underwriting!CS119)</f>
        <v/>
      </c>
      <c r="CO77" s="487" t="str">
        <f>IF(CO$67="","",Underwriting!CT119)</f>
        <v/>
      </c>
      <c r="CP77" s="487" t="str">
        <f>IF(CP$67="","",Underwriting!CU119)</f>
        <v/>
      </c>
      <c r="CQ77" s="487" t="str">
        <f>IF(CQ$67="","",Underwriting!CV119)</f>
        <v/>
      </c>
      <c r="CR77" s="487" t="str">
        <f>IF(CR$67="","",Underwriting!CW119)</f>
        <v/>
      </c>
      <c r="CS77" s="487" t="str">
        <f>IF(CS$67="","",Underwriting!CX119)</f>
        <v/>
      </c>
      <c r="CT77" s="487" t="str">
        <f>IF(CT$67="","",Underwriting!CY119)</f>
        <v/>
      </c>
      <c r="CU77" s="487" t="str">
        <f>IF(CU$67="","",Underwriting!CZ119)</f>
        <v/>
      </c>
      <c r="CV77" s="487" t="str">
        <f>IF(CV$67="","",Underwriting!DA119)</f>
        <v/>
      </c>
      <c r="CW77" s="487" t="str">
        <f>IF(CW$67="","",Underwriting!DB119)</f>
        <v/>
      </c>
      <c r="CX77" s="487" t="str">
        <f>IF(CX$67="","",Underwriting!DC119)</f>
        <v/>
      </c>
      <c r="CY77" s="487" t="str">
        <f>IF(CY$67="","",Underwriting!DD119)</f>
        <v/>
      </c>
      <c r="CZ77" s="487" t="str">
        <f>IF(CZ$67="","",Underwriting!DE119)</f>
        <v/>
      </c>
      <c r="DA77" s="487" t="str">
        <f>IF(DA$67="","",Underwriting!DF119)</f>
        <v/>
      </c>
      <c r="DB77" s="487" t="str">
        <f>IF(DB$67="","",Underwriting!DG119)</f>
        <v/>
      </c>
      <c r="DC77" s="487" t="str">
        <f>IF(DC$67="","",Underwriting!DH119)</f>
        <v/>
      </c>
      <c r="DD77" s="487" t="str">
        <f>IF(DD$67="","",Underwriting!DI119)</f>
        <v/>
      </c>
      <c r="DE77" s="487" t="str">
        <f>IF(DE$67="","",Underwriting!DJ119)</f>
        <v/>
      </c>
      <c r="DF77" s="487" t="str">
        <f>IF(DF$67="","",Underwriting!DK119)</f>
        <v/>
      </c>
      <c r="DG77" s="487" t="str">
        <f>IF(DG$67="","",Underwriting!DL119)</f>
        <v/>
      </c>
      <c r="DH77" s="487" t="str">
        <f>IF(DH$67="","",Underwriting!DM119)</f>
        <v/>
      </c>
      <c r="DI77" s="487" t="str">
        <f>IF(DI$67="","",Underwriting!DN119)</f>
        <v/>
      </c>
      <c r="DJ77" s="487" t="str">
        <f>IF(DJ$67="","",Underwriting!DO119)</f>
        <v/>
      </c>
      <c r="DK77" s="487" t="str">
        <f>IF(DK$67="","",Underwriting!DP119)</f>
        <v/>
      </c>
      <c r="DL77" s="487" t="str">
        <f>IF(DL$67="","",Underwriting!DQ119)</f>
        <v/>
      </c>
      <c r="DM77" s="487" t="str">
        <f>IF(DM$67="","",Underwriting!DR119)</f>
        <v/>
      </c>
      <c r="DN77" s="487" t="str">
        <f>IF(DN$67="","",Underwriting!DS119)</f>
        <v/>
      </c>
      <c r="DO77" s="487" t="str">
        <f>IF(DO$67="","",Underwriting!DT119)</f>
        <v/>
      </c>
      <c r="DP77" s="487" t="str">
        <f>IF(DP$67="","",Underwriting!DU119)</f>
        <v/>
      </c>
      <c r="DQ77" s="487" t="str">
        <f>IF(DQ$67="","",Underwriting!DV119)</f>
        <v/>
      </c>
      <c r="DR77" s="487" t="str">
        <f>IF(DR$67="","",Underwriting!DW119)</f>
        <v/>
      </c>
      <c r="DS77" s="487" t="str">
        <f>IF(DS$67="","",Underwriting!DX119)</f>
        <v/>
      </c>
      <c r="DT77" s="487" t="str">
        <f>IF(DT$67="","",Underwriting!DY119)</f>
        <v/>
      </c>
      <c r="DU77" s="487" t="str">
        <f>IF(DU$67="","",Underwriting!DZ119)</f>
        <v/>
      </c>
      <c r="DV77" s="487" t="str">
        <f>IF(DV$67="","",Underwriting!EA119)</f>
        <v/>
      </c>
      <c r="DW77" s="487" t="str">
        <f>IF(DW$67="","",Underwriting!EB119)</f>
        <v/>
      </c>
      <c r="DX77" s="487" t="str">
        <f>IF(DX$67="","",Underwriting!EC119)</f>
        <v/>
      </c>
      <c r="DY77" s="487" t="str">
        <f>IF(DY$67="","",Underwriting!ED119)</f>
        <v/>
      </c>
      <c r="DZ77" s="487" t="str">
        <f>IF(DZ$67="","",Underwriting!EE119)</f>
        <v/>
      </c>
      <c r="EA77" s="487" t="str">
        <f>IF(EA$67="","",Underwriting!EF119)</f>
        <v/>
      </c>
      <c r="EB77" s="487" t="str">
        <f>IF(EB$67="","",Underwriting!EG119)</f>
        <v/>
      </c>
      <c r="EC77" s="487" t="str">
        <f>IF(EC$67="","",Underwriting!EH119)</f>
        <v/>
      </c>
      <c r="ED77" s="487" t="str">
        <f>IF(ED$67="","",Underwriting!EI119)</f>
        <v/>
      </c>
      <c r="EE77" s="487" t="str">
        <f>IF(EE$67="","",Underwriting!EJ119)</f>
        <v/>
      </c>
      <c r="EF77" s="487" t="str">
        <f>IF(EF$67="","",Underwriting!EK119)</f>
        <v/>
      </c>
      <c r="EG77" s="487" t="str">
        <f>IF(EG$67="","",Underwriting!EL119)</f>
        <v/>
      </c>
      <c r="EH77" s="487" t="str">
        <f>IF(EH$67="","",Underwriting!EM119)</f>
        <v/>
      </c>
      <c r="EI77" s="487" t="str">
        <f>IF(EI$67="","",Underwriting!EN119)</f>
        <v/>
      </c>
    </row>
    <row r="78" spans="2:139" hidden="1" outlineLevel="1" x14ac:dyDescent="0.2">
      <c r="B78" s="486" t="s">
        <v>268</v>
      </c>
      <c r="C78" s="4"/>
      <c r="D78" s="4"/>
      <c r="E78" s="4"/>
      <c r="F78" s="4"/>
      <c r="G78" s="487">
        <f>IF(G$67="","",Underwriting!L120)</f>
        <v>0</v>
      </c>
      <c r="H78" s="487">
        <f>IF(H$67="","",Underwriting!M120)</f>
        <v>0</v>
      </c>
      <c r="I78" s="487">
        <f>IF(I$67="","",Underwriting!N120)</f>
        <v>0</v>
      </c>
      <c r="J78" s="487">
        <f>IF(J$67="","",Underwriting!O120)</f>
        <v>0</v>
      </c>
      <c r="K78" s="487">
        <f>IF(K$67="","",Underwriting!P120)</f>
        <v>0</v>
      </c>
      <c r="L78" s="487">
        <f>IF(L$67="","",Underwriting!Q120)</f>
        <v>0</v>
      </c>
      <c r="M78" s="487">
        <f>IF(M$67="","",Underwriting!R120)</f>
        <v>0</v>
      </c>
      <c r="N78" s="487">
        <f>IF(N$67="","",Underwriting!S120)</f>
        <v>0</v>
      </c>
      <c r="O78" s="487">
        <f>IF(O$67="","",Underwriting!T120)</f>
        <v>0</v>
      </c>
      <c r="P78" s="487">
        <f>IF(P$67="","",Underwriting!U120)</f>
        <v>0</v>
      </c>
      <c r="Q78" s="487">
        <f>IF(Q$67="","",Underwriting!V120)</f>
        <v>0</v>
      </c>
      <c r="R78" s="487">
        <f>IF(R$67="","",Underwriting!W120)</f>
        <v>0</v>
      </c>
      <c r="S78" s="487">
        <f>IF(S$67="","",Underwriting!X120)</f>
        <v>0</v>
      </c>
      <c r="T78" s="487">
        <f>IF(T$67="","",Underwriting!Y120)</f>
        <v>0</v>
      </c>
      <c r="U78" s="487">
        <f>IF(U$67="","",Underwriting!Z120)</f>
        <v>0</v>
      </c>
      <c r="V78" s="487">
        <f>IF(V$67="","",Underwriting!AA120)</f>
        <v>0</v>
      </c>
      <c r="W78" s="487">
        <f>IF(W$67="","",Underwriting!AB120)</f>
        <v>0</v>
      </c>
      <c r="X78" s="487">
        <f>IF(X$67="","",Underwriting!AC120)</f>
        <v>0</v>
      </c>
      <c r="Y78" s="487">
        <f>IF(Y$67="","",Underwriting!AD120)</f>
        <v>0</v>
      </c>
      <c r="Z78" s="487">
        <f>IF(Z$67="","",Underwriting!AE120)</f>
        <v>15500</v>
      </c>
      <c r="AA78" s="487">
        <f>IF(AA$67="","",Underwriting!AF120)</f>
        <v>15833.333333333334</v>
      </c>
      <c r="AB78" s="487">
        <f>IF(AB$67="","",Underwriting!AG120)</f>
        <v>16166.666666666666</v>
      </c>
      <c r="AC78" s="487">
        <f>IF(AC$67="","",Underwriting!AH120)</f>
        <v>16500</v>
      </c>
      <c r="AD78" s="487">
        <f>IF(AD$67="","",Underwriting!AI120)</f>
        <v>16833.333333333332</v>
      </c>
      <c r="AE78" s="487">
        <f>IF(AE$67="","",Underwriting!AJ120)</f>
        <v>17166.666666666668</v>
      </c>
      <c r="AF78" s="487">
        <f>IF(AF$67="","",Underwriting!AK120)</f>
        <v>17500</v>
      </c>
      <c r="AG78" s="487">
        <f>IF(AG$67="","",Underwriting!AL120)</f>
        <v>17833.333333333332</v>
      </c>
      <c r="AH78" s="487">
        <f>IF(AH$67="","",Underwriting!AM120)</f>
        <v>18166.666666666668</v>
      </c>
      <c r="AI78" s="487">
        <f>IF(AI$67="","",Underwriting!AN120)</f>
        <v>18500</v>
      </c>
      <c r="AJ78" s="487">
        <f>IF(AJ$67="","",Underwriting!AO120)</f>
        <v>18833.333333333332</v>
      </c>
      <c r="AK78" s="487">
        <f>IF(AK$67="","",Underwriting!AP120)</f>
        <v>19166.666666666668</v>
      </c>
      <c r="AL78" s="487">
        <f>IF(AL$67="","",Underwriting!AQ120)</f>
        <v>20085</v>
      </c>
      <c r="AM78" s="487">
        <f>IF(AM$67="","",Underwriting!AR120)</f>
        <v>20428.333333333332</v>
      </c>
      <c r="AN78" s="487">
        <f>IF(AN$67="","",Underwriting!AS120)</f>
        <v>20600</v>
      </c>
      <c r="AO78" s="487">
        <f>IF(AO$67="","",Underwriting!AT120)</f>
        <v>20600</v>
      </c>
      <c r="AP78" s="487">
        <f>IF(AP$67="","",Underwriting!AU120)</f>
        <v>20600</v>
      </c>
      <c r="AQ78" s="487">
        <f>IF(AQ$67="","",Underwriting!AV120)</f>
        <v>20600</v>
      </c>
      <c r="AR78" s="487">
        <f>IF(AR$67="","",Underwriting!AW120)</f>
        <v>20600</v>
      </c>
      <c r="AS78" s="487">
        <f>IF(AS$67="","",Underwriting!AX120)</f>
        <v>20600</v>
      </c>
      <c r="AT78" s="487">
        <f>IF(AT$67="","",Underwriting!AY120)</f>
        <v>20600</v>
      </c>
      <c r="AU78" s="487">
        <f>IF(AU$67="","",Underwriting!AZ120)</f>
        <v>20600</v>
      </c>
      <c r="AV78" s="487">
        <f>IF(AV$67="","",Underwriting!BA120)</f>
        <v>20600</v>
      </c>
      <c r="AW78" s="487">
        <f>IF(AW$67="","",Underwriting!BB120)</f>
        <v>20600</v>
      </c>
      <c r="AX78" s="487">
        <f>IF(AX$67="","",Underwriting!BC120)</f>
        <v>21218</v>
      </c>
      <c r="AY78" s="487">
        <f>IF(AY$67="","",Underwriting!BD120)</f>
        <v>21218</v>
      </c>
      <c r="AZ78" s="487">
        <f>IF(AZ$67="","",Underwriting!BE120)</f>
        <v>21218</v>
      </c>
      <c r="BA78" s="487" t="str">
        <f>IF(BA$67="","",Underwriting!BF120)</f>
        <v/>
      </c>
      <c r="BB78" s="487" t="str">
        <f>IF(BB$67="","",Underwriting!BG120)</f>
        <v/>
      </c>
      <c r="BC78" s="487" t="str">
        <f>IF(BC$67="","",Underwriting!BH120)</f>
        <v/>
      </c>
      <c r="BD78" s="487" t="str">
        <f>IF(BD$67="","",Underwriting!BI120)</f>
        <v/>
      </c>
      <c r="BE78" s="487" t="str">
        <f>IF(BE$67="","",Underwriting!BJ120)</f>
        <v/>
      </c>
      <c r="BF78" s="487" t="str">
        <f>IF(BF$67="","",Underwriting!BK120)</f>
        <v/>
      </c>
      <c r="BG78" s="487" t="str">
        <f>IF(BG$67="","",Underwriting!BL120)</f>
        <v/>
      </c>
      <c r="BH78" s="487" t="str">
        <f>IF(BH$67="","",Underwriting!BM120)</f>
        <v/>
      </c>
      <c r="BI78" s="487" t="str">
        <f>IF(BI$67="","",Underwriting!BN120)</f>
        <v/>
      </c>
      <c r="BJ78" s="487" t="str">
        <f>IF(BJ$67="","",Underwriting!BO120)</f>
        <v/>
      </c>
      <c r="BK78" s="487" t="str">
        <f>IF(BK$67="","",Underwriting!BP120)</f>
        <v/>
      </c>
      <c r="BL78" s="487" t="str">
        <f>IF(BL$67="","",Underwriting!BQ120)</f>
        <v/>
      </c>
      <c r="BM78" s="487" t="str">
        <f>IF(BM$67="","",Underwriting!BR120)</f>
        <v/>
      </c>
      <c r="BN78" s="487" t="str">
        <f>IF(BN$67="","",Underwriting!BS120)</f>
        <v/>
      </c>
      <c r="BO78" s="487" t="str">
        <f>IF(BO$67="","",Underwriting!BT120)</f>
        <v/>
      </c>
      <c r="BP78" s="487" t="str">
        <f>IF(BP$67="","",Underwriting!BU120)</f>
        <v/>
      </c>
      <c r="BQ78" s="487" t="str">
        <f>IF(BQ$67="","",Underwriting!BV120)</f>
        <v/>
      </c>
      <c r="BR78" s="487" t="str">
        <f>IF(BR$67="","",Underwriting!BW120)</f>
        <v/>
      </c>
      <c r="BS78" s="487" t="str">
        <f>IF(BS$67="","",Underwriting!BX120)</f>
        <v/>
      </c>
      <c r="BT78" s="487" t="str">
        <f>IF(BT$67="","",Underwriting!BY120)</f>
        <v/>
      </c>
      <c r="BU78" s="487" t="str">
        <f>IF(BU$67="","",Underwriting!BZ120)</f>
        <v/>
      </c>
      <c r="BV78" s="487" t="str">
        <f>IF(BV$67="","",Underwriting!CA120)</f>
        <v/>
      </c>
      <c r="BW78" s="487" t="str">
        <f>IF(BW$67="","",Underwriting!CB120)</f>
        <v/>
      </c>
      <c r="BX78" s="487" t="str">
        <f>IF(BX$67="","",Underwriting!CC120)</f>
        <v/>
      </c>
      <c r="BY78" s="487" t="str">
        <f>IF(BY$67="","",Underwriting!CD120)</f>
        <v/>
      </c>
      <c r="BZ78" s="487" t="str">
        <f>IF(BZ$67="","",Underwriting!CE120)</f>
        <v/>
      </c>
      <c r="CA78" s="487" t="str">
        <f>IF(CA$67="","",Underwriting!CF120)</f>
        <v/>
      </c>
      <c r="CB78" s="487" t="str">
        <f>IF(CB$67="","",Underwriting!CG120)</f>
        <v/>
      </c>
      <c r="CC78" s="487" t="str">
        <f>IF(CC$67="","",Underwriting!CH120)</f>
        <v/>
      </c>
      <c r="CD78" s="487" t="str">
        <f>IF(CD$67="","",Underwriting!CI120)</f>
        <v/>
      </c>
      <c r="CE78" s="487" t="str">
        <f>IF(CE$67="","",Underwriting!CJ120)</f>
        <v/>
      </c>
      <c r="CF78" s="487" t="str">
        <f>IF(CF$67="","",Underwriting!CK120)</f>
        <v/>
      </c>
      <c r="CG78" s="487" t="str">
        <f>IF(CG$67="","",Underwriting!CL120)</f>
        <v/>
      </c>
      <c r="CH78" s="487" t="str">
        <f>IF(CH$67="","",Underwriting!CM120)</f>
        <v/>
      </c>
      <c r="CI78" s="487" t="str">
        <f>IF(CI$67="","",Underwriting!CN120)</f>
        <v/>
      </c>
      <c r="CJ78" s="487" t="str">
        <f>IF(CJ$67="","",Underwriting!CO120)</f>
        <v/>
      </c>
      <c r="CK78" s="487" t="str">
        <f>IF(CK$67="","",Underwriting!CP120)</f>
        <v/>
      </c>
      <c r="CL78" s="487" t="str">
        <f>IF(CL$67="","",Underwriting!CQ120)</f>
        <v/>
      </c>
      <c r="CM78" s="487" t="str">
        <f>IF(CM$67="","",Underwriting!CR120)</f>
        <v/>
      </c>
      <c r="CN78" s="487" t="str">
        <f>IF(CN$67="","",Underwriting!CS120)</f>
        <v/>
      </c>
      <c r="CO78" s="487" t="str">
        <f>IF(CO$67="","",Underwriting!CT120)</f>
        <v/>
      </c>
      <c r="CP78" s="487" t="str">
        <f>IF(CP$67="","",Underwriting!CU120)</f>
        <v/>
      </c>
      <c r="CQ78" s="487" t="str">
        <f>IF(CQ$67="","",Underwriting!CV120)</f>
        <v/>
      </c>
      <c r="CR78" s="487" t="str">
        <f>IF(CR$67="","",Underwriting!CW120)</f>
        <v/>
      </c>
      <c r="CS78" s="487" t="str">
        <f>IF(CS$67="","",Underwriting!CX120)</f>
        <v/>
      </c>
      <c r="CT78" s="487" t="str">
        <f>IF(CT$67="","",Underwriting!CY120)</f>
        <v/>
      </c>
      <c r="CU78" s="487" t="str">
        <f>IF(CU$67="","",Underwriting!CZ120)</f>
        <v/>
      </c>
      <c r="CV78" s="487" t="str">
        <f>IF(CV$67="","",Underwriting!DA120)</f>
        <v/>
      </c>
      <c r="CW78" s="487" t="str">
        <f>IF(CW$67="","",Underwriting!DB120)</f>
        <v/>
      </c>
      <c r="CX78" s="487" t="str">
        <f>IF(CX$67="","",Underwriting!DC120)</f>
        <v/>
      </c>
      <c r="CY78" s="487" t="str">
        <f>IF(CY$67="","",Underwriting!DD120)</f>
        <v/>
      </c>
      <c r="CZ78" s="487" t="str">
        <f>IF(CZ$67="","",Underwriting!DE120)</f>
        <v/>
      </c>
      <c r="DA78" s="487" t="str">
        <f>IF(DA$67="","",Underwriting!DF120)</f>
        <v/>
      </c>
      <c r="DB78" s="487" t="str">
        <f>IF(DB$67="","",Underwriting!DG120)</f>
        <v/>
      </c>
      <c r="DC78" s="487" t="str">
        <f>IF(DC$67="","",Underwriting!DH120)</f>
        <v/>
      </c>
      <c r="DD78" s="487" t="str">
        <f>IF(DD$67="","",Underwriting!DI120)</f>
        <v/>
      </c>
      <c r="DE78" s="487" t="str">
        <f>IF(DE$67="","",Underwriting!DJ120)</f>
        <v/>
      </c>
      <c r="DF78" s="487" t="str">
        <f>IF(DF$67="","",Underwriting!DK120)</f>
        <v/>
      </c>
      <c r="DG78" s="487" t="str">
        <f>IF(DG$67="","",Underwriting!DL120)</f>
        <v/>
      </c>
      <c r="DH78" s="487" t="str">
        <f>IF(DH$67="","",Underwriting!DM120)</f>
        <v/>
      </c>
      <c r="DI78" s="487" t="str">
        <f>IF(DI$67="","",Underwriting!DN120)</f>
        <v/>
      </c>
      <c r="DJ78" s="487" t="str">
        <f>IF(DJ$67="","",Underwriting!DO120)</f>
        <v/>
      </c>
      <c r="DK78" s="487" t="str">
        <f>IF(DK$67="","",Underwriting!DP120)</f>
        <v/>
      </c>
      <c r="DL78" s="487" t="str">
        <f>IF(DL$67="","",Underwriting!DQ120)</f>
        <v/>
      </c>
      <c r="DM78" s="487" t="str">
        <f>IF(DM$67="","",Underwriting!DR120)</f>
        <v/>
      </c>
      <c r="DN78" s="487" t="str">
        <f>IF(DN$67="","",Underwriting!DS120)</f>
        <v/>
      </c>
      <c r="DO78" s="487" t="str">
        <f>IF(DO$67="","",Underwriting!DT120)</f>
        <v/>
      </c>
      <c r="DP78" s="487" t="str">
        <f>IF(DP$67="","",Underwriting!DU120)</f>
        <v/>
      </c>
      <c r="DQ78" s="487" t="str">
        <f>IF(DQ$67="","",Underwriting!DV120)</f>
        <v/>
      </c>
      <c r="DR78" s="487" t="str">
        <f>IF(DR$67="","",Underwriting!DW120)</f>
        <v/>
      </c>
      <c r="DS78" s="487" t="str">
        <f>IF(DS$67="","",Underwriting!DX120)</f>
        <v/>
      </c>
      <c r="DT78" s="487" t="str">
        <f>IF(DT$67="","",Underwriting!DY120)</f>
        <v/>
      </c>
      <c r="DU78" s="487" t="str">
        <f>IF(DU$67="","",Underwriting!DZ120)</f>
        <v/>
      </c>
      <c r="DV78" s="487" t="str">
        <f>IF(DV$67="","",Underwriting!EA120)</f>
        <v/>
      </c>
      <c r="DW78" s="487" t="str">
        <f>IF(DW$67="","",Underwriting!EB120)</f>
        <v/>
      </c>
      <c r="DX78" s="487" t="str">
        <f>IF(DX$67="","",Underwriting!EC120)</f>
        <v/>
      </c>
      <c r="DY78" s="487" t="str">
        <f>IF(DY$67="","",Underwriting!ED120)</f>
        <v/>
      </c>
      <c r="DZ78" s="487" t="str">
        <f>IF(DZ$67="","",Underwriting!EE120)</f>
        <v/>
      </c>
      <c r="EA78" s="487" t="str">
        <f>IF(EA$67="","",Underwriting!EF120)</f>
        <v/>
      </c>
      <c r="EB78" s="487" t="str">
        <f>IF(EB$67="","",Underwriting!EG120)</f>
        <v/>
      </c>
      <c r="EC78" s="487" t="str">
        <f>IF(EC$67="","",Underwriting!EH120)</f>
        <v/>
      </c>
      <c r="ED78" s="487" t="str">
        <f>IF(ED$67="","",Underwriting!EI120)</f>
        <v/>
      </c>
      <c r="EE78" s="487" t="str">
        <f>IF(EE$67="","",Underwriting!EJ120)</f>
        <v/>
      </c>
      <c r="EF78" s="487" t="str">
        <f>IF(EF$67="","",Underwriting!EK120)</f>
        <v/>
      </c>
      <c r="EG78" s="487" t="str">
        <f>IF(EG$67="","",Underwriting!EL120)</f>
        <v/>
      </c>
      <c r="EH78" s="487" t="str">
        <f>IF(EH$67="","",Underwriting!EM120)</f>
        <v/>
      </c>
      <c r="EI78" s="487" t="str">
        <f>IF(EI$67="","",Underwriting!EN120)</f>
        <v/>
      </c>
    </row>
    <row r="79" spans="2:139" hidden="1" outlineLevel="1" x14ac:dyDescent="0.2">
      <c r="B79" s="486" t="s">
        <v>138</v>
      </c>
      <c r="C79" s="4"/>
      <c r="D79" s="4"/>
      <c r="E79" s="4"/>
      <c r="F79" s="4"/>
      <c r="G79" s="487">
        <f>IF(G$67="","",Underwriting!L121)</f>
        <v>0</v>
      </c>
      <c r="H79" s="487">
        <f>IF(H$67="","",Underwriting!M121)</f>
        <v>0</v>
      </c>
      <c r="I79" s="487">
        <f>IF(I$67="","",Underwriting!N121)</f>
        <v>0</v>
      </c>
      <c r="J79" s="487">
        <f>IF(J$67="","",Underwriting!O121)</f>
        <v>0</v>
      </c>
      <c r="K79" s="487">
        <f>IF(K$67="","",Underwriting!P121)</f>
        <v>0</v>
      </c>
      <c r="L79" s="487">
        <f>IF(L$67="","",Underwriting!Q121)</f>
        <v>0</v>
      </c>
      <c r="M79" s="487">
        <f>IF(M$67="","",Underwriting!R121)</f>
        <v>0</v>
      </c>
      <c r="N79" s="487">
        <f>IF(N$67="","",Underwriting!S121)</f>
        <v>0</v>
      </c>
      <c r="O79" s="487">
        <f>IF(O$67="","",Underwriting!T121)</f>
        <v>0</v>
      </c>
      <c r="P79" s="487">
        <f>IF(P$67="","",Underwriting!U121)</f>
        <v>0</v>
      </c>
      <c r="Q79" s="487">
        <f>IF(Q$67="","",Underwriting!V121)</f>
        <v>0</v>
      </c>
      <c r="R79" s="487">
        <f>IF(R$67="","",Underwriting!W121)</f>
        <v>0</v>
      </c>
      <c r="S79" s="487">
        <f>IF(S$67="","",Underwriting!X121)</f>
        <v>0</v>
      </c>
      <c r="T79" s="487">
        <f>IF(T$67="","",Underwriting!Y121)</f>
        <v>0</v>
      </c>
      <c r="U79" s="487">
        <f>IF(U$67="","",Underwriting!Z121)</f>
        <v>0</v>
      </c>
      <c r="V79" s="487">
        <f>IF(V$67="","",Underwriting!AA121)</f>
        <v>0</v>
      </c>
      <c r="W79" s="487">
        <f>IF(W$67="","",Underwriting!AB121)</f>
        <v>0</v>
      </c>
      <c r="X79" s="487">
        <f>IF(X$67="","",Underwriting!AC121)</f>
        <v>0</v>
      </c>
      <c r="Y79" s="487">
        <f>IF(Y$67="","",Underwriting!AD121)</f>
        <v>0</v>
      </c>
      <c r="Z79" s="487">
        <f>IF(Z$67="","",Underwriting!AE121)</f>
        <v>10833.333333333334</v>
      </c>
      <c r="AA79" s="487">
        <f>IF(AA$67="","",Underwriting!AF121)</f>
        <v>10833.333333333334</v>
      </c>
      <c r="AB79" s="487">
        <f>IF(AB$67="","",Underwriting!AG121)</f>
        <v>10833.333333333334</v>
      </c>
      <c r="AC79" s="487">
        <f>IF(AC$67="","",Underwriting!AH121)</f>
        <v>10833.333333333334</v>
      </c>
      <c r="AD79" s="487">
        <f>IF(AD$67="","",Underwriting!AI121)</f>
        <v>10833.333333333334</v>
      </c>
      <c r="AE79" s="487">
        <f>IF(AE$67="","",Underwriting!AJ121)</f>
        <v>10833.333333333334</v>
      </c>
      <c r="AF79" s="487">
        <f>IF(AF$67="","",Underwriting!AK121)</f>
        <v>10833.333333333334</v>
      </c>
      <c r="AG79" s="487">
        <f>IF(AG$67="","",Underwriting!AL121)</f>
        <v>10833.333333333334</v>
      </c>
      <c r="AH79" s="487">
        <f>IF(AH$67="","",Underwriting!AM121)</f>
        <v>10833.333333333334</v>
      </c>
      <c r="AI79" s="487">
        <f>IF(AI$67="","",Underwriting!AN121)</f>
        <v>10833.333333333334</v>
      </c>
      <c r="AJ79" s="487">
        <f>IF(AJ$67="","",Underwriting!AO121)</f>
        <v>10833.333333333334</v>
      </c>
      <c r="AK79" s="487">
        <f>IF(AK$67="","",Underwriting!AP121)</f>
        <v>10833.333333333334</v>
      </c>
      <c r="AL79" s="487">
        <f>IF(AL$67="","",Underwriting!AQ121)</f>
        <v>11158.333333333334</v>
      </c>
      <c r="AM79" s="487">
        <f>IF(AM$67="","",Underwriting!AR121)</f>
        <v>11158.333333333334</v>
      </c>
      <c r="AN79" s="487">
        <f>IF(AN$67="","",Underwriting!AS121)</f>
        <v>11158.333333333334</v>
      </c>
      <c r="AO79" s="487">
        <f>IF(AO$67="","",Underwriting!AT121)</f>
        <v>11158.333333333334</v>
      </c>
      <c r="AP79" s="487">
        <f>IF(AP$67="","",Underwriting!AU121)</f>
        <v>11158.333333333334</v>
      </c>
      <c r="AQ79" s="487">
        <f>IF(AQ$67="","",Underwriting!AV121)</f>
        <v>11158.333333333334</v>
      </c>
      <c r="AR79" s="487">
        <f>IF(AR$67="","",Underwriting!AW121)</f>
        <v>11158.333333333334</v>
      </c>
      <c r="AS79" s="487">
        <f>IF(AS$67="","",Underwriting!AX121)</f>
        <v>11158.333333333334</v>
      </c>
      <c r="AT79" s="487">
        <f>IF(AT$67="","",Underwriting!AY121)</f>
        <v>11158.333333333334</v>
      </c>
      <c r="AU79" s="487">
        <f>IF(AU$67="","",Underwriting!AZ121)</f>
        <v>11158.333333333334</v>
      </c>
      <c r="AV79" s="487">
        <f>IF(AV$67="","",Underwriting!BA121)</f>
        <v>11158.333333333334</v>
      </c>
      <c r="AW79" s="487">
        <f>IF(AW$67="","",Underwriting!BB121)</f>
        <v>11158.333333333334</v>
      </c>
      <c r="AX79" s="487">
        <f>IF(AX$67="","",Underwriting!BC121)</f>
        <v>11493.083333333334</v>
      </c>
      <c r="AY79" s="487">
        <f>IF(AY$67="","",Underwriting!BD121)</f>
        <v>11493.083333333334</v>
      </c>
      <c r="AZ79" s="487">
        <f>IF(AZ$67="","",Underwriting!BE121)</f>
        <v>11493.083333333334</v>
      </c>
      <c r="BA79" s="487" t="str">
        <f>IF(BA$67="","",Underwriting!BF121)</f>
        <v/>
      </c>
      <c r="BB79" s="487" t="str">
        <f>IF(BB$67="","",Underwriting!BG121)</f>
        <v/>
      </c>
      <c r="BC79" s="487" t="str">
        <f>IF(BC$67="","",Underwriting!BH121)</f>
        <v/>
      </c>
      <c r="BD79" s="487" t="str">
        <f>IF(BD$67="","",Underwriting!BI121)</f>
        <v/>
      </c>
      <c r="BE79" s="487" t="str">
        <f>IF(BE$67="","",Underwriting!BJ121)</f>
        <v/>
      </c>
      <c r="BF79" s="487" t="str">
        <f>IF(BF$67="","",Underwriting!BK121)</f>
        <v/>
      </c>
      <c r="BG79" s="487" t="str">
        <f>IF(BG$67="","",Underwriting!BL121)</f>
        <v/>
      </c>
      <c r="BH79" s="487" t="str">
        <f>IF(BH$67="","",Underwriting!BM121)</f>
        <v/>
      </c>
      <c r="BI79" s="487" t="str">
        <f>IF(BI$67="","",Underwriting!BN121)</f>
        <v/>
      </c>
      <c r="BJ79" s="487" t="str">
        <f>IF(BJ$67="","",Underwriting!BO121)</f>
        <v/>
      </c>
      <c r="BK79" s="487" t="str">
        <f>IF(BK$67="","",Underwriting!BP121)</f>
        <v/>
      </c>
      <c r="BL79" s="487" t="str">
        <f>IF(BL$67="","",Underwriting!BQ121)</f>
        <v/>
      </c>
      <c r="BM79" s="487" t="str">
        <f>IF(BM$67="","",Underwriting!BR121)</f>
        <v/>
      </c>
      <c r="BN79" s="487" t="str">
        <f>IF(BN$67="","",Underwriting!BS121)</f>
        <v/>
      </c>
      <c r="BO79" s="487" t="str">
        <f>IF(BO$67="","",Underwriting!BT121)</f>
        <v/>
      </c>
      <c r="BP79" s="487" t="str">
        <f>IF(BP$67="","",Underwriting!BU121)</f>
        <v/>
      </c>
      <c r="BQ79" s="487" t="str">
        <f>IF(BQ$67="","",Underwriting!BV121)</f>
        <v/>
      </c>
      <c r="BR79" s="487" t="str">
        <f>IF(BR$67="","",Underwriting!BW121)</f>
        <v/>
      </c>
      <c r="BS79" s="487" t="str">
        <f>IF(BS$67="","",Underwriting!BX121)</f>
        <v/>
      </c>
      <c r="BT79" s="487" t="str">
        <f>IF(BT$67="","",Underwriting!BY121)</f>
        <v/>
      </c>
      <c r="BU79" s="487" t="str">
        <f>IF(BU$67="","",Underwriting!BZ121)</f>
        <v/>
      </c>
      <c r="BV79" s="487" t="str">
        <f>IF(BV$67="","",Underwriting!CA121)</f>
        <v/>
      </c>
      <c r="BW79" s="487" t="str">
        <f>IF(BW$67="","",Underwriting!CB121)</f>
        <v/>
      </c>
      <c r="BX79" s="487" t="str">
        <f>IF(BX$67="","",Underwriting!CC121)</f>
        <v/>
      </c>
      <c r="BY79" s="487" t="str">
        <f>IF(BY$67="","",Underwriting!CD121)</f>
        <v/>
      </c>
      <c r="BZ79" s="487" t="str">
        <f>IF(BZ$67="","",Underwriting!CE121)</f>
        <v/>
      </c>
      <c r="CA79" s="487" t="str">
        <f>IF(CA$67="","",Underwriting!CF121)</f>
        <v/>
      </c>
      <c r="CB79" s="487" t="str">
        <f>IF(CB$67="","",Underwriting!CG121)</f>
        <v/>
      </c>
      <c r="CC79" s="487" t="str">
        <f>IF(CC$67="","",Underwriting!CH121)</f>
        <v/>
      </c>
      <c r="CD79" s="487" t="str">
        <f>IF(CD$67="","",Underwriting!CI121)</f>
        <v/>
      </c>
      <c r="CE79" s="487" t="str">
        <f>IF(CE$67="","",Underwriting!CJ121)</f>
        <v/>
      </c>
      <c r="CF79" s="487" t="str">
        <f>IF(CF$67="","",Underwriting!CK121)</f>
        <v/>
      </c>
      <c r="CG79" s="487" t="str">
        <f>IF(CG$67="","",Underwriting!CL121)</f>
        <v/>
      </c>
      <c r="CH79" s="487" t="str">
        <f>IF(CH$67="","",Underwriting!CM121)</f>
        <v/>
      </c>
      <c r="CI79" s="487" t="str">
        <f>IF(CI$67="","",Underwriting!CN121)</f>
        <v/>
      </c>
      <c r="CJ79" s="487" t="str">
        <f>IF(CJ$67="","",Underwriting!CO121)</f>
        <v/>
      </c>
      <c r="CK79" s="487" t="str">
        <f>IF(CK$67="","",Underwriting!CP121)</f>
        <v/>
      </c>
      <c r="CL79" s="487" t="str">
        <f>IF(CL$67="","",Underwriting!CQ121)</f>
        <v/>
      </c>
      <c r="CM79" s="487" t="str">
        <f>IF(CM$67="","",Underwriting!CR121)</f>
        <v/>
      </c>
      <c r="CN79" s="487" t="str">
        <f>IF(CN$67="","",Underwriting!CS121)</f>
        <v/>
      </c>
      <c r="CO79" s="487" t="str">
        <f>IF(CO$67="","",Underwriting!CT121)</f>
        <v/>
      </c>
      <c r="CP79" s="487" t="str">
        <f>IF(CP$67="","",Underwriting!CU121)</f>
        <v/>
      </c>
      <c r="CQ79" s="487" t="str">
        <f>IF(CQ$67="","",Underwriting!CV121)</f>
        <v/>
      </c>
      <c r="CR79" s="487" t="str">
        <f>IF(CR$67="","",Underwriting!CW121)</f>
        <v/>
      </c>
      <c r="CS79" s="487" t="str">
        <f>IF(CS$67="","",Underwriting!CX121)</f>
        <v/>
      </c>
      <c r="CT79" s="487" t="str">
        <f>IF(CT$67="","",Underwriting!CY121)</f>
        <v/>
      </c>
      <c r="CU79" s="487" t="str">
        <f>IF(CU$67="","",Underwriting!CZ121)</f>
        <v/>
      </c>
      <c r="CV79" s="487" t="str">
        <f>IF(CV$67="","",Underwriting!DA121)</f>
        <v/>
      </c>
      <c r="CW79" s="487" t="str">
        <f>IF(CW$67="","",Underwriting!DB121)</f>
        <v/>
      </c>
      <c r="CX79" s="487" t="str">
        <f>IF(CX$67="","",Underwriting!DC121)</f>
        <v/>
      </c>
      <c r="CY79" s="487" t="str">
        <f>IF(CY$67="","",Underwriting!DD121)</f>
        <v/>
      </c>
      <c r="CZ79" s="487" t="str">
        <f>IF(CZ$67="","",Underwriting!DE121)</f>
        <v/>
      </c>
      <c r="DA79" s="487" t="str">
        <f>IF(DA$67="","",Underwriting!DF121)</f>
        <v/>
      </c>
      <c r="DB79" s="487" t="str">
        <f>IF(DB$67="","",Underwriting!DG121)</f>
        <v/>
      </c>
      <c r="DC79" s="487" t="str">
        <f>IF(DC$67="","",Underwriting!DH121)</f>
        <v/>
      </c>
      <c r="DD79" s="487" t="str">
        <f>IF(DD$67="","",Underwriting!DI121)</f>
        <v/>
      </c>
      <c r="DE79" s="487" t="str">
        <f>IF(DE$67="","",Underwriting!DJ121)</f>
        <v/>
      </c>
      <c r="DF79" s="487" t="str">
        <f>IF(DF$67="","",Underwriting!DK121)</f>
        <v/>
      </c>
      <c r="DG79" s="487" t="str">
        <f>IF(DG$67="","",Underwriting!DL121)</f>
        <v/>
      </c>
      <c r="DH79" s="487" t="str">
        <f>IF(DH$67="","",Underwriting!DM121)</f>
        <v/>
      </c>
      <c r="DI79" s="487" t="str">
        <f>IF(DI$67="","",Underwriting!DN121)</f>
        <v/>
      </c>
      <c r="DJ79" s="487" t="str">
        <f>IF(DJ$67="","",Underwriting!DO121)</f>
        <v/>
      </c>
      <c r="DK79" s="487" t="str">
        <f>IF(DK$67="","",Underwriting!DP121)</f>
        <v/>
      </c>
      <c r="DL79" s="487" t="str">
        <f>IF(DL$67="","",Underwriting!DQ121)</f>
        <v/>
      </c>
      <c r="DM79" s="487" t="str">
        <f>IF(DM$67="","",Underwriting!DR121)</f>
        <v/>
      </c>
      <c r="DN79" s="487" t="str">
        <f>IF(DN$67="","",Underwriting!DS121)</f>
        <v/>
      </c>
      <c r="DO79" s="487" t="str">
        <f>IF(DO$67="","",Underwriting!DT121)</f>
        <v/>
      </c>
      <c r="DP79" s="487" t="str">
        <f>IF(DP$67="","",Underwriting!DU121)</f>
        <v/>
      </c>
      <c r="DQ79" s="487" t="str">
        <f>IF(DQ$67="","",Underwriting!DV121)</f>
        <v/>
      </c>
      <c r="DR79" s="487" t="str">
        <f>IF(DR$67="","",Underwriting!DW121)</f>
        <v/>
      </c>
      <c r="DS79" s="487" t="str">
        <f>IF(DS$67="","",Underwriting!DX121)</f>
        <v/>
      </c>
      <c r="DT79" s="487" t="str">
        <f>IF(DT$67="","",Underwriting!DY121)</f>
        <v/>
      </c>
      <c r="DU79" s="487" t="str">
        <f>IF(DU$67="","",Underwriting!DZ121)</f>
        <v/>
      </c>
      <c r="DV79" s="487" t="str">
        <f>IF(DV$67="","",Underwriting!EA121)</f>
        <v/>
      </c>
      <c r="DW79" s="487" t="str">
        <f>IF(DW$67="","",Underwriting!EB121)</f>
        <v/>
      </c>
      <c r="DX79" s="487" t="str">
        <f>IF(DX$67="","",Underwriting!EC121)</f>
        <v/>
      </c>
      <c r="DY79" s="487" t="str">
        <f>IF(DY$67="","",Underwriting!ED121)</f>
        <v/>
      </c>
      <c r="DZ79" s="487" t="str">
        <f>IF(DZ$67="","",Underwriting!EE121)</f>
        <v/>
      </c>
      <c r="EA79" s="487" t="str">
        <f>IF(EA$67="","",Underwriting!EF121)</f>
        <v/>
      </c>
      <c r="EB79" s="487" t="str">
        <f>IF(EB$67="","",Underwriting!EG121)</f>
        <v/>
      </c>
      <c r="EC79" s="487" t="str">
        <f>IF(EC$67="","",Underwriting!EH121)</f>
        <v/>
      </c>
      <c r="ED79" s="487" t="str">
        <f>IF(ED$67="","",Underwriting!EI121)</f>
        <v/>
      </c>
      <c r="EE79" s="487" t="str">
        <f>IF(EE$67="","",Underwriting!EJ121)</f>
        <v/>
      </c>
      <c r="EF79" s="487" t="str">
        <f>IF(EF$67="","",Underwriting!EK121)</f>
        <v/>
      </c>
      <c r="EG79" s="487" t="str">
        <f>IF(EG$67="","",Underwriting!EL121)</f>
        <v/>
      </c>
      <c r="EH79" s="487" t="str">
        <f>IF(EH$67="","",Underwriting!EM121)</f>
        <v/>
      </c>
      <c r="EI79" s="487" t="str">
        <f>IF(EI$67="","",Underwriting!EN121)</f>
        <v/>
      </c>
    </row>
    <row r="80" spans="2:139" hidden="1" outlineLevel="1" x14ac:dyDescent="0.2">
      <c r="B80" s="486" t="s">
        <v>139</v>
      </c>
      <c r="C80" s="4"/>
      <c r="D80" s="4"/>
      <c r="E80" s="4"/>
      <c r="F80" s="4"/>
      <c r="G80" s="487">
        <f>IF(G$67="","",Underwriting!L122)</f>
        <v>0</v>
      </c>
      <c r="H80" s="487">
        <f>IF(H$67="","",Underwriting!M122)</f>
        <v>0</v>
      </c>
      <c r="I80" s="487">
        <f>IF(I$67="","",Underwriting!N122)</f>
        <v>0</v>
      </c>
      <c r="J80" s="487">
        <f>IF(J$67="","",Underwriting!O122)</f>
        <v>0</v>
      </c>
      <c r="K80" s="487">
        <f>IF(K$67="","",Underwriting!P122)</f>
        <v>0</v>
      </c>
      <c r="L80" s="487">
        <f>IF(L$67="","",Underwriting!Q122)</f>
        <v>0</v>
      </c>
      <c r="M80" s="487">
        <f>IF(M$67="","",Underwriting!R122)</f>
        <v>0</v>
      </c>
      <c r="N80" s="487">
        <f>IF(N$67="","",Underwriting!S122)</f>
        <v>0</v>
      </c>
      <c r="O80" s="487">
        <f>IF(O$67="","",Underwriting!T122)</f>
        <v>0</v>
      </c>
      <c r="P80" s="487">
        <f>IF(P$67="","",Underwriting!U122)</f>
        <v>0</v>
      </c>
      <c r="Q80" s="487">
        <f>IF(Q$67="","",Underwriting!V122)</f>
        <v>0</v>
      </c>
      <c r="R80" s="487">
        <f>IF(R$67="","",Underwriting!W122)</f>
        <v>0</v>
      </c>
      <c r="S80" s="487">
        <f>IF(S$67="","",Underwriting!X122)</f>
        <v>0</v>
      </c>
      <c r="T80" s="487">
        <f>IF(T$67="","",Underwriting!Y122)</f>
        <v>0</v>
      </c>
      <c r="U80" s="487">
        <f>IF(U$67="","",Underwriting!Z122)</f>
        <v>0</v>
      </c>
      <c r="V80" s="487">
        <f>IF(V$67="","",Underwriting!AA122)</f>
        <v>0</v>
      </c>
      <c r="W80" s="487">
        <f>IF(W$67="","",Underwriting!AB122)</f>
        <v>0</v>
      </c>
      <c r="X80" s="487">
        <f>IF(X$67="","",Underwriting!AC122)</f>
        <v>0</v>
      </c>
      <c r="Y80" s="487">
        <f>IF(Y$67="","",Underwriting!AD122)</f>
        <v>0</v>
      </c>
      <c r="Z80" s="487">
        <f>IF(Z$67="","",Underwriting!AE122)</f>
        <v>12833.333333333332</v>
      </c>
      <c r="AA80" s="487">
        <f>IF(AA$67="","",Underwriting!AF122)</f>
        <v>13611.111111111109</v>
      </c>
      <c r="AB80" s="487">
        <f>IF(AB$67="","",Underwriting!AG122)</f>
        <v>14388.888888888887</v>
      </c>
      <c r="AC80" s="487">
        <f>IF(AC$67="","",Underwriting!AH122)</f>
        <v>15166.666666666666</v>
      </c>
      <c r="AD80" s="487">
        <f>IF(AD$67="","",Underwriting!AI122)</f>
        <v>15944.444444444445</v>
      </c>
      <c r="AE80" s="487">
        <f>IF(AE$67="","",Underwriting!AJ122)</f>
        <v>16722.222222222223</v>
      </c>
      <c r="AF80" s="487">
        <f>IF(AF$67="","",Underwriting!AK122)</f>
        <v>17500</v>
      </c>
      <c r="AG80" s="487">
        <f>IF(AG$67="","",Underwriting!AL122)</f>
        <v>18277.777777777777</v>
      </c>
      <c r="AH80" s="487">
        <f>IF(AH$67="","",Underwriting!AM122)</f>
        <v>19055.555555555555</v>
      </c>
      <c r="AI80" s="487">
        <f>IF(AI$67="","",Underwriting!AN122)</f>
        <v>19833.333333333332</v>
      </c>
      <c r="AJ80" s="487">
        <f>IF(AJ$67="","",Underwriting!AO122)</f>
        <v>20611.111111111109</v>
      </c>
      <c r="AK80" s="487">
        <f>IF(AK$67="","",Underwriting!AP122)</f>
        <v>21388.888888888891</v>
      </c>
      <c r="AL80" s="487">
        <f>IF(AL$67="","",Underwriting!AQ122)</f>
        <v>22831.666666666664</v>
      </c>
      <c r="AM80" s="487">
        <f>IF(AM$67="","",Underwriting!AR122)</f>
        <v>23632.777777777781</v>
      </c>
      <c r="AN80" s="487">
        <f>IF(AN$67="","",Underwriting!AS122)</f>
        <v>24033.333333333332</v>
      </c>
      <c r="AO80" s="487">
        <f>IF(AO$67="","",Underwriting!AT122)</f>
        <v>24033.333333333332</v>
      </c>
      <c r="AP80" s="487">
        <f>IF(AP$67="","",Underwriting!AU122)</f>
        <v>24033.333333333332</v>
      </c>
      <c r="AQ80" s="487">
        <f>IF(AQ$67="","",Underwriting!AV122)</f>
        <v>24033.333333333332</v>
      </c>
      <c r="AR80" s="487">
        <f>IF(AR$67="","",Underwriting!AW122)</f>
        <v>24033.333333333332</v>
      </c>
      <c r="AS80" s="487">
        <f>IF(AS$67="","",Underwriting!AX122)</f>
        <v>24033.333333333332</v>
      </c>
      <c r="AT80" s="487">
        <f>IF(AT$67="","",Underwriting!AY122)</f>
        <v>24033.333333333332</v>
      </c>
      <c r="AU80" s="487">
        <f>IF(AU$67="","",Underwriting!AZ122)</f>
        <v>24033.333333333332</v>
      </c>
      <c r="AV80" s="487">
        <f>IF(AV$67="","",Underwriting!BA122)</f>
        <v>24033.333333333332</v>
      </c>
      <c r="AW80" s="487">
        <f>IF(AW$67="","",Underwriting!BB122)</f>
        <v>24033.333333333332</v>
      </c>
      <c r="AX80" s="487">
        <f>IF(AX$67="","",Underwriting!BC122)</f>
        <v>24754.333333333332</v>
      </c>
      <c r="AY80" s="487">
        <f>IF(AY$67="","",Underwriting!BD122)</f>
        <v>24754.333333333332</v>
      </c>
      <c r="AZ80" s="487">
        <f>IF(AZ$67="","",Underwriting!BE122)</f>
        <v>24754.333333333332</v>
      </c>
      <c r="BA80" s="487" t="str">
        <f>IF(BA$67="","",Underwriting!BF122)</f>
        <v/>
      </c>
      <c r="BB80" s="487" t="str">
        <f>IF(BB$67="","",Underwriting!BG122)</f>
        <v/>
      </c>
      <c r="BC80" s="487" t="str">
        <f>IF(BC$67="","",Underwriting!BH122)</f>
        <v/>
      </c>
      <c r="BD80" s="487" t="str">
        <f>IF(BD$67="","",Underwriting!BI122)</f>
        <v/>
      </c>
      <c r="BE80" s="487" t="str">
        <f>IF(BE$67="","",Underwriting!BJ122)</f>
        <v/>
      </c>
      <c r="BF80" s="487" t="str">
        <f>IF(BF$67="","",Underwriting!BK122)</f>
        <v/>
      </c>
      <c r="BG80" s="487" t="str">
        <f>IF(BG$67="","",Underwriting!BL122)</f>
        <v/>
      </c>
      <c r="BH80" s="487" t="str">
        <f>IF(BH$67="","",Underwriting!BM122)</f>
        <v/>
      </c>
      <c r="BI80" s="487" t="str">
        <f>IF(BI$67="","",Underwriting!BN122)</f>
        <v/>
      </c>
      <c r="BJ80" s="487" t="str">
        <f>IF(BJ$67="","",Underwriting!BO122)</f>
        <v/>
      </c>
      <c r="BK80" s="487" t="str">
        <f>IF(BK$67="","",Underwriting!BP122)</f>
        <v/>
      </c>
      <c r="BL80" s="487" t="str">
        <f>IF(BL$67="","",Underwriting!BQ122)</f>
        <v/>
      </c>
      <c r="BM80" s="487" t="str">
        <f>IF(BM$67="","",Underwriting!BR122)</f>
        <v/>
      </c>
      <c r="BN80" s="487" t="str">
        <f>IF(BN$67="","",Underwriting!BS122)</f>
        <v/>
      </c>
      <c r="BO80" s="487" t="str">
        <f>IF(BO$67="","",Underwriting!BT122)</f>
        <v/>
      </c>
      <c r="BP80" s="487" t="str">
        <f>IF(BP$67="","",Underwriting!BU122)</f>
        <v/>
      </c>
      <c r="BQ80" s="487" t="str">
        <f>IF(BQ$67="","",Underwriting!BV122)</f>
        <v/>
      </c>
      <c r="BR80" s="487" t="str">
        <f>IF(BR$67="","",Underwriting!BW122)</f>
        <v/>
      </c>
      <c r="BS80" s="487" t="str">
        <f>IF(BS$67="","",Underwriting!BX122)</f>
        <v/>
      </c>
      <c r="BT80" s="487" t="str">
        <f>IF(BT$67="","",Underwriting!BY122)</f>
        <v/>
      </c>
      <c r="BU80" s="487" t="str">
        <f>IF(BU$67="","",Underwriting!BZ122)</f>
        <v/>
      </c>
      <c r="BV80" s="487" t="str">
        <f>IF(BV$67="","",Underwriting!CA122)</f>
        <v/>
      </c>
      <c r="BW80" s="487" t="str">
        <f>IF(BW$67="","",Underwriting!CB122)</f>
        <v/>
      </c>
      <c r="BX80" s="487" t="str">
        <f>IF(BX$67="","",Underwriting!CC122)</f>
        <v/>
      </c>
      <c r="BY80" s="487" t="str">
        <f>IF(BY$67="","",Underwriting!CD122)</f>
        <v/>
      </c>
      <c r="BZ80" s="487" t="str">
        <f>IF(BZ$67="","",Underwriting!CE122)</f>
        <v/>
      </c>
      <c r="CA80" s="487" t="str">
        <f>IF(CA$67="","",Underwriting!CF122)</f>
        <v/>
      </c>
      <c r="CB80" s="487" t="str">
        <f>IF(CB$67="","",Underwriting!CG122)</f>
        <v/>
      </c>
      <c r="CC80" s="487" t="str">
        <f>IF(CC$67="","",Underwriting!CH122)</f>
        <v/>
      </c>
      <c r="CD80" s="487" t="str">
        <f>IF(CD$67="","",Underwriting!CI122)</f>
        <v/>
      </c>
      <c r="CE80" s="487" t="str">
        <f>IF(CE$67="","",Underwriting!CJ122)</f>
        <v/>
      </c>
      <c r="CF80" s="487" t="str">
        <f>IF(CF$67="","",Underwriting!CK122)</f>
        <v/>
      </c>
      <c r="CG80" s="487" t="str">
        <f>IF(CG$67="","",Underwriting!CL122)</f>
        <v/>
      </c>
      <c r="CH80" s="487" t="str">
        <f>IF(CH$67="","",Underwriting!CM122)</f>
        <v/>
      </c>
      <c r="CI80" s="487" t="str">
        <f>IF(CI$67="","",Underwriting!CN122)</f>
        <v/>
      </c>
      <c r="CJ80" s="487" t="str">
        <f>IF(CJ$67="","",Underwriting!CO122)</f>
        <v/>
      </c>
      <c r="CK80" s="487" t="str">
        <f>IF(CK$67="","",Underwriting!CP122)</f>
        <v/>
      </c>
      <c r="CL80" s="487" t="str">
        <f>IF(CL$67="","",Underwriting!CQ122)</f>
        <v/>
      </c>
      <c r="CM80" s="487" t="str">
        <f>IF(CM$67="","",Underwriting!CR122)</f>
        <v/>
      </c>
      <c r="CN80" s="487" t="str">
        <f>IF(CN$67="","",Underwriting!CS122)</f>
        <v/>
      </c>
      <c r="CO80" s="487" t="str">
        <f>IF(CO$67="","",Underwriting!CT122)</f>
        <v/>
      </c>
      <c r="CP80" s="487" t="str">
        <f>IF(CP$67="","",Underwriting!CU122)</f>
        <v/>
      </c>
      <c r="CQ80" s="487" t="str">
        <f>IF(CQ$67="","",Underwriting!CV122)</f>
        <v/>
      </c>
      <c r="CR80" s="487" t="str">
        <f>IF(CR$67="","",Underwriting!CW122)</f>
        <v/>
      </c>
      <c r="CS80" s="487" t="str">
        <f>IF(CS$67="","",Underwriting!CX122)</f>
        <v/>
      </c>
      <c r="CT80" s="487" t="str">
        <f>IF(CT$67="","",Underwriting!CY122)</f>
        <v/>
      </c>
      <c r="CU80" s="487" t="str">
        <f>IF(CU$67="","",Underwriting!CZ122)</f>
        <v/>
      </c>
      <c r="CV80" s="487" t="str">
        <f>IF(CV$67="","",Underwriting!DA122)</f>
        <v/>
      </c>
      <c r="CW80" s="487" t="str">
        <f>IF(CW$67="","",Underwriting!DB122)</f>
        <v/>
      </c>
      <c r="CX80" s="487" t="str">
        <f>IF(CX$67="","",Underwriting!DC122)</f>
        <v/>
      </c>
      <c r="CY80" s="487" t="str">
        <f>IF(CY$67="","",Underwriting!DD122)</f>
        <v/>
      </c>
      <c r="CZ80" s="487" t="str">
        <f>IF(CZ$67="","",Underwriting!DE122)</f>
        <v/>
      </c>
      <c r="DA80" s="487" t="str">
        <f>IF(DA$67="","",Underwriting!DF122)</f>
        <v/>
      </c>
      <c r="DB80" s="487" t="str">
        <f>IF(DB$67="","",Underwriting!DG122)</f>
        <v/>
      </c>
      <c r="DC80" s="487" t="str">
        <f>IF(DC$67="","",Underwriting!DH122)</f>
        <v/>
      </c>
      <c r="DD80" s="487" t="str">
        <f>IF(DD$67="","",Underwriting!DI122)</f>
        <v/>
      </c>
      <c r="DE80" s="487" t="str">
        <f>IF(DE$67="","",Underwriting!DJ122)</f>
        <v/>
      </c>
      <c r="DF80" s="487" t="str">
        <f>IF(DF$67="","",Underwriting!DK122)</f>
        <v/>
      </c>
      <c r="DG80" s="487" t="str">
        <f>IF(DG$67="","",Underwriting!DL122)</f>
        <v/>
      </c>
      <c r="DH80" s="487" t="str">
        <f>IF(DH$67="","",Underwriting!DM122)</f>
        <v/>
      </c>
      <c r="DI80" s="487" t="str">
        <f>IF(DI$67="","",Underwriting!DN122)</f>
        <v/>
      </c>
      <c r="DJ80" s="487" t="str">
        <f>IF(DJ$67="","",Underwriting!DO122)</f>
        <v/>
      </c>
      <c r="DK80" s="487" t="str">
        <f>IF(DK$67="","",Underwriting!DP122)</f>
        <v/>
      </c>
      <c r="DL80" s="487" t="str">
        <f>IF(DL$67="","",Underwriting!DQ122)</f>
        <v/>
      </c>
      <c r="DM80" s="487" t="str">
        <f>IF(DM$67="","",Underwriting!DR122)</f>
        <v/>
      </c>
      <c r="DN80" s="487" t="str">
        <f>IF(DN$67="","",Underwriting!DS122)</f>
        <v/>
      </c>
      <c r="DO80" s="487" t="str">
        <f>IF(DO$67="","",Underwriting!DT122)</f>
        <v/>
      </c>
      <c r="DP80" s="487" t="str">
        <f>IF(DP$67="","",Underwriting!DU122)</f>
        <v/>
      </c>
      <c r="DQ80" s="487" t="str">
        <f>IF(DQ$67="","",Underwriting!DV122)</f>
        <v/>
      </c>
      <c r="DR80" s="487" t="str">
        <f>IF(DR$67="","",Underwriting!DW122)</f>
        <v/>
      </c>
      <c r="DS80" s="487" t="str">
        <f>IF(DS$67="","",Underwriting!DX122)</f>
        <v/>
      </c>
      <c r="DT80" s="487" t="str">
        <f>IF(DT$67="","",Underwriting!DY122)</f>
        <v/>
      </c>
      <c r="DU80" s="487" t="str">
        <f>IF(DU$67="","",Underwriting!DZ122)</f>
        <v/>
      </c>
      <c r="DV80" s="487" t="str">
        <f>IF(DV$67="","",Underwriting!EA122)</f>
        <v/>
      </c>
      <c r="DW80" s="487" t="str">
        <f>IF(DW$67="","",Underwriting!EB122)</f>
        <v/>
      </c>
      <c r="DX80" s="487" t="str">
        <f>IF(DX$67="","",Underwriting!EC122)</f>
        <v/>
      </c>
      <c r="DY80" s="487" t="str">
        <f>IF(DY$67="","",Underwriting!ED122)</f>
        <v/>
      </c>
      <c r="DZ80" s="487" t="str">
        <f>IF(DZ$67="","",Underwriting!EE122)</f>
        <v/>
      </c>
      <c r="EA80" s="487" t="str">
        <f>IF(EA$67="","",Underwriting!EF122)</f>
        <v/>
      </c>
      <c r="EB80" s="487" t="str">
        <f>IF(EB$67="","",Underwriting!EG122)</f>
        <v/>
      </c>
      <c r="EC80" s="487" t="str">
        <f>IF(EC$67="","",Underwriting!EH122)</f>
        <v/>
      </c>
      <c r="ED80" s="487" t="str">
        <f>IF(ED$67="","",Underwriting!EI122)</f>
        <v/>
      </c>
      <c r="EE80" s="487" t="str">
        <f>IF(EE$67="","",Underwriting!EJ122)</f>
        <v/>
      </c>
      <c r="EF80" s="487" t="str">
        <f>IF(EF$67="","",Underwriting!EK122)</f>
        <v/>
      </c>
      <c r="EG80" s="487" t="str">
        <f>IF(EG$67="","",Underwriting!EL122)</f>
        <v/>
      </c>
      <c r="EH80" s="487" t="str">
        <f>IF(EH$67="","",Underwriting!EM122)</f>
        <v/>
      </c>
      <c r="EI80" s="487" t="str">
        <f>IF(EI$67="","",Underwriting!EN122)</f>
        <v/>
      </c>
    </row>
    <row r="81" spans="2:139" hidden="1" outlineLevel="1" x14ac:dyDescent="0.2">
      <c r="B81" s="486" t="s">
        <v>140</v>
      </c>
      <c r="C81" s="4"/>
      <c r="D81" s="4"/>
      <c r="E81" s="4"/>
      <c r="F81" s="4"/>
      <c r="G81" s="487">
        <f>IF(G$67="","",Underwriting!L123)</f>
        <v>0</v>
      </c>
      <c r="H81" s="487">
        <f>IF(H$67="","",Underwriting!M123)</f>
        <v>0</v>
      </c>
      <c r="I81" s="487">
        <f>IF(I$67="","",Underwriting!N123)</f>
        <v>0</v>
      </c>
      <c r="J81" s="487">
        <f>IF(J$67="","",Underwriting!O123)</f>
        <v>0</v>
      </c>
      <c r="K81" s="487">
        <f>IF(K$67="","",Underwriting!P123)</f>
        <v>0</v>
      </c>
      <c r="L81" s="487">
        <f>IF(L$67="","",Underwriting!Q123)</f>
        <v>0</v>
      </c>
      <c r="M81" s="487">
        <f>IF(M$67="","",Underwriting!R123)</f>
        <v>0</v>
      </c>
      <c r="N81" s="487">
        <f>IF(N$67="","",Underwriting!S123)</f>
        <v>0</v>
      </c>
      <c r="O81" s="487">
        <f>IF(O$67="","",Underwriting!T123)</f>
        <v>0</v>
      </c>
      <c r="P81" s="487">
        <f>IF(P$67="","",Underwriting!U123)</f>
        <v>0</v>
      </c>
      <c r="Q81" s="487">
        <f>IF(Q$67="","",Underwriting!V123)</f>
        <v>0</v>
      </c>
      <c r="R81" s="487">
        <f>IF(R$67="","",Underwriting!W123)</f>
        <v>0</v>
      </c>
      <c r="S81" s="487">
        <f>IF(S$67="","",Underwriting!X123)</f>
        <v>0</v>
      </c>
      <c r="T81" s="487">
        <f>IF(T$67="","",Underwriting!Y123)</f>
        <v>0</v>
      </c>
      <c r="U81" s="487">
        <f>IF(U$67="","",Underwriting!Z123)</f>
        <v>0</v>
      </c>
      <c r="V81" s="487">
        <f>IF(V$67="","",Underwriting!AA123)</f>
        <v>0</v>
      </c>
      <c r="W81" s="487">
        <f>IF(W$67="","",Underwriting!AB123)</f>
        <v>0</v>
      </c>
      <c r="X81" s="487">
        <f>IF(X$67="","",Underwriting!AC123)</f>
        <v>0</v>
      </c>
      <c r="Y81" s="487">
        <f>IF(Y$67="","",Underwriting!AD123)</f>
        <v>0</v>
      </c>
      <c r="Z81" s="487">
        <f>IF(Z$67="","",Underwriting!AE123)</f>
        <v>6781.25</v>
      </c>
      <c r="AA81" s="487">
        <f>IF(AA$67="","",Underwriting!AF123)</f>
        <v>6927.083333333333</v>
      </c>
      <c r="AB81" s="487">
        <f>IF(AB$67="","",Underwriting!AG123)</f>
        <v>7072.916666666667</v>
      </c>
      <c r="AC81" s="487">
        <f>IF(AC$67="","",Underwriting!AH123)</f>
        <v>7218.75</v>
      </c>
      <c r="AD81" s="487">
        <f>IF(AD$67="","",Underwriting!AI123)</f>
        <v>7364.583333333333</v>
      </c>
      <c r="AE81" s="487">
        <f>IF(AE$67="","",Underwriting!AJ123)</f>
        <v>7510.416666666667</v>
      </c>
      <c r="AF81" s="487">
        <f>IF(AF$67="","",Underwriting!AK123)</f>
        <v>7656.25</v>
      </c>
      <c r="AG81" s="487">
        <f>IF(AG$67="","",Underwriting!AL123)</f>
        <v>7802.083333333333</v>
      </c>
      <c r="AH81" s="487">
        <f>IF(AH$67="","",Underwriting!AM123)</f>
        <v>7947.9166666666661</v>
      </c>
      <c r="AI81" s="487">
        <f>IF(AI$67="","",Underwriting!AN123)</f>
        <v>8093.75</v>
      </c>
      <c r="AJ81" s="487">
        <f>IF(AJ$67="","",Underwriting!AO123)</f>
        <v>8239.5833333333339</v>
      </c>
      <c r="AK81" s="487">
        <f>IF(AK$67="","",Underwriting!AP123)</f>
        <v>8385.4166666666661</v>
      </c>
      <c r="AL81" s="487">
        <f>IF(AL$67="","",Underwriting!AQ123)</f>
        <v>8787.1875</v>
      </c>
      <c r="AM81" s="487">
        <f>IF(AM$67="","",Underwriting!AR123)</f>
        <v>8937.3958333333339</v>
      </c>
      <c r="AN81" s="487">
        <f>IF(AN$67="","",Underwriting!AS123)</f>
        <v>9012.5</v>
      </c>
      <c r="AO81" s="487">
        <f>IF(AO$67="","",Underwriting!AT123)</f>
        <v>9012.5</v>
      </c>
      <c r="AP81" s="487">
        <f>IF(AP$67="","",Underwriting!AU123)</f>
        <v>9012.5</v>
      </c>
      <c r="AQ81" s="487">
        <f>IF(AQ$67="","",Underwriting!AV123)</f>
        <v>9012.5</v>
      </c>
      <c r="AR81" s="487">
        <f>IF(AR$67="","",Underwriting!AW123)</f>
        <v>9012.5</v>
      </c>
      <c r="AS81" s="487">
        <f>IF(AS$67="","",Underwriting!AX123)</f>
        <v>9012.5</v>
      </c>
      <c r="AT81" s="487">
        <f>IF(AT$67="","",Underwriting!AY123)</f>
        <v>9012.5</v>
      </c>
      <c r="AU81" s="487">
        <f>IF(AU$67="","",Underwriting!AZ123)</f>
        <v>9012.5</v>
      </c>
      <c r="AV81" s="487">
        <f>IF(AV$67="","",Underwriting!BA123)</f>
        <v>9012.5</v>
      </c>
      <c r="AW81" s="487">
        <f>IF(AW$67="","",Underwriting!BB123)</f>
        <v>9012.5</v>
      </c>
      <c r="AX81" s="487">
        <f>IF(AX$67="","",Underwriting!BC123)</f>
        <v>9282.875</v>
      </c>
      <c r="AY81" s="487">
        <f>IF(AY$67="","",Underwriting!BD123)</f>
        <v>9282.875</v>
      </c>
      <c r="AZ81" s="487">
        <f>IF(AZ$67="","",Underwriting!BE123)</f>
        <v>9282.875</v>
      </c>
      <c r="BA81" s="487" t="str">
        <f>IF(BA$67="","",Underwriting!BF123)</f>
        <v/>
      </c>
      <c r="BB81" s="487" t="str">
        <f>IF(BB$67="","",Underwriting!BG123)</f>
        <v/>
      </c>
      <c r="BC81" s="487" t="str">
        <f>IF(BC$67="","",Underwriting!BH123)</f>
        <v/>
      </c>
      <c r="BD81" s="487" t="str">
        <f>IF(BD$67="","",Underwriting!BI123)</f>
        <v/>
      </c>
      <c r="BE81" s="487" t="str">
        <f>IF(BE$67="","",Underwriting!BJ123)</f>
        <v/>
      </c>
      <c r="BF81" s="487" t="str">
        <f>IF(BF$67="","",Underwriting!BK123)</f>
        <v/>
      </c>
      <c r="BG81" s="487" t="str">
        <f>IF(BG$67="","",Underwriting!BL123)</f>
        <v/>
      </c>
      <c r="BH81" s="487" t="str">
        <f>IF(BH$67="","",Underwriting!BM123)</f>
        <v/>
      </c>
      <c r="BI81" s="487" t="str">
        <f>IF(BI$67="","",Underwriting!BN123)</f>
        <v/>
      </c>
      <c r="BJ81" s="487" t="str">
        <f>IF(BJ$67="","",Underwriting!BO123)</f>
        <v/>
      </c>
      <c r="BK81" s="487" t="str">
        <f>IF(BK$67="","",Underwriting!BP123)</f>
        <v/>
      </c>
      <c r="BL81" s="487" t="str">
        <f>IF(BL$67="","",Underwriting!BQ123)</f>
        <v/>
      </c>
      <c r="BM81" s="487" t="str">
        <f>IF(BM$67="","",Underwriting!BR123)</f>
        <v/>
      </c>
      <c r="BN81" s="487" t="str">
        <f>IF(BN$67="","",Underwriting!BS123)</f>
        <v/>
      </c>
      <c r="BO81" s="487" t="str">
        <f>IF(BO$67="","",Underwriting!BT123)</f>
        <v/>
      </c>
      <c r="BP81" s="487" t="str">
        <f>IF(BP$67="","",Underwriting!BU123)</f>
        <v/>
      </c>
      <c r="BQ81" s="487" t="str">
        <f>IF(BQ$67="","",Underwriting!BV123)</f>
        <v/>
      </c>
      <c r="BR81" s="487" t="str">
        <f>IF(BR$67="","",Underwriting!BW123)</f>
        <v/>
      </c>
      <c r="BS81" s="487" t="str">
        <f>IF(BS$67="","",Underwriting!BX123)</f>
        <v/>
      </c>
      <c r="BT81" s="487" t="str">
        <f>IF(BT$67="","",Underwriting!BY123)</f>
        <v/>
      </c>
      <c r="BU81" s="487" t="str">
        <f>IF(BU$67="","",Underwriting!BZ123)</f>
        <v/>
      </c>
      <c r="BV81" s="487" t="str">
        <f>IF(BV$67="","",Underwriting!CA123)</f>
        <v/>
      </c>
      <c r="BW81" s="487" t="str">
        <f>IF(BW$67="","",Underwriting!CB123)</f>
        <v/>
      </c>
      <c r="BX81" s="487" t="str">
        <f>IF(BX$67="","",Underwriting!CC123)</f>
        <v/>
      </c>
      <c r="BY81" s="487" t="str">
        <f>IF(BY$67="","",Underwriting!CD123)</f>
        <v/>
      </c>
      <c r="BZ81" s="487" t="str">
        <f>IF(BZ$67="","",Underwriting!CE123)</f>
        <v/>
      </c>
      <c r="CA81" s="487" t="str">
        <f>IF(CA$67="","",Underwriting!CF123)</f>
        <v/>
      </c>
      <c r="CB81" s="487" t="str">
        <f>IF(CB$67="","",Underwriting!CG123)</f>
        <v/>
      </c>
      <c r="CC81" s="487" t="str">
        <f>IF(CC$67="","",Underwriting!CH123)</f>
        <v/>
      </c>
      <c r="CD81" s="487" t="str">
        <f>IF(CD$67="","",Underwriting!CI123)</f>
        <v/>
      </c>
      <c r="CE81" s="487" t="str">
        <f>IF(CE$67="","",Underwriting!CJ123)</f>
        <v/>
      </c>
      <c r="CF81" s="487" t="str">
        <f>IF(CF$67="","",Underwriting!CK123)</f>
        <v/>
      </c>
      <c r="CG81" s="487" t="str">
        <f>IF(CG$67="","",Underwriting!CL123)</f>
        <v/>
      </c>
      <c r="CH81" s="487" t="str">
        <f>IF(CH$67="","",Underwriting!CM123)</f>
        <v/>
      </c>
      <c r="CI81" s="487" t="str">
        <f>IF(CI$67="","",Underwriting!CN123)</f>
        <v/>
      </c>
      <c r="CJ81" s="487" t="str">
        <f>IF(CJ$67="","",Underwriting!CO123)</f>
        <v/>
      </c>
      <c r="CK81" s="487" t="str">
        <f>IF(CK$67="","",Underwriting!CP123)</f>
        <v/>
      </c>
      <c r="CL81" s="487" t="str">
        <f>IF(CL$67="","",Underwriting!CQ123)</f>
        <v/>
      </c>
      <c r="CM81" s="487" t="str">
        <f>IF(CM$67="","",Underwriting!CR123)</f>
        <v/>
      </c>
      <c r="CN81" s="487" t="str">
        <f>IF(CN$67="","",Underwriting!CS123)</f>
        <v/>
      </c>
      <c r="CO81" s="487" t="str">
        <f>IF(CO$67="","",Underwriting!CT123)</f>
        <v/>
      </c>
      <c r="CP81" s="487" t="str">
        <f>IF(CP$67="","",Underwriting!CU123)</f>
        <v/>
      </c>
      <c r="CQ81" s="487" t="str">
        <f>IF(CQ$67="","",Underwriting!CV123)</f>
        <v/>
      </c>
      <c r="CR81" s="487" t="str">
        <f>IF(CR$67="","",Underwriting!CW123)</f>
        <v/>
      </c>
      <c r="CS81" s="487" t="str">
        <f>IF(CS$67="","",Underwriting!CX123)</f>
        <v/>
      </c>
      <c r="CT81" s="487" t="str">
        <f>IF(CT$67="","",Underwriting!CY123)</f>
        <v/>
      </c>
      <c r="CU81" s="487" t="str">
        <f>IF(CU$67="","",Underwriting!CZ123)</f>
        <v/>
      </c>
      <c r="CV81" s="487" t="str">
        <f>IF(CV$67="","",Underwriting!DA123)</f>
        <v/>
      </c>
      <c r="CW81" s="487" t="str">
        <f>IF(CW$67="","",Underwriting!DB123)</f>
        <v/>
      </c>
      <c r="CX81" s="487" t="str">
        <f>IF(CX$67="","",Underwriting!DC123)</f>
        <v/>
      </c>
      <c r="CY81" s="487" t="str">
        <f>IF(CY$67="","",Underwriting!DD123)</f>
        <v/>
      </c>
      <c r="CZ81" s="487" t="str">
        <f>IF(CZ$67="","",Underwriting!DE123)</f>
        <v/>
      </c>
      <c r="DA81" s="487" t="str">
        <f>IF(DA$67="","",Underwriting!DF123)</f>
        <v/>
      </c>
      <c r="DB81" s="487" t="str">
        <f>IF(DB$67="","",Underwriting!DG123)</f>
        <v/>
      </c>
      <c r="DC81" s="487" t="str">
        <f>IF(DC$67="","",Underwriting!DH123)</f>
        <v/>
      </c>
      <c r="DD81" s="487" t="str">
        <f>IF(DD$67="","",Underwriting!DI123)</f>
        <v/>
      </c>
      <c r="DE81" s="487" t="str">
        <f>IF(DE$67="","",Underwriting!DJ123)</f>
        <v/>
      </c>
      <c r="DF81" s="487" t="str">
        <f>IF(DF$67="","",Underwriting!DK123)</f>
        <v/>
      </c>
      <c r="DG81" s="487" t="str">
        <f>IF(DG$67="","",Underwriting!DL123)</f>
        <v/>
      </c>
      <c r="DH81" s="487" t="str">
        <f>IF(DH$67="","",Underwriting!DM123)</f>
        <v/>
      </c>
      <c r="DI81" s="487" t="str">
        <f>IF(DI$67="","",Underwriting!DN123)</f>
        <v/>
      </c>
      <c r="DJ81" s="487" t="str">
        <f>IF(DJ$67="","",Underwriting!DO123)</f>
        <v/>
      </c>
      <c r="DK81" s="487" t="str">
        <f>IF(DK$67="","",Underwriting!DP123)</f>
        <v/>
      </c>
      <c r="DL81" s="487" t="str">
        <f>IF(DL$67="","",Underwriting!DQ123)</f>
        <v/>
      </c>
      <c r="DM81" s="487" t="str">
        <f>IF(DM$67="","",Underwriting!DR123)</f>
        <v/>
      </c>
      <c r="DN81" s="487" t="str">
        <f>IF(DN$67="","",Underwriting!DS123)</f>
        <v/>
      </c>
      <c r="DO81" s="487" t="str">
        <f>IF(DO$67="","",Underwriting!DT123)</f>
        <v/>
      </c>
      <c r="DP81" s="487" t="str">
        <f>IF(DP$67="","",Underwriting!DU123)</f>
        <v/>
      </c>
      <c r="DQ81" s="487" t="str">
        <f>IF(DQ$67="","",Underwriting!DV123)</f>
        <v/>
      </c>
      <c r="DR81" s="487" t="str">
        <f>IF(DR$67="","",Underwriting!DW123)</f>
        <v/>
      </c>
      <c r="DS81" s="487" t="str">
        <f>IF(DS$67="","",Underwriting!DX123)</f>
        <v/>
      </c>
      <c r="DT81" s="487" t="str">
        <f>IF(DT$67="","",Underwriting!DY123)</f>
        <v/>
      </c>
      <c r="DU81" s="487" t="str">
        <f>IF(DU$67="","",Underwriting!DZ123)</f>
        <v/>
      </c>
      <c r="DV81" s="487" t="str">
        <f>IF(DV$67="","",Underwriting!EA123)</f>
        <v/>
      </c>
      <c r="DW81" s="487" t="str">
        <f>IF(DW$67="","",Underwriting!EB123)</f>
        <v/>
      </c>
      <c r="DX81" s="487" t="str">
        <f>IF(DX$67="","",Underwriting!EC123)</f>
        <v/>
      </c>
      <c r="DY81" s="487" t="str">
        <f>IF(DY$67="","",Underwriting!ED123)</f>
        <v/>
      </c>
      <c r="DZ81" s="487" t="str">
        <f>IF(DZ$67="","",Underwriting!EE123)</f>
        <v/>
      </c>
      <c r="EA81" s="487" t="str">
        <f>IF(EA$67="","",Underwriting!EF123)</f>
        <v/>
      </c>
      <c r="EB81" s="487" t="str">
        <f>IF(EB$67="","",Underwriting!EG123)</f>
        <v/>
      </c>
      <c r="EC81" s="487" t="str">
        <f>IF(EC$67="","",Underwriting!EH123)</f>
        <v/>
      </c>
      <c r="ED81" s="487" t="str">
        <f>IF(ED$67="","",Underwriting!EI123)</f>
        <v/>
      </c>
      <c r="EE81" s="487" t="str">
        <f>IF(EE$67="","",Underwriting!EJ123)</f>
        <v/>
      </c>
      <c r="EF81" s="487" t="str">
        <f>IF(EF$67="","",Underwriting!EK123)</f>
        <v/>
      </c>
      <c r="EG81" s="487" t="str">
        <f>IF(EG$67="","",Underwriting!EL123)</f>
        <v/>
      </c>
      <c r="EH81" s="487" t="str">
        <f>IF(EH$67="","",Underwriting!EM123)</f>
        <v/>
      </c>
      <c r="EI81" s="487" t="str">
        <f>IF(EI$67="","",Underwriting!EN123)</f>
        <v/>
      </c>
    </row>
    <row r="82" spans="2:139" hidden="1" outlineLevel="1" x14ac:dyDescent="0.2">
      <c r="B82" s="486" t="s">
        <v>141</v>
      </c>
      <c r="C82" s="4"/>
      <c r="D82" s="4"/>
      <c r="E82" s="4"/>
      <c r="F82" s="4"/>
      <c r="G82" s="487">
        <f>IF(G$67="","",Underwriting!L124)</f>
        <v>0</v>
      </c>
      <c r="H82" s="487">
        <f>IF(H$67="","",Underwriting!M124)</f>
        <v>0</v>
      </c>
      <c r="I82" s="487">
        <f>IF(I$67="","",Underwriting!N124)</f>
        <v>0</v>
      </c>
      <c r="J82" s="487">
        <f>IF(J$67="","",Underwriting!O124)</f>
        <v>0</v>
      </c>
      <c r="K82" s="487">
        <f>IF(K$67="","",Underwriting!P124)</f>
        <v>0</v>
      </c>
      <c r="L82" s="487">
        <f>IF(L$67="","",Underwriting!Q124)</f>
        <v>0</v>
      </c>
      <c r="M82" s="487">
        <f>IF(M$67="","",Underwriting!R124)</f>
        <v>0</v>
      </c>
      <c r="N82" s="487">
        <f>IF(N$67="","",Underwriting!S124)</f>
        <v>0</v>
      </c>
      <c r="O82" s="487">
        <f>IF(O$67="","",Underwriting!T124)</f>
        <v>0</v>
      </c>
      <c r="P82" s="487">
        <f>IF(P$67="","",Underwriting!U124)</f>
        <v>0</v>
      </c>
      <c r="Q82" s="487">
        <f>IF(Q$67="","",Underwriting!V124)</f>
        <v>0</v>
      </c>
      <c r="R82" s="487">
        <f>IF(R$67="","",Underwriting!W124)</f>
        <v>0</v>
      </c>
      <c r="S82" s="487">
        <f>IF(S$67="","",Underwriting!X124)</f>
        <v>0</v>
      </c>
      <c r="T82" s="487">
        <f>IF(T$67="","",Underwriting!Y124)</f>
        <v>0</v>
      </c>
      <c r="U82" s="487">
        <f>IF(U$67="","",Underwriting!Z124)</f>
        <v>0</v>
      </c>
      <c r="V82" s="487">
        <f>IF(V$67="","",Underwriting!AA124)</f>
        <v>0</v>
      </c>
      <c r="W82" s="487">
        <f>IF(W$67="","",Underwriting!AB124)</f>
        <v>0</v>
      </c>
      <c r="X82" s="487">
        <f>IF(X$67="","",Underwriting!AC124)</f>
        <v>0</v>
      </c>
      <c r="Y82" s="487">
        <f>IF(Y$67="","",Underwriting!AD124)</f>
        <v>0</v>
      </c>
      <c r="Z82" s="487">
        <f>IF(Z$67="","",Underwriting!AE124)</f>
        <v>374.99999999999994</v>
      </c>
      <c r="AA82" s="487">
        <f>IF(AA$67="","",Underwriting!AF124)</f>
        <v>624.99999999999989</v>
      </c>
      <c r="AB82" s="487">
        <f>IF(AB$67="","",Underwriting!AG124)</f>
        <v>874.99999999999977</v>
      </c>
      <c r="AC82" s="487">
        <f>IF(AC$67="","",Underwriting!AH124)</f>
        <v>1125.0000000000002</v>
      </c>
      <c r="AD82" s="487">
        <f>IF(AD$67="","",Underwriting!AI124)</f>
        <v>1375</v>
      </c>
      <c r="AE82" s="487">
        <f>IF(AE$67="","",Underwriting!AJ124)</f>
        <v>1625</v>
      </c>
      <c r="AF82" s="487">
        <f>IF(AF$67="","",Underwriting!AK124)</f>
        <v>1875</v>
      </c>
      <c r="AG82" s="487">
        <f>IF(AG$67="","",Underwriting!AL124)</f>
        <v>2125</v>
      </c>
      <c r="AH82" s="487">
        <f>IF(AH$67="","",Underwriting!AM124)</f>
        <v>2375</v>
      </c>
      <c r="AI82" s="487">
        <f>IF(AI$67="","",Underwriting!AN124)</f>
        <v>2625</v>
      </c>
      <c r="AJ82" s="487">
        <f>IF(AJ$67="","",Underwriting!AO124)</f>
        <v>2875</v>
      </c>
      <c r="AK82" s="487">
        <f>IF(AK$67="","",Underwriting!AP124)</f>
        <v>3125</v>
      </c>
      <c r="AL82" s="487">
        <f>IF(AL$67="","",Underwriting!AQ124)</f>
        <v>3476.25</v>
      </c>
      <c r="AM82" s="487">
        <f>IF(AM$67="","",Underwriting!AR124)</f>
        <v>3733.75</v>
      </c>
      <c r="AN82" s="487">
        <f>IF(AN$67="","",Underwriting!AS124)</f>
        <v>3862.5</v>
      </c>
      <c r="AO82" s="487">
        <f>IF(AO$67="","",Underwriting!AT124)</f>
        <v>3862.5</v>
      </c>
      <c r="AP82" s="487">
        <f>IF(AP$67="","",Underwriting!AU124)</f>
        <v>3862.5</v>
      </c>
      <c r="AQ82" s="487">
        <f>IF(AQ$67="","",Underwriting!AV124)</f>
        <v>3862.5</v>
      </c>
      <c r="AR82" s="487">
        <f>IF(AR$67="","",Underwriting!AW124)</f>
        <v>3862.5</v>
      </c>
      <c r="AS82" s="487">
        <f>IF(AS$67="","",Underwriting!AX124)</f>
        <v>3862.5</v>
      </c>
      <c r="AT82" s="487">
        <f>IF(AT$67="","",Underwriting!AY124)</f>
        <v>3862.5</v>
      </c>
      <c r="AU82" s="487">
        <f>IF(AU$67="","",Underwriting!AZ124)</f>
        <v>3862.5</v>
      </c>
      <c r="AV82" s="487">
        <f>IF(AV$67="","",Underwriting!BA124)</f>
        <v>3862.5</v>
      </c>
      <c r="AW82" s="487">
        <f>IF(AW$67="","",Underwriting!BB124)</f>
        <v>3862.5</v>
      </c>
      <c r="AX82" s="487">
        <f>IF(AX$67="","",Underwriting!BC124)</f>
        <v>3978.375</v>
      </c>
      <c r="AY82" s="487">
        <f>IF(AY$67="","",Underwriting!BD124)</f>
        <v>3978.375</v>
      </c>
      <c r="AZ82" s="487">
        <f>IF(AZ$67="","",Underwriting!BE124)</f>
        <v>3978.375</v>
      </c>
      <c r="BA82" s="487" t="str">
        <f>IF(BA$67="","",Underwriting!BF124)</f>
        <v/>
      </c>
      <c r="BB82" s="487" t="str">
        <f>IF(BB$67="","",Underwriting!BG124)</f>
        <v/>
      </c>
      <c r="BC82" s="487" t="str">
        <f>IF(BC$67="","",Underwriting!BH124)</f>
        <v/>
      </c>
      <c r="BD82" s="487" t="str">
        <f>IF(BD$67="","",Underwriting!BI124)</f>
        <v/>
      </c>
      <c r="BE82" s="487" t="str">
        <f>IF(BE$67="","",Underwriting!BJ124)</f>
        <v/>
      </c>
      <c r="BF82" s="487" t="str">
        <f>IF(BF$67="","",Underwriting!BK124)</f>
        <v/>
      </c>
      <c r="BG82" s="487" t="str">
        <f>IF(BG$67="","",Underwriting!BL124)</f>
        <v/>
      </c>
      <c r="BH82" s="487" t="str">
        <f>IF(BH$67="","",Underwriting!BM124)</f>
        <v/>
      </c>
      <c r="BI82" s="487" t="str">
        <f>IF(BI$67="","",Underwriting!BN124)</f>
        <v/>
      </c>
      <c r="BJ82" s="487" t="str">
        <f>IF(BJ$67="","",Underwriting!BO124)</f>
        <v/>
      </c>
      <c r="BK82" s="487" t="str">
        <f>IF(BK$67="","",Underwriting!BP124)</f>
        <v/>
      </c>
      <c r="BL82" s="487" t="str">
        <f>IF(BL$67="","",Underwriting!BQ124)</f>
        <v/>
      </c>
      <c r="BM82" s="487" t="str">
        <f>IF(BM$67="","",Underwriting!BR124)</f>
        <v/>
      </c>
      <c r="BN82" s="487" t="str">
        <f>IF(BN$67="","",Underwriting!BS124)</f>
        <v/>
      </c>
      <c r="BO82" s="487" t="str">
        <f>IF(BO$67="","",Underwriting!BT124)</f>
        <v/>
      </c>
      <c r="BP82" s="487" t="str">
        <f>IF(BP$67="","",Underwriting!BU124)</f>
        <v/>
      </c>
      <c r="BQ82" s="487" t="str">
        <f>IF(BQ$67="","",Underwriting!BV124)</f>
        <v/>
      </c>
      <c r="BR82" s="487" t="str">
        <f>IF(BR$67="","",Underwriting!BW124)</f>
        <v/>
      </c>
      <c r="BS82" s="487" t="str">
        <f>IF(BS$67="","",Underwriting!BX124)</f>
        <v/>
      </c>
      <c r="BT82" s="487" t="str">
        <f>IF(BT$67="","",Underwriting!BY124)</f>
        <v/>
      </c>
      <c r="BU82" s="487" t="str">
        <f>IF(BU$67="","",Underwriting!BZ124)</f>
        <v/>
      </c>
      <c r="BV82" s="487" t="str">
        <f>IF(BV$67="","",Underwriting!CA124)</f>
        <v/>
      </c>
      <c r="BW82" s="487" t="str">
        <f>IF(BW$67="","",Underwriting!CB124)</f>
        <v/>
      </c>
      <c r="BX82" s="487" t="str">
        <f>IF(BX$67="","",Underwriting!CC124)</f>
        <v/>
      </c>
      <c r="BY82" s="487" t="str">
        <f>IF(BY$67="","",Underwriting!CD124)</f>
        <v/>
      </c>
      <c r="BZ82" s="487" t="str">
        <f>IF(BZ$67="","",Underwriting!CE124)</f>
        <v/>
      </c>
      <c r="CA82" s="487" t="str">
        <f>IF(CA$67="","",Underwriting!CF124)</f>
        <v/>
      </c>
      <c r="CB82" s="487" t="str">
        <f>IF(CB$67="","",Underwriting!CG124)</f>
        <v/>
      </c>
      <c r="CC82" s="487" t="str">
        <f>IF(CC$67="","",Underwriting!CH124)</f>
        <v/>
      </c>
      <c r="CD82" s="487" t="str">
        <f>IF(CD$67="","",Underwriting!CI124)</f>
        <v/>
      </c>
      <c r="CE82" s="487" t="str">
        <f>IF(CE$67="","",Underwriting!CJ124)</f>
        <v/>
      </c>
      <c r="CF82" s="487" t="str">
        <f>IF(CF$67="","",Underwriting!CK124)</f>
        <v/>
      </c>
      <c r="CG82" s="487" t="str">
        <f>IF(CG$67="","",Underwriting!CL124)</f>
        <v/>
      </c>
      <c r="CH82" s="487" t="str">
        <f>IF(CH$67="","",Underwriting!CM124)</f>
        <v/>
      </c>
      <c r="CI82" s="487" t="str">
        <f>IF(CI$67="","",Underwriting!CN124)</f>
        <v/>
      </c>
      <c r="CJ82" s="487" t="str">
        <f>IF(CJ$67="","",Underwriting!CO124)</f>
        <v/>
      </c>
      <c r="CK82" s="487" t="str">
        <f>IF(CK$67="","",Underwriting!CP124)</f>
        <v/>
      </c>
      <c r="CL82" s="487" t="str">
        <f>IF(CL$67="","",Underwriting!CQ124)</f>
        <v/>
      </c>
      <c r="CM82" s="487" t="str">
        <f>IF(CM$67="","",Underwriting!CR124)</f>
        <v/>
      </c>
      <c r="CN82" s="487" t="str">
        <f>IF(CN$67="","",Underwriting!CS124)</f>
        <v/>
      </c>
      <c r="CO82" s="487" t="str">
        <f>IF(CO$67="","",Underwriting!CT124)</f>
        <v/>
      </c>
      <c r="CP82" s="487" t="str">
        <f>IF(CP$67="","",Underwriting!CU124)</f>
        <v/>
      </c>
      <c r="CQ82" s="487" t="str">
        <f>IF(CQ$67="","",Underwriting!CV124)</f>
        <v/>
      </c>
      <c r="CR82" s="487" t="str">
        <f>IF(CR$67="","",Underwriting!CW124)</f>
        <v/>
      </c>
      <c r="CS82" s="487" t="str">
        <f>IF(CS$67="","",Underwriting!CX124)</f>
        <v/>
      </c>
      <c r="CT82" s="487" t="str">
        <f>IF(CT$67="","",Underwriting!CY124)</f>
        <v/>
      </c>
      <c r="CU82" s="487" t="str">
        <f>IF(CU$67="","",Underwriting!CZ124)</f>
        <v/>
      </c>
      <c r="CV82" s="487" t="str">
        <f>IF(CV$67="","",Underwriting!DA124)</f>
        <v/>
      </c>
      <c r="CW82" s="487" t="str">
        <f>IF(CW$67="","",Underwriting!DB124)</f>
        <v/>
      </c>
      <c r="CX82" s="487" t="str">
        <f>IF(CX$67="","",Underwriting!DC124)</f>
        <v/>
      </c>
      <c r="CY82" s="487" t="str">
        <f>IF(CY$67="","",Underwriting!DD124)</f>
        <v/>
      </c>
      <c r="CZ82" s="487" t="str">
        <f>IF(CZ$67="","",Underwriting!DE124)</f>
        <v/>
      </c>
      <c r="DA82" s="487" t="str">
        <f>IF(DA$67="","",Underwriting!DF124)</f>
        <v/>
      </c>
      <c r="DB82" s="487" t="str">
        <f>IF(DB$67="","",Underwriting!DG124)</f>
        <v/>
      </c>
      <c r="DC82" s="487" t="str">
        <f>IF(DC$67="","",Underwriting!DH124)</f>
        <v/>
      </c>
      <c r="DD82" s="487" t="str">
        <f>IF(DD$67="","",Underwriting!DI124)</f>
        <v/>
      </c>
      <c r="DE82" s="487" t="str">
        <f>IF(DE$67="","",Underwriting!DJ124)</f>
        <v/>
      </c>
      <c r="DF82" s="487" t="str">
        <f>IF(DF$67="","",Underwriting!DK124)</f>
        <v/>
      </c>
      <c r="DG82" s="487" t="str">
        <f>IF(DG$67="","",Underwriting!DL124)</f>
        <v/>
      </c>
      <c r="DH82" s="487" t="str">
        <f>IF(DH$67="","",Underwriting!DM124)</f>
        <v/>
      </c>
      <c r="DI82" s="487" t="str">
        <f>IF(DI$67="","",Underwriting!DN124)</f>
        <v/>
      </c>
      <c r="DJ82" s="487" t="str">
        <f>IF(DJ$67="","",Underwriting!DO124)</f>
        <v/>
      </c>
      <c r="DK82" s="487" t="str">
        <f>IF(DK$67="","",Underwriting!DP124)</f>
        <v/>
      </c>
      <c r="DL82" s="487" t="str">
        <f>IF(DL$67="","",Underwriting!DQ124)</f>
        <v/>
      </c>
      <c r="DM82" s="487" t="str">
        <f>IF(DM$67="","",Underwriting!DR124)</f>
        <v/>
      </c>
      <c r="DN82" s="487" t="str">
        <f>IF(DN$67="","",Underwriting!DS124)</f>
        <v/>
      </c>
      <c r="DO82" s="487" t="str">
        <f>IF(DO$67="","",Underwriting!DT124)</f>
        <v/>
      </c>
      <c r="DP82" s="487" t="str">
        <f>IF(DP$67="","",Underwriting!DU124)</f>
        <v/>
      </c>
      <c r="DQ82" s="487" t="str">
        <f>IF(DQ$67="","",Underwriting!DV124)</f>
        <v/>
      </c>
      <c r="DR82" s="487" t="str">
        <f>IF(DR$67="","",Underwriting!DW124)</f>
        <v/>
      </c>
      <c r="DS82" s="487" t="str">
        <f>IF(DS$67="","",Underwriting!DX124)</f>
        <v/>
      </c>
      <c r="DT82" s="487" t="str">
        <f>IF(DT$67="","",Underwriting!DY124)</f>
        <v/>
      </c>
      <c r="DU82" s="487" t="str">
        <f>IF(DU$67="","",Underwriting!DZ124)</f>
        <v/>
      </c>
      <c r="DV82" s="487" t="str">
        <f>IF(DV$67="","",Underwriting!EA124)</f>
        <v/>
      </c>
      <c r="DW82" s="487" t="str">
        <f>IF(DW$67="","",Underwriting!EB124)</f>
        <v/>
      </c>
      <c r="DX82" s="487" t="str">
        <f>IF(DX$67="","",Underwriting!EC124)</f>
        <v/>
      </c>
      <c r="DY82" s="487" t="str">
        <f>IF(DY$67="","",Underwriting!ED124)</f>
        <v/>
      </c>
      <c r="DZ82" s="487" t="str">
        <f>IF(DZ$67="","",Underwriting!EE124)</f>
        <v/>
      </c>
      <c r="EA82" s="487" t="str">
        <f>IF(EA$67="","",Underwriting!EF124)</f>
        <v/>
      </c>
      <c r="EB82" s="487" t="str">
        <f>IF(EB$67="","",Underwriting!EG124)</f>
        <v/>
      </c>
      <c r="EC82" s="487" t="str">
        <f>IF(EC$67="","",Underwriting!EH124)</f>
        <v/>
      </c>
      <c r="ED82" s="487" t="str">
        <f>IF(ED$67="","",Underwriting!EI124)</f>
        <v/>
      </c>
      <c r="EE82" s="487" t="str">
        <f>IF(EE$67="","",Underwriting!EJ124)</f>
        <v/>
      </c>
      <c r="EF82" s="487" t="str">
        <f>IF(EF$67="","",Underwriting!EK124)</f>
        <v/>
      </c>
      <c r="EG82" s="487" t="str">
        <f>IF(EG$67="","",Underwriting!EL124)</f>
        <v/>
      </c>
      <c r="EH82" s="487" t="str">
        <f>IF(EH$67="","",Underwriting!EM124)</f>
        <v/>
      </c>
      <c r="EI82" s="487" t="str">
        <f>IF(EI$67="","",Underwriting!EN124)</f>
        <v/>
      </c>
    </row>
    <row r="83" spans="2:139" hidden="1" outlineLevel="1" x14ac:dyDescent="0.2">
      <c r="B83" s="486" t="s">
        <v>142</v>
      </c>
      <c r="C83" s="4"/>
      <c r="D83" s="4"/>
      <c r="E83" s="4"/>
      <c r="F83" s="4"/>
      <c r="G83" s="487">
        <f>IF(G$67="","",Underwriting!L125)</f>
        <v>0</v>
      </c>
      <c r="H83" s="487">
        <f>IF(H$67="","",Underwriting!M125)</f>
        <v>0</v>
      </c>
      <c r="I83" s="487">
        <f>IF(I$67="","",Underwriting!N125)</f>
        <v>0</v>
      </c>
      <c r="J83" s="487">
        <f>IF(J$67="","",Underwriting!O125)</f>
        <v>0</v>
      </c>
      <c r="K83" s="487">
        <f>IF(K$67="","",Underwriting!P125)</f>
        <v>0</v>
      </c>
      <c r="L83" s="487">
        <f>IF(L$67="","",Underwriting!Q125)</f>
        <v>0</v>
      </c>
      <c r="M83" s="487">
        <f>IF(M$67="","",Underwriting!R125)</f>
        <v>0</v>
      </c>
      <c r="N83" s="487">
        <f>IF(N$67="","",Underwriting!S125)</f>
        <v>0</v>
      </c>
      <c r="O83" s="487">
        <f>IF(O$67="","",Underwriting!T125)</f>
        <v>0</v>
      </c>
      <c r="P83" s="487">
        <f>IF(P$67="","",Underwriting!U125)</f>
        <v>0</v>
      </c>
      <c r="Q83" s="487">
        <f>IF(Q$67="","",Underwriting!V125)</f>
        <v>0</v>
      </c>
      <c r="R83" s="487">
        <f>IF(R$67="","",Underwriting!W125)</f>
        <v>0</v>
      </c>
      <c r="S83" s="487">
        <f>IF(S$67="","",Underwriting!X125)</f>
        <v>0</v>
      </c>
      <c r="T83" s="487">
        <f>IF(T$67="","",Underwriting!Y125)</f>
        <v>0</v>
      </c>
      <c r="U83" s="487">
        <f>IF(U$67="","",Underwriting!Z125)</f>
        <v>0</v>
      </c>
      <c r="V83" s="487">
        <f>IF(V$67="","",Underwriting!AA125)</f>
        <v>0</v>
      </c>
      <c r="W83" s="487">
        <f>IF(W$67="","",Underwriting!AB125)</f>
        <v>0</v>
      </c>
      <c r="X83" s="487">
        <f>IF(X$67="","",Underwriting!AC125)</f>
        <v>0</v>
      </c>
      <c r="Y83" s="487">
        <f>IF(Y$67="","",Underwriting!AD125)</f>
        <v>0</v>
      </c>
      <c r="Z83" s="487">
        <f>IF(Z$67="","",Underwriting!AE125)</f>
        <v>387.79746553846178</v>
      </c>
      <c r="AA83" s="487">
        <f>IF(AA$67="","",Underwriting!AF125)</f>
        <v>1412.0028015384617</v>
      </c>
      <c r="AB83" s="487">
        <f>IF(AB$67="","",Underwriting!AG125)</f>
        <v>2436.2081375384614</v>
      </c>
      <c r="AC83" s="487">
        <f>IF(AC$67="","",Underwriting!AH125)</f>
        <v>3460.4134735384619</v>
      </c>
      <c r="AD83" s="487">
        <f>IF(AD$67="","",Underwriting!AI125)</f>
        <v>4484.6188095384614</v>
      </c>
      <c r="AE83" s="487">
        <f>IF(AE$67="","",Underwriting!AJ125)</f>
        <v>5508.8241455384614</v>
      </c>
      <c r="AF83" s="487">
        <f>IF(AF$67="","",Underwriting!AK125)</f>
        <v>6533.0294815384614</v>
      </c>
      <c r="AG83" s="487">
        <f>IF(AG$67="","",Underwriting!AL125)</f>
        <v>7557.2348175384614</v>
      </c>
      <c r="AH83" s="487">
        <f>IF(AH$67="","",Underwriting!AM125)</f>
        <v>8581.4401535384604</v>
      </c>
      <c r="AI83" s="487">
        <f>IF(AI$67="","",Underwriting!AN125)</f>
        <v>9605.6454895384613</v>
      </c>
      <c r="AJ83" s="487">
        <f>IF(AJ$67="","",Underwriting!AO125)</f>
        <v>10629.850825538462</v>
      </c>
      <c r="AK83" s="487">
        <f>IF(AK$67="","",Underwriting!AP125)</f>
        <v>11654.056161538463</v>
      </c>
      <c r="AL83" s="487">
        <f>IF(AL$67="","",Underwriting!AQ125)</f>
        <v>13058.609342464615</v>
      </c>
      <c r="AM83" s="487">
        <f>IF(AM$67="","",Underwriting!AR125)</f>
        <v>14113.540838544615</v>
      </c>
      <c r="AN83" s="487">
        <f>IF(AN$67="","",Underwriting!AS125)</f>
        <v>15351.779596199998</v>
      </c>
      <c r="AO83" s="487">
        <f>IF(AO$67="","",Underwriting!AT125)</f>
        <v>15386.129221199999</v>
      </c>
      <c r="AP83" s="487">
        <f>IF(AP$67="","",Underwriting!AU125)</f>
        <v>15420.4788462</v>
      </c>
      <c r="AQ83" s="487">
        <f>IF(AQ$67="","",Underwriting!AV125)</f>
        <v>15454.828471199999</v>
      </c>
      <c r="AR83" s="487">
        <f>IF(AR$67="","",Underwriting!AW125)</f>
        <v>15489.178096199998</v>
      </c>
      <c r="AS83" s="487">
        <f>IF(AS$67="","",Underwriting!AX125)</f>
        <v>15523.527721199998</v>
      </c>
      <c r="AT83" s="487">
        <f>IF(AT$67="","",Underwriting!AY125)</f>
        <v>15557.877346199999</v>
      </c>
      <c r="AU83" s="487">
        <f>IF(AU$67="","",Underwriting!AZ125)</f>
        <v>15592.2269712</v>
      </c>
      <c r="AV83" s="487">
        <f>IF(AV$67="","",Underwriting!BA125)</f>
        <v>15626.576596199999</v>
      </c>
      <c r="AW83" s="487">
        <f>IF(AW$67="","",Underwriting!BB125)</f>
        <v>15660.926221199998</v>
      </c>
      <c r="AX83" s="487">
        <f>IF(AX$67="","",Underwriting!BC125)</f>
        <v>16166.134121585996</v>
      </c>
      <c r="AY83" s="487">
        <f>IF(AY$67="","",Underwriting!BD125)</f>
        <v>16201.514235335995</v>
      </c>
      <c r="AZ83" s="487">
        <f>IF(AZ$67="","",Underwriting!BE125)</f>
        <v>15812.332984085997</v>
      </c>
      <c r="BA83" s="487" t="str">
        <f>IF(BA$67="","",Underwriting!BF125)</f>
        <v/>
      </c>
      <c r="BB83" s="487" t="str">
        <f>IF(BB$67="","",Underwriting!BG125)</f>
        <v/>
      </c>
      <c r="BC83" s="487" t="str">
        <f>IF(BC$67="","",Underwriting!BH125)</f>
        <v/>
      </c>
      <c r="BD83" s="487" t="str">
        <f>IF(BD$67="","",Underwriting!BI125)</f>
        <v/>
      </c>
      <c r="BE83" s="487" t="str">
        <f>IF(BE$67="","",Underwriting!BJ125)</f>
        <v/>
      </c>
      <c r="BF83" s="487" t="str">
        <f>IF(BF$67="","",Underwriting!BK125)</f>
        <v/>
      </c>
      <c r="BG83" s="487" t="str">
        <f>IF(BG$67="","",Underwriting!BL125)</f>
        <v/>
      </c>
      <c r="BH83" s="487" t="str">
        <f>IF(BH$67="","",Underwriting!BM125)</f>
        <v/>
      </c>
      <c r="BI83" s="487" t="str">
        <f>IF(BI$67="","",Underwriting!BN125)</f>
        <v/>
      </c>
      <c r="BJ83" s="487" t="str">
        <f>IF(BJ$67="","",Underwriting!BO125)</f>
        <v/>
      </c>
      <c r="BK83" s="487" t="str">
        <f>IF(BK$67="","",Underwriting!BP125)</f>
        <v/>
      </c>
      <c r="BL83" s="487" t="str">
        <f>IF(BL$67="","",Underwriting!BQ125)</f>
        <v/>
      </c>
      <c r="BM83" s="487" t="str">
        <f>IF(BM$67="","",Underwriting!BR125)</f>
        <v/>
      </c>
      <c r="BN83" s="487" t="str">
        <f>IF(BN$67="","",Underwriting!BS125)</f>
        <v/>
      </c>
      <c r="BO83" s="487" t="str">
        <f>IF(BO$67="","",Underwriting!BT125)</f>
        <v/>
      </c>
      <c r="BP83" s="487" t="str">
        <f>IF(BP$67="","",Underwriting!BU125)</f>
        <v/>
      </c>
      <c r="BQ83" s="487" t="str">
        <f>IF(BQ$67="","",Underwriting!BV125)</f>
        <v/>
      </c>
      <c r="BR83" s="487" t="str">
        <f>IF(BR$67="","",Underwriting!BW125)</f>
        <v/>
      </c>
      <c r="BS83" s="487" t="str">
        <f>IF(BS$67="","",Underwriting!BX125)</f>
        <v/>
      </c>
      <c r="BT83" s="487" t="str">
        <f>IF(BT$67="","",Underwriting!BY125)</f>
        <v/>
      </c>
      <c r="BU83" s="487" t="str">
        <f>IF(BU$67="","",Underwriting!BZ125)</f>
        <v/>
      </c>
      <c r="BV83" s="487" t="str">
        <f>IF(BV$67="","",Underwriting!CA125)</f>
        <v/>
      </c>
      <c r="BW83" s="487" t="str">
        <f>IF(BW$67="","",Underwriting!CB125)</f>
        <v/>
      </c>
      <c r="BX83" s="487" t="str">
        <f>IF(BX$67="","",Underwriting!CC125)</f>
        <v/>
      </c>
      <c r="BY83" s="487" t="str">
        <f>IF(BY$67="","",Underwriting!CD125)</f>
        <v/>
      </c>
      <c r="BZ83" s="487" t="str">
        <f>IF(BZ$67="","",Underwriting!CE125)</f>
        <v/>
      </c>
      <c r="CA83" s="487" t="str">
        <f>IF(CA$67="","",Underwriting!CF125)</f>
        <v/>
      </c>
      <c r="CB83" s="487" t="str">
        <f>IF(CB$67="","",Underwriting!CG125)</f>
        <v/>
      </c>
      <c r="CC83" s="487" t="str">
        <f>IF(CC$67="","",Underwriting!CH125)</f>
        <v/>
      </c>
      <c r="CD83" s="487" t="str">
        <f>IF(CD$67="","",Underwriting!CI125)</f>
        <v/>
      </c>
      <c r="CE83" s="487" t="str">
        <f>IF(CE$67="","",Underwriting!CJ125)</f>
        <v/>
      </c>
      <c r="CF83" s="487" t="str">
        <f>IF(CF$67="","",Underwriting!CK125)</f>
        <v/>
      </c>
      <c r="CG83" s="487" t="str">
        <f>IF(CG$67="","",Underwriting!CL125)</f>
        <v/>
      </c>
      <c r="CH83" s="487" t="str">
        <f>IF(CH$67="","",Underwriting!CM125)</f>
        <v/>
      </c>
      <c r="CI83" s="487" t="str">
        <f>IF(CI$67="","",Underwriting!CN125)</f>
        <v/>
      </c>
      <c r="CJ83" s="487" t="str">
        <f>IF(CJ$67="","",Underwriting!CO125)</f>
        <v/>
      </c>
      <c r="CK83" s="487" t="str">
        <f>IF(CK$67="","",Underwriting!CP125)</f>
        <v/>
      </c>
      <c r="CL83" s="487" t="str">
        <f>IF(CL$67="","",Underwriting!CQ125)</f>
        <v/>
      </c>
      <c r="CM83" s="487" t="str">
        <f>IF(CM$67="","",Underwriting!CR125)</f>
        <v/>
      </c>
      <c r="CN83" s="487" t="str">
        <f>IF(CN$67="","",Underwriting!CS125)</f>
        <v/>
      </c>
      <c r="CO83" s="487" t="str">
        <f>IF(CO$67="","",Underwriting!CT125)</f>
        <v/>
      </c>
      <c r="CP83" s="487" t="str">
        <f>IF(CP$67="","",Underwriting!CU125)</f>
        <v/>
      </c>
      <c r="CQ83" s="487" t="str">
        <f>IF(CQ$67="","",Underwriting!CV125)</f>
        <v/>
      </c>
      <c r="CR83" s="487" t="str">
        <f>IF(CR$67="","",Underwriting!CW125)</f>
        <v/>
      </c>
      <c r="CS83" s="487" t="str">
        <f>IF(CS$67="","",Underwriting!CX125)</f>
        <v/>
      </c>
      <c r="CT83" s="487" t="str">
        <f>IF(CT$67="","",Underwriting!CY125)</f>
        <v/>
      </c>
      <c r="CU83" s="487" t="str">
        <f>IF(CU$67="","",Underwriting!CZ125)</f>
        <v/>
      </c>
      <c r="CV83" s="487" t="str">
        <f>IF(CV$67="","",Underwriting!DA125)</f>
        <v/>
      </c>
      <c r="CW83" s="487" t="str">
        <f>IF(CW$67="","",Underwriting!DB125)</f>
        <v/>
      </c>
      <c r="CX83" s="487" t="str">
        <f>IF(CX$67="","",Underwriting!DC125)</f>
        <v/>
      </c>
      <c r="CY83" s="487" t="str">
        <f>IF(CY$67="","",Underwriting!DD125)</f>
        <v/>
      </c>
      <c r="CZ83" s="487" t="str">
        <f>IF(CZ$67="","",Underwriting!DE125)</f>
        <v/>
      </c>
      <c r="DA83" s="487" t="str">
        <f>IF(DA$67="","",Underwriting!DF125)</f>
        <v/>
      </c>
      <c r="DB83" s="487" t="str">
        <f>IF(DB$67="","",Underwriting!DG125)</f>
        <v/>
      </c>
      <c r="DC83" s="487" t="str">
        <f>IF(DC$67="","",Underwriting!DH125)</f>
        <v/>
      </c>
      <c r="DD83" s="487" t="str">
        <f>IF(DD$67="","",Underwriting!DI125)</f>
        <v/>
      </c>
      <c r="DE83" s="487" t="str">
        <f>IF(DE$67="","",Underwriting!DJ125)</f>
        <v/>
      </c>
      <c r="DF83" s="487" t="str">
        <f>IF(DF$67="","",Underwriting!DK125)</f>
        <v/>
      </c>
      <c r="DG83" s="487" t="str">
        <f>IF(DG$67="","",Underwriting!DL125)</f>
        <v/>
      </c>
      <c r="DH83" s="487" t="str">
        <f>IF(DH$67="","",Underwriting!DM125)</f>
        <v/>
      </c>
      <c r="DI83" s="487" t="str">
        <f>IF(DI$67="","",Underwriting!DN125)</f>
        <v/>
      </c>
      <c r="DJ83" s="487" t="str">
        <f>IF(DJ$67="","",Underwriting!DO125)</f>
        <v/>
      </c>
      <c r="DK83" s="487" t="str">
        <f>IF(DK$67="","",Underwriting!DP125)</f>
        <v/>
      </c>
      <c r="DL83" s="487" t="str">
        <f>IF(DL$67="","",Underwriting!DQ125)</f>
        <v/>
      </c>
      <c r="DM83" s="487" t="str">
        <f>IF(DM$67="","",Underwriting!DR125)</f>
        <v/>
      </c>
      <c r="DN83" s="487" t="str">
        <f>IF(DN$67="","",Underwriting!DS125)</f>
        <v/>
      </c>
      <c r="DO83" s="487" t="str">
        <f>IF(DO$67="","",Underwriting!DT125)</f>
        <v/>
      </c>
      <c r="DP83" s="487" t="str">
        <f>IF(DP$67="","",Underwriting!DU125)</f>
        <v/>
      </c>
      <c r="DQ83" s="487" t="str">
        <f>IF(DQ$67="","",Underwriting!DV125)</f>
        <v/>
      </c>
      <c r="DR83" s="487" t="str">
        <f>IF(DR$67="","",Underwriting!DW125)</f>
        <v/>
      </c>
      <c r="DS83" s="487" t="str">
        <f>IF(DS$67="","",Underwriting!DX125)</f>
        <v/>
      </c>
      <c r="DT83" s="487" t="str">
        <f>IF(DT$67="","",Underwriting!DY125)</f>
        <v/>
      </c>
      <c r="DU83" s="487" t="str">
        <f>IF(DU$67="","",Underwriting!DZ125)</f>
        <v/>
      </c>
      <c r="DV83" s="487" t="str">
        <f>IF(DV$67="","",Underwriting!EA125)</f>
        <v/>
      </c>
      <c r="DW83" s="487" t="str">
        <f>IF(DW$67="","",Underwriting!EB125)</f>
        <v/>
      </c>
      <c r="DX83" s="487" t="str">
        <f>IF(DX$67="","",Underwriting!EC125)</f>
        <v/>
      </c>
      <c r="DY83" s="487" t="str">
        <f>IF(DY$67="","",Underwriting!ED125)</f>
        <v/>
      </c>
      <c r="DZ83" s="487" t="str">
        <f>IF(DZ$67="","",Underwriting!EE125)</f>
        <v/>
      </c>
      <c r="EA83" s="487" t="str">
        <f>IF(EA$67="","",Underwriting!EF125)</f>
        <v/>
      </c>
      <c r="EB83" s="487" t="str">
        <f>IF(EB$67="","",Underwriting!EG125)</f>
        <v/>
      </c>
      <c r="EC83" s="487" t="str">
        <f>IF(EC$67="","",Underwriting!EH125)</f>
        <v/>
      </c>
      <c r="ED83" s="487" t="str">
        <f>IF(ED$67="","",Underwriting!EI125)</f>
        <v/>
      </c>
      <c r="EE83" s="487" t="str">
        <f>IF(EE$67="","",Underwriting!EJ125)</f>
        <v/>
      </c>
      <c r="EF83" s="487" t="str">
        <f>IF(EF$67="","",Underwriting!EK125)</f>
        <v/>
      </c>
      <c r="EG83" s="487" t="str">
        <f>IF(EG$67="","",Underwriting!EL125)</f>
        <v/>
      </c>
      <c r="EH83" s="487" t="str">
        <f>IF(EH$67="","",Underwriting!EM125)</f>
        <v/>
      </c>
      <c r="EI83" s="487" t="str">
        <f>IF(EI$67="","",Underwriting!EN125)</f>
        <v/>
      </c>
    </row>
    <row r="84" spans="2:139" hidden="1" outlineLevel="1" x14ac:dyDescent="0.2">
      <c r="B84" s="486" t="s">
        <v>143</v>
      </c>
      <c r="C84" s="4"/>
      <c r="D84" s="4"/>
      <c r="E84" s="4"/>
      <c r="F84" s="4"/>
      <c r="G84" s="487">
        <f>IF(G$67="","",Underwriting!L126)</f>
        <v>0</v>
      </c>
      <c r="H84" s="487">
        <f>IF(H$67="","",Underwriting!M126)</f>
        <v>0</v>
      </c>
      <c r="I84" s="487">
        <f>IF(I$67="","",Underwriting!N126)</f>
        <v>0</v>
      </c>
      <c r="J84" s="487">
        <f>IF(J$67="","",Underwriting!O126)</f>
        <v>0</v>
      </c>
      <c r="K84" s="487">
        <f>IF(K$67="","",Underwriting!P126)</f>
        <v>0</v>
      </c>
      <c r="L84" s="487">
        <f>IF(L$67="","",Underwriting!Q126)</f>
        <v>0</v>
      </c>
      <c r="M84" s="487">
        <f>IF(M$67="","",Underwriting!R126)</f>
        <v>0</v>
      </c>
      <c r="N84" s="487">
        <f>IF(N$67="","",Underwriting!S126)</f>
        <v>0</v>
      </c>
      <c r="O84" s="487">
        <f>IF(O$67="","",Underwriting!T126)</f>
        <v>0</v>
      </c>
      <c r="P84" s="487">
        <f>IF(P$67="","",Underwriting!U126)</f>
        <v>0</v>
      </c>
      <c r="Q84" s="487">
        <f>IF(Q$67="","",Underwriting!V126)</f>
        <v>0</v>
      </c>
      <c r="R84" s="487">
        <f>IF(R$67="","",Underwriting!W126)</f>
        <v>0</v>
      </c>
      <c r="S84" s="487">
        <f>IF(S$67="","",Underwriting!X126)</f>
        <v>0</v>
      </c>
      <c r="T84" s="487">
        <f>IF(T$67="","",Underwriting!Y126)</f>
        <v>0</v>
      </c>
      <c r="U84" s="487">
        <f>IF(U$67="","",Underwriting!Z126)</f>
        <v>0</v>
      </c>
      <c r="V84" s="487">
        <f>IF(V$67="","",Underwriting!AA126)</f>
        <v>0</v>
      </c>
      <c r="W84" s="487">
        <f>IF(W$67="","",Underwriting!AB126)</f>
        <v>0</v>
      </c>
      <c r="X84" s="487">
        <f>IF(X$67="","",Underwriting!AC126)</f>
        <v>0</v>
      </c>
      <c r="Y84" s="487">
        <f>IF(Y$67="","",Underwriting!AD126)</f>
        <v>0</v>
      </c>
      <c r="Z84" s="487">
        <f>IF(Z$67="","",Underwriting!AE126)</f>
        <v>8750</v>
      </c>
      <c r="AA84" s="487">
        <f>IF(AA$67="","",Underwriting!AF126)</f>
        <v>8750</v>
      </c>
      <c r="AB84" s="487">
        <f>IF(AB$67="","",Underwriting!AG126)</f>
        <v>8750</v>
      </c>
      <c r="AC84" s="487">
        <f>IF(AC$67="","",Underwriting!AH126)</f>
        <v>8750</v>
      </c>
      <c r="AD84" s="487">
        <f>IF(AD$67="","",Underwriting!AI126)</f>
        <v>8750</v>
      </c>
      <c r="AE84" s="487">
        <f>IF(AE$67="","",Underwriting!AJ126)</f>
        <v>8750</v>
      </c>
      <c r="AF84" s="487">
        <f>IF(AF$67="","",Underwriting!AK126)</f>
        <v>8750</v>
      </c>
      <c r="AG84" s="487">
        <f>IF(AG$67="","",Underwriting!AL126)</f>
        <v>8750</v>
      </c>
      <c r="AH84" s="487">
        <f>IF(AH$67="","",Underwriting!AM126)</f>
        <v>8750</v>
      </c>
      <c r="AI84" s="487">
        <f>IF(AI$67="","",Underwriting!AN126)</f>
        <v>8750</v>
      </c>
      <c r="AJ84" s="487">
        <f>IF(AJ$67="","",Underwriting!AO126)</f>
        <v>8750</v>
      </c>
      <c r="AK84" s="487">
        <f>IF(AK$67="","",Underwriting!AP126)</f>
        <v>8750</v>
      </c>
      <c r="AL84" s="487">
        <f>IF(AL$67="","",Underwriting!AQ126)</f>
        <v>9012.5</v>
      </c>
      <c r="AM84" s="487">
        <f>IF(AM$67="","",Underwriting!AR126)</f>
        <v>9012.5</v>
      </c>
      <c r="AN84" s="487">
        <f>IF(AN$67="","",Underwriting!AS126)</f>
        <v>9012.5</v>
      </c>
      <c r="AO84" s="487">
        <f>IF(AO$67="","",Underwriting!AT126)</f>
        <v>9012.5</v>
      </c>
      <c r="AP84" s="487">
        <f>IF(AP$67="","",Underwriting!AU126)</f>
        <v>9012.5</v>
      </c>
      <c r="AQ84" s="487">
        <f>IF(AQ$67="","",Underwriting!AV126)</f>
        <v>9012.5</v>
      </c>
      <c r="AR84" s="487">
        <f>IF(AR$67="","",Underwriting!AW126)</f>
        <v>9012.5</v>
      </c>
      <c r="AS84" s="487">
        <f>IF(AS$67="","",Underwriting!AX126)</f>
        <v>9012.5</v>
      </c>
      <c r="AT84" s="487">
        <f>IF(AT$67="","",Underwriting!AY126)</f>
        <v>9012.5</v>
      </c>
      <c r="AU84" s="487">
        <f>IF(AU$67="","",Underwriting!AZ126)</f>
        <v>9012.5</v>
      </c>
      <c r="AV84" s="487">
        <f>IF(AV$67="","",Underwriting!BA126)</f>
        <v>9012.5</v>
      </c>
      <c r="AW84" s="487">
        <f>IF(AW$67="","",Underwriting!BB126)</f>
        <v>9012.5</v>
      </c>
      <c r="AX84" s="487">
        <f>IF(AX$67="","",Underwriting!BC126)</f>
        <v>9282.875</v>
      </c>
      <c r="AY84" s="487">
        <f>IF(AY$67="","",Underwriting!BD126)</f>
        <v>9282.875</v>
      </c>
      <c r="AZ84" s="487">
        <f>IF(AZ$67="","",Underwriting!BE126)</f>
        <v>9282.875</v>
      </c>
      <c r="BA84" s="487" t="str">
        <f>IF(BA$67="","",Underwriting!BF126)</f>
        <v/>
      </c>
      <c r="BB84" s="487" t="str">
        <f>IF(BB$67="","",Underwriting!BG126)</f>
        <v/>
      </c>
      <c r="BC84" s="487" t="str">
        <f>IF(BC$67="","",Underwriting!BH126)</f>
        <v/>
      </c>
      <c r="BD84" s="487" t="str">
        <f>IF(BD$67="","",Underwriting!BI126)</f>
        <v/>
      </c>
      <c r="BE84" s="487" t="str">
        <f>IF(BE$67="","",Underwriting!BJ126)</f>
        <v/>
      </c>
      <c r="BF84" s="487" t="str">
        <f>IF(BF$67="","",Underwriting!BK126)</f>
        <v/>
      </c>
      <c r="BG84" s="487" t="str">
        <f>IF(BG$67="","",Underwriting!BL126)</f>
        <v/>
      </c>
      <c r="BH84" s="487" t="str">
        <f>IF(BH$67="","",Underwriting!BM126)</f>
        <v/>
      </c>
      <c r="BI84" s="487" t="str">
        <f>IF(BI$67="","",Underwriting!BN126)</f>
        <v/>
      </c>
      <c r="BJ84" s="487" t="str">
        <f>IF(BJ$67="","",Underwriting!BO126)</f>
        <v/>
      </c>
      <c r="BK84" s="487" t="str">
        <f>IF(BK$67="","",Underwriting!BP126)</f>
        <v/>
      </c>
      <c r="BL84" s="487" t="str">
        <f>IF(BL$67="","",Underwriting!BQ126)</f>
        <v/>
      </c>
      <c r="BM84" s="487" t="str">
        <f>IF(BM$67="","",Underwriting!BR126)</f>
        <v/>
      </c>
      <c r="BN84" s="487" t="str">
        <f>IF(BN$67="","",Underwriting!BS126)</f>
        <v/>
      </c>
      <c r="BO84" s="487" t="str">
        <f>IF(BO$67="","",Underwriting!BT126)</f>
        <v/>
      </c>
      <c r="BP84" s="487" t="str">
        <f>IF(BP$67="","",Underwriting!BU126)</f>
        <v/>
      </c>
      <c r="BQ84" s="487" t="str">
        <f>IF(BQ$67="","",Underwriting!BV126)</f>
        <v/>
      </c>
      <c r="BR84" s="487" t="str">
        <f>IF(BR$67="","",Underwriting!BW126)</f>
        <v/>
      </c>
      <c r="BS84" s="487" t="str">
        <f>IF(BS$67="","",Underwriting!BX126)</f>
        <v/>
      </c>
      <c r="BT84" s="487" t="str">
        <f>IF(BT$67="","",Underwriting!BY126)</f>
        <v/>
      </c>
      <c r="BU84" s="487" t="str">
        <f>IF(BU$67="","",Underwriting!BZ126)</f>
        <v/>
      </c>
      <c r="BV84" s="487" t="str">
        <f>IF(BV$67="","",Underwriting!CA126)</f>
        <v/>
      </c>
      <c r="BW84" s="487" t="str">
        <f>IF(BW$67="","",Underwriting!CB126)</f>
        <v/>
      </c>
      <c r="BX84" s="487" t="str">
        <f>IF(BX$67="","",Underwriting!CC126)</f>
        <v/>
      </c>
      <c r="BY84" s="487" t="str">
        <f>IF(BY$67="","",Underwriting!CD126)</f>
        <v/>
      </c>
      <c r="BZ84" s="487" t="str">
        <f>IF(BZ$67="","",Underwriting!CE126)</f>
        <v/>
      </c>
      <c r="CA84" s="487" t="str">
        <f>IF(CA$67="","",Underwriting!CF126)</f>
        <v/>
      </c>
      <c r="CB84" s="487" t="str">
        <f>IF(CB$67="","",Underwriting!CG126)</f>
        <v/>
      </c>
      <c r="CC84" s="487" t="str">
        <f>IF(CC$67="","",Underwriting!CH126)</f>
        <v/>
      </c>
      <c r="CD84" s="487" t="str">
        <f>IF(CD$67="","",Underwriting!CI126)</f>
        <v/>
      </c>
      <c r="CE84" s="487" t="str">
        <f>IF(CE$67="","",Underwriting!CJ126)</f>
        <v/>
      </c>
      <c r="CF84" s="487" t="str">
        <f>IF(CF$67="","",Underwriting!CK126)</f>
        <v/>
      </c>
      <c r="CG84" s="487" t="str">
        <f>IF(CG$67="","",Underwriting!CL126)</f>
        <v/>
      </c>
      <c r="CH84" s="487" t="str">
        <f>IF(CH$67="","",Underwriting!CM126)</f>
        <v/>
      </c>
      <c r="CI84" s="487" t="str">
        <f>IF(CI$67="","",Underwriting!CN126)</f>
        <v/>
      </c>
      <c r="CJ84" s="487" t="str">
        <f>IF(CJ$67="","",Underwriting!CO126)</f>
        <v/>
      </c>
      <c r="CK84" s="487" t="str">
        <f>IF(CK$67="","",Underwriting!CP126)</f>
        <v/>
      </c>
      <c r="CL84" s="487" t="str">
        <f>IF(CL$67="","",Underwriting!CQ126)</f>
        <v/>
      </c>
      <c r="CM84" s="487" t="str">
        <f>IF(CM$67="","",Underwriting!CR126)</f>
        <v/>
      </c>
      <c r="CN84" s="487" t="str">
        <f>IF(CN$67="","",Underwriting!CS126)</f>
        <v/>
      </c>
      <c r="CO84" s="487" t="str">
        <f>IF(CO$67="","",Underwriting!CT126)</f>
        <v/>
      </c>
      <c r="CP84" s="487" t="str">
        <f>IF(CP$67="","",Underwriting!CU126)</f>
        <v/>
      </c>
      <c r="CQ84" s="487" t="str">
        <f>IF(CQ$67="","",Underwriting!CV126)</f>
        <v/>
      </c>
      <c r="CR84" s="487" t="str">
        <f>IF(CR$67="","",Underwriting!CW126)</f>
        <v/>
      </c>
      <c r="CS84" s="487" t="str">
        <f>IF(CS$67="","",Underwriting!CX126)</f>
        <v/>
      </c>
      <c r="CT84" s="487" t="str">
        <f>IF(CT$67="","",Underwriting!CY126)</f>
        <v/>
      </c>
      <c r="CU84" s="487" t="str">
        <f>IF(CU$67="","",Underwriting!CZ126)</f>
        <v/>
      </c>
      <c r="CV84" s="487" t="str">
        <f>IF(CV$67="","",Underwriting!DA126)</f>
        <v/>
      </c>
      <c r="CW84" s="487" t="str">
        <f>IF(CW$67="","",Underwriting!DB126)</f>
        <v/>
      </c>
      <c r="CX84" s="487" t="str">
        <f>IF(CX$67="","",Underwriting!DC126)</f>
        <v/>
      </c>
      <c r="CY84" s="487" t="str">
        <f>IF(CY$67="","",Underwriting!DD126)</f>
        <v/>
      </c>
      <c r="CZ84" s="487" t="str">
        <f>IF(CZ$67="","",Underwriting!DE126)</f>
        <v/>
      </c>
      <c r="DA84" s="487" t="str">
        <f>IF(DA$67="","",Underwriting!DF126)</f>
        <v/>
      </c>
      <c r="DB84" s="487" t="str">
        <f>IF(DB$67="","",Underwriting!DG126)</f>
        <v/>
      </c>
      <c r="DC84" s="487" t="str">
        <f>IF(DC$67="","",Underwriting!DH126)</f>
        <v/>
      </c>
      <c r="DD84" s="487" t="str">
        <f>IF(DD$67="","",Underwriting!DI126)</f>
        <v/>
      </c>
      <c r="DE84" s="487" t="str">
        <f>IF(DE$67="","",Underwriting!DJ126)</f>
        <v/>
      </c>
      <c r="DF84" s="487" t="str">
        <f>IF(DF$67="","",Underwriting!DK126)</f>
        <v/>
      </c>
      <c r="DG84" s="487" t="str">
        <f>IF(DG$67="","",Underwriting!DL126)</f>
        <v/>
      </c>
      <c r="DH84" s="487" t="str">
        <f>IF(DH$67="","",Underwriting!DM126)</f>
        <v/>
      </c>
      <c r="DI84" s="487" t="str">
        <f>IF(DI$67="","",Underwriting!DN126)</f>
        <v/>
      </c>
      <c r="DJ84" s="487" t="str">
        <f>IF(DJ$67="","",Underwriting!DO126)</f>
        <v/>
      </c>
      <c r="DK84" s="487" t="str">
        <f>IF(DK$67="","",Underwriting!DP126)</f>
        <v/>
      </c>
      <c r="DL84" s="487" t="str">
        <f>IF(DL$67="","",Underwriting!DQ126)</f>
        <v/>
      </c>
      <c r="DM84" s="487" t="str">
        <f>IF(DM$67="","",Underwriting!DR126)</f>
        <v/>
      </c>
      <c r="DN84" s="487" t="str">
        <f>IF(DN$67="","",Underwriting!DS126)</f>
        <v/>
      </c>
      <c r="DO84" s="487" t="str">
        <f>IF(DO$67="","",Underwriting!DT126)</f>
        <v/>
      </c>
      <c r="DP84" s="487" t="str">
        <f>IF(DP$67="","",Underwriting!DU126)</f>
        <v/>
      </c>
      <c r="DQ84" s="487" t="str">
        <f>IF(DQ$67="","",Underwriting!DV126)</f>
        <v/>
      </c>
      <c r="DR84" s="487" t="str">
        <f>IF(DR$67="","",Underwriting!DW126)</f>
        <v/>
      </c>
      <c r="DS84" s="487" t="str">
        <f>IF(DS$67="","",Underwriting!DX126)</f>
        <v/>
      </c>
      <c r="DT84" s="487" t="str">
        <f>IF(DT$67="","",Underwriting!DY126)</f>
        <v/>
      </c>
      <c r="DU84" s="487" t="str">
        <f>IF(DU$67="","",Underwriting!DZ126)</f>
        <v/>
      </c>
      <c r="DV84" s="487" t="str">
        <f>IF(DV$67="","",Underwriting!EA126)</f>
        <v/>
      </c>
      <c r="DW84" s="487" t="str">
        <f>IF(DW$67="","",Underwriting!EB126)</f>
        <v/>
      </c>
      <c r="DX84" s="487" t="str">
        <f>IF(DX$67="","",Underwriting!EC126)</f>
        <v/>
      </c>
      <c r="DY84" s="487" t="str">
        <f>IF(DY$67="","",Underwriting!ED126)</f>
        <v/>
      </c>
      <c r="DZ84" s="487" t="str">
        <f>IF(DZ$67="","",Underwriting!EE126)</f>
        <v/>
      </c>
      <c r="EA84" s="487" t="str">
        <f>IF(EA$67="","",Underwriting!EF126)</f>
        <v/>
      </c>
      <c r="EB84" s="487" t="str">
        <f>IF(EB$67="","",Underwriting!EG126)</f>
        <v/>
      </c>
      <c r="EC84" s="487" t="str">
        <f>IF(EC$67="","",Underwriting!EH126)</f>
        <v/>
      </c>
      <c r="ED84" s="487" t="str">
        <f>IF(ED$67="","",Underwriting!EI126)</f>
        <v/>
      </c>
      <c r="EE84" s="487" t="str">
        <f>IF(EE$67="","",Underwriting!EJ126)</f>
        <v/>
      </c>
      <c r="EF84" s="487" t="str">
        <f>IF(EF$67="","",Underwriting!EK126)</f>
        <v/>
      </c>
      <c r="EG84" s="487" t="str">
        <f>IF(EG$67="","",Underwriting!EL126)</f>
        <v/>
      </c>
      <c r="EH84" s="487" t="str">
        <f>IF(EH$67="","",Underwriting!EM126)</f>
        <v/>
      </c>
      <c r="EI84" s="487" t="str">
        <f>IF(EI$67="","",Underwriting!EN126)</f>
        <v/>
      </c>
    </row>
    <row r="85" spans="2:139" hidden="1" outlineLevel="1" x14ac:dyDescent="0.2">
      <c r="B85" s="486" t="s">
        <v>144</v>
      </c>
      <c r="C85" s="4"/>
      <c r="D85" s="4"/>
      <c r="E85" s="4"/>
      <c r="F85" s="4"/>
      <c r="G85" s="488">
        <f>IF(G$67="","",Underwriting!L127)</f>
        <v>0</v>
      </c>
      <c r="H85" s="488">
        <f>IF(H$67="","",Underwriting!M127)</f>
        <v>0</v>
      </c>
      <c r="I85" s="488">
        <f>IF(I$67="","",Underwriting!N127)</f>
        <v>0</v>
      </c>
      <c r="J85" s="488">
        <f>IF(J$67="","",Underwriting!O127)</f>
        <v>0</v>
      </c>
      <c r="K85" s="488">
        <f>IF(K$67="","",Underwriting!P127)</f>
        <v>0</v>
      </c>
      <c r="L85" s="488">
        <f>IF(L$67="","",Underwriting!Q127)</f>
        <v>0</v>
      </c>
      <c r="M85" s="488">
        <f>IF(M$67="","",Underwriting!R127)</f>
        <v>0</v>
      </c>
      <c r="N85" s="488">
        <f>IF(N$67="","",Underwriting!S127)</f>
        <v>0</v>
      </c>
      <c r="O85" s="488">
        <f>IF(O$67="","",Underwriting!T127)</f>
        <v>0</v>
      </c>
      <c r="P85" s="488">
        <f>IF(P$67="","",Underwriting!U127)</f>
        <v>0</v>
      </c>
      <c r="Q85" s="488">
        <f>IF(Q$67="","",Underwriting!V127)</f>
        <v>0</v>
      </c>
      <c r="R85" s="488">
        <f>IF(R$67="","",Underwriting!W127)</f>
        <v>0</v>
      </c>
      <c r="S85" s="488">
        <f>IF(S$67="","",Underwriting!X127)</f>
        <v>0</v>
      </c>
      <c r="T85" s="488">
        <f>IF(T$67="","",Underwriting!Y127)</f>
        <v>0</v>
      </c>
      <c r="U85" s="488">
        <f>IF(U$67="","",Underwriting!Z127)</f>
        <v>0</v>
      </c>
      <c r="V85" s="488">
        <f>IF(V$67="","",Underwriting!AA127)</f>
        <v>0</v>
      </c>
      <c r="W85" s="488">
        <f>IF(W$67="","",Underwriting!AB127)</f>
        <v>0</v>
      </c>
      <c r="X85" s="488">
        <f>IF(X$67="","",Underwriting!AC127)</f>
        <v>0</v>
      </c>
      <c r="Y85" s="488">
        <f>IF(Y$67="","",Underwriting!AD127)</f>
        <v>0</v>
      </c>
      <c r="Z85" s="488">
        <f>IF(Z$67="","",Underwriting!AE127)</f>
        <v>43138.328125</v>
      </c>
      <c r="AA85" s="488">
        <f>IF(AA$67="","",Underwriting!AF127)</f>
        <v>43138.328125</v>
      </c>
      <c r="AB85" s="488">
        <f>IF(AB$67="","",Underwriting!AG127)</f>
        <v>43138.328125</v>
      </c>
      <c r="AC85" s="488">
        <f>IF(AC$67="","",Underwriting!AH127)</f>
        <v>43138.328125</v>
      </c>
      <c r="AD85" s="488">
        <f>IF(AD$67="","",Underwriting!AI127)</f>
        <v>43138.328125</v>
      </c>
      <c r="AE85" s="488">
        <f>IF(AE$67="","",Underwriting!AJ127)</f>
        <v>43138.328125</v>
      </c>
      <c r="AF85" s="488">
        <f>IF(AF$67="","",Underwriting!AK127)</f>
        <v>43138.328125</v>
      </c>
      <c r="AG85" s="488">
        <f>IF(AG$67="","",Underwriting!AL127)</f>
        <v>43138.328125</v>
      </c>
      <c r="AH85" s="488">
        <f>IF(AH$67="","",Underwriting!AM127)</f>
        <v>43138.328125</v>
      </c>
      <c r="AI85" s="488">
        <f>IF(AI$67="","",Underwriting!AN127)</f>
        <v>43138.328125</v>
      </c>
      <c r="AJ85" s="488">
        <f>IF(AJ$67="","",Underwriting!AO127)</f>
        <v>43138.328125</v>
      </c>
      <c r="AK85" s="488">
        <f>IF(AK$67="","",Underwriting!AP127)</f>
        <v>43138.328125</v>
      </c>
      <c r="AL85" s="488">
        <f>IF(AL$67="","",Underwriting!AQ127)</f>
        <v>66648.716953124997</v>
      </c>
      <c r="AM85" s="488">
        <f>IF(AM$67="","",Underwriting!AR127)</f>
        <v>66648.716953124997</v>
      </c>
      <c r="AN85" s="488">
        <f>IF(AN$67="","",Underwriting!AS127)</f>
        <v>66648.716953124997</v>
      </c>
      <c r="AO85" s="488">
        <f>IF(AO$67="","",Underwriting!AT127)</f>
        <v>66648.716953124997</v>
      </c>
      <c r="AP85" s="488">
        <f>IF(AP$67="","",Underwriting!AU127)</f>
        <v>66648.716953124997</v>
      </c>
      <c r="AQ85" s="488">
        <f>IF(AQ$67="","",Underwriting!AV127)</f>
        <v>66648.716953124997</v>
      </c>
      <c r="AR85" s="488">
        <f>IF(AR$67="","",Underwriting!AW127)</f>
        <v>66648.716953124997</v>
      </c>
      <c r="AS85" s="488">
        <f>IF(AS$67="","",Underwriting!AX127)</f>
        <v>66648.716953124997</v>
      </c>
      <c r="AT85" s="488">
        <f>IF(AT$67="","",Underwriting!AY127)</f>
        <v>66648.716953124997</v>
      </c>
      <c r="AU85" s="488">
        <f>IF(AU$67="","",Underwriting!AZ127)</f>
        <v>66648.716953124997</v>
      </c>
      <c r="AV85" s="488">
        <f>IF(AV$67="","",Underwriting!BA127)</f>
        <v>66648.716953124997</v>
      </c>
      <c r="AW85" s="488">
        <f>IF(AW$67="","",Underwriting!BB127)</f>
        <v>66648.716953124997</v>
      </c>
      <c r="AX85" s="488">
        <f>IF(AX$67="","",Underwriting!BC127)</f>
        <v>91530.904615624997</v>
      </c>
      <c r="AY85" s="488">
        <f>IF(AY$67="","",Underwriting!BD127)</f>
        <v>91530.904615624997</v>
      </c>
      <c r="AZ85" s="488">
        <f>IF(AZ$67="","",Underwriting!BE127)</f>
        <v>91530.904615624997</v>
      </c>
      <c r="BA85" s="488" t="str">
        <f>IF(BA$67="","",Underwriting!BF127)</f>
        <v/>
      </c>
      <c r="BB85" s="488" t="str">
        <f>IF(BB$67="","",Underwriting!BG127)</f>
        <v/>
      </c>
      <c r="BC85" s="488" t="str">
        <f>IF(BC$67="","",Underwriting!BH127)</f>
        <v/>
      </c>
      <c r="BD85" s="488" t="str">
        <f>IF(BD$67="","",Underwriting!BI127)</f>
        <v/>
      </c>
      <c r="BE85" s="488" t="str">
        <f>IF(BE$67="","",Underwriting!BJ127)</f>
        <v/>
      </c>
      <c r="BF85" s="488" t="str">
        <f>IF(BF$67="","",Underwriting!BK127)</f>
        <v/>
      </c>
      <c r="BG85" s="488" t="str">
        <f>IF(BG$67="","",Underwriting!BL127)</f>
        <v/>
      </c>
      <c r="BH85" s="488" t="str">
        <f>IF(BH$67="","",Underwriting!BM127)</f>
        <v/>
      </c>
      <c r="BI85" s="488" t="str">
        <f>IF(BI$67="","",Underwriting!BN127)</f>
        <v/>
      </c>
      <c r="BJ85" s="488" t="str">
        <f>IF(BJ$67="","",Underwriting!BO127)</f>
        <v/>
      </c>
      <c r="BK85" s="488" t="str">
        <f>IF(BK$67="","",Underwriting!BP127)</f>
        <v/>
      </c>
      <c r="BL85" s="488" t="str">
        <f>IF(BL$67="","",Underwriting!BQ127)</f>
        <v/>
      </c>
      <c r="BM85" s="488" t="str">
        <f>IF(BM$67="","",Underwriting!BR127)</f>
        <v/>
      </c>
      <c r="BN85" s="488" t="str">
        <f>IF(BN$67="","",Underwriting!BS127)</f>
        <v/>
      </c>
      <c r="BO85" s="488" t="str">
        <f>IF(BO$67="","",Underwriting!BT127)</f>
        <v/>
      </c>
      <c r="BP85" s="488" t="str">
        <f>IF(BP$67="","",Underwriting!BU127)</f>
        <v/>
      </c>
      <c r="BQ85" s="488" t="str">
        <f>IF(BQ$67="","",Underwriting!BV127)</f>
        <v/>
      </c>
      <c r="BR85" s="488" t="str">
        <f>IF(BR$67="","",Underwriting!BW127)</f>
        <v/>
      </c>
      <c r="BS85" s="488" t="str">
        <f>IF(BS$67="","",Underwriting!BX127)</f>
        <v/>
      </c>
      <c r="BT85" s="488" t="str">
        <f>IF(BT$67="","",Underwriting!BY127)</f>
        <v/>
      </c>
      <c r="BU85" s="488" t="str">
        <f>IF(BU$67="","",Underwriting!BZ127)</f>
        <v/>
      </c>
      <c r="BV85" s="488" t="str">
        <f>IF(BV$67="","",Underwriting!CA127)</f>
        <v/>
      </c>
      <c r="BW85" s="488" t="str">
        <f>IF(BW$67="","",Underwriting!CB127)</f>
        <v/>
      </c>
      <c r="BX85" s="488" t="str">
        <f>IF(BX$67="","",Underwriting!CC127)</f>
        <v/>
      </c>
      <c r="BY85" s="488" t="str">
        <f>IF(BY$67="","",Underwriting!CD127)</f>
        <v/>
      </c>
      <c r="BZ85" s="488" t="str">
        <f>IF(BZ$67="","",Underwriting!CE127)</f>
        <v/>
      </c>
      <c r="CA85" s="488" t="str">
        <f>IF(CA$67="","",Underwriting!CF127)</f>
        <v/>
      </c>
      <c r="CB85" s="488" t="str">
        <f>IF(CB$67="","",Underwriting!CG127)</f>
        <v/>
      </c>
      <c r="CC85" s="488" t="str">
        <f>IF(CC$67="","",Underwriting!CH127)</f>
        <v/>
      </c>
      <c r="CD85" s="488" t="str">
        <f>IF(CD$67="","",Underwriting!CI127)</f>
        <v/>
      </c>
      <c r="CE85" s="488" t="str">
        <f>IF(CE$67="","",Underwriting!CJ127)</f>
        <v/>
      </c>
      <c r="CF85" s="488" t="str">
        <f>IF(CF$67="","",Underwriting!CK127)</f>
        <v/>
      </c>
      <c r="CG85" s="488" t="str">
        <f>IF(CG$67="","",Underwriting!CL127)</f>
        <v/>
      </c>
      <c r="CH85" s="488" t="str">
        <f>IF(CH$67="","",Underwriting!CM127)</f>
        <v/>
      </c>
      <c r="CI85" s="488" t="str">
        <f>IF(CI$67="","",Underwriting!CN127)</f>
        <v/>
      </c>
      <c r="CJ85" s="488" t="str">
        <f>IF(CJ$67="","",Underwriting!CO127)</f>
        <v/>
      </c>
      <c r="CK85" s="488" t="str">
        <f>IF(CK$67="","",Underwriting!CP127)</f>
        <v/>
      </c>
      <c r="CL85" s="488" t="str">
        <f>IF(CL$67="","",Underwriting!CQ127)</f>
        <v/>
      </c>
      <c r="CM85" s="488" t="str">
        <f>IF(CM$67="","",Underwriting!CR127)</f>
        <v/>
      </c>
      <c r="CN85" s="488" t="str">
        <f>IF(CN$67="","",Underwriting!CS127)</f>
        <v/>
      </c>
      <c r="CO85" s="488" t="str">
        <f>IF(CO$67="","",Underwriting!CT127)</f>
        <v/>
      </c>
      <c r="CP85" s="488" t="str">
        <f>IF(CP$67="","",Underwriting!CU127)</f>
        <v/>
      </c>
      <c r="CQ85" s="488" t="str">
        <f>IF(CQ$67="","",Underwriting!CV127)</f>
        <v/>
      </c>
      <c r="CR85" s="488" t="str">
        <f>IF(CR$67="","",Underwriting!CW127)</f>
        <v/>
      </c>
      <c r="CS85" s="488" t="str">
        <f>IF(CS$67="","",Underwriting!CX127)</f>
        <v/>
      </c>
      <c r="CT85" s="488" t="str">
        <f>IF(CT$67="","",Underwriting!CY127)</f>
        <v/>
      </c>
      <c r="CU85" s="488" t="str">
        <f>IF(CU$67="","",Underwriting!CZ127)</f>
        <v/>
      </c>
      <c r="CV85" s="488" t="str">
        <f>IF(CV$67="","",Underwriting!DA127)</f>
        <v/>
      </c>
      <c r="CW85" s="488" t="str">
        <f>IF(CW$67="","",Underwriting!DB127)</f>
        <v/>
      </c>
      <c r="CX85" s="488" t="str">
        <f>IF(CX$67="","",Underwriting!DC127)</f>
        <v/>
      </c>
      <c r="CY85" s="488" t="str">
        <f>IF(CY$67="","",Underwriting!DD127)</f>
        <v/>
      </c>
      <c r="CZ85" s="488" t="str">
        <f>IF(CZ$67="","",Underwriting!DE127)</f>
        <v/>
      </c>
      <c r="DA85" s="488" t="str">
        <f>IF(DA$67="","",Underwriting!DF127)</f>
        <v/>
      </c>
      <c r="DB85" s="488" t="str">
        <f>IF(DB$67="","",Underwriting!DG127)</f>
        <v/>
      </c>
      <c r="DC85" s="488" t="str">
        <f>IF(DC$67="","",Underwriting!DH127)</f>
        <v/>
      </c>
      <c r="DD85" s="488" t="str">
        <f>IF(DD$67="","",Underwriting!DI127)</f>
        <v/>
      </c>
      <c r="DE85" s="488" t="str">
        <f>IF(DE$67="","",Underwriting!DJ127)</f>
        <v/>
      </c>
      <c r="DF85" s="488" t="str">
        <f>IF(DF$67="","",Underwriting!DK127)</f>
        <v/>
      </c>
      <c r="DG85" s="488" t="str">
        <f>IF(DG$67="","",Underwriting!DL127)</f>
        <v/>
      </c>
      <c r="DH85" s="488" t="str">
        <f>IF(DH$67="","",Underwriting!DM127)</f>
        <v/>
      </c>
      <c r="DI85" s="488" t="str">
        <f>IF(DI$67="","",Underwriting!DN127)</f>
        <v/>
      </c>
      <c r="DJ85" s="488" t="str">
        <f>IF(DJ$67="","",Underwriting!DO127)</f>
        <v/>
      </c>
      <c r="DK85" s="488" t="str">
        <f>IF(DK$67="","",Underwriting!DP127)</f>
        <v/>
      </c>
      <c r="DL85" s="488" t="str">
        <f>IF(DL$67="","",Underwriting!DQ127)</f>
        <v/>
      </c>
      <c r="DM85" s="488" t="str">
        <f>IF(DM$67="","",Underwriting!DR127)</f>
        <v/>
      </c>
      <c r="DN85" s="488" t="str">
        <f>IF(DN$67="","",Underwriting!DS127)</f>
        <v/>
      </c>
      <c r="DO85" s="488" t="str">
        <f>IF(DO$67="","",Underwriting!DT127)</f>
        <v/>
      </c>
      <c r="DP85" s="488" t="str">
        <f>IF(DP$67="","",Underwriting!DU127)</f>
        <v/>
      </c>
      <c r="DQ85" s="488" t="str">
        <f>IF(DQ$67="","",Underwriting!DV127)</f>
        <v/>
      </c>
      <c r="DR85" s="488" t="str">
        <f>IF(DR$67="","",Underwriting!DW127)</f>
        <v/>
      </c>
      <c r="DS85" s="488" t="str">
        <f>IF(DS$67="","",Underwriting!DX127)</f>
        <v/>
      </c>
      <c r="DT85" s="488" t="str">
        <f>IF(DT$67="","",Underwriting!DY127)</f>
        <v/>
      </c>
      <c r="DU85" s="488" t="str">
        <f>IF(DU$67="","",Underwriting!DZ127)</f>
        <v/>
      </c>
      <c r="DV85" s="488" t="str">
        <f>IF(DV$67="","",Underwriting!EA127)</f>
        <v/>
      </c>
      <c r="DW85" s="488" t="str">
        <f>IF(DW$67="","",Underwriting!EB127)</f>
        <v/>
      </c>
      <c r="DX85" s="488" t="str">
        <f>IF(DX$67="","",Underwriting!EC127)</f>
        <v/>
      </c>
      <c r="DY85" s="488" t="str">
        <f>IF(DY$67="","",Underwriting!ED127)</f>
        <v/>
      </c>
      <c r="DZ85" s="488" t="str">
        <f>IF(DZ$67="","",Underwriting!EE127)</f>
        <v/>
      </c>
      <c r="EA85" s="488" t="str">
        <f>IF(EA$67="","",Underwriting!EF127)</f>
        <v/>
      </c>
      <c r="EB85" s="488" t="str">
        <f>IF(EB$67="","",Underwriting!EG127)</f>
        <v/>
      </c>
      <c r="EC85" s="488" t="str">
        <f>IF(EC$67="","",Underwriting!EH127)</f>
        <v/>
      </c>
      <c r="ED85" s="488" t="str">
        <f>IF(ED$67="","",Underwriting!EI127)</f>
        <v/>
      </c>
      <c r="EE85" s="488" t="str">
        <f>IF(EE$67="","",Underwriting!EJ127)</f>
        <v/>
      </c>
      <c r="EF85" s="488" t="str">
        <f>IF(EF$67="","",Underwriting!EK127)</f>
        <v/>
      </c>
      <c r="EG85" s="488" t="str">
        <f>IF(EG$67="","",Underwriting!EL127)</f>
        <v/>
      </c>
      <c r="EH85" s="488" t="str">
        <f>IF(EH$67="","",Underwriting!EM127)</f>
        <v/>
      </c>
      <c r="EI85" s="488" t="str">
        <f>IF(EI$67="","",Underwriting!EN127)</f>
        <v/>
      </c>
    </row>
    <row r="86" spans="2:139" hidden="1" outlineLevel="1" x14ac:dyDescent="0.2">
      <c r="B86" s="212" t="s">
        <v>145</v>
      </c>
      <c r="C86" s="4"/>
      <c r="D86" s="4"/>
      <c r="E86" s="4"/>
      <c r="F86" s="4"/>
      <c r="G86" s="487">
        <f>IF(G$67="","",SUM(G76:G85))</f>
        <v>0</v>
      </c>
      <c r="H86" s="487">
        <f t="shared" ref="H86:BS86" si="47">IF(H$67="","",SUM(H76:H85))</f>
        <v>0</v>
      </c>
      <c r="I86" s="487">
        <f t="shared" si="47"/>
        <v>0</v>
      </c>
      <c r="J86" s="487">
        <f t="shared" si="47"/>
        <v>0</v>
      </c>
      <c r="K86" s="487">
        <f t="shared" si="47"/>
        <v>0</v>
      </c>
      <c r="L86" s="487">
        <f t="shared" si="47"/>
        <v>0</v>
      </c>
      <c r="M86" s="487">
        <f t="shared" si="47"/>
        <v>0</v>
      </c>
      <c r="N86" s="487">
        <f t="shared" si="47"/>
        <v>0</v>
      </c>
      <c r="O86" s="487">
        <f t="shared" si="47"/>
        <v>0</v>
      </c>
      <c r="P86" s="487">
        <f t="shared" si="47"/>
        <v>0</v>
      </c>
      <c r="Q86" s="487">
        <f t="shared" si="47"/>
        <v>0</v>
      </c>
      <c r="R86" s="487">
        <f t="shared" si="47"/>
        <v>0</v>
      </c>
      <c r="S86" s="487">
        <f t="shared" si="47"/>
        <v>0</v>
      </c>
      <c r="T86" s="487">
        <f t="shared" si="47"/>
        <v>0</v>
      </c>
      <c r="U86" s="487">
        <f t="shared" si="47"/>
        <v>0</v>
      </c>
      <c r="V86" s="487">
        <f t="shared" si="47"/>
        <v>0</v>
      </c>
      <c r="W86" s="487">
        <f t="shared" si="47"/>
        <v>0</v>
      </c>
      <c r="X86" s="487">
        <f t="shared" si="47"/>
        <v>0</v>
      </c>
      <c r="Y86" s="487">
        <f t="shared" si="47"/>
        <v>0</v>
      </c>
      <c r="Z86" s="487">
        <f t="shared" si="47"/>
        <v>149440.7089238718</v>
      </c>
      <c r="AA86" s="487">
        <f t="shared" si="47"/>
        <v>151971.85870431623</v>
      </c>
      <c r="AB86" s="487">
        <f t="shared" si="47"/>
        <v>154503.00848476071</v>
      </c>
      <c r="AC86" s="487">
        <f t="shared" si="47"/>
        <v>157034.15826520513</v>
      </c>
      <c r="AD86" s="487">
        <f t="shared" si="47"/>
        <v>159565.30804564955</v>
      </c>
      <c r="AE86" s="487">
        <f t="shared" si="47"/>
        <v>162096.457826094</v>
      </c>
      <c r="AF86" s="487">
        <f t="shared" si="47"/>
        <v>164627.60760653846</v>
      </c>
      <c r="AG86" s="487">
        <f t="shared" si="47"/>
        <v>167158.75738698291</v>
      </c>
      <c r="AH86" s="487">
        <f t="shared" si="47"/>
        <v>169689.90716742736</v>
      </c>
      <c r="AI86" s="487">
        <f t="shared" si="47"/>
        <v>172221.05694787181</v>
      </c>
      <c r="AJ86" s="487">
        <f t="shared" si="47"/>
        <v>174752.20672831623</v>
      </c>
      <c r="AK86" s="487">
        <f t="shared" si="47"/>
        <v>177283.35650876071</v>
      </c>
      <c r="AL86" s="487">
        <f t="shared" si="47"/>
        <v>207425.18046225628</v>
      </c>
      <c r="AM86" s="487">
        <f t="shared" si="47"/>
        <v>210032.26473611404</v>
      </c>
      <c r="AN86" s="487">
        <f t="shared" si="47"/>
        <v>212046.57988265832</v>
      </c>
      <c r="AO86" s="487">
        <f t="shared" si="47"/>
        <v>212080.92950765832</v>
      </c>
      <c r="AP86" s="487">
        <f t="shared" si="47"/>
        <v>212115.27913265832</v>
      </c>
      <c r="AQ86" s="487">
        <f t="shared" si="47"/>
        <v>212149.62875765833</v>
      </c>
      <c r="AR86" s="487">
        <f t="shared" si="47"/>
        <v>212183.97838265833</v>
      </c>
      <c r="AS86" s="487">
        <f t="shared" si="47"/>
        <v>212218.32800765833</v>
      </c>
      <c r="AT86" s="487">
        <f t="shared" si="47"/>
        <v>212252.67763265833</v>
      </c>
      <c r="AU86" s="487">
        <f t="shared" si="47"/>
        <v>212287.02725765834</v>
      </c>
      <c r="AV86" s="487">
        <f t="shared" si="47"/>
        <v>212321.37688265831</v>
      </c>
      <c r="AW86" s="487">
        <f t="shared" si="47"/>
        <v>212355.72650765831</v>
      </c>
      <c r="AX86" s="487">
        <f t="shared" si="47"/>
        <v>241644.50457054429</v>
      </c>
      <c r="AY86" s="487">
        <f t="shared" si="47"/>
        <v>241679.88468429429</v>
      </c>
      <c r="AZ86" s="487">
        <f t="shared" si="47"/>
        <v>241290.70343304431</v>
      </c>
      <c r="BA86" s="487" t="str">
        <f t="shared" si="47"/>
        <v/>
      </c>
      <c r="BB86" s="487" t="str">
        <f t="shared" si="47"/>
        <v/>
      </c>
      <c r="BC86" s="487" t="str">
        <f t="shared" si="47"/>
        <v/>
      </c>
      <c r="BD86" s="487" t="str">
        <f t="shared" si="47"/>
        <v/>
      </c>
      <c r="BE86" s="487" t="str">
        <f t="shared" si="47"/>
        <v/>
      </c>
      <c r="BF86" s="487" t="str">
        <f t="shared" si="47"/>
        <v/>
      </c>
      <c r="BG86" s="487" t="str">
        <f t="shared" si="47"/>
        <v/>
      </c>
      <c r="BH86" s="487" t="str">
        <f t="shared" si="47"/>
        <v/>
      </c>
      <c r="BI86" s="487" t="str">
        <f t="shared" si="47"/>
        <v/>
      </c>
      <c r="BJ86" s="487" t="str">
        <f t="shared" si="47"/>
        <v/>
      </c>
      <c r="BK86" s="487" t="str">
        <f t="shared" si="47"/>
        <v/>
      </c>
      <c r="BL86" s="487" t="str">
        <f t="shared" si="47"/>
        <v/>
      </c>
      <c r="BM86" s="487" t="str">
        <f t="shared" si="47"/>
        <v/>
      </c>
      <c r="BN86" s="487" t="str">
        <f t="shared" si="47"/>
        <v/>
      </c>
      <c r="BO86" s="487" t="str">
        <f t="shared" si="47"/>
        <v/>
      </c>
      <c r="BP86" s="487" t="str">
        <f t="shared" si="47"/>
        <v/>
      </c>
      <c r="BQ86" s="487" t="str">
        <f t="shared" si="47"/>
        <v/>
      </c>
      <c r="BR86" s="487" t="str">
        <f t="shared" si="47"/>
        <v/>
      </c>
      <c r="BS86" s="487" t="str">
        <f t="shared" si="47"/>
        <v/>
      </c>
      <c r="BT86" s="487" t="str">
        <f t="shared" ref="BT86:EE86" si="48">IF(BT$67="","",SUM(BT76:BT85))</f>
        <v/>
      </c>
      <c r="BU86" s="487" t="str">
        <f t="shared" si="48"/>
        <v/>
      </c>
      <c r="BV86" s="487" t="str">
        <f t="shared" si="48"/>
        <v/>
      </c>
      <c r="BW86" s="487" t="str">
        <f t="shared" si="48"/>
        <v/>
      </c>
      <c r="BX86" s="487" t="str">
        <f t="shared" si="48"/>
        <v/>
      </c>
      <c r="BY86" s="487" t="str">
        <f t="shared" si="48"/>
        <v/>
      </c>
      <c r="BZ86" s="487" t="str">
        <f t="shared" si="48"/>
        <v/>
      </c>
      <c r="CA86" s="487" t="str">
        <f t="shared" si="48"/>
        <v/>
      </c>
      <c r="CB86" s="487" t="str">
        <f t="shared" si="48"/>
        <v/>
      </c>
      <c r="CC86" s="487" t="str">
        <f t="shared" si="48"/>
        <v/>
      </c>
      <c r="CD86" s="487" t="str">
        <f t="shared" si="48"/>
        <v/>
      </c>
      <c r="CE86" s="487" t="str">
        <f t="shared" si="48"/>
        <v/>
      </c>
      <c r="CF86" s="487" t="str">
        <f t="shared" si="48"/>
        <v/>
      </c>
      <c r="CG86" s="487" t="str">
        <f t="shared" si="48"/>
        <v/>
      </c>
      <c r="CH86" s="487" t="str">
        <f t="shared" si="48"/>
        <v/>
      </c>
      <c r="CI86" s="487" t="str">
        <f t="shared" si="48"/>
        <v/>
      </c>
      <c r="CJ86" s="487" t="str">
        <f t="shared" si="48"/>
        <v/>
      </c>
      <c r="CK86" s="487" t="str">
        <f t="shared" si="48"/>
        <v/>
      </c>
      <c r="CL86" s="487" t="str">
        <f t="shared" si="48"/>
        <v/>
      </c>
      <c r="CM86" s="487" t="str">
        <f t="shared" si="48"/>
        <v/>
      </c>
      <c r="CN86" s="487" t="str">
        <f t="shared" si="48"/>
        <v/>
      </c>
      <c r="CO86" s="487" t="str">
        <f t="shared" si="48"/>
        <v/>
      </c>
      <c r="CP86" s="487" t="str">
        <f t="shared" si="48"/>
        <v/>
      </c>
      <c r="CQ86" s="487" t="str">
        <f t="shared" si="48"/>
        <v/>
      </c>
      <c r="CR86" s="487" t="str">
        <f t="shared" si="48"/>
        <v/>
      </c>
      <c r="CS86" s="487" t="str">
        <f t="shared" si="48"/>
        <v/>
      </c>
      <c r="CT86" s="487" t="str">
        <f t="shared" si="48"/>
        <v/>
      </c>
      <c r="CU86" s="487" t="str">
        <f t="shared" si="48"/>
        <v/>
      </c>
      <c r="CV86" s="487" t="str">
        <f t="shared" si="48"/>
        <v/>
      </c>
      <c r="CW86" s="487" t="str">
        <f t="shared" si="48"/>
        <v/>
      </c>
      <c r="CX86" s="487" t="str">
        <f t="shared" si="48"/>
        <v/>
      </c>
      <c r="CY86" s="487" t="str">
        <f t="shared" si="48"/>
        <v/>
      </c>
      <c r="CZ86" s="487" t="str">
        <f t="shared" si="48"/>
        <v/>
      </c>
      <c r="DA86" s="487" t="str">
        <f t="shared" si="48"/>
        <v/>
      </c>
      <c r="DB86" s="487" t="str">
        <f t="shared" si="48"/>
        <v/>
      </c>
      <c r="DC86" s="487" t="str">
        <f t="shared" si="48"/>
        <v/>
      </c>
      <c r="DD86" s="487" t="str">
        <f t="shared" si="48"/>
        <v/>
      </c>
      <c r="DE86" s="487" t="str">
        <f t="shared" si="48"/>
        <v/>
      </c>
      <c r="DF86" s="487" t="str">
        <f t="shared" si="48"/>
        <v/>
      </c>
      <c r="DG86" s="487" t="str">
        <f t="shared" si="48"/>
        <v/>
      </c>
      <c r="DH86" s="487" t="str">
        <f t="shared" si="48"/>
        <v/>
      </c>
      <c r="DI86" s="487" t="str">
        <f t="shared" si="48"/>
        <v/>
      </c>
      <c r="DJ86" s="487" t="str">
        <f t="shared" si="48"/>
        <v/>
      </c>
      <c r="DK86" s="487" t="str">
        <f t="shared" si="48"/>
        <v/>
      </c>
      <c r="DL86" s="487" t="str">
        <f t="shared" si="48"/>
        <v/>
      </c>
      <c r="DM86" s="487" t="str">
        <f t="shared" si="48"/>
        <v/>
      </c>
      <c r="DN86" s="487" t="str">
        <f t="shared" si="48"/>
        <v/>
      </c>
      <c r="DO86" s="487" t="str">
        <f t="shared" si="48"/>
        <v/>
      </c>
      <c r="DP86" s="487" t="str">
        <f t="shared" si="48"/>
        <v/>
      </c>
      <c r="DQ86" s="487" t="str">
        <f t="shared" si="48"/>
        <v/>
      </c>
      <c r="DR86" s="487" t="str">
        <f t="shared" si="48"/>
        <v/>
      </c>
      <c r="DS86" s="487" t="str">
        <f t="shared" si="48"/>
        <v/>
      </c>
      <c r="DT86" s="487" t="str">
        <f t="shared" si="48"/>
        <v/>
      </c>
      <c r="DU86" s="487" t="str">
        <f t="shared" si="48"/>
        <v/>
      </c>
      <c r="DV86" s="487" t="str">
        <f t="shared" si="48"/>
        <v/>
      </c>
      <c r="DW86" s="487" t="str">
        <f t="shared" si="48"/>
        <v/>
      </c>
      <c r="DX86" s="487" t="str">
        <f t="shared" si="48"/>
        <v/>
      </c>
      <c r="DY86" s="487" t="str">
        <f t="shared" si="48"/>
        <v/>
      </c>
      <c r="DZ86" s="487" t="str">
        <f t="shared" si="48"/>
        <v/>
      </c>
      <c r="EA86" s="487" t="str">
        <f t="shared" si="48"/>
        <v/>
      </c>
      <c r="EB86" s="487" t="str">
        <f t="shared" si="48"/>
        <v/>
      </c>
      <c r="EC86" s="487" t="str">
        <f t="shared" si="48"/>
        <v/>
      </c>
      <c r="ED86" s="487" t="str">
        <f t="shared" si="48"/>
        <v/>
      </c>
      <c r="EE86" s="487" t="str">
        <f t="shared" si="48"/>
        <v/>
      </c>
      <c r="EF86" s="487" t="str">
        <f t="shared" ref="EF86:EI86" si="49">IF(EF$67="","",SUM(EF76:EF85))</f>
        <v/>
      </c>
      <c r="EG86" s="487" t="str">
        <f t="shared" si="49"/>
        <v/>
      </c>
      <c r="EH86" s="487" t="str">
        <f t="shared" si="49"/>
        <v/>
      </c>
      <c r="EI86" s="487" t="str">
        <f t="shared" si="49"/>
        <v/>
      </c>
    </row>
    <row r="87" spans="2:139" hidden="1" outlineLevel="1" x14ac:dyDescent="0.2">
      <c r="B87" s="212"/>
      <c r="C87" s="4"/>
      <c r="D87" s="4"/>
      <c r="E87" s="4"/>
      <c r="F87" s="4"/>
      <c r="G87" s="487"/>
      <c r="H87" s="487"/>
      <c r="I87" s="487"/>
      <c r="J87" s="487"/>
      <c r="K87" s="487"/>
      <c r="L87" s="487"/>
      <c r="M87" s="487"/>
      <c r="N87" s="487"/>
      <c r="O87" s="487"/>
      <c r="P87" s="487"/>
      <c r="Q87" s="487"/>
      <c r="R87" s="487"/>
      <c r="S87" s="487"/>
      <c r="T87" s="487"/>
      <c r="U87" s="487"/>
      <c r="V87" s="487"/>
      <c r="W87" s="487"/>
      <c r="X87" s="487"/>
      <c r="Y87" s="487"/>
      <c r="Z87" s="487"/>
      <c r="AA87" s="487"/>
      <c r="AB87" s="487"/>
      <c r="AC87" s="487"/>
      <c r="AD87" s="487"/>
      <c r="AE87" s="487"/>
      <c r="AF87" s="487"/>
      <c r="AG87" s="487"/>
      <c r="AH87" s="487"/>
      <c r="AI87" s="487"/>
      <c r="AJ87" s="487"/>
      <c r="AK87" s="487"/>
      <c r="AL87" s="487"/>
      <c r="AM87" s="487"/>
      <c r="AN87" s="487"/>
      <c r="AO87" s="487"/>
      <c r="AP87" s="487"/>
      <c r="AQ87" s="487"/>
      <c r="AR87" s="487"/>
      <c r="AS87" s="487"/>
      <c r="AT87" s="487"/>
      <c r="AU87" s="487"/>
      <c r="AV87" s="487"/>
      <c r="AW87" s="487"/>
      <c r="AX87" s="487"/>
      <c r="AY87" s="487"/>
      <c r="AZ87" s="487"/>
      <c r="BA87" s="487"/>
      <c r="BB87" s="487"/>
      <c r="BC87" s="487"/>
      <c r="BD87" s="487"/>
      <c r="BE87" s="487"/>
      <c r="BF87" s="487"/>
      <c r="BG87" s="487"/>
      <c r="BH87" s="487"/>
      <c r="BI87" s="487"/>
      <c r="BJ87" s="487"/>
      <c r="BK87" s="487"/>
      <c r="BL87" s="487"/>
      <c r="BM87" s="487"/>
      <c r="BN87" s="487"/>
      <c r="BO87" s="487"/>
      <c r="BP87" s="487"/>
      <c r="BQ87" s="487"/>
      <c r="BR87" s="487"/>
      <c r="BS87" s="487"/>
      <c r="BT87" s="487"/>
      <c r="BU87" s="487"/>
      <c r="BV87" s="487"/>
      <c r="BW87" s="487"/>
      <c r="BX87" s="487"/>
      <c r="BY87" s="487"/>
      <c r="BZ87" s="487"/>
      <c r="CA87" s="487"/>
      <c r="CB87" s="487"/>
      <c r="CC87" s="487"/>
      <c r="CD87" s="487"/>
      <c r="CE87" s="487"/>
      <c r="CF87" s="487"/>
      <c r="CG87" s="487"/>
      <c r="CH87" s="487"/>
      <c r="CI87" s="487"/>
      <c r="CJ87" s="487"/>
      <c r="CK87" s="487"/>
      <c r="CL87" s="487"/>
      <c r="CM87" s="487"/>
      <c r="CN87" s="487"/>
      <c r="CO87" s="487"/>
      <c r="CP87" s="487"/>
      <c r="CQ87" s="487"/>
      <c r="CR87" s="487"/>
      <c r="CS87" s="487"/>
      <c r="CT87" s="487"/>
      <c r="CU87" s="487"/>
      <c r="CV87" s="487"/>
      <c r="CW87" s="487"/>
      <c r="CX87" s="487"/>
      <c r="CY87" s="487"/>
      <c r="CZ87" s="487"/>
      <c r="DA87" s="487"/>
      <c r="DB87" s="487"/>
      <c r="DC87" s="487"/>
      <c r="DD87" s="487"/>
      <c r="DE87" s="487"/>
      <c r="DF87" s="487"/>
      <c r="DG87" s="487"/>
      <c r="DH87" s="487"/>
      <c r="DI87" s="487"/>
      <c r="DJ87" s="487"/>
      <c r="DK87" s="487"/>
      <c r="DL87" s="487"/>
      <c r="DM87" s="487"/>
      <c r="DN87" s="487"/>
      <c r="DO87" s="487"/>
      <c r="DP87" s="487"/>
      <c r="DQ87" s="487"/>
      <c r="DR87" s="487"/>
      <c r="DS87" s="487"/>
      <c r="DT87" s="487"/>
      <c r="DU87" s="487"/>
      <c r="DV87" s="487"/>
      <c r="DW87" s="487"/>
      <c r="DX87" s="487"/>
      <c r="DY87" s="487"/>
      <c r="DZ87" s="487"/>
      <c r="EA87" s="487"/>
      <c r="EB87" s="487"/>
      <c r="EC87" s="487"/>
      <c r="ED87" s="487"/>
      <c r="EE87" s="487"/>
      <c r="EF87" s="487"/>
      <c r="EG87" s="487"/>
      <c r="EH87" s="487"/>
      <c r="EI87" s="487"/>
    </row>
    <row r="88" spans="2:139" hidden="1" outlineLevel="1" x14ac:dyDescent="0.2">
      <c r="B88" s="212" t="s">
        <v>167</v>
      </c>
      <c r="C88" s="4"/>
      <c r="D88" s="4"/>
      <c r="E88" s="4"/>
      <c r="F88" s="4"/>
      <c r="G88" s="487">
        <f>IF(G$67="","",G73-G86)</f>
        <v>0</v>
      </c>
      <c r="H88" s="487">
        <f t="shared" ref="H88:BS88" si="50">IF(H$67="","",H73-H86)</f>
        <v>0</v>
      </c>
      <c r="I88" s="487">
        <f t="shared" si="50"/>
        <v>0</v>
      </c>
      <c r="J88" s="487">
        <f t="shared" si="50"/>
        <v>0</v>
      </c>
      <c r="K88" s="487">
        <f t="shared" si="50"/>
        <v>0</v>
      </c>
      <c r="L88" s="487">
        <f t="shared" si="50"/>
        <v>0</v>
      </c>
      <c r="M88" s="487">
        <f t="shared" si="50"/>
        <v>0</v>
      </c>
      <c r="N88" s="487">
        <f t="shared" si="50"/>
        <v>0</v>
      </c>
      <c r="O88" s="487">
        <f t="shared" si="50"/>
        <v>0</v>
      </c>
      <c r="P88" s="487">
        <f t="shared" si="50"/>
        <v>0</v>
      </c>
      <c r="Q88" s="487">
        <f t="shared" si="50"/>
        <v>0</v>
      </c>
      <c r="R88" s="487">
        <f t="shared" si="50"/>
        <v>0</v>
      </c>
      <c r="S88" s="487">
        <f t="shared" si="50"/>
        <v>0</v>
      </c>
      <c r="T88" s="487">
        <f t="shared" si="50"/>
        <v>0</v>
      </c>
      <c r="U88" s="487">
        <f t="shared" si="50"/>
        <v>0</v>
      </c>
      <c r="V88" s="487">
        <f t="shared" si="50"/>
        <v>0</v>
      </c>
      <c r="W88" s="487">
        <f t="shared" si="50"/>
        <v>0</v>
      </c>
      <c r="X88" s="487">
        <f t="shared" si="50"/>
        <v>0</v>
      </c>
      <c r="Y88" s="487">
        <f t="shared" si="50"/>
        <v>0</v>
      </c>
      <c r="Z88" s="487">
        <f t="shared" si="50"/>
        <v>-136514.1267392564</v>
      </c>
      <c r="AA88" s="487">
        <f t="shared" si="50"/>
        <v>-104905.09865303416</v>
      </c>
      <c r="AB88" s="487">
        <f t="shared" si="50"/>
        <v>-73296.070566811992</v>
      </c>
      <c r="AC88" s="487">
        <f t="shared" si="50"/>
        <v>-41687.042480589735</v>
      </c>
      <c r="AD88" s="487">
        <f t="shared" si="50"/>
        <v>-10078.014394367492</v>
      </c>
      <c r="AE88" s="487">
        <f t="shared" si="50"/>
        <v>21531.013691854721</v>
      </c>
      <c r="AF88" s="487">
        <f t="shared" si="50"/>
        <v>53140.041778076935</v>
      </c>
      <c r="AG88" s="487">
        <f t="shared" si="50"/>
        <v>84749.069864299148</v>
      </c>
      <c r="AH88" s="487">
        <f t="shared" si="50"/>
        <v>116358.09795052133</v>
      </c>
      <c r="AI88" s="487">
        <f t="shared" si="50"/>
        <v>147967.12603674358</v>
      </c>
      <c r="AJ88" s="487">
        <f t="shared" si="50"/>
        <v>179576.15412296585</v>
      </c>
      <c r="AK88" s="487">
        <f t="shared" si="50"/>
        <v>211185.18220918806</v>
      </c>
      <c r="AL88" s="487">
        <f t="shared" si="50"/>
        <v>227861.79761989755</v>
      </c>
      <c r="AM88" s="487">
        <f t="shared" si="50"/>
        <v>260419.0965487065</v>
      </c>
      <c r="AN88" s="487">
        <f t="shared" si="50"/>
        <v>299679.40665734163</v>
      </c>
      <c r="AO88" s="487">
        <f t="shared" si="50"/>
        <v>300790.04453234165</v>
      </c>
      <c r="AP88" s="487">
        <f t="shared" si="50"/>
        <v>301900.68240734166</v>
      </c>
      <c r="AQ88" s="487">
        <f t="shared" si="50"/>
        <v>303011.32028234168</v>
      </c>
      <c r="AR88" s="487">
        <f t="shared" si="50"/>
        <v>304121.95815734164</v>
      </c>
      <c r="AS88" s="487">
        <f t="shared" si="50"/>
        <v>305232.59603234159</v>
      </c>
      <c r="AT88" s="487">
        <f t="shared" si="50"/>
        <v>306343.23390734167</v>
      </c>
      <c r="AU88" s="487">
        <f t="shared" si="50"/>
        <v>307453.87178234162</v>
      </c>
      <c r="AV88" s="487">
        <f t="shared" si="50"/>
        <v>308564.50965734164</v>
      </c>
      <c r="AW88" s="487">
        <f t="shared" si="50"/>
        <v>309675.14753234165</v>
      </c>
      <c r="AX88" s="487">
        <f t="shared" si="50"/>
        <v>297226.63281565561</v>
      </c>
      <c r="AY88" s="487">
        <f t="shared" si="50"/>
        <v>298370.58982690558</v>
      </c>
      <c r="AZ88" s="487">
        <f t="shared" si="50"/>
        <v>285787.06270315562</v>
      </c>
      <c r="BA88" s="487" t="str">
        <f t="shared" si="50"/>
        <v/>
      </c>
      <c r="BB88" s="487" t="str">
        <f t="shared" si="50"/>
        <v/>
      </c>
      <c r="BC88" s="487" t="str">
        <f t="shared" si="50"/>
        <v/>
      </c>
      <c r="BD88" s="487" t="str">
        <f t="shared" si="50"/>
        <v/>
      </c>
      <c r="BE88" s="487" t="str">
        <f t="shared" si="50"/>
        <v/>
      </c>
      <c r="BF88" s="487" t="str">
        <f t="shared" si="50"/>
        <v/>
      </c>
      <c r="BG88" s="487" t="str">
        <f t="shared" si="50"/>
        <v/>
      </c>
      <c r="BH88" s="487" t="str">
        <f t="shared" si="50"/>
        <v/>
      </c>
      <c r="BI88" s="487" t="str">
        <f t="shared" si="50"/>
        <v/>
      </c>
      <c r="BJ88" s="487" t="str">
        <f t="shared" si="50"/>
        <v/>
      </c>
      <c r="BK88" s="487" t="str">
        <f t="shared" si="50"/>
        <v/>
      </c>
      <c r="BL88" s="487" t="str">
        <f t="shared" si="50"/>
        <v/>
      </c>
      <c r="BM88" s="487" t="str">
        <f t="shared" si="50"/>
        <v/>
      </c>
      <c r="BN88" s="487" t="str">
        <f t="shared" si="50"/>
        <v/>
      </c>
      <c r="BO88" s="487" t="str">
        <f t="shared" si="50"/>
        <v/>
      </c>
      <c r="BP88" s="487" t="str">
        <f t="shared" si="50"/>
        <v/>
      </c>
      <c r="BQ88" s="487" t="str">
        <f t="shared" si="50"/>
        <v/>
      </c>
      <c r="BR88" s="487" t="str">
        <f t="shared" si="50"/>
        <v/>
      </c>
      <c r="BS88" s="487" t="str">
        <f t="shared" si="50"/>
        <v/>
      </c>
      <c r="BT88" s="487" t="str">
        <f t="shared" ref="BT88:EE88" si="51">IF(BT$67="","",BT73-BT86)</f>
        <v/>
      </c>
      <c r="BU88" s="487" t="str">
        <f t="shared" si="51"/>
        <v/>
      </c>
      <c r="BV88" s="487" t="str">
        <f t="shared" si="51"/>
        <v/>
      </c>
      <c r="BW88" s="487" t="str">
        <f t="shared" si="51"/>
        <v/>
      </c>
      <c r="BX88" s="487" t="str">
        <f t="shared" si="51"/>
        <v/>
      </c>
      <c r="BY88" s="487" t="str">
        <f t="shared" si="51"/>
        <v/>
      </c>
      <c r="BZ88" s="487" t="str">
        <f t="shared" si="51"/>
        <v/>
      </c>
      <c r="CA88" s="487" t="str">
        <f t="shared" si="51"/>
        <v/>
      </c>
      <c r="CB88" s="487" t="str">
        <f t="shared" si="51"/>
        <v/>
      </c>
      <c r="CC88" s="487" t="str">
        <f t="shared" si="51"/>
        <v/>
      </c>
      <c r="CD88" s="487" t="str">
        <f t="shared" si="51"/>
        <v/>
      </c>
      <c r="CE88" s="487" t="str">
        <f t="shared" si="51"/>
        <v/>
      </c>
      <c r="CF88" s="487" t="str">
        <f t="shared" si="51"/>
        <v/>
      </c>
      <c r="CG88" s="487" t="str">
        <f t="shared" si="51"/>
        <v/>
      </c>
      <c r="CH88" s="487" t="str">
        <f t="shared" si="51"/>
        <v/>
      </c>
      <c r="CI88" s="487" t="str">
        <f t="shared" si="51"/>
        <v/>
      </c>
      <c r="CJ88" s="487" t="str">
        <f t="shared" si="51"/>
        <v/>
      </c>
      <c r="CK88" s="487" t="str">
        <f t="shared" si="51"/>
        <v/>
      </c>
      <c r="CL88" s="487" t="str">
        <f t="shared" si="51"/>
        <v/>
      </c>
      <c r="CM88" s="487" t="str">
        <f t="shared" si="51"/>
        <v/>
      </c>
      <c r="CN88" s="487" t="str">
        <f t="shared" si="51"/>
        <v/>
      </c>
      <c r="CO88" s="487" t="str">
        <f t="shared" si="51"/>
        <v/>
      </c>
      <c r="CP88" s="487" t="str">
        <f t="shared" si="51"/>
        <v/>
      </c>
      <c r="CQ88" s="487" t="str">
        <f t="shared" si="51"/>
        <v/>
      </c>
      <c r="CR88" s="487" t="str">
        <f t="shared" si="51"/>
        <v/>
      </c>
      <c r="CS88" s="487" t="str">
        <f t="shared" si="51"/>
        <v/>
      </c>
      <c r="CT88" s="487" t="str">
        <f t="shared" si="51"/>
        <v/>
      </c>
      <c r="CU88" s="487" t="str">
        <f t="shared" si="51"/>
        <v/>
      </c>
      <c r="CV88" s="487" t="str">
        <f t="shared" si="51"/>
        <v/>
      </c>
      <c r="CW88" s="487" t="str">
        <f t="shared" si="51"/>
        <v/>
      </c>
      <c r="CX88" s="487" t="str">
        <f t="shared" si="51"/>
        <v/>
      </c>
      <c r="CY88" s="487" t="str">
        <f t="shared" si="51"/>
        <v/>
      </c>
      <c r="CZ88" s="487" t="str">
        <f t="shared" si="51"/>
        <v/>
      </c>
      <c r="DA88" s="487" t="str">
        <f t="shared" si="51"/>
        <v/>
      </c>
      <c r="DB88" s="487" t="str">
        <f t="shared" si="51"/>
        <v/>
      </c>
      <c r="DC88" s="487" t="str">
        <f t="shared" si="51"/>
        <v/>
      </c>
      <c r="DD88" s="487" t="str">
        <f t="shared" si="51"/>
        <v/>
      </c>
      <c r="DE88" s="487" t="str">
        <f t="shared" si="51"/>
        <v/>
      </c>
      <c r="DF88" s="487" t="str">
        <f t="shared" si="51"/>
        <v/>
      </c>
      <c r="DG88" s="487" t="str">
        <f t="shared" si="51"/>
        <v/>
      </c>
      <c r="DH88" s="487" t="str">
        <f t="shared" si="51"/>
        <v/>
      </c>
      <c r="DI88" s="487" t="str">
        <f t="shared" si="51"/>
        <v/>
      </c>
      <c r="DJ88" s="487" t="str">
        <f t="shared" si="51"/>
        <v/>
      </c>
      <c r="DK88" s="487" t="str">
        <f t="shared" si="51"/>
        <v/>
      </c>
      <c r="DL88" s="487" t="str">
        <f t="shared" si="51"/>
        <v/>
      </c>
      <c r="DM88" s="487" t="str">
        <f t="shared" si="51"/>
        <v/>
      </c>
      <c r="DN88" s="487" t="str">
        <f t="shared" si="51"/>
        <v/>
      </c>
      <c r="DO88" s="487" t="str">
        <f t="shared" si="51"/>
        <v/>
      </c>
      <c r="DP88" s="487" t="str">
        <f t="shared" si="51"/>
        <v/>
      </c>
      <c r="DQ88" s="487" t="str">
        <f t="shared" si="51"/>
        <v/>
      </c>
      <c r="DR88" s="487" t="str">
        <f t="shared" si="51"/>
        <v/>
      </c>
      <c r="DS88" s="487" t="str">
        <f t="shared" si="51"/>
        <v/>
      </c>
      <c r="DT88" s="487" t="str">
        <f t="shared" si="51"/>
        <v/>
      </c>
      <c r="DU88" s="487" t="str">
        <f t="shared" si="51"/>
        <v/>
      </c>
      <c r="DV88" s="487" t="str">
        <f t="shared" si="51"/>
        <v/>
      </c>
      <c r="DW88" s="487" t="str">
        <f t="shared" si="51"/>
        <v/>
      </c>
      <c r="DX88" s="487" t="str">
        <f t="shared" si="51"/>
        <v/>
      </c>
      <c r="DY88" s="487" t="str">
        <f t="shared" si="51"/>
        <v/>
      </c>
      <c r="DZ88" s="487" t="str">
        <f t="shared" si="51"/>
        <v/>
      </c>
      <c r="EA88" s="487" t="str">
        <f t="shared" si="51"/>
        <v/>
      </c>
      <c r="EB88" s="487" t="str">
        <f t="shared" si="51"/>
        <v/>
      </c>
      <c r="EC88" s="487" t="str">
        <f t="shared" si="51"/>
        <v/>
      </c>
      <c r="ED88" s="487" t="str">
        <f t="shared" si="51"/>
        <v/>
      </c>
      <c r="EE88" s="487" t="str">
        <f t="shared" si="51"/>
        <v/>
      </c>
      <c r="EF88" s="487" t="str">
        <f t="shared" ref="EF88:EI88" si="52">IF(EF$67="","",EF73-EF86)</f>
        <v/>
      </c>
      <c r="EG88" s="487" t="str">
        <f t="shared" si="52"/>
        <v/>
      </c>
      <c r="EH88" s="487" t="str">
        <f t="shared" si="52"/>
        <v/>
      </c>
      <c r="EI88" s="487" t="str">
        <f t="shared" si="52"/>
        <v/>
      </c>
    </row>
    <row r="89" spans="2:139" hidden="1" outlineLevel="1" x14ac:dyDescent="0.2">
      <c r="B89" s="212"/>
      <c r="C89" s="4"/>
      <c r="D89" s="4"/>
      <c r="E89" s="4"/>
      <c r="F89" s="4"/>
      <c r="G89" s="487"/>
      <c r="H89" s="487"/>
      <c r="I89" s="487"/>
      <c r="J89" s="487"/>
      <c r="K89" s="487"/>
      <c r="L89" s="487"/>
      <c r="M89" s="487"/>
      <c r="N89" s="487"/>
      <c r="O89" s="487"/>
      <c r="P89" s="487"/>
      <c r="Q89" s="487"/>
      <c r="R89" s="487"/>
      <c r="S89" s="487"/>
      <c r="T89" s="487"/>
      <c r="U89" s="487"/>
      <c r="V89" s="487"/>
      <c r="W89" s="487"/>
      <c r="X89" s="487"/>
      <c r="Y89" s="487"/>
      <c r="Z89" s="487"/>
      <c r="AA89" s="487"/>
      <c r="AB89" s="487"/>
      <c r="AC89" s="487"/>
      <c r="AD89" s="487"/>
      <c r="AE89" s="487"/>
      <c r="AF89" s="487"/>
      <c r="AG89" s="487"/>
      <c r="AH89" s="487"/>
      <c r="AI89" s="487"/>
      <c r="AJ89" s="487"/>
      <c r="AK89" s="487"/>
      <c r="AL89" s="487"/>
      <c r="AM89" s="487"/>
      <c r="AN89" s="487"/>
      <c r="AO89" s="487"/>
      <c r="AP89" s="487"/>
      <c r="AQ89" s="487"/>
      <c r="AR89" s="487"/>
      <c r="AS89" s="487"/>
      <c r="AT89" s="487"/>
      <c r="AU89" s="487"/>
      <c r="AV89" s="487"/>
      <c r="AW89" s="487"/>
      <c r="AX89" s="487"/>
      <c r="AY89" s="487"/>
      <c r="AZ89" s="487"/>
      <c r="BA89" s="487"/>
      <c r="BB89" s="487"/>
      <c r="BC89" s="487"/>
      <c r="BD89" s="487"/>
      <c r="BE89" s="487"/>
      <c r="BF89" s="487"/>
      <c r="BG89" s="487"/>
      <c r="BH89" s="487"/>
      <c r="BI89" s="487"/>
      <c r="BJ89" s="487"/>
      <c r="BK89" s="487"/>
      <c r="BL89" s="487"/>
      <c r="BM89" s="487"/>
      <c r="BN89" s="487"/>
      <c r="BO89" s="487"/>
      <c r="BP89" s="487"/>
      <c r="BQ89" s="487"/>
      <c r="BR89" s="487"/>
      <c r="BS89" s="487"/>
      <c r="BT89" s="487"/>
      <c r="BU89" s="487"/>
      <c r="BV89" s="487"/>
      <c r="BW89" s="487"/>
      <c r="BX89" s="487"/>
      <c r="BY89" s="487"/>
      <c r="BZ89" s="487"/>
      <c r="CA89" s="487"/>
      <c r="CB89" s="487"/>
      <c r="CC89" s="487"/>
      <c r="CD89" s="487"/>
      <c r="CE89" s="487"/>
      <c r="CF89" s="487"/>
      <c r="CG89" s="487"/>
      <c r="CH89" s="487"/>
      <c r="CI89" s="487"/>
      <c r="CJ89" s="487"/>
      <c r="CK89" s="487"/>
      <c r="CL89" s="487"/>
      <c r="CM89" s="487"/>
      <c r="CN89" s="487"/>
      <c r="CO89" s="487"/>
      <c r="CP89" s="487"/>
      <c r="CQ89" s="487"/>
      <c r="CR89" s="487"/>
      <c r="CS89" s="487"/>
      <c r="CT89" s="487"/>
      <c r="CU89" s="487"/>
      <c r="CV89" s="487"/>
      <c r="CW89" s="487"/>
      <c r="CX89" s="487"/>
      <c r="CY89" s="487"/>
      <c r="CZ89" s="487"/>
      <c r="DA89" s="487"/>
      <c r="DB89" s="487"/>
      <c r="DC89" s="487"/>
      <c r="DD89" s="487"/>
      <c r="DE89" s="487"/>
      <c r="DF89" s="487"/>
      <c r="DG89" s="487"/>
      <c r="DH89" s="487"/>
      <c r="DI89" s="487"/>
      <c r="DJ89" s="487"/>
      <c r="DK89" s="487"/>
      <c r="DL89" s="487"/>
      <c r="DM89" s="487"/>
      <c r="DN89" s="487"/>
      <c r="DO89" s="487"/>
      <c r="DP89" s="487"/>
      <c r="DQ89" s="487"/>
      <c r="DR89" s="487"/>
      <c r="DS89" s="487"/>
      <c r="DT89" s="487"/>
      <c r="DU89" s="487"/>
      <c r="DV89" s="487"/>
      <c r="DW89" s="487"/>
      <c r="DX89" s="487"/>
      <c r="DY89" s="487"/>
      <c r="DZ89" s="487"/>
      <c r="EA89" s="487"/>
      <c r="EB89" s="487"/>
      <c r="EC89" s="487"/>
      <c r="ED89" s="487"/>
      <c r="EE89" s="487"/>
      <c r="EF89" s="487"/>
      <c r="EG89" s="487"/>
      <c r="EH89" s="487"/>
      <c r="EI89" s="487"/>
    </row>
    <row r="90" spans="2:139" hidden="1" outlineLevel="1" x14ac:dyDescent="0.2">
      <c r="B90" s="212" t="s">
        <v>163</v>
      </c>
      <c r="C90" s="4"/>
      <c r="D90" s="4"/>
      <c r="E90" s="4"/>
      <c r="F90" s="4"/>
      <c r="G90" s="487">
        <f>IF(G$67="","",Underwriting!L136)</f>
        <v>0</v>
      </c>
      <c r="H90" s="487">
        <f>IF(H$67="","",Underwriting!M136)</f>
        <v>0</v>
      </c>
      <c r="I90" s="487">
        <f>IF(I$67="","",Underwriting!N136)</f>
        <v>0</v>
      </c>
      <c r="J90" s="487">
        <f>IF(J$67="","",Underwriting!O136)</f>
        <v>0</v>
      </c>
      <c r="K90" s="487">
        <f>IF(K$67="","",Underwriting!P136)</f>
        <v>0</v>
      </c>
      <c r="L90" s="487">
        <f>IF(L$67="","",Underwriting!Q136)</f>
        <v>0</v>
      </c>
      <c r="M90" s="487">
        <f>IF(M$67="","",Underwriting!R136)</f>
        <v>0</v>
      </c>
      <c r="N90" s="487">
        <f>IF(N$67="","",Underwriting!S136)</f>
        <v>0</v>
      </c>
      <c r="O90" s="487">
        <f>IF(O$67="","",Underwriting!T136)</f>
        <v>0</v>
      </c>
      <c r="P90" s="487">
        <f>IF(P$67="","",Underwriting!U136)</f>
        <v>0</v>
      </c>
      <c r="Q90" s="487">
        <f>IF(Q$67="","",Underwriting!V136)</f>
        <v>0</v>
      </c>
      <c r="R90" s="487">
        <f>IF(R$67="","",Underwriting!W136)</f>
        <v>0</v>
      </c>
      <c r="S90" s="487">
        <f>IF(S$67="","",Underwriting!X136)</f>
        <v>0</v>
      </c>
      <c r="T90" s="487">
        <f>IF(T$67="","",Underwriting!Y136)</f>
        <v>0</v>
      </c>
      <c r="U90" s="487">
        <f>IF(U$67="","",Underwriting!Z136)</f>
        <v>0</v>
      </c>
      <c r="V90" s="487">
        <f>IF(V$67="","",Underwriting!AA136)</f>
        <v>0</v>
      </c>
      <c r="W90" s="487">
        <f>IF(W$67="","",Underwriting!AB136)</f>
        <v>0</v>
      </c>
      <c r="X90" s="487">
        <f>IF(X$67="","",Underwriting!AC136)</f>
        <v>0</v>
      </c>
      <c r="Y90" s="487">
        <f>IF(Y$67="","",Underwriting!AD136)</f>
        <v>0</v>
      </c>
      <c r="Z90" s="487">
        <f>IF(Z$67="","",Underwriting!AE136)</f>
        <v>499.99999999999989</v>
      </c>
      <c r="AA90" s="487">
        <f>IF(AA$67="","",Underwriting!AF136)</f>
        <v>833.33333333333314</v>
      </c>
      <c r="AB90" s="487">
        <f>IF(AB$67="","",Underwriting!AG136)</f>
        <v>1166.6666666666665</v>
      </c>
      <c r="AC90" s="487">
        <f>IF(AC$67="","",Underwriting!AH136)</f>
        <v>1500.0000000000002</v>
      </c>
      <c r="AD90" s="487">
        <f>IF(AD$67="","",Underwriting!AI136)</f>
        <v>1833.3333333333335</v>
      </c>
      <c r="AE90" s="487">
        <f>IF(AE$67="","",Underwriting!AJ136)</f>
        <v>2166.6666666666665</v>
      </c>
      <c r="AF90" s="487">
        <f>IF(AF$67="","",Underwriting!AK136)</f>
        <v>2500</v>
      </c>
      <c r="AG90" s="487">
        <f>IF(AG$67="","",Underwriting!AL136)</f>
        <v>2833.3333333333335</v>
      </c>
      <c r="AH90" s="487">
        <f>IF(AH$67="","",Underwriting!AM136)</f>
        <v>3166.6666666666665</v>
      </c>
      <c r="AI90" s="487">
        <f>IF(AI$67="","",Underwriting!AN136)</f>
        <v>3500</v>
      </c>
      <c r="AJ90" s="487">
        <f>IF(AJ$67="","",Underwriting!AO136)</f>
        <v>3833.333333333333</v>
      </c>
      <c r="AK90" s="487">
        <f>IF(AK$67="","",Underwriting!AP136)</f>
        <v>4166.666666666667</v>
      </c>
      <c r="AL90" s="487">
        <f>IF(AL$67="","",Underwriting!AQ136)</f>
        <v>4635</v>
      </c>
      <c r="AM90" s="487">
        <f>IF(AM$67="","",Underwriting!AR136)</f>
        <v>4978.333333333333</v>
      </c>
      <c r="AN90" s="487">
        <f>IF(AN$67="","",Underwriting!AS136)</f>
        <v>5150</v>
      </c>
      <c r="AO90" s="487">
        <f>IF(AO$67="","",Underwriting!AT136)</f>
        <v>5150</v>
      </c>
      <c r="AP90" s="487">
        <f>IF(AP$67="","",Underwriting!AU136)</f>
        <v>5150</v>
      </c>
      <c r="AQ90" s="487">
        <f>IF(AQ$67="","",Underwriting!AV136)</f>
        <v>5150</v>
      </c>
      <c r="AR90" s="487">
        <f>IF(AR$67="","",Underwriting!AW136)</f>
        <v>5150</v>
      </c>
      <c r="AS90" s="487">
        <f>IF(AS$67="","",Underwriting!AX136)</f>
        <v>5150</v>
      </c>
      <c r="AT90" s="487">
        <f>IF(AT$67="","",Underwriting!AY136)</f>
        <v>5150</v>
      </c>
      <c r="AU90" s="487">
        <f>IF(AU$67="","",Underwriting!AZ136)</f>
        <v>5150</v>
      </c>
      <c r="AV90" s="487">
        <f>IF(AV$67="","",Underwriting!BA136)</f>
        <v>5150</v>
      </c>
      <c r="AW90" s="487">
        <f>IF(AW$67="","",Underwriting!BB136)</f>
        <v>5150</v>
      </c>
      <c r="AX90" s="487">
        <f>IF(AX$67="","",Underwriting!BC136)</f>
        <v>5304.5</v>
      </c>
      <c r="AY90" s="487">
        <f>IF(AY$67="","",Underwriting!BD136)</f>
        <v>5304.5</v>
      </c>
      <c r="AZ90" s="487">
        <f>IF(AZ$67="","",Underwriting!BE136)</f>
        <v>5304.5</v>
      </c>
      <c r="BA90" s="487" t="str">
        <f>IF(BA$67="","",Underwriting!BF136)</f>
        <v/>
      </c>
      <c r="BB90" s="487" t="str">
        <f>IF(BB$67="","",Underwriting!BG136)</f>
        <v/>
      </c>
      <c r="BC90" s="487" t="str">
        <f>IF(BC$67="","",Underwriting!BH136)</f>
        <v/>
      </c>
      <c r="BD90" s="487" t="str">
        <f>IF(BD$67="","",Underwriting!BI136)</f>
        <v/>
      </c>
      <c r="BE90" s="487" t="str">
        <f>IF(BE$67="","",Underwriting!BJ136)</f>
        <v/>
      </c>
      <c r="BF90" s="487" t="str">
        <f>IF(BF$67="","",Underwriting!BK136)</f>
        <v/>
      </c>
      <c r="BG90" s="487" t="str">
        <f>IF(BG$67="","",Underwriting!BL136)</f>
        <v/>
      </c>
      <c r="BH90" s="487" t="str">
        <f>IF(BH$67="","",Underwriting!BM136)</f>
        <v/>
      </c>
      <c r="BI90" s="487" t="str">
        <f>IF(BI$67="","",Underwriting!BN136)</f>
        <v/>
      </c>
      <c r="BJ90" s="487" t="str">
        <f>IF(BJ$67="","",Underwriting!BO136)</f>
        <v/>
      </c>
      <c r="BK90" s="487" t="str">
        <f>IF(BK$67="","",Underwriting!BP136)</f>
        <v/>
      </c>
      <c r="BL90" s="487" t="str">
        <f>IF(BL$67="","",Underwriting!BQ136)</f>
        <v/>
      </c>
      <c r="BM90" s="487" t="str">
        <f>IF(BM$67="","",Underwriting!BR136)</f>
        <v/>
      </c>
      <c r="BN90" s="487" t="str">
        <f>IF(BN$67="","",Underwriting!BS136)</f>
        <v/>
      </c>
      <c r="BO90" s="487" t="str">
        <f>IF(BO$67="","",Underwriting!BT136)</f>
        <v/>
      </c>
      <c r="BP90" s="487" t="str">
        <f>IF(BP$67="","",Underwriting!BU136)</f>
        <v/>
      </c>
      <c r="BQ90" s="487" t="str">
        <f>IF(BQ$67="","",Underwriting!BV136)</f>
        <v/>
      </c>
      <c r="BR90" s="487" t="str">
        <f>IF(BR$67="","",Underwriting!BW136)</f>
        <v/>
      </c>
      <c r="BS90" s="487" t="str">
        <f>IF(BS$67="","",Underwriting!BX136)</f>
        <v/>
      </c>
      <c r="BT90" s="487" t="str">
        <f>IF(BT$67="","",Underwriting!BY136)</f>
        <v/>
      </c>
      <c r="BU90" s="487" t="str">
        <f>IF(BU$67="","",Underwriting!BZ136)</f>
        <v/>
      </c>
      <c r="BV90" s="487" t="str">
        <f>IF(BV$67="","",Underwriting!CA136)</f>
        <v/>
      </c>
      <c r="BW90" s="487" t="str">
        <f>IF(BW$67="","",Underwriting!CB136)</f>
        <v/>
      </c>
      <c r="BX90" s="487" t="str">
        <f>IF(BX$67="","",Underwriting!CC136)</f>
        <v/>
      </c>
      <c r="BY90" s="487" t="str">
        <f>IF(BY$67="","",Underwriting!CD136)</f>
        <v/>
      </c>
      <c r="BZ90" s="487" t="str">
        <f>IF(BZ$67="","",Underwriting!CE136)</f>
        <v/>
      </c>
      <c r="CA90" s="487" t="str">
        <f>IF(CA$67="","",Underwriting!CF136)</f>
        <v/>
      </c>
      <c r="CB90" s="487" t="str">
        <f>IF(CB$67="","",Underwriting!CG136)</f>
        <v/>
      </c>
      <c r="CC90" s="487" t="str">
        <f>IF(CC$67="","",Underwriting!CH136)</f>
        <v/>
      </c>
      <c r="CD90" s="487" t="str">
        <f>IF(CD$67="","",Underwriting!CI136)</f>
        <v/>
      </c>
      <c r="CE90" s="487" t="str">
        <f>IF(CE$67="","",Underwriting!CJ136)</f>
        <v/>
      </c>
      <c r="CF90" s="487" t="str">
        <f>IF(CF$67="","",Underwriting!CK136)</f>
        <v/>
      </c>
      <c r="CG90" s="487" t="str">
        <f>IF(CG$67="","",Underwriting!CL136)</f>
        <v/>
      </c>
      <c r="CH90" s="487" t="str">
        <f>IF(CH$67="","",Underwriting!CM136)</f>
        <v/>
      </c>
      <c r="CI90" s="487" t="str">
        <f>IF(CI$67="","",Underwriting!CN136)</f>
        <v/>
      </c>
      <c r="CJ90" s="487" t="str">
        <f>IF(CJ$67="","",Underwriting!CO136)</f>
        <v/>
      </c>
      <c r="CK90" s="487" t="str">
        <f>IF(CK$67="","",Underwriting!CP136)</f>
        <v/>
      </c>
      <c r="CL90" s="487" t="str">
        <f>IF(CL$67="","",Underwriting!CQ136)</f>
        <v/>
      </c>
      <c r="CM90" s="487" t="str">
        <f>IF(CM$67="","",Underwriting!CR136)</f>
        <v/>
      </c>
      <c r="CN90" s="487" t="str">
        <f>IF(CN$67="","",Underwriting!CS136)</f>
        <v/>
      </c>
      <c r="CO90" s="487" t="str">
        <f>IF(CO$67="","",Underwriting!CT136)</f>
        <v/>
      </c>
      <c r="CP90" s="487" t="str">
        <f>IF(CP$67="","",Underwriting!CU136)</f>
        <v/>
      </c>
      <c r="CQ90" s="487" t="str">
        <f>IF(CQ$67="","",Underwriting!CV136)</f>
        <v/>
      </c>
      <c r="CR90" s="487" t="str">
        <f>IF(CR$67="","",Underwriting!CW136)</f>
        <v/>
      </c>
      <c r="CS90" s="487" t="str">
        <f>IF(CS$67="","",Underwriting!CX136)</f>
        <v/>
      </c>
      <c r="CT90" s="487" t="str">
        <f>IF(CT$67="","",Underwriting!CY136)</f>
        <v/>
      </c>
      <c r="CU90" s="487" t="str">
        <f>IF(CU$67="","",Underwriting!CZ136)</f>
        <v/>
      </c>
      <c r="CV90" s="487" t="str">
        <f>IF(CV$67="","",Underwriting!DA136)</f>
        <v/>
      </c>
      <c r="CW90" s="487" t="str">
        <f>IF(CW$67="","",Underwriting!DB136)</f>
        <v/>
      </c>
      <c r="CX90" s="487" t="str">
        <f>IF(CX$67="","",Underwriting!DC136)</f>
        <v/>
      </c>
      <c r="CY90" s="487" t="str">
        <f>IF(CY$67="","",Underwriting!DD136)</f>
        <v/>
      </c>
      <c r="CZ90" s="487" t="str">
        <f>IF(CZ$67="","",Underwriting!DE136)</f>
        <v/>
      </c>
      <c r="DA90" s="487" t="str">
        <f>IF(DA$67="","",Underwriting!DF136)</f>
        <v/>
      </c>
      <c r="DB90" s="487" t="str">
        <f>IF(DB$67="","",Underwriting!DG136)</f>
        <v/>
      </c>
      <c r="DC90" s="487" t="str">
        <f>IF(DC$67="","",Underwriting!DH136)</f>
        <v/>
      </c>
      <c r="DD90" s="487" t="str">
        <f>IF(DD$67="","",Underwriting!DI136)</f>
        <v/>
      </c>
      <c r="DE90" s="487" t="str">
        <f>IF(DE$67="","",Underwriting!DJ136)</f>
        <v/>
      </c>
      <c r="DF90" s="487" t="str">
        <f>IF(DF$67="","",Underwriting!DK136)</f>
        <v/>
      </c>
      <c r="DG90" s="487" t="str">
        <f>IF(DG$67="","",Underwriting!DL136)</f>
        <v/>
      </c>
      <c r="DH90" s="487" t="str">
        <f>IF(DH$67="","",Underwriting!DM136)</f>
        <v/>
      </c>
      <c r="DI90" s="487" t="str">
        <f>IF(DI$67="","",Underwriting!DN136)</f>
        <v/>
      </c>
      <c r="DJ90" s="487" t="str">
        <f>IF(DJ$67="","",Underwriting!DO136)</f>
        <v/>
      </c>
      <c r="DK90" s="487" t="str">
        <f>IF(DK$67="","",Underwriting!DP136)</f>
        <v/>
      </c>
      <c r="DL90" s="487" t="str">
        <f>IF(DL$67="","",Underwriting!DQ136)</f>
        <v/>
      </c>
      <c r="DM90" s="487" t="str">
        <f>IF(DM$67="","",Underwriting!DR136)</f>
        <v/>
      </c>
      <c r="DN90" s="487" t="str">
        <f>IF(DN$67="","",Underwriting!DS136)</f>
        <v/>
      </c>
      <c r="DO90" s="487" t="str">
        <f>IF(DO$67="","",Underwriting!DT136)</f>
        <v/>
      </c>
      <c r="DP90" s="487" t="str">
        <f>IF(DP$67="","",Underwriting!DU136)</f>
        <v/>
      </c>
      <c r="DQ90" s="487" t="str">
        <f>IF(DQ$67="","",Underwriting!DV136)</f>
        <v/>
      </c>
      <c r="DR90" s="487" t="str">
        <f>IF(DR$67="","",Underwriting!DW136)</f>
        <v/>
      </c>
      <c r="DS90" s="487" t="str">
        <f>IF(DS$67="","",Underwriting!DX136)</f>
        <v/>
      </c>
      <c r="DT90" s="487" t="str">
        <f>IF(DT$67="","",Underwriting!DY136)</f>
        <v/>
      </c>
      <c r="DU90" s="487" t="str">
        <f>IF(DU$67="","",Underwriting!DZ136)</f>
        <v/>
      </c>
      <c r="DV90" s="487" t="str">
        <f>IF(DV$67="","",Underwriting!EA136)</f>
        <v/>
      </c>
      <c r="DW90" s="487" t="str">
        <f>IF(DW$67="","",Underwriting!EB136)</f>
        <v/>
      </c>
      <c r="DX90" s="487" t="str">
        <f>IF(DX$67="","",Underwriting!EC136)</f>
        <v/>
      </c>
      <c r="DY90" s="487" t="str">
        <f>IF(DY$67="","",Underwriting!ED136)</f>
        <v/>
      </c>
      <c r="DZ90" s="487" t="str">
        <f>IF(DZ$67="","",Underwriting!EE136)</f>
        <v/>
      </c>
      <c r="EA90" s="487" t="str">
        <f>IF(EA$67="","",Underwriting!EF136)</f>
        <v/>
      </c>
      <c r="EB90" s="487" t="str">
        <f>IF(EB$67="","",Underwriting!EG136)</f>
        <v/>
      </c>
      <c r="EC90" s="487" t="str">
        <f>IF(EC$67="","",Underwriting!EH136)</f>
        <v/>
      </c>
      <c r="ED90" s="487" t="str">
        <f>IF(ED$67="","",Underwriting!EI136)</f>
        <v/>
      </c>
      <c r="EE90" s="487" t="str">
        <f>IF(EE$67="","",Underwriting!EJ136)</f>
        <v/>
      </c>
      <c r="EF90" s="487" t="str">
        <f>IF(EF$67="","",Underwriting!EK136)</f>
        <v/>
      </c>
      <c r="EG90" s="487" t="str">
        <f>IF(EG$67="","",Underwriting!EL136)</f>
        <v/>
      </c>
      <c r="EH90" s="487" t="str">
        <f>IF(EH$67="","",Underwriting!EM136)</f>
        <v/>
      </c>
      <c r="EI90" s="487" t="str">
        <f>IF(EI$67="","",Underwriting!EN136)</f>
        <v/>
      </c>
    </row>
    <row r="91" spans="2:139" hidden="1" outlineLevel="1" x14ac:dyDescent="0.2">
      <c r="B91" s="212"/>
      <c r="C91" s="4"/>
      <c r="D91" s="4"/>
      <c r="E91" s="4"/>
      <c r="F91" s="4"/>
      <c r="G91" s="487"/>
      <c r="H91" s="487"/>
      <c r="I91" s="487"/>
      <c r="J91" s="487"/>
      <c r="K91" s="487"/>
      <c r="L91" s="487"/>
      <c r="M91" s="487"/>
      <c r="N91" s="487"/>
      <c r="O91" s="487"/>
      <c r="P91" s="487"/>
      <c r="Q91" s="487"/>
      <c r="R91" s="487"/>
      <c r="S91" s="487"/>
      <c r="T91" s="487"/>
      <c r="U91" s="487"/>
      <c r="V91" s="487"/>
      <c r="W91" s="487"/>
      <c r="X91" s="487"/>
      <c r="Y91" s="487"/>
      <c r="Z91" s="487"/>
      <c r="AA91" s="487"/>
      <c r="AB91" s="487"/>
      <c r="AC91" s="487"/>
      <c r="AD91" s="487"/>
      <c r="AE91" s="487"/>
      <c r="AF91" s="487"/>
      <c r="AG91" s="487"/>
      <c r="AH91" s="487"/>
      <c r="AI91" s="487"/>
      <c r="AJ91" s="487"/>
      <c r="AK91" s="487"/>
      <c r="AL91" s="487"/>
      <c r="AM91" s="487"/>
      <c r="AN91" s="487"/>
      <c r="AO91" s="487"/>
      <c r="AP91" s="487"/>
      <c r="AQ91" s="487"/>
      <c r="AR91" s="487"/>
      <c r="AS91" s="487"/>
      <c r="AT91" s="487"/>
      <c r="AU91" s="487"/>
      <c r="AV91" s="487"/>
      <c r="AW91" s="487"/>
      <c r="AX91" s="487"/>
      <c r="AY91" s="487"/>
      <c r="AZ91" s="487"/>
      <c r="BA91" s="487"/>
      <c r="BB91" s="487"/>
      <c r="BC91" s="487"/>
      <c r="BD91" s="487"/>
      <c r="BE91" s="487"/>
      <c r="BF91" s="487"/>
      <c r="BG91" s="487"/>
      <c r="BH91" s="487"/>
      <c r="BI91" s="487"/>
      <c r="BJ91" s="487"/>
      <c r="BK91" s="487"/>
      <c r="BL91" s="487"/>
      <c r="BM91" s="487"/>
      <c r="BN91" s="487"/>
      <c r="BO91" s="487"/>
      <c r="BP91" s="487"/>
      <c r="BQ91" s="487"/>
      <c r="BR91" s="487"/>
      <c r="BS91" s="487"/>
      <c r="BT91" s="487"/>
      <c r="BU91" s="487"/>
      <c r="BV91" s="487"/>
      <c r="BW91" s="487"/>
      <c r="BX91" s="487"/>
      <c r="BY91" s="487"/>
      <c r="BZ91" s="487"/>
      <c r="CA91" s="487"/>
      <c r="CB91" s="487"/>
      <c r="CC91" s="487"/>
      <c r="CD91" s="487"/>
      <c r="CE91" s="487"/>
      <c r="CF91" s="487"/>
      <c r="CG91" s="487"/>
      <c r="CH91" s="487"/>
      <c r="CI91" s="487"/>
      <c r="CJ91" s="487"/>
      <c r="CK91" s="487"/>
      <c r="CL91" s="487"/>
      <c r="CM91" s="487"/>
      <c r="CN91" s="487"/>
      <c r="CO91" s="487"/>
      <c r="CP91" s="487"/>
      <c r="CQ91" s="487"/>
      <c r="CR91" s="487"/>
      <c r="CS91" s="487"/>
      <c r="CT91" s="487"/>
      <c r="CU91" s="487"/>
      <c r="CV91" s="487"/>
      <c r="CW91" s="487"/>
      <c r="CX91" s="487"/>
      <c r="CY91" s="487"/>
      <c r="CZ91" s="487"/>
      <c r="DA91" s="487"/>
      <c r="DB91" s="487"/>
      <c r="DC91" s="487"/>
      <c r="DD91" s="487"/>
      <c r="DE91" s="487"/>
      <c r="DF91" s="487"/>
      <c r="DG91" s="487"/>
      <c r="DH91" s="487"/>
      <c r="DI91" s="487"/>
      <c r="DJ91" s="487"/>
      <c r="DK91" s="487"/>
      <c r="DL91" s="487"/>
      <c r="DM91" s="487"/>
      <c r="DN91" s="487"/>
      <c r="DO91" s="487"/>
      <c r="DP91" s="487"/>
      <c r="DQ91" s="487"/>
      <c r="DR91" s="487"/>
      <c r="DS91" s="487"/>
      <c r="DT91" s="487"/>
      <c r="DU91" s="487"/>
      <c r="DV91" s="487"/>
      <c r="DW91" s="487"/>
      <c r="DX91" s="487"/>
      <c r="DY91" s="487"/>
      <c r="DZ91" s="487"/>
      <c r="EA91" s="487"/>
      <c r="EB91" s="487"/>
      <c r="EC91" s="487"/>
      <c r="ED91" s="487"/>
      <c r="EE91" s="487"/>
      <c r="EF91" s="487"/>
      <c r="EG91" s="487"/>
      <c r="EH91" s="487"/>
      <c r="EI91" s="487"/>
    </row>
    <row r="92" spans="2:139" hidden="1" outlineLevel="1" x14ac:dyDescent="0.2">
      <c r="B92" s="212" t="s">
        <v>168</v>
      </c>
      <c r="C92" s="4"/>
      <c r="D92" s="4"/>
      <c r="E92" s="4"/>
      <c r="F92" s="4"/>
      <c r="G92" s="487">
        <f>IF(G$67="","",G88-G90)</f>
        <v>0</v>
      </c>
      <c r="H92" s="487">
        <f t="shared" ref="H92:BS92" si="53">IF(H$67="","",H88-H90)</f>
        <v>0</v>
      </c>
      <c r="I92" s="487">
        <f t="shared" si="53"/>
        <v>0</v>
      </c>
      <c r="J92" s="487">
        <f t="shared" si="53"/>
        <v>0</v>
      </c>
      <c r="K92" s="487">
        <f t="shared" si="53"/>
        <v>0</v>
      </c>
      <c r="L92" s="487">
        <f t="shared" si="53"/>
        <v>0</v>
      </c>
      <c r="M92" s="487">
        <f t="shared" si="53"/>
        <v>0</v>
      </c>
      <c r="N92" s="487">
        <f t="shared" si="53"/>
        <v>0</v>
      </c>
      <c r="O92" s="487">
        <f t="shared" si="53"/>
        <v>0</v>
      </c>
      <c r="P92" s="487">
        <f t="shared" si="53"/>
        <v>0</v>
      </c>
      <c r="Q92" s="487">
        <f t="shared" si="53"/>
        <v>0</v>
      </c>
      <c r="R92" s="487">
        <f t="shared" si="53"/>
        <v>0</v>
      </c>
      <c r="S92" s="487">
        <f t="shared" si="53"/>
        <v>0</v>
      </c>
      <c r="T92" s="487">
        <f t="shared" si="53"/>
        <v>0</v>
      </c>
      <c r="U92" s="487">
        <f t="shared" si="53"/>
        <v>0</v>
      </c>
      <c r="V92" s="487">
        <f t="shared" si="53"/>
        <v>0</v>
      </c>
      <c r="W92" s="487">
        <f t="shared" si="53"/>
        <v>0</v>
      </c>
      <c r="X92" s="487">
        <f t="shared" si="53"/>
        <v>0</v>
      </c>
      <c r="Y92" s="487">
        <f t="shared" si="53"/>
        <v>0</v>
      </c>
      <c r="Z92" s="487">
        <f t="shared" si="53"/>
        <v>-137014.1267392564</v>
      </c>
      <c r="AA92" s="487">
        <f t="shared" si="53"/>
        <v>-105738.43198636749</v>
      </c>
      <c r="AB92" s="487">
        <f t="shared" si="53"/>
        <v>-74462.737233478663</v>
      </c>
      <c r="AC92" s="487">
        <f t="shared" si="53"/>
        <v>-43187.042480589735</v>
      </c>
      <c r="AD92" s="487">
        <f t="shared" si="53"/>
        <v>-11911.347727700826</v>
      </c>
      <c r="AE92" s="487">
        <f t="shared" si="53"/>
        <v>19364.347025188054</v>
      </c>
      <c r="AF92" s="487">
        <f t="shared" si="53"/>
        <v>50640.041778076935</v>
      </c>
      <c r="AG92" s="487">
        <f t="shared" si="53"/>
        <v>81915.73653096582</v>
      </c>
      <c r="AH92" s="487">
        <f t="shared" si="53"/>
        <v>113191.43128385466</v>
      </c>
      <c r="AI92" s="487">
        <f t="shared" si="53"/>
        <v>144467.12603674358</v>
      </c>
      <c r="AJ92" s="487">
        <f t="shared" si="53"/>
        <v>175742.8207896325</v>
      </c>
      <c r="AK92" s="487">
        <f t="shared" si="53"/>
        <v>207018.5155425214</v>
      </c>
      <c r="AL92" s="487">
        <f t="shared" si="53"/>
        <v>223226.79761989755</v>
      </c>
      <c r="AM92" s="487">
        <f t="shared" si="53"/>
        <v>255440.76321537315</v>
      </c>
      <c r="AN92" s="487">
        <f t="shared" si="53"/>
        <v>294529.40665734163</v>
      </c>
      <c r="AO92" s="487">
        <f t="shared" si="53"/>
        <v>295640.04453234165</v>
      </c>
      <c r="AP92" s="487">
        <f t="shared" si="53"/>
        <v>296750.68240734166</v>
      </c>
      <c r="AQ92" s="487">
        <f t="shared" si="53"/>
        <v>297861.32028234168</v>
      </c>
      <c r="AR92" s="487">
        <f t="shared" si="53"/>
        <v>298971.95815734164</v>
      </c>
      <c r="AS92" s="487">
        <f t="shared" si="53"/>
        <v>300082.59603234159</v>
      </c>
      <c r="AT92" s="487">
        <f t="shared" si="53"/>
        <v>301193.23390734167</v>
      </c>
      <c r="AU92" s="487">
        <f t="shared" si="53"/>
        <v>302303.87178234162</v>
      </c>
      <c r="AV92" s="487">
        <f t="shared" si="53"/>
        <v>303414.50965734164</v>
      </c>
      <c r="AW92" s="487">
        <f t="shared" si="53"/>
        <v>304525.14753234165</v>
      </c>
      <c r="AX92" s="487">
        <f t="shared" si="53"/>
        <v>291922.13281565561</v>
      </c>
      <c r="AY92" s="487">
        <f t="shared" si="53"/>
        <v>293066.08982690558</v>
      </c>
      <c r="AZ92" s="487">
        <f t="shared" si="53"/>
        <v>280482.56270315562</v>
      </c>
      <c r="BA92" s="487" t="str">
        <f t="shared" si="53"/>
        <v/>
      </c>
      <c r="BB92" s="487" t="str">
        <f t="shared" si="53"/>
        <v/>
      </c>
      <c r="BC92" s="487" t="str">
        <f t="shared" si="53"/>
        <v/>
      </c>
      <c r="BD92" s="487" t="str">
        <f t="shared" si="53"/>
        <v/>
      </c>
      <c r="BE92" s="487" t="str">
        <f t="shared" si="53"/>
        <v/>
      </c>
      <c r="BF92" s="487" t="str">
        <f t="shared" si="53"/>
        <v/>
      </c>
      <c r="BG92" s="487" t="str">
        <f t="shared" si="53"/>
        <v/>
      </c>
      <c r="BH92" s="487" t="str">
        <f t="shared" si="53"/>
        <v/>
      </c>
      <c r="BI92" s="487" t="str">
        <f t="shared" si="53"/>
        <v/>
      </c>
      <c r="BJ92" s="487" t="str">
        <f t="shared" si="53"/>
        <v/>
      </c>
      <c r="BK92" s="487" t="str">
        <f t="shared" si="53"/>
        <v/>
      </c>
      <c r="BL92" s="487" t="str">
        <f t="shared" si="53"/>
        <v/>
      </c>
      <c r="BM92" s="487" t="str">
        <f t="shared" si="53"/>
        <v/>
      </c>
      <c r="BN92" s="487" t="str">
        <f t="shared" si="53"/>
        <v/>
      </c>
      <c r="BO92" s="487" t="str">
        <f t="shared" si="53"/>
        <v/>
      </c>
      <c r="BP92" s="487" t="str">
        <f t="shared" si="53"/>
        <v/>
      </c>
      <c r="BQ92" s="487" t="str">
        <f t="shared" si="53"/>
        <v/>
      </c>
      <c r="BR92" s="487" t="str">
        <f t="shared" si="53"/>
        <v/>
      </c>
      <c r="BS92" s="487" t="str">
        <f t="shared" si="53"/>
        <v/>
      </c>
      <c r="BT92" s="487" t="str">
        <f t="shared" ref="BT92:EE92" si="54">IF(BT$67="","",BT88-BT90)</f>
        <v/>
      </c>
      <c r="BU92" s="487" t="str">
        <f t="shared" si="54"/>
        <v/>
      </c>
      <c r="BV92" s="487" t="str">
        <f t="shared" si="54"/>
        <v/>
      </c>
      <c r="BW92" s="487" t="str">
        <f t="shared" si="54"/>
        <v/>
      </c>
      <c r="BX92" s="487" t="str">
        <f t="shared" si="54"/>
        <v/>
      </c>
      <c r="BY92" s="487" t="str">
        <f t="shared" si="54"/>
        <v/>
      </c>
      <c r="BZ92" s="487" t="str">
        <f t="shared" si="54"/>
        <v/>
      </c>
      <c r="CA92" s="487" t="str">
        <f t="shared" si="54"/>
        <v/>
      </c>
      <c r="CB92" s="487" t="str">
        <f t="shared" si="54"/>
        <v/>
      </c>
      <c r="CC92" s="487" t="str">
        <f t="shared" si="54"/>
        <v/>
      </c>
      <c r="CD92" s="487" t="str">
        <f t="shared" si="54"/>
        <v/>
      </c>
      <c r="CE92" s="487" t="str">
        <f t="shared" si="54"/>
        <v/>
      </c>
      <c r="CF92" s="487" t="str">
        <f t="shared" si="54"/>
        <v/>
      </c>
      <c r="CG92" s="487" t="str">
        <f t="shared" si="54"/>
        <v/>
      </c>
      <c r="CH92" s="487" t="str">
        <f t="shared" si="54"/>
        <v/>
      </c>
      <c r="CI92" s="487" t="str">
        <f t="shared" si="54"/>
        <v/>
      </c>
      <c r="CJ92" s="487" t="str">
        <f t="shared" si="54"/>
        <v/>
      </c>
      <c r="CK92" s="487" t="str">
        <f t="shared" si="54"/>
        <v/>
      </c>
      <c r="CL92" s="487" t="str">
        <f t="shared" si="54"/>
        <v/>
      </c>
      <c r="CM92" s="487" t="str">
        <f t="shared" si="54"/>
        <v/>
      </c>
      <c r="CN92" s="487" t="str">
        <f t="shared" si="54"/>
        <v/>
      </c>
      <c r="CO92" s="487" t="str">
        <f t="shared" si="54"/>
        <v/>
      </c>
      <c r="CP92" s="487" t="str">
        <f t="shared" si="54"/>
        <v/>
      </c>
      <c r="CQ92" s="487" t="str">
        <f t="shared" si="54"/>
        <v/>
      </c>
      <c r="CR92" s="487" t="str">
        <f t="shared" si="54"/>
        <v/>
      </c>
      <c r="CS92" s="487" t="str">
        <f t="shared" si="54"/>
        <v/>
      </c>
      <c r="CT92" s="487" t="str">
        <f t="shared" si="54"/>
        <v/>
      </c>
      <c r="CU92" s="487" t="str">
        <f t="shared" si="54"/>
        <v/>
      </c>
      <c r="CV92" s="487" t="str">
        <f t="shared" si="54"/>
        <v/>
      </c>
      <c r="CW92" s="487" t="str">
        <f t="shared" si="54"/>
        <v/>
      </c>
      <c r="CX92" s="487" t="str">
        <f t="shared" si="54"/>
        <v/>
      </c>
      <c r="CY92" s="487" t="str">
        <f t="shared" si="54"/>
        <v/>
      </c>
      <c r="CZ92" s="487" t="str">
        <f t="shared" si="54"/>
        <v/>
      </c>
      <c r="DA92" s="487" t="str">
        <f t="shared" si="54"/>
        <v/>
      </c>
      <c r="DB92" s="487" t="str">
        <f t="shared" si="54"/>
        <v/>
      </c>
      <c r="DC92" s="487" t="str">
        <f t="shared" si="54"/>
        <v/>
      </c>
      <c r="DD92" s="487" t="str">
        <f t="shared" si="54"/>
        <v/>
      </c>
      <c r="DE92" s="487" t="str">
        <f t="shared" si="54"/>
        <v/>
      </c>
      <c r="DF92" s="487" t="str">
        <f t="shared" si="54"/>
        <v/>
      </c>
      <c r="DG92" s="487" t="str">
        <f t="shared" si="54"/>
        <v/>
      </c>
      <c r="DH92" s="487" t="str">
        <f t="shared" si="54"/>
        <v/>
      </c>
      <c r="DI92" s="487" t="str">
        <f t="shared" si="54"/>
        <v/>
      </c>
      <c r="DJ92" s="487" t="str">
        <f t="shared" si="54"/>
        <v/>
      </c>
      <c r="DK92" s="487" t="str">
        <f t="shared" si="54"/>
        <v/>
      </c>
      <c r="DL92" s="487" t="str">
        <f t="shared" si="54"/>
        <v/>
      </c>
      <c r="DM92" s="487" t="str">
        <f t="shared" si="54"/>
        <v/>
      </c>
      <c r="DN92" s="487" t="str">
        <f t="shared" si="54"/>
        <v/>
      </c>
      <c r="DO92" s="487" t="str">
        <f t="shared" si="54"/>
        <v/>
      </c>
      <c r="DP92" s="487" t="str">
        <f t="shared" si="54"/>
        <v/>
      </c>
      <c r="DQ92" s="487" t="str">
        <f t="shared" si="54"/>
        <v/>
      </c>
      <c r="DR92" s="487" t="str">
        <f t="shared" si="54"/>
        <v/>
      </c>
      <c r="DS92" s="487" t="str">
        <f t="shared" si="54"/>
        <v/>
      </c>
      <c r="DT92" s="487" t="str">
        <f t="shared" si="54"/>
        <v/>
      </c>
      <c r="DU92" s="487" t="str">
        <f t="shared" si="54"/>
        <v/>
      </c>
      <c r="DV92" s="487" t="str">
        <f t="shared" si="54"/>
        <v/>
      </c>
      <c r="DW92" s="487" t="str">
        <f t="shared" si="54"/>
        <v/>
      </c>
      <c r="DX92" s="487" t="str">
        <f t="shared" si="54"/>
        <v/>
      </c>
      <c r="DY92" s="487" t="str">
        <f t="shared" si="54"/>
        <v/>
      </c>
      <c r="DZ92" s="487" t="str">
        <f t="shared" si="54"/>
        <v/>
      </c>
      <c r="EA92" s="487" t="str">
        <f t="shared" si="54"/>
        <v/>
      </c>
      <c r="EB92" s="487" t="str">
        <f t="shared" si="54"/>
        <v/>
      </c>
      <c r="EC92" s="487" t="str">
        <f t="shared" si="54"/>
        <v/>
      </c>
      <c r="ED92" s="487" t="str">
        <f t="shared" si="54"/>
        <v/>
      </c>
      <c r="EE92" s="487" t="str">
        <f t="shared" si="54"/>
        <v/>
      </c>
      <c r="EF92" s="487" t="str">
        <f t="shared" ref="EF92:EI92" si="55">IF(EF$67="","",EF88-EF90)</f>
        <v/>
      </c>
      <c r="EG92" s="487" t="str">
        <f t="shared" si="55"/>
        <v/>
      </c>
      <c r="EH92" s="487" t="str">
        <f t="shared" si="55"/>
        <v/>
      </c>
      <c r="EI92" s="487" t="str">
        <f t="shared" si="55"/>
        <v/>
      </c>
    </row>
    <row r="93" spans="2:139" hidden="1" outlineLevel="1" x14ac:dyDescent="0.2">
      <c r="B93" s="4"/>
      <c r="C93" s="4"/>
      <c r="D93" s="4"/>
      <c r="E93" s="4"/>
      <c r="F93" s="4"/>
      <c r="G93" s="487"/>
      <c r="H93" s="487"/>
      <c r="I93" s="487"/>
      <c r="J93" s="487"/>
      <c r="K93" s="487"/>
      <c r="L93" s="487"/>
      <c r="M93" s="487"/>
      <c r="N93" s="487"/>
      <c r="O93" s="487"/>
      <c r="P93" s="487"/>
      <c r="Q93" s="487"/>
      <c r="R93" s="487"/>
      <c r="S93" s="487"/>
      <c r="T93" s="487"/>
      <c r="U93" s="487"/>
      <c r="V93" s="487"/>
      <c r="W93" s="487"/>
      <c r="X93" s="487"/>
      <c r="Y93" s="487"/>
      <c r="Z93" s="487"/>
      <c r="AA93" s="487"/>
      <c r="AB93" s="487"/>
      <c r="AC93" s="487"/>
      <c r="AD93" s="487"/>
      <c r="AE93" s="487"/>
      <c r="AF93" s="487"/>
      <c r="AG93" s="487"/>
      <c r="AH93" s="487"/>
      <c r="AI93" s="487"/>
      <c r="AJ93" s="487"/>
      <c r="AK93" s="487"/>
      <c r="AL93" s="487"/>
      <c r="AM93" s="487"/>
      <c r="AN93" s="487"/>
      <c r="AO93" s="487"/>
      <c r="AP93" s="487"/>
      <c r="AQ93" s="487"/>
      <c r="AR93" s="487"/>
      <c r="AS93" s="487"/>
      <c r="AT93" s="487"/>
      <c r="AU93" s="487"/>
      <c r="AV93" s="487"/>
      <c r="AW93" s="487"/>
      <c r="AX93" s="487"/>
      <c r="AY93" s="487"/>
      <c r="AZ93" s="487"/>
      <c r="BA93" s="487"/>
      <c r="BB93" s="487"/>
      <c r="BC93" s="487"/>
      <c r="BD93" s="487"/>
      <c r="BE93" s="487"/>
      <c r="BF93" s="487"/>
      <c r="BG93" s="487"/>
      <c r="BH93" s="487"/>
      <c r="BI93" s="487"/>
      <c r="BJ93" s="487"/>
      <c r="BK93" s="487"/>
      <c r="BL93" s="487"/>
      <c r="BM93" s="487"/>
      <c r="BN93" s="487"/>
      <c r="BO93" s="487"/>
      <c r="BP93" s="487"/>
      <c r="BQ93" s="487"/>
      <c r="BR93" s="487"/>
      <c r="BS93" s="487"/>
      <c r="BT93" s="487"/>
      <c r="BU93" s="487"/>
      <c r="BV93" s="487"/>
      <c r="BW93" s="487"/>
      <c r="BX93" s="487"/>
      <c r="BY93" s="487"/>
      <c r="BZ93" s="487"/>
      <c r="CA93" s="487"/>
      <c r="CB93" s="487"/>
      <c r="CC93" s="487"/>
      <c r="CD93" s="487"/>
      <c r="CE93" s="487"/>
      <c r="CF93" s="487"/>
      <c r="CG93" s="487"/>
      <c r="CH93" s="487"/>
      <c r="CI93" s="487"/>
      <c r="CJ93" s="487"/>
      <c r="CK93" s="487"/>
      <c r="CL93" s="487"/>
      <c r="CM93" s="487"/>
      <c r="CN93" s="487"/>
      <c r="CO93" s="487"/>
      <c r="CP93" s="487"/>
      <c r="CQ93" s="487"/>
      <c r="CR93" s="487"/>
      <c r="CS93" s="487"/>
      <c r="CT93" s="487"/>
      <c r="CU93" s="487"/>
      <c r="CV93" s="487"/>
      <c r="CW93" s="487"/>
      <c r="CX93" s="487"/>
      <c r="CY93" s="487"/>
      <c r="CZ93" s="487"/>
      <c r="DA93" s="487"/>
      <c r="DB93" s="487"/>
      <c r="DC93" s="487"/>
      <c r="DD93" s="487"/>
      <c r="DE93" s="487"/>
      <c r="DF93" s="487"/>
      <c r="DG93" s="487"/>
      <c r="DH93" s="487"/>
      <c r="DI93" s="487"/>
      <c r="DJ93" s="487"/>
      <c r="DK93" s="487"/>
      <c r="DL93" s="487"/>
      <c r="DM93" s="487"/>
      <c r="DN93" s="487"/>
      <c r="DO93" s="487"/>
      <c r="DP93" s="487"/>
      <c r="DQ93" s="487"/>
      <c r="DR93" s="487"/>
      <c r="DS93" s="487"/>
      <c r="DT93" s="487"/>
      <c r="DU93" s="487"/>
      <c r="DV93" s="487"/>
      <c r="DW93" s="487"/>
      <c r="DX93" s="487"/>
      <c r="DY93" s="487"/>
      <c r="DZ93" s="487"/>
      <c r="EA93" s="487"/>
      <c r="EB93" s="487"/>
      <c r="EC93" s="487"/>
      <c r="ED93" s="487"/>
      <c r="EE93" s="487"/>
      <c r="EF93" s="487"/>
      <c r="EG93" s="487"/>
      <c r="EH93" s="487"/>
      <c r="EI93" s="487"/>
    </row>
    <row r="94" spans="2:139" hidden="1" outlineLevel="1" x14ac:dyDescent="0.2">
      <c r="B94" s="4" t="s">
        <v>561</v>
      </c>
      <c r="C94" s="4"/>
      <c r="D94" s="4"/>
      <c r="E94" s="4"/>
      <c r="F94" s="4"/>
      <c r="G94" s="491">
        <f>+G67</f>
        <v>0</v>
      </c>
      <c r="H94" s="491">
        <f t="shared" ref="H94:BS94" si="56">+H67</f>
        <v>1</v>
      </c>
      <c r="I94" s="491">
        <f t="shared" si="56"/>
        <v>2</v>
      </c>
      <c r="J94" s="491">
        <f t="shared" si="56"/>
        <v>3</v>
      </c>
      <c r="K94" s="491">
        <f t="shared" si="56"/>
        <v>4</v>
      </c>
      <c r="L94" s="491">
        <f t="shared" si="56"/>
        <v>5</v>
      </c>
      <c r="M94" s="491">
        <f t="shared" si="56"/>
        <v>6</v>
      </c>
      <c r="N94" s="491">
        <f t="shared" si="56"/>
        <v>7</v>
      </c>
      <c r="O94" s="491">
        <f t="shared" si="56"/>
        <v>8</v>
      </c>
      <c r="P94" s="491">
        <f t="shared" si="56"/>
        <v>9</v>
      </c>
      <c r="Q94" s="491">
        <f t="shared" si="56"/>
        <v>10</v>
      </c>
      <c r="R94" s="491">
        <f t="shared" si="56"/>
        <v>11</v>
      </c>
      <c r="S94" s="491">
        <f t="shared" si="56"/>
        <v>12</v>
      </c>
      <c r="T94" s="491">
        <f t="shared" si="56"/>
        <v>13</v>
      </c>
      <c r="U94" s="491">
        <f t="shared" si="56"/>
        <v>14</v>
      </c>
      <c r="V94" s="491">
        <f t="shared" si="56"/>
        <v>15</v>
      </c>
      <c r="W94" s="491">
        <f t="shared" si="56"/>
        <v>16</v>
      </c>
      <c r="X94" s="491">
        <f t="shared" si="56"/>
        <v>17</v>
      </c>
      <c r="Y94" s="491">
        <f t="shared" si="56"/>
        <v>18</v>
      </c>
      <c r="Z94" s="491">
        <f t="shared" si="56"/>
        <v>19</v>
      </c>
      <c r="AA94" s="491">
        <f t="shared" si="56"/>
        <v>20</v>
      </c>
      <c r="AB94" s="491">
        <f t="shared" si="56"/>
        <v>21</v>
      </c>
      <c r="AC94" s="491">
        <f t="shared" si="56"/>
        <v>22</v>
      </c>
      <c r="AD94" s="491">
        <f t="shared" si="56"/>
        <v>23</v>
      </c>
      <c r="AE94" s="491">
        <f t="shared" si="56"/>
        <v>24</v>
      </c>
      <c r="AF94" s="491">
        <f t="shared" si="56"/>
        <v>25</v>
      </c>
      <c r="AG94" s="491">
        <f t="shared" si="56"/>
        <v>26</v>
      </c>
      <c r="AH94" s="491">
        <f t="shared" si="56"/>
        <v>27</v>
      </c>
      <c r="AI94" s="491">
        <f t="shared" si="56"/>
        <v>28</v>
      </c>
      <c r="AJ94" s="491">
        <f t="shared" si="56"/>
        <v>29</v>
      </c>
      <c r="AK94" s="491">
        <f t="shared" si="56"/>
        <v>30</v>
      </c>
      <c r="AL94" s="491">
        <f t="shared" si="56"/>
        <v>31</v>
      </c>
      <c r="AM94" s="491">
        <f t="shared" si="56"/>
        <v>32</v>
      </c>
      <c r="AN94" s="491">
        <f t="shared" si="56"/>
        <v>33</v>
      </c>
      <c r="AO94" s="491">
        <f t="shared" si="56"/>
        <v>34</v>
      </c>
      <c r="AP94" s="491">
        <f t="shared" si="56"/>
        <v>35</v>
      </c>
      <c r="AQ94" s="491">
        <f t="shared" si="56"/>
        <v>36</v>
      </c>
      <c r="AR94" s="491">
        <f t="shared" si="56"/>
        <v>37</v>
      </c>
      <c r="AS94" s="491">
        <f t="shared" si="56"/>
        <v>38</v>
      </c>
      <c r="AT94" s="491">
        <f t="shared" si="56"/>
        <v>39</v>
      </c>
      <c r="AU94" s="491">
        <f t="shared" si="56"/>
        <v>40</v>
      </c>
      <c r="AV94" s="491">
        <f t="shared" si="56"/>
        <v>41</v>
      </c>
      <c r="AW94" s="491">
        <f t="shared" si="56"/>
        <v>42</v>
      </c>
      <c r="AX94" s="491">
        <f t="shared" si="56"/>
        <v>43</v>
      </c>
      <c r="AY94" s="491">
        <f t="shared" si="56"/>
        <v>44</v>
      </c>
      <c r="AZ94" s="491">
        <f t="shared" si="56"/>
        <v>45</v>
      </c>
      <c r="BA94" s="491" t="str">
        <f t="shared" si="56"/>
        <v/>
      </c>
      <c r="BB94" s="491" t="str">
        <f t="shared" si="56"/>
        <v/>
      </c>
      <c r="BC94" s="491" t="str">
        <f t="shared" si="56"/>
        <v/>
      </c>
      <c r="BD94" s="491" t="str">
        <f t="shared" si="56"/>
        <v/>
      </c>
      <c r="BE94" s="491" t="str">
        <f t="shared" si="56"/>
        <v/>
      </c>
      <c r="BF94" s="491" t="str">
        <f t="shared" si="56"/>
        <v/>
      </c>
      <c r="BG94" s="491" t="str">
        <f t="shared" si="56"/>
        <v/>
      </c>
      <c r="BH94" s="491" t="str">
        <f t="shared" si="56"/>
        <v/>
      </c>
      <c r="BI94" s="491" t="str">
        <f t="shared" si="56"/>
        <v/>
      </c>
      <c r="BJ94" s="491" t="str">
        <f t="shared" si="56"/>
        <v/>
      </c>
      <c r="BK94" s="491" t="str">
        <f t="shared" si="56"/>
        <v/>
      </c>
      <c r="BL94" s="491" t="str">
        <f t="shared" si="56"/>
        <v/>
      </c>
      <c r="BM94" s="491" t="str">
        <f t="shared" si="56"/>
        <v/>
      </c>
      <c r="BN94" s="491" t="str">
        <f t="shared" si="56"/>
        <v/>
      </c>
      <c r="BO94" s="491" t="str">
        <f t="shared" si="56"/>
        <v/>
      </c>
      <c r="BP94" s="491" t="str">
        <f t="shared" si="56"/>
        <v/>
      </c>
      <c r="BQ94" s="491" t="str">
        <f t="shared" si="56"/>
        <v/>
      </c>
      <c r="BR94" s="491" t="str">
        <f t="shared" si="56"/>
        <v/>
      </c>
      <c r="BS94" s="491" t="str">
        <f t="shared" si="56"/>
        <v/>
      </c>
      <c r="BT94" s="491" t="str">
        <f t="shared" ref="BT94:EE94" si="57">+BT67</f>
        <v/>
      </c>
      <c r="BU94" s="491" t="str">
        <f t="shared" si="57"/>
        <v/>
      </c>
      <c r="BV94" s="491" t="str">
        <f t="shared" si="57"/>
        <v/>
      </c>
      <c r="BW94" s="491" t="str">
        <f t="shared" si="57"/>
        <v/>
      </c>
      <c r="BX94" s="491" t="str">
        <f t="shared" si="57"/>
        <v/>
      </c>
      <c r="BY94" s="491" t="str">
        <f t="shared" si="57"/>
        <v/>
      </c>
      <c r="BZ94" s="491" t="str">
        <f t="shared" si="57"/>
        <v/>
      </c>
      <c r="CA94" s="491" t="str">
        <f t="shared" si="57"/>
        <v/>
      </c>
      <c r="CB94" s="491" t="str">
        <f t="shared" si="57"/>
        <v/>
      </c>
      <c r="CC94" s="491" t="str">
        <f t="shared" si="57"/>
        <v/>
      </c>
      <c r="CD94" s="491" t="str">
        <f t="shared" si="57"/>
        <v/>
      </c>
      <c r="CE94" s="491" t="str">
        <f t="shared" si="57"/>
        <v/>
      </c>
      <c r="CF94" s="491" t="str">
        <f t="shared" si="57"/>
        <v/>
      </c>
      <c r="CG94" s="491" t="str">
        <f t="shared" si="57"/>
        <v/>
      </c>
      <c r="CH94" s="491" t="str">
        <f t="shared" si="57"/>
        <v/>
      </c>
      <c r="CI94" s="491" t="str">
        <f t="shared" si="57"/>
        <v/>
      </c>
      <c r="CJ94" s="491" t="str">
        <f t="shared" si="57"/>
        <v/>
      </c>
      <c r="CK94" s="491" t="str">
        <f t="shared" si="57"/>
        <v/>
      </c>
      <c r="CL94" s="491" t="str">
        <f t="shared" si="57"/>
        <v/>
      </c>
      <c r="CM94" s="491" t="str">
        <f t="shared" si="57"/>
        <v/>
      </c>
      <c r="CN94" s="491" t="str">
        <f t="shared" si="57"/>
        <v/>
      </c>
      <c r="CO94" s="491" t="str">
        <f t="shared" si="57"/>
        <v/>
      </c>
      <c r="CP94" s="491" t="str">
        <f t="shared" si="57"/>
        <v/>
      </c>
      <c r="CQ94" s="491" t="str">
        <f t="shared" si="57"/>
        <v/>
      </c>
      <c r="CR94" s="491" t="str">
        <f t="shared" si="57"/>
        <v/>
      </c>
      <c r="CS94" s="491" t="str">
        <f t="shared" si="57"/>
        <v/>
      </c>
      <c r="CT94" s="491" t="str">
        <f t="shared" si="57"/>
        <v/>
      </c>
      <c r="CU94" s="491" t="str">
        <f t="shared" si="57"/>
        <v/>
      </c>
      <c r="CV94" s="491" t="str">
        <f t="shared" si="57"/>
        <v/>
      </c>
      <c r="CW94" s="491" t="str">
        <f t="shared" si="57"/>
        <v/>
      </c>
      <c r="CX94" s="491" t="str">
        <f t="shared" si="57"/>
        <v/>
      </c>
      <c r="CY94" s="491" t="str">
        <f t="shared" si="57"/>
        <v/>
      </c>
      <c r="CZ94" s="491" t="str">
        <f t="shared" si="57"/>
        <v/>
      </c>
      <c r="DA94" s="491" t="str">
        <f t="shared" si="57"/>
        <v/>
      </c>
      <c r="DB94" s="491" t="str">
        <f t="shared" si="57"/>
        <v/>
      </c>
      <c r="DC94" s="491" t="str">
        <f t="shared" si="57"/>
        <v/>
      </c>
      <c r="DD94" s="491" t="str">
        <f t="shared" si="57"/>
        <v/>
      </c>
      <c r="DE94" s="491" t="str">
        <f t="shared" si="57"/>
        <v/>
      </c>
      <c r="DF94" s="491" t="str">
        <f t="shared" si="57"/>
        <v/>
      </c>
      <c r="DG94" s="491" t="str">
        <f t="shared" si="57"/>
        <v/>
      </c>
      <c r="DH94" s="491" t="str">
        <f t="shared" si="57"/>
        <v/>
      </c>
      <c r="DI94" s="491" t="str">
        <f t="shared" si="57"/>
        <v/>
      </c>
      <c r="DJ94" s="491" t="str">
        <f t="shared" si="57"/>
        <v/>
      </c>
      <c r="DK94" s="491" t="str">
        <f t="shared" si="57"/>
        <v/>
      </c>
      <c r="DL94" s="491" t="str">
        <f t="shared" si="57"/>
        <v/>
      </c>
      <c r="DM94" s="491" t="str">
        <f t="shared" si="57"/>
        <v/>
      </c>
      <c r="DN94" s="491" t="str">
        <f t="shared" si="57"/>
        <v/>
      </c>
      <c r="DO94" s="491" t="str">
        <f t="shared" si="57"/>
        <v/>
      </c>
      <c r="DP94" s="491" t="str">
        <f t="shared" si="57"/>
        <v/>
      </c>
      <c r="DQ94" s="491" t="str">
        <f t="shared" si="57"/>
        <v/>
      </c>
      <c r="DR94" s="491" t="str">
        <f t="shared" si="57"/>
        <v/>
      </c>
      <c r="DS94" s="491" t="str">
        <f t="shared" si="57"/>
        <v/>
      </c>
      <c r="DT94" s="491" t="str">
        <f t="shared" si="57"/>
        <v/>
      </c>
      <c r="DU94" s="491" t="str">
        <f t="shared" si="57"/>
        <v/>
      </c>
      <c r="DV94" s="491" t="str">
        <f t="shared" si="57"/>
        <v/>
      </c>
      <c r="DW94" s="491" t="str">
        <f t="shared" si="57"/>
        <v/>
      </c>
      <c r="DX94" s="491" t="str">
        <f t="shared" si="57"/>
        <v/>
      </c>
      <c r="DY94" s="491" t="str">
        <f t="shared" si="57"/>
        <v/>
      </c>
      <c r="DZ94" s="491" t="str">
        <f t="shared" si="57"/>
        <v/>
      </c>
      <c r="EA94" s="491" t="str">
        <f t="shared" si="57"/>
        <v/>
      </c>
      <c r="EB94" s="491" t="str">
        <f t="shared" si="57"/>
        <v/>
      </c>
      <c r="EC94" s="491" t="str">
        <f t="shared" si="57"/>
        <v/>
      </c>
      <c r="ED94" s="491" t="str">
        <f t="shared" si="57"/>
        <v/>
      </c>
      <c r="EE94" s="491" t="str">
        <f t="shared" si="57"/>
        <v/>
      </c>
      <c r="EF94" s="491" t="str">
        <f t="shared" ref="EF94:EI94" si="58">+EF67</f>
        <v/>
      </c>
      <c r="EG94" s="491" t="str">
        <f t="shared" si="58"/>
        <v/>
      </c>
      <c r="EH94" s="491" t="str">
        <f t="shared" si="58"/>
        <v/>
      </c>
      <c r="EI94" s="491" t="str">
        <f t="shared" si="58"/>
        <v/>
      </c>
    </row>
    <row r="95" spans="2:139" hidden="1" outlineLevel="1" x14ac:dyDescent="0.2">
      <c r="B95" s="92" t="s">
        <v>189</v>
      </c>
      <c r="C95" s="4"/>
      <c r="D95" s="4"/>
      <c r="E95" s="4"/>
      <c r="F95" s="4"/>
      <c r="G95" s="487">
        <f>IF(G$94="","",Underwriting!L197)</f>
        <v>3028509</v>
      </c>
      <c r="H95" s="487">
        <f>IF(H$94="","",Underwriting!M197)</f>
        <v>434615.43632992054</v>
      </c>
      <c r="I95" s="487">
        <f>IF(I$94="","",Underwriting!N197)</f>
        <v>595115.21586161223</v>
      </c>
      <c r="J95" s="487">
        <f>IF(J$94="","",Underwriting!O197)</f>
        <v>913409.18359364895</v>
      </c>
      <c r="K95" s="487">
        <f>IF(K$94="","",Underwriting!P197)</f>
        <v>1467820.9038815256</v>
      </c>
      <c r="L95" s="487">
        <f>IF(L$94="","",Underwriting!Q197)</f>
        <v>2309629.6734741665</v>
      </c>
      <c r="M95" s="487">
        <f>IF(M$94="","",Underwriting!R197)</f>
        <v>3409858.2075612606</v>
      </c>
      <c r="N95" s="487">
        <f>IF(N$94="","",Underwriting!S197)</f>
        <v>4618633.3206490651</v>
      </c>
      <c r="O95" s="487">
        <f>IF(O$94="","",Underwriting!T197)</f>
        <v>5677109.6220104769</v>
      </c>
      <c r="P95" s="487">
        <f>IF(P$94="","",Underwriting!U197)</f>
        <v>6300422.6669670288</v>
      </c>
      <c r="Q95" s="487">
        <f>IF(Q$94="","",Underwriting!V197)</f>
        <v>6300422.6669670306</v>
      </c>
      <c r="R95" s="487">
        <f>IF(R$94="","",Underwriting!W197)</f>
        <v>5677109.622010475</v>
      </c>
      <c r="S95" s="487">
        <f>IF(S$94="","",Underwriting!X197)</f>
        <v>4618633.3206490669</v>
      </c>
      <c r="T95" s="487">
        <f>IF(T$94="","",Underwriting!Y197)</f>
        <v>3409858.2075612592</v>
      </c>
      <c r="U95" s="487">
        <f>IF(U$94="","",Underwriting!Z197)</f>
        <v>2309629.6734741665</v>
      </c>
      <c r="V95" s="487">
        <f>IF(V$94="","",Underwriting!AA197)</f>
        <v>1467820.9038815245</v>
      </c>
      <c r="W95" s="487">
        <f>IF(W$94="","",Underwriting!AB197)</f>
        <v>913409.1835936507</v>
      </c>
      <c r="X95" s="487">
        <f>IF(X$94="","",Underwriting!AC197)</f>
        <v>595115.21586160944</v>
      </c>
      <c r="Y95" s="487">
        <f>IF(Y$94="","",Underwriting!AD197)</f>
        <v>434615.43632992188</v>
      </c>
      <c r="Z95" s="487">
        <f>IF(Z$94="","",Underwriting!AE197)</f>
        <v>0</v>
      </c>
      <c r="AA95" s="487">
        <f>IF(AA$94="","",Underwriting!AF197)</f>
        <v>0</v>
      </c>
      <c r="AB95" s="487">
        <f>IF(AB$94="","",Underwriting!AG197)</f>
        <v>0</v>
      </c>
      <c r="AC95" s="487">
        <f>IF(AC$94="","",Underwriting!AH197)</f>
        <v>0</v>
      </c>
      <c r="AD95" s="487">
        <f>IF(AD$94="","",Underwriting!AI197)</f>
        <v>0</v>
      </c>
      <c r="AE95" s="487">
        <f>IF(AE$94="","",Underwriting!AJ197)</f>
        <v>0</v>
      </c>
      <c r="AF95" s="487">
        <f>IF(AF$94="","",Underwriting!AK197)</f>
        <v>0</v>
      </c>
      <c r="AG95" s="487">
        <f>IF(AG$94="","",Underwriting!AL197)</f>
        <v>0</v>
      </c>
      <c r="AH95" s="487">
        <f>IF(AH$94="","",Underwriting!AM197)</f>
        <v>0</v>
      </c>
      <c r="AI95" s="487">
        <f>IF(AI$94="","",Underwriting!AN197)</f>
        <v>0</v>
      </c>
      <c r="AJ95" s="487">
        <f>IF(AJ$94="","",Underwriting!AO197)</f>
        <v>0</v>
      </c>
      <c r="AK95" s="487">
        <f>IF(AK$94="","",Underwriting!AP197)</f>
        <v>0</v>
      </c>
      <c r="AL95" s="487">
        <f>IF(AL$94="","",Underwriting!AQ197)</f>
        <v>0</v>
      </c>
      <c r="AM95" s="487">
        <f>IF(AM$94="","",Underwriting!AR197)</f>
        <v>0</v>
      </c>
      <c r="AN95" s="487">
        <f>IF(AN$94="","",Underwriting!AS197)</f>
        <v>0</v>
      </c>
      <c r="AO95" s="487">
        <f>IF(AO$94="","",Underwriting!AT197)</f>
        <v>0</v>
      </c>
      <c r="AP95" s="487">
        <f>IF(AP$94="","",Underwriting!AU197)</f>
        <v>0</v>
      </c>
      <c r="AQ95" s="487">
        <f>IF(AQ$94="","",Underwriting!AV197)</f>
        <v>0</v>
      </c>
      <c r="AR95" s="487">
        <f>IF(AR$94="","",Underwriting!AW197)</f>
        <v>0</v>
      </c>
      <c r="AS95" s="487">
        <f>IF(AS$94="","",Underwriting!AX197)</f>
        <v>0</v>
      </c>
      <c r="AT95" s="487">
        <f>IF(AT$94="","",Underwriting!AY197)</f>
        <v>0</v>
      </c>
      <c r="AU95" s="487">
        <f>IF(AU$94="","",Underwriting!AZ197)</f>
        <v>0</v>
      </c>
      <c r="AV95" s="487">
        <f>IF(AV$94="","",Underwriting!BA197)</f>
        <v>0</v>
      </c>
      <c r="AW95" s="487">
        <f>IF(AW$94="","",Underwriting!BB197)</f>
        <v>0</v>
      </c>
      <c r="AX95" s="487">
        <f>IF(AX$94="","",Underwriting!BC197)</f>
        <v>0</v>
      </c>
      <c r="AY95" s="487">
        <f>IF(AY$94="","",Underwriting!BD197)</f>
        <v>0</v>
      </c>
      <c r="AZ95" s="487">
        <f>IF(AZ$94="","",Underwriting!BE197)</f>
        <v>0</v>
      </c>
      <c r="BA95" s="487" t="str">
        <f>IF(BA$94="","",Underwriting!BF197)</f>
        <v/>
      </c>
      <c r="BB95" s="487" t="str">
        <f>IF(BB$94="","",Underwriting!BG197)</f>
        <v/>
      </c>
      <c r="BC95" s="487" t="str">
        <f>IF(BC$94="","",Underwriting!BH197)</f>
        <v/>
      </c>
      <c r="BD95" s="487" t="str">
        <f>IF(BD$94="","",Underwriting!BI197)</f>
        <v/>
      </c>
      <c r="BE95" s="487" t="str">
        <f>IF(BE$94="","",Underwriting!BJ197)</f>
        <v/>
      </c>
      <c r="BF95" s="487" t="str">
        <f>IF(BF$94="","",Underwriting!BK197)</f>
        <v/>
      </c>
      <c r="BG95" s="487" t="str">
        <f>IF(BG$94="","",Underwriting!BL197)</f>
        <v/>
      </c>
      <c r="BH95" s="487" t="str">
        <f>IF(BH$94="","",Underwriting!BM197)</f>
        <v/>
      </c>
      <c r="BI95" s="487" t="str">
        <f>IF(BI$94="","",Underwriting!BN197)</f>
        <v/>
      </c>
      <c r="BJ95" s="487" t="str">
        <f>IF(BJ$94="","",Underwriting!BO197)</f>
        <v/>
      </c>
      <c r="BK95" s="487" t="str">
        <f>IF(BK$94="","",Underwriting!BP197)</f>
        <v/>
      </c>
      <c r="BL95" s="487" t="str">
        <f>IF(BL$94="","",Underwriting!BQ197)</f>
        <v/>
      </c>
      <c r="BM95" s="487" t="str">
        <f>IF(BM$94="","",Underwriting!BR197)</f>
        <v/>
      </c>
      <c r="BN95" s="487" t="str">
        <f>IF(BN$94="","",Underwriting!BS197)</f>
        <v/>
      </c>
      <c r="BO95" s="487" t="str">
        <f>IF(BO$94="","",Underwriting!BT197)</f>
        <v/>
      </c>
      <c r="BP95" s="487" t="str">
        <f>IF(BP$94="","",Underwriting!BU197)</f>
        <v/>
      </c>
      <c r="BQ95" s="487" t="str">
        <f>IF(BQ$94="","",Underwriting!BV197)</f>
        <v/>
      </c>
      <c r="BR95" s="487" t="str">
        <f>IF(BR$94="","",Underwriting!BW197)</f>
        <v/>
      </c>
      <c r="BS95" s="487" t="str">
        <f>IF(BS$94="","",Underwriting!BX197)</f>
        <v/>
      </c>
      <c r="BT95" s="487" t="str">
        <f>IF(BT$94="","",Underwriting!BY197)</f>
        <v/>
      </c>
      <c r="BU95" s="487" t="str">
        <f>IF(BU$94="","",Underwriting!BZ197)</f>
        <v/>
      </c>
      <c r="BV95" s="487" t="str">
        <f>IF(BV$94="","",Underwriting!CA197)</f>
        <v/>
      </c>
      <c r="BW95" s="487" t="str">
        <f>IF(BW$94="","",Underwriting!CB197)</f>
        <v/>
      </c>
      <c r="BX95" s="487" t="str">
        <f>IF(BX$94="","",Underwriting!CC197)</f>
        <v/>
      </c>
      <c r="BY95" s="487" t="str">
        <f>IF(BY$94="","",Underwriting!CD197)</f>
        <v/>
      </c>
      <c r="BZ95" s="487" t="str">
        <f>IF(BZ$94="","",Underwriting!CE197)</f>
        <v/>
      </c>
      <c r="CA95" s="487" t="str">
        <f>IF(CA$94="","",Underwriting!CF197)</f>
        <v/>
      </c>
      <c r="CB95" s="487" t="str">
        <f>IF(CB$94="","",Underwriting!CG197)</f>
        <v/>
      </c>
      <c r="CC95" s="487" t="str">
        <f>IF(CC$94="","",Underwriting!CH197)</f>
        <v/>
      </c>
      <c r="CD95" s="487" t="str">
        <f>IF(CD$94="","",Underwriting!CI197)</f>
        <v/>
      </c>
      <c r="CE95" s="487" t="str">
        <f>IF(CE$94="","",Underwriting!CJ197)</f>
        <v/>
      </c>
      <c r="CF95" s="487" t="str">
        <f>IF(CF$94="","",Underwriting!CK197)</f>
        <v/>
      </c>
      <c r="CG95" s="487" t="str">
        <f>IF(CG$94="","",Underwriting!CL197)</f>
        <v/>
      </c>
      <c r="CH95" s="487" t="str">
        <f>IF(CH$94="","",Underwriting!CM197)</f>
        <v/>
      </c>
      <c r="CI95" s="487" t="str">
        <f>IF(CI$94="","",Underwriting!CN197)</f>
        <v/>
      </c>
      <c r="CJ95" s="487" t="str">
        <f>IF(CJ$94="","",Underwriting!CO197)</f>
        <v/>
      </c>
      <c r="CK95" s="487" t="str">
        <f>IF(CK$94="","",Underwriting!CP197)</f>
        <v/>
      </c>
      <c r="CL95" s="487" t="str">
        <f>IF(CL$94="","",Underwriting!CQ197)</f>
        <v/>
      </c>
      <c r="CM95" s="487" t="str">
        <f>IF(CM$94="","",Underwriting!CR197)</f>
        <v/>
      </c>
      <c r="CN95" s="487" t="str">
        <f>IF(CN$94="","",Underwriting!CS197)</f>
        <v/>
      </c>
      <c r="CO95" s="487" t="str">
        <f>IF(CO$94="","",Underwriting!CT197)</f>
        <v/>
      </c>
      <c r="CP95" s="487" t="str">
        <f>IF(CP$94="","",Underwriting!CU197)</f>
        <v/>
      </c>
      <c r="CQ95" s="487" t="str">
        <f>IF(CQ$94="","",Underwriting!CV197)</f>
        <v/>
      </c>
      <c r="CR95" s="487" t="str">
        <f>IF(CR$94="","",Underwriting!CW197)</f>
        <v/>
      </c>
      <c r="CS95" s="487" t="str">
        <f>IF(CS$94="","",Underwriting!CX197)</f>
        <v/>
      </c>
      <c r="CT95" s="487" t="str">
        <f>IF(CT$94="","",Underwriting!CY197)</f>
        <v/>
      </c>
      <c r="CU95" s="487" t="str">
        <f>IF(CU$94="","",Underwriting!CZ197)</f>
        <v/>
      </c>
      <c r="CV95" s="487" t="str">
        <f>IF(CV$94="","",Underwriting!DA197)</f>
        <v/>
      </c>
      <c r="CW95" s="487" t="str">
        <f>IF(CW$94="","",Underwriting!DB197)</f>
        <v/>
      </c>
      <c r="CX95" s="487" t="str">
        <f>IF(CX$94="","",Underwriting!DC197)</f>
        <v/>
      </c>
      <c r="CY95" s="487" t="str">
        <f>IF(CY$94="","",Underwriting!DD197)</f>
        <v/>
      </c>
      <c r="CZ95" s="487" t="str">
        <f>IF(CZ$94="","",Underwriting!DE197)</f>
        <v/>
      </c>
      <c r="DA95" s="487" t="str">
        <f>IF(DA$94="","",Underwriting!DF197)</f>
        <v/>
      </c>
      <c r="DB95" s="487" t="str">
        <f>IF(DB$94="","",Underwriting!DG197)</f>
        <v/>
      </c>
      <c r="DC95" s="487" t="str">
        <f>IF(DC$94="","",Underwriting!DH197)</f>
        <v/>
      </c>
      <c r="DD95" s="487" t="str">
        <f>IF(DD$94="","",Underwriting!DI197)</f>
        <v/>
      </c>
      <c r="DE95" s="487" t="str">
        <f>IF(DE$94="","",Underwriting!DJ197)</f>
        <v/>
      </c>
      <c r="DF95" s="487" t="str">
        <f>IF(DF$94="","",Underwriting!DK197)</f>
        <v/>
      </c>
      <c r="DG95" s="487" t="str">
        <f>IF(DG$94="","",Underwriting!DL197)</f>
        <v/>
      </c>
      <c r="DH95" s="487" t="str">
        <f>IF(DH$94="","",Underwriting!DM197)</f>
        <v/>
      </c>
      <c r="DI95" s="487" t="str">
        <f>IF(DI$94="","",Underwriting!DN197)</f>
        <v/>
      </c>
      <c r="DJ95" s="487" t="str">
        <f>IF(DJ$94="","",Underwriting!DO197)</f>
        <v/>
      </c>
      <c r="DK95" s="487" t="str">
        <f>IF(DK$94="","",Underwriting!DP197)</f>
        <v/>
      </c>
      <c r="DL95" s="487" t="str">
        <f>IF(DL$94="","",Underwriting!DQ197)</f>
        <v/>
      </c>
      <c r="DM95" s="487" t="str">
        <f>IF(DM$94="","",Underwriting!DR197)</f>
        <v/>
      </c>
      <c r="DN95" s="487" t="str">
        <f>IF(DN$94="","",Underwriting!DS197)</f>
        <v/>
      </c>
      <c r="DO95" s="487" t="str">
        <f>IF(DO$94="","",Underwriting!DT197)</f>
        <v/>
      </c>
      <c r="DP95" s="487" t="str">
        <f>IF(DP$94="","",Underwriting!DU197)</f>
        <v/>
      </c>
      <c r="DQ95" s="487" t="str">
        <f>IF(DQ$94="","",Underwriting!DV197)</f>
        <v/>
      </c>
      <c r="DR95" s="487" t="str">
        <f>IF(DR$94="","",Underwriting!DW197)</f>
        <v/>
      </c>
      <c r="DS95" s="487" t="str">
        <f>IF(DS$94="","",Underwriting!DX197)</f>
        <v/>
      </c>
      <c r="DT95" s="487" t="str">
        <f>IF(DT$94="","",Underwriting!DY197)</f>
        <v/>
      </c>
      <c r="DU95" s="487" t="str">
        <f>IF(DU$94="","",Underwriting!DZ197)</f>
        <v/>
      </c>
      <c r="DV95" s="487" t="str">
        <f>IF(DV$94="","",Underwriting!EA197)</f>
        <v/>
      </c>
      <c r="DW95" s="487" t="str">
        <f>IF(DW$94="","",Underwriting!EB197)</f>
        <v/>
      </c>
      <c r="DX95" s="487" t="str">
        <f>IF(DX$94="","",Underwriting!EC197)</f>
        <v/>
      </c>
      <c r="DY95" s="487" t="str">
        <f>IF(DY$94="","",Underwriting!ED197)</f>
        <v/>
      </c>
      <c r="DZ95" s="487" t="str">
        <f>IF(DZ$94="","",Underwriting!EE197)</f>
        <v/>
      </c>
      <c r="EA95" s="487" t="str">
        <f>IF(EA$94="","",Underwriting!EF197)</f>
        <v/>
      </c>
      <c r="EB95" s="487" t="str">
        <f>IF(EB$94="","",Underwriting!EG197)</f>
        <v/>
      </c>
      <c r="EC95" s="487" t="str">
        <f>IF(EC$94="","",Underwriting!EH197)</f>
        <v/>
      </c>
      <c r="ED95" s="487" t="str">
        <f>IF(ED$94="","",Underwriting!EI197)</f>
        <v/>
      </c>
      <c r="EE95" s="487" t="str">
        <f>IF(EE$94="","",Underwriting!EJ197)</f>
        <v/>
      </c>
      <c r="EF95" s="487" t="str">
        <f>IF(EF$94="","",Underwriting!EK197)</f>
        <v/>
      </c>
      <c r="EG95" s="487" t="str">
        <f>IF(EG$94="","",Underwriting!EL197)</f>
        <v/>
      </c>
      <c r="EH95" s="487" t="str">
        <f>IF(EH$94="","",Underwriting!EM197)</f>
        <v/>
      </c>
      <c r="EI95" s="487" t="str">
        <f>IF(EI$94="","",Underwriting!EN197)</f>
        <v/>
      </c>
    </row>
    <row r="96" spans="2:139" hidden="1" outlineLevel="1" x14ac:dyDescent="0.2">
      <c r="B96" s="92" t="s">
        <v>190</v>
      </c>
      <c r="C96" s="4"/>
      <c r="D96" s="4"/>
      <c r="E96" s="4"/>
      <c r="F96" s="4"/>
      <c r="G96" s="487">
        <f>IF(G$94="","",Underwriting!L198)</f>
        <v>0</v>
      </c>
      <c r="H96" s="487">
        <f>IF(H$94="","",Underwriting!M198)</f>
        <v>0</v>
      </c>
      <c r="I96" s="487">
        <f>IF(I$94="","",Underwriting!N198)</f>
        <v>0</v>
      </c>
      <c r="J96" s="487">
        <f>IF(J$94="","",Underwriting!O198)</f>
        <v>0</v>
      </c>
      <c r="K96" s="487">
        <f>IF(K$94="","",Underwriting!P198)</f>
        <v>0</v>
      </c>
      <c r="L96" s="487">
        <f>IF(L$94="","",Underwriting!Q198)</f>
        <v>0</v>
      </c>
      <c r="M96" s="487">
        <f>IF(M$94="","",Underwriting!R198)</f>
        <v>0</v>
      </c>
      <c r="N96" s="487">
        <f>IF(N$94="","",Underwriting!S198)</f>
        <v>0</v>
      </c>
      <c r="O96" s="487">
        <f>IF(O$94="","",Underwriting!T198)</f>
        <v>11937.613320370649</v>
      </c>
      <c r="P96" s="487">
        <f>IF(P$94="","",Underwriting!U198)</f>
        <v>35641.976800915851</v>
      </c>
      <c r="Q96" s="487">
        <f>IF(Q$94="","",Underwriting!V198)</f>
        <v>62042.246149948951</v>
      </c>
      <c r="R96" s="487">
        <f>IF(R$94="","",Underwriting!W198)</f>
        <v>88552.516621269693</v>
      </c>
      <c r="S96" s="487">
        <f>IF(S$94="","",Underwriting!X198)</f>
        <v>112576.10886556865</v>
      </c>
      <c r="T96" s="487">
        <f>IF(T$94="","",Underwriting!Y198)</f>
        <v>137740.51027931506</v>
      </c>
      <c r="U96" s="487">
        <f>IF(U$94="","",Underwriting!Z198)</f>
        <v>158239.44718716296</v>
      </c>
      <c r="V96" s="487">
        <f>IF(V$94="","",Underwriting!AA198)</f>
        <v>172436.75970598898</v>
      </c>
      <c r="W96" s="487">
        <f>IF(W$94="","",Underwriting!AB198)</f>
        <v>181838.46913511437</v>
      </c>
      <c r="X96" s="487">
        <f>IF(X$94="","",Underwriting!AC198)</f>
        <v>188124.93869292663</v>
      </c>
      <c r="Y96" s="487">
        <f>IF(Y$94="","",Underwriting!AD198)</f>
        <v>192657.21471091127</v>
      </c>
      <c r="Z96" s="487">
        <f>IF(Z$94="","",Underwriting!AE198)</f>
        <v>195584.4870824352</v>
      </c>
      <c r="AA96" s="487">
        <f>IF(AA$94="","",Underwriting!AF198)</f>
        <v>197136.61394693644</v>
      </c>
      <c r="AB96" s="487">
        <f>IF(AB$94="","",Underwriting!AG198)</f>
        <v>198550.03082795852</v>
      </c>
      <c r="AC96" s="487">
        <f>IF(AC$94="","",Underwriting!AH198)</f>
        <v>199824.09041224525</v>
      </c>
      <c r="AD96" s="487">
        <f>IF(AD$94="","",Underwriting!AI198)</f>
        <v>200958.14236574515</v>
      </c>
      <c r="AE96" s="487">
        <f>IF(AE$94="","",Underwriting!AJ198)</f>
        <v>201951.53331951456</v>
      </c>
      <c r="AF96" s="487">
        <f>IF(AF$94="","",Underwriting!AK198)</f>
        <v>202803.60685555474</v>
      </c>
      <c r="AG96" s="487">
        <f>IF(AG$94="","",Underwriting!AL198)</f>
        <v>203513.70349258298</v>
      </c>
      <c r="AH96" s="487">
        <f>IF(AH$94="","",Underwriting!AM198)</f>
        <v>204081.16067173716</v>
      </c>
      <c r="AI96" s="487">
        <f>IF(AI$94="","",Underwriting!AN198)</f>
        <v>204505.31274221395</v>
      </c>
      <c r="AJ96" s="487">
        <f>IF(AJ$94="","",Underwriting!AO198)</f>
        <v>204785.49094683948</v>
      </c>
      <c r="AK96" s="487">
        <f>IF(AK$94="","",Underwriting!AP198)</f>
        <v>204921.02340757311</v>
      </c>
      <c r="AL96" s="487">
        <f>IF(AL$94="","",Underwriting!AQ198)</f>
        <v>204921.02340757311</v>
      </c>
      <c r="AM96" s="487">
        <f>IF(AM$94="","",Underwriting!AR198)</f>
        <v>204921.02340757311</v>
      </c>
      <c r="AN96" s="487">
        <f>IF(AN$94="","",Underwriting!AS198)</f>
        <v>204921.02340757311</v>
      </c>
      <c r="AO96" s="487">
        <f>IF(AO$94="","",Underwriting!AT198)</f>
        <v>204921.02340757311</v>
      </c>
      <c r="AP96" s="487">
        <f>IF(AP$94="","",Underwriting!AU198)</f>
        <v>204921.02340757311</v>
      </c>
      <c r="AQ96" s="487">
        <f>IF(AQ$94="","",Underwriting!AV198)</f>
        <v>204921.02340757311</v>
      </c>
      <c r="AR96" s="487">
        <f>IF(AR$94="","",Underwriting!AW198)</f>
        <v>204921.02340757311</v>
      </c>
      <c r="AS96" s="487">
        <f>IF(AS$94="","",Underwriting!AX198)</f>
        <v>204921.02340757311</v>
      </c>
      <c r="AT96" s="487">
        <f>IF(AT$94="","",Underwriting!AY198)</f>
        <v>204921.02340757311</v>
      </c>
      <c r="AU96" s="487">
        <f>IF(AU$94="","",Underwriting!AZ198)</f>
        <v>204921.02340757311</v>
      </c>
      <c r="AV96" s="487">
        <f>IF(AV$94="","",Underwriting!BA198)</f>
        <v>204921.02340757311</v>
      </c>
      <c r="AW96" s="487">
        <f>IF(AW$94="","",Underwriting!BB198)</f>
        <v>204921.02340757311</v>
      </c>
      <c r="AX96" s="487">
        <f>IF(AX$94="","",Underwriting!BC198)</f>
        <v>204921.02340757311</v>
      </c>
      <c r="AY96" s="487">
        <f>IF(AY$94="","",Underwriting!BD198)</f>
        <v>204921.02340757311</v>
      </c>
      <c r="AZ96" s="487">
        <f>IF(AZ$94="","",Underwriting!BE198)</f>
        <v>204921.02340757311</v>
      </c>
      <c r="BA96" s="487" t="str">
        <f>IF(BA$94="","",Underwriting!BF198)</f>
        <v/>
      </c>
      <c r="BB96" s="487" t="str">
        <f>IF(BB$94="","",Underwriting!BG198)</f>
        <v/>
      </c>
      <c r="BC96" s="487" t="str">
        <f>IF(BC$94="","",Underwriting!BH198)</f>
        <v/>
      </c>
      <c r="BD96" s="487" t="str">
        <f>IF(BD$94="","",Underwriting!BI198)</f>
        <v/>
      </c>
      <c r="BE96" s="487" t="str">
        <f>IF(BE$94="","",Underwriting!BJ198)</f>
        <v/>
      </c>
      <c r="BF96" s="487" t="str">
        <f>IF(BF$94="","",Underwriting!BK198)</f>
        <v/>
      </c>
      <c r="BG96" s="487" t="str">
        <f>IF(BG$94="","",Underwriting!BL198)</f>
        <v/>
      </c>
      <c r="BH96" s="487" t="str">
        <f>IF(BH$94="","",Underwriting!BM198)</f>
        <v/>
      </c>
      <c r="BI96" s="487" t="str">
        <f>IF(BI$94="","",Underwriting!BN198)</f>
        <v/>
      </c>
      <c r="BJ96" s="487" t="str">
        <f>IF(BJ$94="","",Underwriting!BO198)</f>
        <v/>
      </c>
      <c r="BK96" s="487" t="str">
        <f>IF(BK$94="","",Underwriting!BP198)</f>
        <v/>
      </c>
      <c r="BL96" s="487" t="str">
        <f>IF(BL$94="","",Underwriting!BQ198)</f>
        <v/>
      </c>
      <c r="BM96" s="487" t="str">
        <f>IF(BM$94="","",Underwriting!BR198)</f>
        <v/>
      </c>
      <c r="BN96" s="487" t="str">
        <f>IF(BN$94="","",Underwriting!BS198)</f>
        <v/>
      </c>
      <c r="BO96" s="487" t="str">
        <f>IF(BO$94="","",Underwriting!BT198)</f>
        <v/>
      </c>
      <c r="BP96" s="487" t="str">
        <f>IF(BP$94="","",Underwriting!BU198)</f>
        <v/>
      </c>
      <c r="BQ96" s="487" t="str">
        <f>IF(BQ$94="","",Underwriting!BV198)</f>
        <v/>
      </c>
      <c r="BR96" s="487" t="str">
        <f>IF(BR$94="","",Underwriting!BW198)</f>
        <v/>
      </c>
      <c r="BS96" s="487" t="str">
        <f>IF(BS$94="","",Underwriting!BX198)</f>
        <v/>
      </c>
      <c r="BT96" s="487" t="str">
        <f>IF(BT$94="","",Underwriting!BY198)</f>
        <v/>
      </c>
      <c r="BU96" s="487" t="str">
        <f>IF(BU$94="","",Underwriting!BZ198)</f>
        <v/>
      </c>
      <c r="BV96" s="487" t="str">
        <f>IF(BV$94="","",Underwriting!CA198)</f>
        <v/>
      </c>
      <c r="BW96" s="487" t="str">
        <f>IF(BW$94="","",Underwriting!CB198)</f>
        <v/>
      </c>
      <c r="BX96" s="487" t="str">
        <f>IF(BX$94="","",Underwriting!CC198)</f>
        <v/>
      </c>
      <c r="BY96" s="487" t="str">
        <f>IF(BY$94="","",Underwriting!CD198)</f>
        <v/>
      </c>
      <c r="BZ96" s="487" t="str">
        <f>IF(BZ$94="","",Underwriting!CE198)</f>
        <v/>
      </c>
      <c r="CA96" s="487" t="str">
        <f>IF(CA$94="","",Underwriting!CF198)</f>
        <v/>
      </c>
      <c r="CB96" s="487" t="str">
        <f>IF(CB$94="","",Underwriting!CG198)</f>
        <v/>
      </c>
      <c r="CC96" s="487" t="str">
        <f>IF(CC$94="","",Underwriting!CH198)</f>
        <v/>
      </c>
      <c r="CD96" s="487" t="str">
        <f>IF(CD$94="","",Underwriting!CI198)</f>
        <v/>
      </c>
      <c r="CE96" s="487" t="str">
        <f>IF(CE$94="","",Underwriting!CJ198)</f>
        <v/>
      </c>
      <c r="CF96" s="487" t="str">
        <f>IF(CF$94="","",Underwriting!CK198)</f>
        <v/>
      </c>
      <c r="CG96" s="487" t="str">
        <f>IF(CG$94="","",Underwriting!CL198)</f>
        <v/>
      </c>
      <c r="CH96" s="487" t="str">
        <f>IF(CH$94="","",Underwriting!CM198)</f>
        <v/>
      </c>
      <c r="CI96" s="487" t="str">
        <f>IF(CI$94="","",Underwriting!CN198)</f>
        <v/>
      </c>
      <c r="CJ96" s="487" t="str">
        <f>IF(CJ$94="","",Underwriting!CO198)</f>
        <v/>
      </c>
      <c r="CK96" s="487" t="str">
        <f>IF(CK$94="","",Underwriting!CP198)</f>
        <v/>
      </c>
      <c r="CL96" s="487" t="str">
        <f>IF(CL$94="","",Underwriting!CQ198)</f>
        <v/>
      </c>
      <c r="CM96" s="487" t="str">
        <f>IF(CM$94="","",Underwriting!CR198)</f>
        <v/>
      </c>
      <c r="CN96" s="487" t="str">
        <f>IF(CN$94="","",Underwriting!CS198)</f>
        <v/>
      </c>
      <c r="CO96" s="487" t="str">
        <f>IF(CO$94="","",Underwriting!CT198)</f>
        <v/>
      </c>
      <c r="CP96" s="487" t="str">
        <f>IF(CP$94="","",Underwriting!CU198)</f>
        <v/>
      </c>
      <c r="CQ96" s="487" t="str">
        <f>IF(CQ$94="","",Underwriting!CV198)</f>
        <v/>
      </c>
      <c r="CR96" s="487" t="str">
        <f>IF(CR$94="","",Underwriting!CW198)</f>
        <v/>
      </c>
      <c r="CS96" s="487" t="str">
        <f>IF(CS$94="","",Underwriting!CX198)</f>
        <v/>
      </c>
      <c r="CT96" s="487" t="str">
        <f>IF(CT$94="","",Underwriting!CY198)</f>
        <v/>
      </c>
      <c r="CU96" s="487" t="str">
        <f>IF(CU$94="","",Underwriting!CZ198)</f>
        <v/>
      </c>
      <c r="CV96" s="487" t="str">
        <f>IF(CV$94="","",Underwriting!DA198)</f>
        <v/>
      </c>
      <c r="CW96" s="487" t="str">
        <f>IF(CW$94="","",Underwriting!DB198)</f>
        <v/>
      </c>
      <c r="CX96" s="487" t="str">
        <f>IF(CX$94="","",Underwriting!DC198)</f>
        <v/>
      </c>
      <c r="CY96" s="487" t="str">
        <f>IF(CY$94="","",Underwriting!DD198)</f>
        <v/>
      </c>
      <c r="CZ96" s="487" t="str">
        <f>IF(CZ$94="","",Underwriting!DE198)</f>
        <v/>
      </c>
      <c r="DA96" s="487" t="str">
        <f>IF(DA$94="","",Underwriting!DF198)</f>
        <v/>
      </c>
      <c r="DB96" s="487" t="str">
        <f>IF(DB$94="","",Underwriting!DG198)</f>
        <v/>
      </c>
      <c r="DC96" s="487" t="str">
        <f>IF(DC$94="","",Underwriting!DH198)</f>
        <v/>
      </c>
      <c r="DD96" s="487" t="str">
        <f>IF(DD$94="","",Underwriting!DI198)</f>
        <v/>
      </c>
      <c r="DE96" s="487" t="str">
        <f>IF(DE$94="","",Underwriting!DJ198)</f>
        <v/>
      </c>
      <c r="DF96" s="487" t="str">
        <f>IF(DF$94="","",Underwriting!DK198)</f>
        <v/>
      </c>
      <c r="DG96" s="487" t="str">
        <f>IF(DG$94="","",Underwriting!DL198)</f>
        <v/>
      </c>
      <c r="DH96" s="487" t="str">
        <f>IF(DH$94="","",Underwriting!DM198)</f>
        <v/>
      </c>
      <c r="DI96" s="487" t="str">
        <f>IF(DI$94="","",Underwriting!DN198)</f>
        <v/>
      </c>
      <c r="DJ96" s="487" t="str">
        <f>IF(DJ$94="","",Underwriting!DO198)</f>
        <v/>
      </c>
      <c r="DK96" s="487" t="str">
        <f>IF(DK$94="","",Underwriting!DP198)</f>
        <v/>
      </c>
      <c r="DL96" s="487" t="str">
        <f>IF(DL$94="","",Underwriting!DQ198)</f>
        <v/>
      </c>
      <c r="DM96" s="487" t="str">
        <f>IF(DM$94="","",Underwriting!DR198)</f>
        <v/>
      </c>
      <c r="DN96" s="487" t="str">
        <f>IF(DN$94="","",Underwriting!DS198)</f>
        <v/>
      </c>
      <c r="DO96" s="487" t="str">
        <f>IF(DO$94="","",Underwriting!DT198)</f>
        <v/>
      </c>
      <c r="DP96" s="487" t="str">
        <f>IF(DP$94="","",Underwriting!DU198)</f>
        <v/>
      </c>
      <c r="DQ96" s="487" t="str">
        <f>IF(DQ$94="","",Underwriting!DV198)</f>
        <v/>
      </c>
      <c r="DR96" s="487" t="str">
        <f>IF(DR$94="","",Underwriting!DW198)</f>
        <v/>
      </c>
      <c r="DS96" s="487" t="str">
        <f>IF(DS$94="","",Underwriting!DX198)</f>
        <v/>
      </c>
      <c r="DT96" s="487" t="str">
        <f>IF(DT$94="","",Underwriting!DY198)</f>
        <v/>
      </c>
      <c r="DU96" s="487" t="str">
        <f>IF(DU$94="","",Underwriting!DZ198)</f>
        <v/>
      </c>
      <c r="DV96" s="487" t="str">
        <f>IF(DV$94="","",Underwriting!EA198)</f>
        <v/>
      </c>
      <c r="DW96" s="487" t="str">
        <f>IF(DW$94="","",Underwriting!EB198)</f>
        <v/>
      </c>
      <c r="DX96" s="487" t="str">
        <f>IF(DX$94="","",Underwriting!EC198)</f>
        <v/>
      </c>
      <c r="DY96" s="487" t="str">
        <f>IF(DY$94="","",Underwriting!ED198)</f>
        <v/>
      </c>
      <c r="DZ96" s="487" t="str">
        <f>IF(DZ$94="","",Underwriting!EE198)</f>
        <v/>
      </c>
      <c r="EA96" s="487" t="str">
        <f>IF(EA$94="","",Underwriting!EF198)</f>
        <v/>
      </c>
      <c r="EB96" s="487" t="str">
        <f>IF(EB$94="","",Underwriting!EG198)</f>
        <v/>
      </c>
      <c r="EC96" s="487" t="str">
        <f>IF(EC$94="","",Underwriting!EH198)</f>
        <v/>
      </c>
      <c r="ED96" s="487" t="str">
        <f>IF(ED$94="","",Underwriting!EI198)</f>
        <v/>
      </c>
      <c r="EE96" s="487" t="str">
        <f>IF(EE$94="","",Underwriting!EJ198)</f>
        <v/>
      </c>
      <c r="EF96" s="487" t="str">
        <f>IF(EF$94="","",Underwriting!EK198)</f>
        <v/>
      </c>
      <c r="EG96" s="487" t="str">
        <f>IF(EG$94="","",Underwriting!EL198)</f>
        <v/>
      </c>
      <c r="EH96" s="487" t="str">
        <f>IF(EH$94="","",Underwriting!EM198)</f>
        <v/>
      </c>
      <c r="EI96" s="487" t="str">
        <f>IF(EI$94="","",Underwriting!EN198)</f>
        <v/>
      </c>
    </row>
    <row r="97" spans="2:139" hidden="1" outlineLevel="1" x14ac:dyDescent="0.2">
      <c r="B97" s="92"/>
      <c r="C97" s="4"/>
      <c r="D97" s="4"/>
      <c r="E97" s="4"/>
      <c r="F97" s="4"/>
      <c r="G97" s="487"/>
      <c r="H97" s="487"/>
      <c r="I97" s="487"/>
      <c r="J97" s="487"/>
      <c r="K97" s="487"/>
      <c r="L97" s="487"/>
      <c r="M97" s="487"/>
      <c r="N97" s="487"/>
      <c r="O97" s="487"/>
      <c r="P97" s="487"/>
      <c r="Q97" s="487"/>
      <c r="R97" s="487"/>
      <c r="S97" s="487"/>
      <c r="T97" s="487"/>
      <c r="U97" s="487"/>
      <c r="V97" s="487"/>
      <c r="W97" s="487"/>
      <c r="X97" s="487"/>
      <c r="Y97" s="487"/>
      <c r="Z97" s="487"/>
      <c r="AA97" s="487"/>
      <c r="AB97" s="487"/>
      <c r="AC97" s="487"/>
      <c r="AD97" s="487"/>
      <c r="AE97" s="487"/>
      <c r="AF97" s="487"/>
      <c r="AG97" s="487"/>
      <c r="AH97" s="487"/>
      <c r="AI97" s="487"/>
      <c r="AJ97" s="487"/>
      <c r="AK97" s="487"/>
      <c r="AL97" s="487"/>
      <c r="AM97" s="487"/>
      <c r="AN97" s="487"/>
      <c r="AO97" s="487"/>
      <c r="AP97" s="487"/>
      <c r="AQ97" s="487"/>
      <c r="AR97" s="487"/>
      <c r="AS97" s="487"/>
      <c r="AT97" s="487"/>
      <c r="AU97" s="487"/>
      <c r="AV97" s="487"/>
      <c r="AW97" s="487"/>
      <c r="AX97" s="487"/>
      <c r="AY97" s="487"/>
      <c r="AZ97" s="487"/>
      <c r="BA97" s="487"/>
      <c r="BB97" s="487"/>
      <c r="BC97" s="487"/>
      <c r="BD97" s="487"/>
      <c r="BE97" s="487"/>
      <c r="BF97" s="487"/>
      <c r="BG97" s="487"/>
      <c r="BH97" s="487"/>
      <c r="BI97" s="487"/>
      <c r="BJ97" s="487"/>
      <c r="BK97" s="487"/>
      <c r="BL97" s="487"/>
      <c r="BM97" s="487"/>
      <c r="BN97" s="487"/>
      <c r="BO97" s="487"/>
      <c r="BP97" s="487"/>
      <c r="BQ97" s="487"/>
      <c r="BR97" s="487"/>
      <c r="BS97" s="487"/>
      <c r="BT97" s="487"/>
      <c r="BU97" s="487"/>
      <c r="BV97" s="487"/>
      <c r="BW97" s="487"/>
      <c r="BX97" s="487"/>
      <c r="BY97" s="487"/>
      <c r="BZ97" s="487"/>
      <c r="CA97" s="487"/>
      <c r="CB97" s="487"/>
      <c r="CC97" s="487"/>
      <c r="CD97" s="487"/>
      <c r="CE97" s="487"/>
      <c r="CF97" s="487"/>
      <c r="CG97" s="487"/>
      <c r="CH97" s="487"/>
      <c r="CI97" s="487"/>
      <c r="CJ97" s="487"/>
      <c r="CK97" s="487"/>
      <c r="CL97" s="487"/>
      <c r="CM97" s="487"/>
      <c r="CN97" s="487"/>
      <c r="CO97" s="487"/>
      <c r="CP97" s="487"/>
      <c r="CQ97" s="487"/>
      <c r="CR97" s="487"/>
      <c r="CS97" s="487"/>
      <c r="CT97" s="487"/>
      <c r="CU97" s="487"/>
      <c r="CV97" s="487"/>
      <c r="CW97" s="487"/>
      <c r="CX97" s="487"/>
      <c r="CY97" s="487"/>
      <c r="CZ97" s="487"/>
      <c r="DA97" s="487"/>
      <c r="DB97" s="487"/>
      <c r="DC97" s="487"/>
      <c r="DD97" s="487"/>
      <c r="DE97" s="487"/>
      <c r="DF97" s="487"/>
      <c r="DG97" s="487"/>
      <c r="DH97" s="487"/>
      <c r="DI97" s="487"/>
      <c r="DJ97" s="487"/>
      <c r="DK97" s="487"/>
      <c r="DL97" s="487"/>
      <c r="DM97" s="487"/>
      <c r="DN97" s="487"/>
      <c r="DO97" s="487"/>
      <c r="DP97" s="487"/>
      <c r="DQ97" s="487"/>
      <c r="DR97" s="487"/>
      <c r="DS97" s="487"/>
      <c r="DT97" s="487"/>
      <c r="DU97" s="487"/>
      <c r="DV97" s="487"/>
      <c r="DW97" s="487"/>
      <c r="DX97" s="487"/>
      <c r="DY97" s="487"/>
      <c r="DZ97" s="487"/>
      <c r="EA97" s="487"/>
      <c r="EB97" s="487"/>
      <c r="EC97" s="487"/>
      <c r="ED97" s="487"/>
      <c r="EE97" s="487"/>
      <c r="EF97" s="487"/>
      <c r="EG97" s="487"/>
      <c r="EH97" s="487"/>
      <c r="EI97" s="487"/>
    </row>
    <row r="98" spans="2:139" hidden="1" outlineLevel="1" x14ac:dyDescent="0.2">
      <c r="B98" s="92" t="s">
        <v>191</v>
      </c>
      <c r="C98" s="4"/>
      <c r="D98" s="4"/>
      <c r="E98" s="4"/>
      <c r="F98" s="4"/>
      <c r="G98" s="487">
        <f>IF(G$94="","",Underwriting!L200)</f>
        <v>0</v>
      </c>
      <c r="H98" s="487">
        <f>IF(H$94="","",Underwriting!M200)</f>
        <v>0</v>
      </c>
      <c r="I98" s="487">
        <f>IF(I$94="","",Underwriting!N200)</f>
        <v>0</v>
      </c>
      <c r="J98" s="487">
        <f>IF(J$94="","",Underwriting!O200)</f>
        <v>0</v>
      </c>
      <c r="K98" s="487">
        <f>IF(K$94="","",Underwriting!P200)</f>
        <v>0</v>
      </c>
      <c r="L98" s="487">
        <f>IF(L$94="","",Underwriting!Q200)</f>
        <v>0</v>
      </c>
      <c r="M98" s="487">
        <f>IF(M$94="","",Underwriting!R200)</f>
        <v>0</v>
      </c>
      <c r="N98" s="487">
        <f>IF(N$94="","",Underwriting!S200)</f>
        <v>2865027.1968889558</v>
      </c>
      <c r="O98" s="487">
        <f>IF(O$94="","",Underwriting!T200)</f>
        <v>5689047.2353308471</v>
      </c>
      <c r="P98" s="487">
        <f>IF(P$94="","",Underwriting!U200)</f>
        <v>6336064.6437679445</v>
      </c>
      <c r="Q98" s="487">
        <f>IF(Q$94="","",Underwriting!V200)</f>
        <v>6362464.9131169794</v>
      </c>
      <c r="R98" s="487">
        <f>IF(R$94="","",Underwriting!W200)</f>
        <v>5765662.1386317443</v>
      </c>
      <c r="S98" s="487">
        <f>IF(S$94="","",Underwriting!X200)</f>
        <v>4731209.4295146354</v>
      </c>
      <c r="T98" s="487">
        <f>IF(T$94="","",Underwriting!Y200)</f>
        <v>3547598.7178405742</v>
      </c>
      <c r="U98" s="487">
        <f>IF(U$94="","",Underwriting!Z200)</f>
        <v>2467869.1206613295</v>
      </c>
      <c r="V98" s="487">
        <f>IF(V$94="","",Underwriting!AA200)</f>
        <v>1640257.6635875134</v>
      </c>
      <c r="W98" s="487">
        <f>IF(W$94="","",Underwriting!AB200)</f>
        <v>1095247.652728765</v>
      </c>
      <c r="X98" s="487">
        <f>IF(X$94="","",Underwriting!AC200)</f>
        <v>783240.1545545361</v>
      </c>
      <c r="Y98" s="487">
        <f>IF(Y$94="","",Underwriting!AD200)</f>
        <v>627272.65104083321</v>
      </c>
      <c r="Z98" s="487">
        <f>IF(Z$94="","",Underwriting!AE200)</f>
        <v>332598.6138216916</v>
      </c>
      <c r="AA98" s="487">
        <f>IF(AA$94="","",Underwriting!AF200)</f>
        <v>302875.04593330395</v>
      </c>
      <c r="AB98" s="487">
        <f>IF(AB$94="","",Underwriting!AG200)</f>
        <v>273012.76806143718</v>
      </c>
      <c r="AC98" s="487">
        <f>IF(AC$94="","",Underwriting!AH200)</f>
        <v>243011.13289283498</v>
      </c>
      <c r="AD98" s="487">
        <f>IF(AD$94="","",Underwriting!AI200)</f>
        <v>212869.49009344599</v>
      </c>
      <c r="AE98" s="487">
        <f>IF(AE$94="","",Underwriting!AJ200)</f>
        <v>182587.1862943265</v>
      </c>
      <c r="AF98" s="487">
        <f>IF(AF$94="","",Underwriting!AK200)</f>
        <v>152163.5650774778</v>
      </c>
      <c r="AG98" s="487">
        <f>IF(AG$94="","",Underwriting!AL200)</f>
        <v>121597.96696161716</v>
      </c>
      <c r="AH98" s="487">
        <f>IF(AH$94="","",Underwriting!AM200)</f>
        <v>90889.7293878825</v>
      </c>
      <c r="AI98" s="487">
        <f>IF(AI$94="","",Underwriting!AN200)</f>
        <v>60038.186705470376</v>
      </c>
      <c r="AJ98" s="487">
        <f>IF(AJ$94="","",Underwriting!AO200)</f>
        <v>29042.670157206972</v>
      </c>
      <c r="AK98" s="487">
        <f>IF(AK$94="","",Underwriting!AP200)</f>
        <v>0</v>
      </c>
      <c r="AL98" s="487">
        <f>IF(AL$94="","",Underwriting!AQ200)</f>
        <v>0</v>
      </c>
      <c r="AM98" s="487">
        <f>IF(AM$94="","",Underwriting!AR200)</f>
        <v>0</v>
      </c>
      <c r="AN98" s="487">
        <f>IF(AN$94="","",Underwriting!AS200)</f>
        <v>0</v>
      </c>
      <c r="AO98" s="487">
        <f>IF(AO$94="","",Underwriting!AT200)</f>
        <v>0</v>
      </c>
      <c r="AP98" s="487">
        <f>IF(AP$94="","",Underwriting!AU200)</f>
        <v>0</v>
      </c>
      <c r="AQ98" s="487">
        <f>IF(AQ$94="","",Underwriting!AV200)</f>
        <v>0</v>
      </c>
      <c r="AR98" s="487">
        <f>IF(AR$94="","",Underwriting!AW200)</f>
        <v>0</v>
      </c>
      <c r="AS98" s="487">
        <f>IF(AS$94="","",Underwriting!AX200)</f>
        <v>0</v>
      </c>
      <c r="AT98" s="487">
        <f>IF(AT$94="","",Underwriting!AY200)</f>
        <v>0</v>
      </c>
      <c r="AU98" s="487">
        <f>IF(AU$94="","",Underwriting!AZ200)</f>
        <v>0</v>
      </c>
      <c r="AV98" s="487">
        <f>IF(AV$94="","",Underwriting!BA200)</f>
        <v>0</v>
      </c>
      <c r="AW98" s="487">
        <f>IF(AW$94="","",Underwriting!BB200)</f>
        <v>0</v>
      </c>
      <c r="AX98" s="487">
        <f>IF(AX$94="","",Underwriting!BC200)</f>
        <v>0</v>
      </c>
      <c r="AY98" s="487">
        <f>IF(AY$94="","",Underwriting!BD200)</f>
        <v>0</v>
      </c>
      <c r="AZ98" s="487">
        <f>IF(AZ$94="","",Underwriting!BE200)</f>
        <v>0</v>
      </c>
      <c r="BA98" s="487" t="str">
        <f>IF(BA$94="","",Underwriting!BF200)</f>
        <v/>
      </c>
      <c r="BB98" s="487" t="str">
        <f>IF(BB$94="","",Underwriting!BG200)</f>
        <v/>
      </c>
      <c r="BC98" s="487" t="str">
        <f>IF(BC$94="","",Underwriting!BH200)</f>
        <v/>
      </c>
      <c r="BD98" s="487" t="str">
        <f>IF(BD$94="","",Underwriting!BI200)</f>
        <v/>
      </c>
      <c r="BE98" s="487" t="str">
        <f>IF(BE$94="","",Underwriting!BJ200)</f>
        <v/>
      </c>
      <c r="BF98" s="487" t="str">
        <f>IF(BF$94="","",Underwriting!BK200)</f>
        <v/>
      </c>
      <c r="BG98" s="487" t="str">
        <f>IF(BG$94="","",Underwriting!BL200)</f>
        <v/>
      </c>
      <c r="BH98" s="487" t="str">
        <f>IF(BH$94="","",Underwriting!BM200)</f>
        <v/>
      </c>
      <c r="BI98" s="487" t="str">
        <f>IF(BI$94="","",Underwriting!BN200)</f>
        <v/>
      </c>
      <c r="BJ98" s="487" t="str">
        <f>IF(BJ$94="","",Underwriting!BO200)</f>
        <v/>
      </c>
      <c r="BK98" s="487" t="str">
        <f>IF(BK$94="","",Underwriting!BP200)</f>
        <v/>
      </c>
      <c r="BL98" s="487" t="str">
        <f>IF(BL$94="","",Underwriting!BQ200)</f>
        <v/>
      </c>
      <c r="BM98" s="487" t="str">
        <f>IF(BM$94="","",Underwriting!BR200)</f>
        <v/>
      </c>
      <c r="BN98" s="487" t="str">
        <f>IF(BN$94="","",Underwriting!BS200)</f>
        <v/>
      </c>
      <c r="BO98" s="487" t="str">
        <f>IF(BO$94="","",Underwriting!BT200)</f>
        <v/>
      </c>
      <c r="BP98" s="487" t="str">
        <f>IF(BP$94="","",Underwriting!BU200)</f>
        <v/>
      </c>
      <c r="BQ98" s="487" t="str">
        <f>IF(BQ$94="","",Underwriting!BV200)</f>
        <v/>
      </c>
      <c r="BR98" s="487" t="str">
        <f>IF(BR$94="","",Underwriting!BW200)</f>
        <v/>
      </c>
      <c r="BS98" s="487" t="str">
        <f>IF(BS$94="","",Underwriting!BX200)</f>
        <v/>
      </c>
      <c r="BT98" s="487" t="str">
        <f>IF(BT$94="","",Underwriting!BY200)</f>
        <v/>
      </c>
      <c r="BU98" s="487" t="str">
        <f>IF(BU$94="","",Underwriting!BZ200)</f>
        <v/>
      </c>
      <c r="BV98" s="487" t="str">
        <f>IF(BV$94="","",Underwriting!CA200)</f>
        <v/>
      </c>
      <c r="BW98" s="487" t="str">
        <f>IF(BW$94="","",Underwriting!CB200)</f>
        <v/>
      </c>
      <c r="BX98" s="487" t="str">
        <f>IF(BX$94="","",Underwriting!CC200)</f>
        <v/>
      </c>
      <c r="BY98" s="487" t="str">
        <f>IF(BY$94="","",Underwriting!CD200)</f>
        <v/>
      </c>
      <c r="BZ98" s="487" t="str">
        <f>IF(BZ$94="","",Underwriting!CE200)</f>
        <v/>
      </c>
      <c r="CA98" s="487" t="str">
        <f>IF(CA$94="","",Underwriting!CF200)</f>
        <v/>
      </c>
      <c r="CB98" s="487" t="str">
        <f>IF(CB$94="","",Underwriting!CG200)</f>
        <v/>
      </c>
      <c r="CC98" s="487" t="str">
        <f>IF(CC$94="","",Underwriting!CH200)</f>
        <v/>
      </c>
      <c r="CD98" s="487" t="str">
        <f>IF(CD$94="","",Underwriting!CI200)</f>
        <v/>
      </c>
      <c r="CE98" s="487" t="str">
        <f>IF(CE$94="","",Underwriting!CJ200)</f>
        <v/>
      </c>
      <c r="CF98" s="487" t="str">
        <f>IF(CF$94="","",Underwriting!CK200)</f>
        <v/>
      </c>
      <c r="CG98" s="487" t="str">
        <f>IF(CG$94="","",Underwriting!CL200)</f>
        <v/>
      </c>
      <c r="CH98" s="487" t="str">
        <f>IF(CH$94="","",Underwriting!CM200)</f>
        <v/>
      </c>
      <c r="CI98" s="487" t="str">
        <f>IF(CI$94="","",Underwriting!CN200)</f>
        <v/>
      </c>
      <c r="CJ98" s="487" t="str">
        <f>IF(CJ$94="","",Underwriting!CO200)</f>
        <v/>
      </c>
      <c r="CK98" s="487" t="str">
        <f>IF(CK$94="","",Underwriting!CP200)</f>
        <v/>
      </c>
      <c r="CL98" s="487" t="str">
        <f>IF(CL$94="","",Underwriting!CQ200)</f>
        <v/>
      </c>
      <c r="CM98" s="487" t="str">
        <f>IF(CM$94="","",Underwriting!CR200)</f>
        <v/>
      </c>
      <c r="CN98" s="487" t="str">
        <f>IF(CN$94="","",Underwriting!CS200)</f>
        <v/>
      </c>
      <c r="CO98" s="487" t="str">
        <f>IF(CO$94="","",Underwriting!CT200)</f>
        <v/>
      </c>
      <c r="CP98" s="487" t="str">
        <f>IF(CP$94="","",Underwriting!CU200)</f>
        <v/>
      </c>
      <c r="CQ98" s="487" t="str">
        <f>IF(CQ$94="","",Underwriting!CV200)</f>
        <v/>
      </c>
      <c r="CR98" s="487" t="str">
        <f>IF(CR$94="","",Underwriting!CW200)</f>
        <v/>
      </c>
      <c r="CS98" s="487" t="str">
        <f>IF(CS$94="","",Underwriting!CX200)</f>
        <v/>
      </c>
      <c r="CT98" s="487" t="str">
        <f>IF(CT$94="","",Underwriting!CY200)</f>
        <v/>
      </c>
      <c r="CU98" s="487" t="str">
        <f>IF(CU$94="","",Underwriting!CZ200)</f>
        <v/>
      </c>
      <c r="CV98" s="487" t="str">
        <f>IF(CV$94="","",Underwriting!DA200)</f>
        <v/>
      </c>
      <c r="CW98" s="487" t="str">
        <f>IF(CW$94="","",Underwriting!DB200)</f>
        <v/>
      </c>
      <c r="CX98" s="487" t="str">
        <f>IF(CX$94="","",Underwriting!DC200)</f>
        <v/>
      </c>
      <c r="CY98" s="487" t="str">
        <f>IF(CY$94="","",Underwriting!DD200)</f>
        <v/>
      </c>
      <c r="CZ98" s="487" t="str">
        <f>IF(CZ$94="","",Underwriting!DE200)</f>
        <v/>
      </c>
      <c r="DA98" s="487" t="str">
        <f>IF(DA$94="","",Underwriting!DF200)</f>
        <v/>
      </c>
      <c r="DB98" s="487" t="str">
        <f>IF(DB$94="","",Underwriting!DG200)</f>
        <v/>
      </c>
      <c r="DC98" s="487" t="str">
        <f>IF(DC$94="","",Underwriting!DH200)</f>
        <v/>
      </c>
      <c r="DD98" s="487" t="str">
        <f>IF(DD$94="","",Underwriting!DI200)</f>
        <v/>
      </c>
      <c r="DE98" s="487" t="str">
        <f>IF(DE$94="","",Underwriting!DJ200)</f>
        <v/>
      </c>
      <c r="DF98" s="487" t="str">
        <f>IF(DF$94="","",Underwriting!DK200)</f>
        <v/>
      </c>
      <c r="DG98" s="487" t="str">
        <f>IF(DG$94="","",Underwriting!DL200)</f>
        <v/>
      </c>
      <c r="DH98" s="487" t="str">
        <f>IF(DH$94="","",Underwriting!DM200)</f>
        <v/>
      </c>
      <c r="DI98" s="487" t="str">
        <f>IF(DI$94="","",Underwriting!DN200)</f>
        <v/>
      </c>
      <c r="DJ98" s="487" t="str">
        <f>IF(DJ$94="","",Underwriting!DO200)</f>
        <v/>
      </c>
      <c r="DK98" s="487" t="str">
        <f>IF(DK$94="","",Underwriting!DP200)</f>
        <v/>
      </c>
      <c r="DL98" s="487" t="str">
        <f>IF(DL$94="","",Underwriting!DQ200)</f>
        <v/>
      </c>
      <c r="DM98" s="487" t="str">
        <f>IF(DM$94="","",Underwriting!DR200)</f>
        <v/>
      </c>
      <c r="DN98" s="487" t="str">
        <f>IF(DN$94="","",Underwriting!DS200)</f>
        <v/>
      </c>
      <c r="DO98" s="487" t="str">
        <f>IF(DO$94="","",Underwriting!DT200)</f>
        <v/>
      </c>
      <c r="DP98" s="487" t="str">
        <f>IF(DP$94="","",Underwriting!DU200)</f>
        <v/>
      </c>
      <c r="DQ98" s="487" t="str">
        <f>IF(DQ$94="","",Underwriting!DV200)</f>
        <v/>
      </c>
      <c r="DR98" s="487" t="str">
        <f>IF(DR$94="","",Underwriting!DW200)</f>
        <v/>
      </c>
      <c r="DS98" s="487" t="str">
        <f>IF(DS$94="","",Underwriting!DX200)</f>
        <v/>
      </c>
      <c r="DT98" s="487" t="str">
        <f>IF(DT$94="","",Underwriting!DY200)</f>
        <v/>
      </c>
      <c r="DU98" s="487" t="str">
        <f>IF(DU$94="","",Underwriting!DZ200)</f>
        <v/>
      </c>
      <c r="DV98" s="487" t="str">
        <f>IF(DV$94="","",Underwriting!EA200)</f>
        <v/>
      </c>
      <c r="DW98" s="487" t="str">
        <f>IF(DW$94="","",Underwriting!EB200)</f>
        <v/>
      </c>
      <c r="DX98" s="487" t="str">
        <f>IF(DX$94="","",Underwriting!EC200)</f>
        <v/>
      </c>
      <c r="DY98" s="487" t="str">
        <f>IF(DY$94="","",Underwriting!ED200)</f>
        <v/>
      </c>
      <c r="DZ98" s="487" t="str">
        <f>IF(DZ$94="","",Underwriting!EE200)</f>
        <v/>
      </c>
      <c r="EA98" s="487" t="str">
        <f>IF(EA$94="","",Underwriting!EF200)</f>
        <v/>
      </c>
      <c r="EB98" s="487" t="str">
        <f>IF(EB$94="","",Underwriting!EG200)</f>
        <v/>
      </c>
      <c r="EC98" s="487" t="str">
        <f>IF(EC$94="","",Underwriting!EH200)</f>
        <v/>
      </c>
      <c r="ED98" s="487" t="str">
        <f>IF(ED$94="","",Underwriting!EI200)</f>
        <v/>
      </c>
      <c r="EE98" s="487" t="str">
        <f>IF(EE$94="","",Underwriting!EJ200)</f>
        <v/>
      </c>
      <c r="EF98" s="487" t="str">
        <f>IF(EF$94="","",Underwriting!EK200)</f>
        <v/>
      </c>
      <c r="EG98" s="487" t="str">
        <f>IF(EG$94="","",Underwriting!EL200)</f>
        <v/>
      </c>
      <c r="EH98" s="487" t="str">
        <f>IF(EH$94="","",Underwriting!EM200)</f>
        <v/>
      </c>
      <c r="EI98" s="487" t="str">
        <f>IF(EI$94="","",Underwriting!EN200)</f>
        <v/>
      </c>
    </row>
    <row r="99" spans="2:139" hidden="1" outlineLevel="1" x14ac:dyDescent="0.2">
      <c r="B99" s="92" t="s">
        <v>562</v>
      </c>
      <c r="C99" s="4"/>
      <c r="D99" s="4"/>
      <c r="E99" s="4"/>
      <c r="F99" s="4"/>
      <c r="G99" s="487">
        <f>IF(G$94="","",Underwriting!L49)</f>
        <v>724650.52766129305</v>
      </c>
      <c r="H99" s="487">
        <f>IF(H$94="","",Underwriting!M49)</f>
        <v>0</v>
      </c>
      <c r="I99" s="487">
        <f>IF(I$94="","",Underwriting!N49)</f>
        <v>0</v>
      </c>
      <c r="J99" s="487">
        <f>IF(J$94="","",Underwriting!O49)</f>
        <v>0</v>
      </c>
      <c r="K99" s="487">
        <f>IF(K$94="","",Underwriting!P49)</f>
        <v>0</v>
      </c>
      <c r="L99" s="487">
        <f>IF(L$94="","",Underwriting!Q49)</f>
        <v>0</v>
      </c>
      <c r="M99" s="487">
        <f>IF(M$94="","",Underwriting!R49)</f>
        <v>0</v>
      </c>
      <c r="N99" s="487">
        <f>IF(N$94="","",Underwriting!S49)</f>
        <v>0</v>
      </c>
      <c r="O99" s="487">
        <f>IF(O$94="","",Underwriting!T49)</f>
        <v>0</v>
      </c>
      <c r="P99" s="487">
        <f>IF(P$94="","",Underwriting!U49)</f>
        <v>0</v>
      </c>
      <c r="Q99" s="487">
        <f>IF(Q$94="","",Underwriting!V49)</f>
        <v>0</v>
      </c>
      <c r="R99" s="487">
        <f>IF(R$94="","",Underwriting!W49)</f>
        <v>0</v>
      </c>
      <c r="S99" s="487">
        <f>IF(S$94="","",Underwriting!X49)</f>
        <v>0</v>
      </c>
      <c r="T99" s="487">
        <f>IF(T$94="","",Underwriting!Y49)</f>
        <v>0</v>
      </c>
      <c r="U99" s="487">
        <f>IF(U$94="","",Underwriting!Z49)</f>
        <v>0</v>
      </c>
      <c r="V99" s="487">
        <f>IF(V$94="","",Underwriting!AA49)</f>
        <v>0</v>
      </c>
      <c r="W99" s="487">
        <f>IF(W$94="","",Underwriting!AB49)</f>
        <v>0</v>
      </c>
      <c r="X99" s="487">
        <f>IF(X$94="","",Underwriting!AC49)</f>
        <v>0</v>
      </c>
      <c r="Y99" s="487">
        <f>IF(Y$94="","",Underwriting!AD49)</f>
        <v>0</v>
      </c>
      <c r="Z99" s="487">
        <f>IF(Z$94="","",Underwriting!AE49)</f>
        <v>0</v>
      </c>
      <c r="AA99" s="487">
        <f>IF(AA$94="","",Underwriting!AF49)</f>
        <v>0</v>
      </c>
      <c r="AB99" s="487">
        <f>IF(AB$94="","",Underwriting!AG49)</f>
        <v>0</v>
      </c>
      <c r="AC99" s="487">
        <f>IF(AC$94="","",Underwriting!AH49)</f>
        <v>0</v>
      </c>
      <c r="AD99" s="487">
        <f>IF(AD$94="","",Underwriting!AI49)</f>
        <v>0</v>
      </c>
      <c r="AE99" s="487">
        <f>IF(AE$94="","",Underwriting!AJ49)</f>
        <v>0</v>
      </c>
      <c r="AF99" s="487">
        <f>IF(AF$94="","",Underwriting!AK49)</f>
        <v>0</v>
      </c>
      <c r="AG99" s="487">
        <f>IF(AG$94="","",Underwriting!AL49)</f>
        <v>0</v>
      </c>
      <c r="AH99" s="487">
        <f>IF(AH$94="","",Underwriting!AM49)</f>
        <v>0</v>
      </c>
      <c r="AI99" s="487">
        <f>IF(AI$94="","",Underwriting!AN49)</f>
        <v>0</v>
      </c>
      <c r="AJ99" s="487">
        <f>IF(AJ$94="","",Underwriting!AO49)</f>
        <v>0</v>
      </c>
      <c r="AK99" s="487">
        <f>IF(AK$94="","",Underwriting!AP49)</f>
        <v>0</v>
      </c>
      <c r="AL99" s="487">
        <f>IF(AL$94="","",Underwriting!AQ49)</f>
        <v>0</v>
      </c>
      <c r="AM99" s="487">
        <f>IF(AM$94="","",Underwriting!AR49)</f>
        <v>0</v>
      </c>
      <c r="AN99" s="487">
        <f>IF(AN$94="","",Underwriting!AS49)</f>
        <v>0</v>
      </c>
      <c r="AO99" s="487">
        <f>IF(AO$94="","",Underwriting!AT49)</f>
        <v>0</v>
      </c>
      <c r="AP99" s="487">
        <f>IF(AP$94="","",Underwriting!AU49)</f>
        <v>0</v>
      </c>
      <c r="AQ99" s="487">
        <f>IF(AQ$94="","",Underwriting!AV49)</f>
        <v>0</v>
      </c>
      <c r="AR99" s="487">
        <f>IF(AR$94="","",Underwriting!AW49)</f>
        <v>0</v>
      </c>
      <c r="AS99" s="487">
        <f>IF(AS$94="","",Underwriting!AX49)</f>
        <v>0</v>
      </c>
      <c r="AT99" s="487">
        <f>IF(AT$94="","",Underwriting!AY49)</f>
        <v>0</v>
      </c>
      <c r="AU99" s="487">
        <f>IF(AU$94="","",Underwriting!AZ49)</f>
        <v>0</v>
      </c>
      <c r="AV99" s="487">
        <f>IF(AV$94="","",Underwriting!BA49)</f>
        <v>0</v>
      </c>
      <c r="AW99" s="487">
        <f>IF(AW$94="","",Underwriting!BB49)</f>
        <v>0</v>
      </c>
      <c r="AX99" s="487">
        <f>IF(AX$94="","",Underwriting!BC49)</f>
        <v>0</v>
      </c>
      <c r="AY99" s="487">
        <f>IF(AY$94="","",Underwriting!BD49)</f>
        <v>0</v>
      </c>
      <c r="AZ99" s="487">
        <f>IF(AZ$94="","",Underwriting!BE49)</f>
        <v>0</v>
      </c>
      <c r="BA99" s="487" t="str">
        <f>IF(BA$94="","",Underwriting!BF49)</f>
        <v/>
      </c>
      <c r="BB99" s="487" t="str">
        <f>IF(BB$94="","",Underwriting!BG49)</f>
        <v/>
      </c>
      <c r="BC99" s="487" t="str">
        <f>IF(BC$94="","",Underwriting!BH49)</f>
        <v/>
      </c>
      <c r="BD99" s="487" t="str">
        <f>IF(BD$94="","",Underwriting!BI49)</f>
        <v/>
      </c>
      <c r="BE99" s="487" t="str">
        <f>IF(BE$94="","",Underwriting!BJ49)</f>
        <v/>
      </c>
      <c r="BF99" s="487" t="str">
        <f>IF(BF$94="","",Underwriting!BK49)</f>
        <v/>
      </c>
      <c r="BG99" s="487" t="str">
        <f>IF(BG$94="","",Underwriting!BL49)</f>
        <v/>
      </c>
      <c r="BH99" s="487" t="str">
        <f>IF(BH$94="","",Underwriting!BM49)</f>
        <v/>
      </c>
      <c r="BI99" s="487" t="str">
        <f>IF(BI$94="","",Underwriting!BN49)</f>
        <v/>
      </c>
      <c r="BJ99" s="487" t="str">
        <f>IF(BJ$94="","",Underwriting!BO49)</f>
        <v/>
      </c>
      <c r="BK99" s="487" t="str">
        <f>IF(BK$94="","",Underwriting!BP49)</f>
        <v/>
      </c>
      <c r="BL99" s="487" t="str">
        <f>IF(BL$94="","",Underwriting!BQ49)</f>
        <v/>
      </c>
      <c r="BM99" s="487" t="str">
        <f>IF(BM$94="","",Underwriting!BR49)</f>
        <v/>
      </c>
      <c r="BN99" s="487" t="str">
        <f>IF(BN$94="","",Underwriting!BS49)</f>
        <v/>
      </c>
      <c r="BO99" s="487" t="str">
        <f>IF(BO$94="","",Underwriting!BT49)</f>
        <v/>
      </c>
      <c r="BP99" s="487" t="str">
        <f>IF(BP$94="","",Underwriting!BU49)</f>
        <v/>
      </c>
      <c r="BQ99" s="487" t="str">
        <f>IF(BQ$94="","",Underwriting!BV49)</f>
        <v/>
      </c>
      <c r="BR99" s="487" t="str">
        <f>IF(BR$94="","",Underwriting!BW49)</f>
        <v/>
      </c>
      <c r="BS99" s="487" t="str">
        <f>IF(BS$94="","",Underwriting!BX49)</f>
        <v/>
      </c>
      <c r="BT99" s="487" t="str">
        <f>IF(BT$94="","",Underwriting!BY49)</f>
        <v/>
      </c>
      <c r="BU99" s="487" t="str">
        <f>IF(BU$94="","",Underwriting!BZ49)</f>
        <v/>
      </c>
      <c r="BV99" s="487" t="str">
        <f>IF(BV$94="","",Underwriting!CA49)</f>
        <v/>
      </c>
      <c r="BW99" s="487" t="str">
        <f>IF(BW$94="","",Underwriting!CB49)</f>
        <v/>
      </c>
      <c r="BX99" s="487" t="str">
        <f>IF(BX$94="","",Underwriting!CC49)</f>
        <v/>
      </c>
      <c r="BY99" s="487" t="str">
        <f>IF(BY$94="","",Underwriting!CD49)</f>
        <v/>
      </c>
      <c r="BZ99" s="487" t="str">
        <f>IF(BZ$94="","",Underwriting!CE49)</f>
        <v/>
      </c>
      <c r="CA99" s="487" t="str">
        <f>IF(CA$94="","",Underwriting!CF49)</f>
        <v/>
      </c>
      <c r="CB99" s="487" t="str">
        <f>IF(CB$94="","",Underwriting!CG49)</f>
        <v/>
      </c>
      <c r="CC99" s="487" t="str">
        <f>IF(CC$94="","",Underwriting!CH49)</f>
        <v/>
      </c>
      <c r="CD99" s="487" t="str">
        <f>IF(CD$94="","",Underwriting!CI49)</f>
        <v/>
      </c>
      <c r="CE99" s="487" t="str">
        <f>IF(CE$94="","",Underwriting!CJ49)</f>
        <v/>
      </c>
      <c r="CF99" s="487" t="str">
        <f>IF(CF$94="","",Underwriting!CK49)</f>
        <v/>
      </c>
      <c r="CG99" s="487" t="str">
        <f>IF(CG$94="","",Underwriting!CL49)</f>
        <v/>
      </c>
      <c r="CH99" s="487" t="str">
        <f>IF(CH$94="","",Underwriting!CM49)</f>
        <v/>
      </c>
      <c r="CI99" s="487" t="str">
        <f>IF(CI$94="","",Underwriting!CN49)</f>
        <v/>
      </c>
      <c r="CJ99" s="487" t="str">
        <f>IF(CJ$94="","",Underwriting!CO49)</f>
        <v/>
      </c>
      <c r="CK99" s="487" t="str">
        <f>IF(CK$94="","",Underwriting!CP49)</f>
        <v/>
      </c>
      <c r="CL99" s="487" t="str">
        <f>IF(CL$94="","",Underwriting!CQ49)</f>
        <v/>
      </c>
      <c r="CM99" s="487" t="str">
        <f>IF(CM$94="","",Underwriting!CR49)</f>
        <v/>
      </c>
      <c r="CN99" s="487" t="str">
        <f>IF(CN$94="","",Underwriting!CS49)</f>
        <v/>
      </c>
      <c r="CO99" s="487" t="str">
        <f>IF(CO$94="","",Underwriting!CT49)</f>
        <v/>
      </c>
      <c r="CP99" s="487" t="str">
        <f>IF(CP$94="","",Underwriting!CU49)</f>
        <v/>
      </c>
      <c r="CQ99" s="487" t="str">
        <f>IF(CQ$94="","",Underwriting!CV49)</f>
        <v/>
      </c>
      <c r="CR99" s="487" t="str">
        <f>IF(CR$94="","",Underwriting!CW49)</f>
        <v/>
      </c>
      <c r="CS99" s="487" t="str">
        <f>IF(CS$94="","",Underwriting!CX49)</f>
        <v/>
      </c>
      <c r="CT99" s="487" t="str">
        <f>IF(CT$94="","",Underwriting!CY49)</f>
        <v/>
      </c>
      <c r="CU99" s="487" t="str">
        <f>IF(CU$94="","",Underwriting!CZ49)</f>
        <v/>
      </c>
      <c r="CV99" s="487" t="str">
        <f>IF(CV$94="","",Underwriting!DA49)</f>
        <v/>
      </c>
      <c r="CW99" s="487" t="str">
        <f>IF(CW$94="","",Underwriting!DB49)</f>
        <v/>
      </c>
      <c r="CX99" s="487" t="str">
        <f>IF(CX$94="","",Underwriting!DC49)</f>
        <v/>
      </c>
      <c r="CY99" s="487" t="str">
        <f>IF(CY$94="","",Underwriting!DD49)</f>
        <v/>
      </c>
      <c r="CZ99" s="487" t="str">
        <f>IF(CZ$94="","",Underwriting!DE49)</f>
        <v/>
      </c>
      <c r="DA99" s="487" t="str">
        <f>IF(DA$94="","",Underwriting!DF49)</f>
        <v/>
      </c>
      <c r="DB99" s="487" t="str">
        <f>IF(DB$94="","",Underwriting!DG49)</f>
        <v/>
      </c>
      <c r="DC99" s="487" t="str">
        <f>IF(DC$94="","",Underwriting!DH49)</f>
        <v/>
      </c>
      <c r="DD99" s="487" t="str">
        <f>IF(DD$94="","",Underwriting!DI49)</f>
        <v/>
      </c>
      <c r="DE99" s="487" t="str">
        <f>IF(DE$94="","",Underwriting!DJ49)</f>
        <v/>
      </c>
      <c r="DF99" s="487" t="str">
        <f>IF(DF$94="","",Underwriting!DK49)</f>
        <v/>
      </c>
      <c r="DG99" s="487" t="str">
        <f>IF(DG$94="","",Underwriting!DL49)</f>
        <v/>
      </c>
      <c r="DH99" s="487" t="str">
        <f>IF(DH$94="","",Underwriting!DM49)</f>
        <v/>
      </c>
      <c r="DI99" s="487" t="str">
        <f>IF(DI$94="","",Underwriting!DN49)</f>
        <v/>
      </c>
      <c r="DJ99" s="487" t="str">
        <f>IF(DJ$94="","",Underwriting!DO49)</f>
        <v/>
      </c>
      <c r="DK99" s="487" t="str">
        <f>IF(DK$94="","",Underwriting!DP49)</f>
        <v/>
      </c>
      <c r="DL99" s="487" t="str">
        <f>IF(DL$94="","",Underwriting!DQ49)</f>
        <v/>
      </c>
      <c r="DM99" s="487" t="str">
        <f>IF(DM$94="","",Underwriting!DR49)</f>
        <v/>
      </c>
      <c r="DN99" s="487" t="str">
        <f>IF(DN$94="","",Underwriting!DS49)</f>
        <v/>
      </c>
      <c r="DO99" s="487" t="str">
        <f>IF(DO$94="","",Underwriting!DT49)</f>
        <v/>
      </c>
      <c r="DP99" s="487" t="str">
        <f>IF(DP$94="","",Underwriting!DU49)</f>
        <v/>
      </c>
      <c r="DQ99" s="487" t="str">
        <f>IF(DQ$94="","",Underwriting!DV49)</f>
        <v/>
      </c>
      <c r="DR99" s="487" t="str">
        <f>IF(DR$94="","",Underwriting!DW49)</f>
        <v/>
      </c>
      <c r="DS99" s="487" t="str">
        <f>IF(DS$94="","",Underwriting!DX49)</f>
        <v/>
      </c>
      <c r="DT99" s="487" t="str">
        <f>IF(DT$94="","",Underwriting!DY49)</f>
        <v/>
      </c>
      <c r="DU99" s="487" t="str">
        <f>IF(DU$94="","",Underwriting!DZ49)</f>
        <v/>
      </c>
      <c r="DV99" s="487" t="str">
        <f>IF(DV$94="","",Underwriting!EA49)</f>
        <v/>
      </c>
      <c r="DW99" s="487" t="str">
        <f>IF(DW$94="","",Underwriting!EB49)</f>
        <v/>
      </c>
      <c r="DX99" s="487" t="str">
        <f>IF(DX$94="","",Underwriting!EC49)</f>
        <v/>
      </c>
      <c r="DY99" s="487" t="str">
        <f>IF(DY$94="","",Underwriting!ED49)</f>
        <v/>
      </c>
      <c r="DZ99" s="487" t="str">
        <f>IF(DZ$94="","",Underwriting!EE49)</f>
        <v/>
      </c>
      <c r="EA99" s="487" t="str">
        <f>IF(EA$94="","",Underwriting!EF49)</f>
        <v/>
      </c>
      <c r="EB99" s="487" t="str">
        <f>IF(EB$94="","",Underwriting!EG49)</f>
        <v/>
      </c>
      <c r="EC99" s="487" t="str">
        <f>IF(EC$94="","",Underwriting!EH49)</f>
        <v/>
      </c>
      <c r="ED99" s="487" t="str">
        <f>IF(ED$94="","",Underwriting!EI49)</f>
        <v/>
      </c>
      <c r="EE99" s="487" t="str">
        <f>IF(EE$94="","",Underwriting!EJ49)</f>
        <v/>
      </c>
      <c r="EF99" s="487" t="str">
        <f>IF(EF$94="","",Underwriting!EK49)</f>
        <v/>
      </c>
      <c r="EG99" s="487" t="str">
        <f>IF(EG$94="","",Underwriting!EL49)</f>
        <v/>
      </c>
      <c r="EH99" s="487" t="str">
        <f>IF(EH$94="","",Underwriting!EM49)</f>
        <v/>
      </c>
      <c r="EI99" s="487" t="str">
        <f>IF(EI$94="","",Underwriting!EN49)</f>
        <v/>
      </c>
    </row>
    <row r="100" spans="2:139" hidden="1" outlineLevel="1" x14ac:dyDescent="0.2">
      <c r="B100" s="92" t="s">
        <v>192</v>
      </c>
      <c r="C100" s="4"/>
      <c r="D100" s="4"/>
      <c r="E100" s="4"/>
      <c r="F100" s="4"/>
      <c r="G100" s="487">
        <f>IF(G$94="","",G92)</f>
        <v>0</v>
      </c>
      <c r="H100" s="487">
        <f t="shared" ref="H100:BS100" si="59">IF(H$94="","",H92)</f>
        <v>0</v>
      </c>
      <c r="I100" s="487">
        <f t="shared" si="59"/>
        <v>0</v>
      </c>
      <c r="J100" s="487">
        <f t="shared" si="59"/>
        <v>0</v>
      </c>
      <c r="K100" s="487">
        <f t="shared" si="59"/>
        <v>0</v>
      </c>
      <c r="L100" s="487">
        <f t="shared" si="59"/>
        <v>0</v>
      </c>
      <c r="M100" s="487">
        <f t="shared" si="59"/>
        <v>0</v>
      </c>
      <c r="N100" s="487">
        <f t="shared" si="59"/>
        <v>0</v>
      </c>
      <c r="O100" s="487">
        <f t="shared" si="59"/>
        <v>0</v>
      </c>
      <c r="P100" s="487">
        <f t="shared" si="59"/>
        <v>0</v>
      </c>
      <c r="Q100" s="487">
        <f t="shared" si="59"/>
        <v>0</v>
      </c>
      <c r="R100" s="487">
        <f t="shared" si="59"/>
        <v>0</v>
      </c>
      <c r="S100" s="487">
        <f t="shared" si="59"/>
        <v>0</v>
      </c>
      <c r="T100" s="487">
        <f t="shared" si="59"/>
        <v>0</v>
      </c>
      <c r="U100" s="487">
        <f t="shared" si="59"/>
        <v>0</v>
      </c>
      <c r="V100" s="487">
        <f t="shared" si="59"/>
        <v>0</v>
      </c>
      <c r="W100" s="487">
        <f t="shared" si="59"/>
        <v>0</v>
      </c>
      <c r="X100" s="487">
        <f t="shared" si="59"/>
        <v>0</v>
      </c>
      <c r="Y100" s="487">
        <f t="shared" si="59"/>
        <v>0</v>
      </c>
      <c r="Z100" s="487">
        <f t="shared" si="59"/>
        <v>-137014.1267392564</v>
      </c>
      <c r="AA100" s="487">
        <f t="shared" si="59"/>
        <v>-105738.43198636749</v>
      </c>
      <c r="AB100" s="487">
        <f t="shared" si="59"/>
        <v>-74462.737233478663</v>
      </c>
      <c r="AC100" s="487">
        <f t="shared" si="59"/>
        <v>-43187.042480589735</v>
      </c>
      <c r="AD100" s="487">
        <f t="shared" si="59"/>
        <v>-11911.347727700826</v>
      </c>
      <c r="AE100" s="487">
        <f t="shared" si="59"/>
        <v>19364.347025188054</v>
      </c>
      <c r="AF100" s="487">
        <f t="shared" si="59"/>
        <v>50640.041778076935</v>
      </c>
      <c r="AG100" s="487">
        <f t="shared" si="59"/>
        <v>81915.73653096582</v>
      </c>
      <c r="AH100" s="487">
        <f t="shared" si="59"/>
        <v>113191.43128385466</v>
      </c>
      <c r="AI100" s="487">
        <f t="shared" si="59"/>
        <v>144467.12603674358</v>
      </c>
      <c r="AJ100" s="487">
        <f t="shared" si="59"/>
        <v>175742.8207896325</v>
      </c>
      <c r="AK100" s="487">
        <f t="shared" si="59"/>
        <v>207018.5155425214</v>
      </c>
      <c r="AL100" s="487">
        <f t="shared" si="59"/>
        <v>223226.79761989755</v>
      </c>
      <c r="AM100" s="487">
        <f t="shared" si="59"/>
        <v>255440.76321537315</v>
      </c>
      <c r="AN100" s="487">
        <f t="shared" si="59"/>
        <v>294529.40665734163</v>
      </c>
      <c r="AO100" s="487">
        <f t="shared" si="59"/>
        <v>295640.04453234165</v>
      </c>
      <c r="AP100" s="487">
        <f t="shared" si="59"/>
        <v>296750.68240734166</v>
      </c>
      <c r="AQ100" s="487">
        <f t="shared" si="59"/>
        <v>297861.32028234168</v>
      </c>
      <c r="AR100" s="487">
        <f t="shared" si="59"/>
        <v>298971.95815734164</v>
      </c>
      <c r="AS100" s="487">
        <f t="shared" si="59"/>
        <v>300082.59603234159</v>
      </c>
      <c r="AT100" s="487">
        <f t="shared" si="59"/>
        <v>301193.23390734167</v>
      </c>
      <c r="AU100" s="487">
        <f t="shared" si="59"/>
        <v>302303.87178234162</v>
      </c>
      <c r="AV100" s="487">
        <f t="shared" si="59"/>
        <v>303414.50965734164</v>
      </c>
      <c r="AW100" s="487">
        <f t="shared" si="59"/>
        <v>304525.14753234165</v>
      </c>
      <c r="AX100" s="487">
        <f t="shared" si="59"/>
        <v>291922.13281565561</v>
      </c>
      <c r="AY100" s="487">
        <f t="shared" si="59"/>
        <v>293066.08982690558</v>
      </c>
      <c r="AZ100" s="487">
        <f t="shared" si="59"/>
        <v>280482.56270315562</v>
      </c>
      <c r="BA100" s="487" t="str">
        <f t="shared" si="59"/>
        <v/>
      </c>
      <c r="BB100" s="487" t="str">
        <f t="shared" si="59"/>
        <v/>
      </c>
      <c r="BC100" s="487" t="str">
        <f t="shared" si="59"/>
        <v/>
      </c>
      <c r="BD100" s="487" t="str">
        <f t="shared" si="59"/>
        <v/>
      </c>
      <c r="BE100" s="487" t="str">
        <f t="shared" si="59"/>
        <v/>
      </c>
      <c r="BF100" s="487" t="str">
        <f t="shared" si="59"/>
        <v/>
      </c>
      <c r="BG100" s="487" t="str">
        <f t="shared" si="59"/>
        <v/>
      </c>
      <c r="BH100" s="487" t="str">
        <f t="shared" si="59"/>
        <v/>
      </c>
      <c r="BI100" s="487" t="str">
        <f t="shared" si="59"/>
        <v/>
      </c>
      <c r="BJ100" s="487" t="str">
        <f t="shared" si="59"/>
        <v/>
      </c>
      <c r="BK100" s="487" t="str">
        <f t="shared" si="59"/>
        <v/>
      </c>
      <c r="BL100" s="487" t="str">
        <f t="shared" si="59"/>
        <v/>
      </c>
      <c r="BM100" s="487" t="str">
        <f t="shared" si="59"/>
        <v/>
      </c>
      <c r="BN100" s="487" t="str">
        <f t="shared" si="59"/>
        <v/>
      </c>
      <c r="BO100" s="487" t="str">
        <f t="shared" si="59"/>
        <v/>
      </c>
      <c r="BP100" s="487" t="str">
        <f t="shared" si="59"/>
        <v/>
      </c>
      <c r="BQ100" s="487" t="str">
        <f t="shared" si="59"/>
        <v/>
      </c>
      <c r="BR100" s="487" t="str">
        <f t="shared" si="59"/>
        <v/>
      </c>
      <c r="BS100" s="487" t="str">
        <f t="shared" si="59"/>
        <v/>
      </c>
      <c r="BT100" s="487" t="str">
        <f t="shared" ref="BT100:EE100" si="60">IF(BT$94="","",BT92)</f>
        <v/>
      </c>
      <c r="BU100" s="487" t="str">
        <f t="shared" si="60"/>
        <v/>
      </c>
      <c r="BV100" s="487" t="str">
        <f t="shared" si="60"/>
        <v/>
      </c>
      <c r="BW100" s="487" t="str">
        <f t="shared" si="60"/>
        <v/>
      </c>
      <c r="BX100" s="487" t="str">
        <f t="shared" si="60"/>
        <v/>
      </c>
      <c r="BY100" s="487" t="str">
        <f t="shared" si="60"/>
        <v/>
      </c>
      <c r="BZ100" s="487" t="str">
        <f t="shared" si="60"/>
        <v/>
      </c>
      <c r="CA100" s="487" t="str">
        <f t="shared" si="60"/>
        <v/>
      </c>
      <c r="CB100" s="487" t="str">
        <f t="shared" si="60"/>
        <v/>
      </c>
      <c r="CC100" s="487" t="str">
        <f t="shared" si="60"/>
        <v/>
      </c>
      <c r="CD100" s="487" t="str">
        <f t="shared" si="60"/>
        <v/>
      </c>
      <c r="CE100" s="487" t="str">
        <f t="shared" si="60"/>
        <v/>
      </c>
      <c r="CF100" s="487" t="str">
        <f t="shared" si="60"/>
        <v/>
      </c>
      <c r="CG100" s="487" t="str">
        <f t="shared" si="60"/>
        <v/>
      </c>
      <c r="CH100" s="487" t="str">
        <f t="shared" si="60"/>
        <v/>
      </c>
      <c r="CI100" s="487" t="str">
        <f t="shared" si="60"/>
        <v/>
      </c>
      <c r="CJ100" s="487" t="str">
        <f t="shared" si="60"/>
        <v/>
      </c>
      <c r="CK100" s="487" t="str">
        <f t="shared" si="60"/>
        <v/>
      </c>
      <c r="CL100" s="487" t="str">
        <f t="shared" si="60"/>
        <v/>
      </c>
      <c r="CM100" s="487" t="str">
        <f t="shared" si="60"/>
        <v/>
      </c>
      <c r="CN100" s="487" t="str">
        <f t="shared" si="60"/>
        <v/>
      </c>
      <c r="CO100" s="487" t="str">
        <f t="shared" si="60"/>
        <v/>
      </c>
      <c r="CP100" s="487" t="str">
        <f t="shared" si="60"/>
        <v/>
      </c>
      <c r="CQ100" s="487" t="str">
        <f t="shared" si="60"/>
        <v/>
      </c>
      <c r="CR100" s="487" t="str">
        <f t="shared" si="60"/>
        <v/>
      </c>
      <c r="CS100" s="487" t="str">
        <f t="shared" si="60"/>
        <v/>
      </c>
      <c r="CT100" s="487" t="str">
        <f t="shared" si="60"/>
        <v/>
      </c>
      <c r="CU100" s="487" t="str">
        <f t="shared" si="60"/>
        <v/>
      </c>
      <c r="CV100" s="487" t="str">
        <f t="shared" si="60"/>
        <v/>
      </c>
      <c r="CW100" s="487" t="str">
        <f t="shared" si="60"/>
        <v/>
      </c>
      <c r="CX100" s="487" t="str">
        <f t="shared" si="60"/>
        <v/>
      </c>
      <c r="CY100" s="487" t="str">
        <f t="shared" si="60"/>
        <v/>
      </c>
      <c r="CZ100" s="487" t="str">
        <f t="shared" si="60"/>
        <v/>
      </c>
      <c r="DA100" s="487" t="str">
        <f t="shared" si="60"/>
        <v/>
      </c>
      <c r="DB100" s="487" t="str">
        <f t="shared" si="60"/>
        <v/>
      </c>
      <c r="DC100" s="487" t="str">
        <f t="shared" si="60"/>
        <v/>
      </c>
      <c r="DD100" s="487" t="str">
        <f t="shared" si="60"/>
        <v/>
      </c>
      <c r="DE100" s="487" t="str">
        <f t="shared" si="60"/>
        <v/>
      </c>
      <c r="DF100" s="487" t="str">
        <f t="shared" si="60"/>
        <v/>
      </c>
      <c r="DG100" s="487" t="str">
        <f t="shared" si="60"/>
        <v/>
      </c>
      <c r="DH100" s="487" t="str">
        <f t="shared" si="60"/>
        <v/>
      </c>
      <c r="DI100" s="487" t="str">
        <f t="shared" si="60"/>
        <v/>
      </c>
      <c r="DJ100" s="487" t="str">
        <f t="shared" si="60"/>
        <v/>
      </c>
      <c r="DK100" s="487" t="str">
        <f t="shared" si="60"/>
        <v/>
      </c>
      <c r="DL100" s="487" t="str">
        <f t="shared" si="60"/>
        <v/>
      </c>
      <c r="DM100" s="487" t="str">
        <f t="shared" si="60"/>
        <v/>
      </c>
      <c r="DN100" s="487" t="str">
        <f t="shared" si="60"/>
        <v/>
      </c>
      <c r="DO100" s="487" t="str">
        <f t="shared" si="60"/>
        <v/>
      </c>
      <c r="DP100" s="487" t="str">
        <f t="shared" si="60"/>
        <v/>
      </c>
      <c r="DQ100" s="487" t="str">
        <f t="shared" si="60"/>
        <v/>
      </c>
      <c r="DR100" s="487" t="str">
        <f t="shared" si="60"/>
        <v/>
      </c>
      <c r="DS100" s="487" t="str">
        <f t="shared" si="60"/>
        <v/>
      </c>
      <c r="DT100" s="487" t="str">
        <f t="shared" si="60"/>
        <v/>
      </c>
      <c r="DU100" s="487" t="str">
        <f t="shared" si="60"/>
        <v/>
      </c>
      <c r="DV100" s="487" t="str">
        <f t="shared" si="60"/>
        <v/>
      </c>
      <c r="DW100" s="487" t="str">
        <f t="shared" si="60"/>
        <v/>
      </c>
      <c r="DX100" s="487" t="str">
        <f t="shared" si="60"/>
        <v/>
      </c>
      <c r="DY100" s="487" t="str">
        <f t="shared" si="60"/>
        <v/>
      </c>
      <c r="DZ100" s="487" t="str">
        <f t="shared" si="60"/>
        <v/>
      </c>
      <c r="EA100" s="487" t="str">
        <f t="shared" si="60"/>
        <v/>
      </c>
      <c r="EB100" s="487" t="str">
        <f t="shared" si="60"/>
        <v/>
      </c>
      <c r="EC100" s="487" t="str">
        <f t="shared" si="60"/>
        <v/>
      </c>
      <c r="ED100" s="487" t="str">
        <f t="shared" si="60"/>
        <v/>
      </c>
      <c r="EE100" s="487" t="str">
        <f t="shared" si="60"/>
        <v/>
      </c>
      <c r="EF100" s="487" t="str">
        <f t="shared" ref="EF100:EI100" si="61">IF(EF$94="","",EF92)</f>
        <v/>
      </c>
      <c r="EG100" s="487" t="str">
        <f t="shared" si="61"/>
        <v/>
      </c>
      <c r="EH100" s="487" t="str">
        <f t="shared" si="61"/>
        <v/>
      </c>
      <c r="EI100" s="487" t="str">
        <f t="shared" si="61"/>
        <v/>
      </c>
    </row>
    <row r="101" spans="2:139" hidden="1" outlineLevel="1" x14ac:dyDescent="0.2">
      <c r="B101" s="92"/>
      <c r="C101" s="4"/>
      <c r="D101" s="4"/>
      <c r="E101" s="4"/>
      <c r="F101" s="4"/>
      <c r="G101" s="487"/>
      <c r="H101" s="487"/>
      <c r="I101" s="487"/>
      <c r="J101" s="487"/>
      <c r="K101" s="487"/>
      <c r="L101" s="487"/>
      <c r="M101" s="487"/>
      <c r="N101" s="487"/>
      <c r="O101" s="487"/>
      <c r="P101" s="487"/>
      <c r="Q101" s="487"/>
      <c r="R101" s="487"/>
      <c r="S101" s="487"/>
      <c r="T101" s="487"/>
      <c r="U101" s="487"/>
      <c r="V101" s="487"/>
      <c r="W101" s="487"/>
      <c r="X101" s="487"/>
      <c r="Y101" s="487"/>
      <c r="Z101" s="487"/>
      <c r="AA101" s="487"/>
      <c r="AB101" s="487"/>
      <c r="AC101" s="487"/>
      <c r="AD101" s="487"/>
      <c r="AE101" s="487"/>
      <c r="AF101" s="487"/>
      <c r="AG101" s="487"/>
      <c r="AH101" s="487"/>
      <c r="AI101" s="487"/>
      <c r="AJ101" s="487"/>
      <c r="AK101" s="487"/>
      <c r="AL101" s="487"/>
      <c r="AM101" s="487"/>
      <c r="AN101" s="487"/>
      <c r="AO101" s="487"/>
      <c r="AP101" s="487"/>
      <c r="AQ101" s="487"/>
      <c r="AR101" s="487"/>
      <c r="AS101" s="487"/>
      <c r="AT101" s="487"/>
      <c r="AU101" s="487"/>
      <c r="AV101" s="487"/>
      <c r="AW101" s="487"/>
      <c r="AX101" s="487"/>
      <c r="AY101" s="487"/>
      <c r="AZ101" s="487"/>
      <c r="BA101" s="487"/>
      <c r="BB101" s="487"/>
      <c r="BC101" s="487"/>
      <c r="BD101" s="487"/>
      <c r="BE101" s="487"/>
      <c r="BF101" s="487"/>
      <c r="BG101" s="487"/>
      <c r="BH101" s="487"/>
      <c r="BI101" s="487"/>
      <c r="BJ101" s="487"/>
      <c r="BK101" s="487"/>
      <c r="BL101" s="487"/>
      <c r="BM101" s="487"/>
      <c r="BN101" s="487"/>
      <c r="BO101" s="487"/>
      <c r="BP101" s="487"/>
      <c r="BQ101" s="487"/>
      <c r="BR101" s="487"/>
      <c r="BS101" s="487"/>
      <c r="BT101" s="487"/>
      <c r="BU101" s="487"/>
      <c r="BV101" s="487"/>
      <c r="BW101" s="487"/>
      <c r="BX101" s="487"/>
      <c r="BY101" s="487"/>
      <c r="BZ101" s="487"/>
      <c r="CA101" s="487"/>
      <c r="CB101" s="487"/>
      <c r="CC101" s="487"/>
      <c r="CD101" s="487"/>
      <c r="CE101" s="487"/>
      <c r="CF101" s="487"/>
      <c r="CG101" s="487"/>
      <c r="CH101" s="487"/>
      <c r="CI101" s="487"/>
      <c r="CJ101" s="487"/>
      <c r="CK101" s="487"/>
      <c r="CL101" s="487"/>
      <c r="CM101" s="487"/>
      <c r="CN101" s="487"/>
      <c r="CO101" s="487"/>
      <c r="CP101" s="487"/>
      <c r="CQ101" s="487"/>
      <c r="CR101" s="487"/>
      <c r="CS101" s="487"/>
      <c r="CT101" s="487"/>
      <c r="CU101" s="487"/>
      <c r="CV101" s="487"/>
      <c r="CW101" s="487"/>
      <c r="CX101" s="487"/>
      <c r="CY101" s="487"/>
      <c r="CZ101" s="487"/>
      <c r="DA101" s="487"/>
      <c r="DB101" s="487"/>
      <c r="DC101" s="487"/>
      <c r="DD101" s="487"/>
      <c r="DE101" s="487"/>
      <c r="DF101" s="487"/>
      <c r="DG101" s="487"/>
      <c r="DH101" s="487"/>
      <c r="DI101" s="487"/>
      <c r="DJ101" s="487"/>
      <c r="DK101" s="487"/>
      <c r="DL101" s="487"/>
      <c r="DM101" s="487"/>
      <c r="DN101" s="487"/>
      <c r="DO101" s="487"/>
      <c r="DP101" s="487"/>
      <c r="DQ101" s="487"/>
      <c r="DR101" s="487"/>
      <c r="DS101" s="487"/>
      <c r="DT101" s="487"/>
      <c r="DU101" s="487"/>
      <c r="DV101" s="487"/>
      <c r="DW101" s="487"/>
      <c r="DX101" s="487"/>
      <c r="DY101" s="487"/>
      <c r="DZ101" s="487"/>
      <c r="EA101" s="487"/>
      <c r="EB101" s="487"/>
      <c r="EC101" s="487"/>
      <c r="ED101" s="487"/>
      <c r="EE101" s="487"/>
      <c r="EF101" s="487"/>
      <c r="EG101" s="487"/>
      <c r="EH101" s="487"/>
      <c r="EI101" s="487"/>
    </row>
    <row r="102" spans="2:139" hidden="1" outlineLevel="1" x14ac:dyDescent="0.2">
      <c r="B102" s="92" t="s">
        <v>197</v>
      </c>
      <c r="C102" s="4"/>
      <c r="D102" s="4"/>
      <c r="E102" s="4"/>
      <c r="F102" s="4"/>
      <c r="G102" s="487">
        <f ca="1">IF(G$94="","",Underwriting!L206)</f>
        <v>0</v>
      </c>
      <c r="H102" s="487">
        <f ca="1">IF(H$94="","",Underwriting!M206)</f>
        <v>0</v>
      </c>
      <c r="I102" s="487">
        <f ca="1">IF(I$94="","",Underwriting!N206)</f>
        <v>0</v>
      </c>
      <c r="J102" s="487">
        <f ca="1">IF(J$94="","",Underwriting!O206)</f>
        <v>0</v>
      </c>
      <c r="K102" s="487">
        <f ca="1">IF(K$94="","",Underwriting!P206)</f>
        <v>0</v>
      </c>
      <c r="L102" s="487">
        <f ca="1">IF(L$94="","",Underwriting!Q206)</f>
        <v>0</v>
      </c>
      <c r="M102" s="487">
        <f ca="1">IF(M$94="","",Underwriting!R206)</f>
        <v>0</v>
      </c>
      <c r="N102" s="487">
        <f ca="1">IF(N$94="","",Underwriting!S206)</f>
        <v>0</v>
      </c>
      <c r="O102" s="487">
        <f ca="1">IF(O$94="","",Underwriting!T206)</f>
        <v>0</v>
      </c>
      <c r="P102" s="487">
        <f ca="1">IF(P$94="","",Underwriting!U206)</f>
        <v>0</v>
      </c>
      <c r="Q102" s="487">
        <f ca="1">IF(Q$94="","",Underwriting!V206)</f>
        <v>0</v>
      </c>
      <c r="R102" s="487">
        <f ca="1">IF(R$94="","",Underwriting!W206)</f>
        <v>0</v>
      </c>
      <c r="S102" s="487">
        <f ca="1">IF(S$94="","",Underwriting!X206)</f>
        <v>0</v>
      </c>
      <c r="T102" s="487">
        <f ca="1">IF(T$94="","",Underwriting!Y206)</f>
        <v>0</v>
      </c>
      <c r="U102" s="487">
        <f ca="1">IF(U$94="","",Underwriting!Z206)</f>
        <v>0</v>
      </c>
      <c r="V102" s="487">
        <f ca="1">IF(V$94="","",Underwriting!AA206)</f>
        <v>0</v>
      </c>
      <c r="W102" s="487">
        <f ca="1">IF(W$94="","",Underwriting!AB206)</f>
        <v>0</v>
      </c>
      <c r="X102" s="487">
        <f ca="1">IF(X$94="","",Underwriting!AC206)</f>
        <v>0</v>
      </c>
      <c r="Y102" s="487">
        <f ca="1">IF(Y$94="","",Underwriting!AD206)</f>
        <v>0</v>
      </c>
      <c r="Z102" s="487">
        <f ca="1">IF(Z$94="","",Underwriting!AE206)</f>
        <v>0</v>
      </c>
      <c r="AA102" s="487">
        <f ca="1">IF(AA$94="","",Underwriting!AF206)</f>
        <v>0</v>
      </c>
      <c r="AB102" s="487">
        <f ca="1">IF(AB$94="","",Underwriting!AG206)</f>
        <v>0</v>
      </c>
      <c r="AC102" s="487">
        <f ca="1">IF(AC$94="","",Underwriting!AH206)</f>
        <v>0</v>
      </c>
      <c r="AD102" s="487">
        <f ca="1">IF(AD$94="","",Underwriting!AI206)</f>
        <v>0</v>
      </c>
      <c r="AE102" s="487">
        <f ca="1">IF(AE$94="","",Underwriting!AJ206)</f>
        <v>0</v>
      </c>
      <c r="AF102" s="487">
        <f ca="1">IF(AF$94="","",Underwriting!AK206)</f>
        <v>0</v>
      </c>
      <c r="AG102" s="487">
        <f ca="1">IF(AG$94="","",Underwriting!AL206)</f>
        <v>0</v>
      </c>
      <c r="AH102" s="487">
        <f ca="1">IF(AH$94="","",Underwriting!AM206)</f>
        <v>0</v>
      </c>
      <c r="AI102" s="487">
        <f ca="1">IF(AI$94="","",Underwriting!AN206)</f>
        <v>0</v>
      </c>
      <c r="AJ102" s="487">
        <f ca="1">IF(AJ$94="","",Underwriting!AO206)</f>
        <v>0</v>
      </c>
      <c r="AK102" s="487">
        <f ca="1">IF(AK$94="","",Underwriting!AP206)</f>
        <v>0</v>
      </c>
      <c r="AL102" s="487">
        <f ca="1">IF(AL$94="","",Underwriting!AQ206)</f>
        <v>0</v>
      </c>
      <c r="AM102" s="487">
        <f ca="1">IF(AM$94="","",Underwriting!AR206)</f>
        <v>0</v>
      </c>
      <c r="AN102" s="487">
        <f ca="1">IF(AN$94="","",Underwriting!AS206)</f>
        <v>0</v>
      </c>
      <c r="AO102" s="487">
        <f ca="1">IF(AO$94="","",Underwriting!AT206)</f>
        <v>0</v>
      </c>
      <c r="AP102" s="487">
        <f ca="1">IF(AP$94="","",Underwriting!AU206)</f>
        <v>0</v>
      </c>
      <c r="AQ102" s="487">
        <f ca="1">IF(AQ$94="","",Underwriting!AV206)</f>
        <v>0</v>
      </c>
      <c r="AR102" s="487">
        <f ca="1">IF(AR$94="","",Underwriting!AW206)</f>
        <v>0</v>
      </c>
      <c r="AS102" s="487">
        <f ca="1">IF(AS$94="","",Underwriting!AX206)</f>
        <v>0</v>
      </c>
      <c r="AT102" s="487">
        <f ca="1">IF(AT$94="","",Underwriting!AY206)</f>
        <v>0</v>
      </c>
      <c r="AU102" s="487">
        <f ca="1">IF(AU$94="","",Underwriting!AZ206)</f>
        <v>0</v>
      </c>
      <c r="AV102" s="487">
        <f ca="1">IF(AV$94="","",Underwriting!BA206)</f>
        <v>0</v>
      </c>
      <c r="AW102" s="487">
        <f ca="1">IF(AW$94="","",Underwriting!BB206)</f>
        <v>0</v>
      </c>
      <c r="AX102" s="487">
        <f ca="1">IF(AX$94="","",Underwriting!BC206)</f>
        <v>0</v>
      </c>
      <c r="AY102" s="487">
        <f ca="1">IF(AY$94="","",Underwriting!BD206)</f>
        <v>0</v>
      </c>
      <c r="AZ102" s="487">
        <f ca="1">IF(AZ$94="","",Underwriting!BE206)</f>
        <v>66094697.607271425</v>
      </c>
      <c r="BA102" s="487" t="str">
        <f>IF(BA$94="","",Underwriting!BF206)</f>
        <v/>
      </c>
      <c r="BB102" s="487" t="str">
        <f>IF(BB$94="","",Underwriting!BG206)</f>
        <v/>
      </c>
      <c r="BC102" s="487" t="str">
        <f>IF(BC$94="","",Underwriting!BH206)</f>
        <v/>
      </c>
      <c r="BD102" s="487" t="str">
        <f>IF(BD$94="","",Underwriting!BI206)</f>
        <v/>
      </c>
      <c r="BE102" s="487" t="str">
        <f>IF(BE$94="","",Underwriting!BJ206)</f>
        <v/>
      </c>
      <c r="BF102" s="487" t="str">
        <f>IF(BF$94="","",Underwriting!BK206)</f>
        <v/>
      </c>
      <c r="BG102" s="487" t="str">
        <f>IF(BG$94="","",Underwriting!BL206)</f>
        <v/>
      </c>
      <c r="BH102" s="487" t="str">
        <f>IF(BH$94="","",Underwriting!BM206)</f>
        <v/>
      </c>
      <c r="BI102" s="487" t="str">
        <f>IF(BI$94="","",Underwriting!BN206)</f>
        <v/>
      </c>
      <c r="BJ102" s="487" t="str">
        <f>IF(BJ$94="","",Underwriting!BO206)</f>
        <v/>
      </c>
      <c r="BK102" s="487" t="str">
        <f>IF(BK$94="","",Underwriting!BP206)</f>
        <v/>
      </c>
      <c r="BL102" s="487" t="str">
        <f>IF(BL$94="","",Underwriting!BQ206)</f>
        <v/>
      </c>
      <c r="BM102" s="487" t="str">
        <f>IF(BM$94="","",Underwriting!BR206)</f>
        <v/>
      </c>
      <c r="BN102" s="487" t="str">
        <f>IF(BN$94="","",Underwriting!BS206)</f>
        <v/>
      </c>
      <c r="BO102" s="487" t="str">
        <f>IF(BO$94="","",Underwriting!BT206)</f>
        <v/>
      </c>
      <c r="BP102" s="487" t="str">
        <f>IF(BP$94="","",Underwriting!BU206)</f>
        <v/>
      </c>
      <c r="BQ102" s="487" t="str">
        <f>IF(BQ$94="","",Underwriting!BV206)</f>
        <v/>
      </c>
      <c r="BR102" s="487" t="str">
        <f>IF(BR$94="","",Underwriting!BW206)</f>
        <v/>
      </c>
      <c r="BS102" s="487" t="str">
        <f>IF(BS$94="","",Underwriting!BX206)</f>
        <v/>
      </c>
      <c r="BT102" s="487" t="str">
        <f>IF(BT$94="","",Underwriting!BY206)</f>
        <v/>
      </c>
      <c r="BU102" s="487" t="str">
        <f>IF(BU$94="","",Underwriting!BZ206)</f>
        <v/>
      </c>
      <c r="BV102" s="487" t="str">
        <f>IF(BV$94="","",Underwriting!CA206)</f>
        <v/>
      </c>
      <c r="BW102" s="487" t="str">
        <f>IF(BW$94="","",Underwriting!CB206)</f>
        <v/>
      </c>
      <c r="BX102" s="487" t="str">
        <f>IF(BX$94="","",Underwriting!CC206)</f>
        <v/>
      </c>
      <c r="BY102" s="487" t="str">
        <f>IF(BY$94="","",Underwriting!CD206)</f>
        <v/>
      </c>
      <c r="BZ102" s="487" t="str">
        <f>IF(BZ$94="","",Underwriting!CE206)</f>
        <v/>
      </c>
      <c r="CA102" s="487" t="str">
        <f>IF(CA$94="","",Underwriting!CF206)</f>
        <v/>
      </c>
      <c r="CB102" s="487" t="str">
        <f>IF(CB$94="","",Underwriting!CG206)</f>
        <v/>
      </c>
      <c r="CC102" s="487" t="str">
        <f>IF(CC$94="","",Underwriting!CH206)</f>
        <v/>
      </c>
      <c r="CD102" s="487" t="str">
        <f>IF(CD$94="","",Underwriting!CI206)</f>
        <v/>
      </c>
      <c r="CE102" s="487" t="str">
        <f>IF(CE$94="","",Underwriting!CJ206)</f>
        <v/>
      </c>
      <c r="CF102" s="487" t="str">
        <f>IF(CF$94="","",Underwriting!CK206)</f>
        <v/>
      </c>
      <c r="CG102" s="487" t="str">
        <f>IF(CG$94="","",Underwriting!CL206)</f>
        <v/>
      </c>
      <c r="CH102" s="487" t="str">
        <f>IF(CH$94="","",Underwriting!CM206)</f>
        <v/>
      </c>
      <c r="CI102" s="487" t="str">
        <f>IF(CI$94="","",Underwriting!CN206)</f>
        <v/>
      </c>
      <c r="CJ102" s="487" t="str">
        <f>IF(CJ$94="","",Underwriting!CO206)</f>
        <v/>
      </c>
      <c r="CK102" s="487" t="str">
        <f>IF(CK$94="","",Underwriting!CP206)</f>
        <v/>
      </c>
      <c r="CL102" s="487" t="str">
        <f>IF(CL$94="","",Underwriting!CQ206)</f>
        <v/>
      </c>
      <c r="CM102" s="487" t="str">
        <f>IF(CM$94="","",Underwriting!CR206)</f>
        <v/>
      </c>
      <c r="CN102" s="487" t="str">
        <f>IF(CN$94="","",Underwriting!CS206)</f>
        <v/>
      </c>
      <c r="CO102" s="487" t="str">
        <f>IF(CO$94="","",Underwriting!CT206)</f>
        <v/>
      </c>
      <c r="CP102" s="487" t="str">
        <f>IF(CP$94="","",Underwriting!CU206)</f>
        <v/>
      </c>
      <c r="CQ102" s="487" t="str">
        <f>IF(CQ$94="","",Underwriting!CV206)</f>
        <v/>
      </c>
      <c r="CR102" s="487" t="str">
        <f>IF(CR$94="","",Underwriting!CW206)</f>
        <v/>
      </c>
      <c r="CS102" s="487" t="str">
        <f>IF(CS$94="","",Underwriting!CX206)</f>
        <v/>
      </c>
      <c r="CT102" s="487" t="str">
        <f>IF(CT$94="","",Underwriting!CY206)</f>
        <v/>
      </c>
      <c r="CU102" s="487" t="str">
        <f>IF(CU$94="","",Underwriting!CZ206)</f>
        <v/>
      </c>
      <c r="CV102" s="487" t="str">
        <f>IF(CV$94="","",Underwriting!DA206)</f>
        <v/>
      </c>
      <c r="CW102" s="487" t="str">
        <f>IF(CW$94="","",Underwriting!DB206)</f>
        <v/>
      </c>
      <c r="CX102" s="487" t="str">
        <f>IF(CX$94="","",Underwriting!DC206)</f>
        <v/>
      </c>
      <c r="CY102" s="487" t="str">
        <f>IF(CY$94="","",Underwriting!DD206)</f>
        <v/>
      </c>
      <c r="CZ102" s="487" t="str">
        <f>IF(CZ$94="","",Underwriting!DE206)</f>
        <v/>
      </c>
      <c r="DA102" s="487" t="str">
        <f>IF(DA$94="","",Underwriting!DF206)</f>
        <v/>
      </c>
      <c r="DB102" s="487" t="str">
        <f>IF(DB$94="","",Underwriting!DG206)</f>
        <v/>
      </c>
      <c r="DC102" s="487" t="str">
        <f>IF(DC$94="","",Underwriting!DH206)</f>
        <v/>
      </c>
      <c r="DD102" s="487" t="str">
        <f>IF(DD$94="","",Underwriting!DI206)</f>
        <v/>
      </c>
      <c r="DE102" s="487" t="str">
        <f>IF(DE$94="","",Underwriting!DJ206)</f>
        <v/>
      </c>
      <c r="DF102" s="487" t="str">
        <f>IF(DF$94="","",Underwriting!DK206)</f>
        <v/>
      </c>
      <c r="DG102" s="487" t="str">
        <f>IF(DG$94="","",Underwriting!DL206)</f>
        <v/>
      </c>
      <c r="DH102" s="487" t="str">
        <f>IF(DH$94="","",Underwriting!DM206)</f>
        <v/>
      </c>
      <c r="DI102" s="487" t="str">
        <f>IF(DI$94="","",Underwriting!DN206)</f>
        <v/>
      </c>
      <c r="DJ102" s="487" t="str">
        <f>IF(DJ$94="","",Underwriting!DO206)</f>
        <v/>
      </c>
      <c r="DK102" s="487" t="str">
        <f>IF(DK$94="","",Underwriting!DP206)</f>
        <v/>
      </c>
      <c r="DL102" s="487" t="str">
        <f>IF(DL$94="","",Underwriting!DQ206)</f>
        <v/>
      </c>
      <c r="DM102" s="487" t="str">
        <f>IF(DM$94="","",Underwriting!DR206)</f>
        <v/>
      </c>
      <c r="DN102" s="487" t="str">
        <f>IF(DN$94="","",Underwriting!DS206)</f>
        <v/>
      </c>
      <c r="DO102" s="487" t="str">
        <f>IF(DO$94="","",Underwriting!DT206)</f>
        <v/>
      </c>
      <c r="DP102" s="487" t="str">
        <f>IF(DP$94="","",Underwriting!DU206)</f>
        <v/>
      </c>
      <c r="DQ102" s="487" t="str">
        <f>IF(DQ$94="","",Underwriting!DV206)</f>
        <v/>
      </c>
      <c r="DR102" s="487" t="str">
        <f>IF(DR$94="","",Underwriting!DW206)</f>
        <v/>
      </c>
      <c r="DS102" s="487" t="str">
        <f>IF(DS$94="","",Underwriting!DX206)</f>
        <v/>
      </c>
      <c r="DT102" s="487" t="str">
        <f>IF(DT$94="","",Underwriting!DY206)</f>
        <v/>
      </c>
      <c r="DU102" s="487" t="str">
        <f>IF(DU$94="","",Underwriting!DZ206)</f>
        <v/>
      </c>
      <c r="DV102" s="487" t="str">
        <f>IF(DV$94="","",Underwriting!EA206)</f>
        <v/>
      </c>
      <c r="DW102" s="487" t="str">
        <f>IF(DW$94="","",Underwriting!EB206)</f>
        <v/>
      </c>
      <c r="DX102" s="487" t="str">
        <f>IF(DX$94="","",Underwriting!EC206)</f>
        <v/>
      </c>
      <c r="DY102" s="487" t="str">
        <f>IF(DY$94="","",Underwriting!ED206)</f>
        <v/>
      </c>
      <c r="DZ102" s="487" t="str">
        <f>IF(DZ$94="","",Underwriting!EE206)</f>
        <v/>
      </c>
      <c r="EA102" s="487" t="str">
        <f>IF(EA$94="","",Underwriting!EF206)</f>
        <v/>
      </c>
      <c r="EB102" s="487" t="str">
        <f>IF(EB$94="","",Underwriting!EG206)</f>
        <v/>
      </c>
      <c r="EC102" s="487" t="str">
        <f>IF(EC$94="","",Underwriting!EH206)</f>
        <v/>
      </c>
      <c r="ED102" s="487" t="str">
        <f>IF(ED$94="","",Underwriting!EI206)</f>
        <v/>
      </c>
      <c r="EE102" s="487" t="str">
        <f>IF(EE$94="","",Underwriting!EJ206)</f>
        <v/>
      </c>
      <c r="EF102" s="487" t="str">
        <f>IF(EF$94="","",Underwriting!EK206)</f>
        <v/>
      </c>
      <c r="EG102" s="487" t="str">
        <f>IF(EG$94="","",Underwriting!EL206)</f>
        <v/>
      </c>
      <c r="EH102" s="487" t="str">
        <f>IF(EH$94="","",Underwriting!EM206)</f>
        <v/>
      </c>
      <c r="EI102" s="487" t="str">
        <f>IF(EI$94="","",Underwriting!EN206)</f>
        <v/>
      </c>
    </row>
    <row r="103" spans="2:139" ht="16.5" hidden="1" outlineLevel="1" x14ac:dyDescent="0.35">
      <c r="B103" s="183" t="s">
        <v>188</v>
      </c>
      <c r="C103" s="4"/>
      <c r="D103" s="4"/>
      <c r="E103" s="4"/>
      <c r="F103" s="4"/>
      <c r="G103" s="492">
        <f>IF(G$94="","",Underwriting!L207)</f>
        <v>0</v>
      </c>
      <c r="H103" s="492">
        <f>IF(H$94="","",Underwriting!M207)</f>
        <v>0</v>
      </c>
      <c r="I103" s="492">
        <f>IF(I$94="","",Underwriting!N207)</f>
        <v>0</v>
      </c>
      <c r="J103" s="492">
        <f>IF(J$94="","",Underwriting!O207)</f>
        <v>0</v>
      </c>
      <c r="K103" s="492">
        <f>IF(K$94="","",Underwriting!P207)</f>
        <v>0</v>
      </c>
      <c r="L103" s="492">
        <f>IF(L$94="","",Underwriting!Q207)</f>
        <v>0</v>
      </c>
      <c r="M103" s="492">
        <f>IF(M$94="","",Underwriting!R207)</f>
        <v>0</v>
      </c>
      <c r="N103" s="492">
        <f>IF(N$94="","",Underwriting!S207)</f>
        <v>0</v>
      </c>
      <c r="O103" s="492">
        <f>IF(O$94="","",Underwriting!T207)</f>
        <v>0</v>
      </c>
      <c r="P103" s="492">
        <f>IF(P$94="","",Underwriting!U207)</f>
        <v>0</v>
      </c>
      <c r="Q103" s="492">
        <f>IF(Q$94="","",Underwriting!V207)</f>
        <v>0</v>
      </c>
      <c r="R103" s="492">
        <f>IF(R$94="","",Underwriting!W207)</f>
        <v>0</v>
      </c>
      <c r="S103" s="492">
        <f>IF(S$94="","",Underwriting!X207)</f>
        <v>0</v>
      </c>
      <c r="T103" s="492">
        <f>IF(T$94="","",Underwriting!Y207)</f>
        <v>0</v>
      </c>
      <c r="U103" s="492">
        <f>IF(U$94="","",Underwriting!Z207)</f>
        <v>0</v>
      </c>
      <c r="V103" s="492">
        <f>IF(V$94="","",Underwriting!AA207)</f>
        <v>0</v>
      </c>
      <c r="W103" s="492">
        <f>IF(W$94="","",Underwriting!AB207)</f>
        <v>0</v>
      </c>
      <c r="X103" s="492">
        <f>IF(X$94="","",Underwriting!AC207)</f>
        <v>0</v>
      </c>
      <c r="Y103" s="492">
        <f>IF(Y$94="","",Underwriting!AD207)</f>
        <v>0</v>
      </c>
      <c r="Z103" s="492">
        <f>IF(Z$94="","",Underwriting!AE207)</f>
        <v>0</v>
      </c>
      <c r="AA103" s="492">
        <f>IF(AA$94="","",Underwriting!AF207)</f>
        <v>0</v>
      </c>
      <c r="AB103" s="492">
        <f>IF(AB$94="","",Underwriting!AG207)</f>
        <v>0</v>
      </c>
      <c r="AC103" s="492">
        <f>IF(AC$94="","",Underwriting!AH207)</f>
        <v>0</v>
      </c>
      <c r="AD103" s="492">
        <f>IF(AD$94="","",Underwriting!AI207)</f>
        <v>0</v>
      </c>
      <c r="AE103" s="492">
        <f>IF(AE$94="","",Underwriting!AJ207)</f>
        <v>0</v>
      </c>
      <c r="AF103" s="492">
        <f>IF(AF$94="","",Underwriting!AK207)</f>
        <v>0</v>
      </c>
      <c r="AG103" s="492">
        <f>IF(AG$94="","",Underwriting!AL207)</f>
        <v>0</v>
      </c>
      <c r="AH103" s="492">
        <f>IF(AH$94="","",Underwriting!AM207)</f>
        <v>0</v>
      </c>
      <c r="AI103" s="492">
        <f>IF(AI$94="","",Underwriting!AN207)</f>
        <v>0</v>
      </c>
      <c r="AJ103" s="492">
        <f>IF(AJ$94="","",Underwriting!AO207)</f>
        <v>0</v>
      </c>
      <c r="AK103" s="492">
        <f>IF(AK$94="","",Underwriting!AP207)</f>
        <v>0</v>
      </c>
      <c r="AL103" s="492">
        <f>IF(AL$94="","",Underwriting!AQ207)</f>
        <v>0</v>
      </c>
      <c r="AM103" s="492">
        <f>IF(AM$94="","",Underwriting!AR207)</f>
        <v>0</v>
      </c>
      <c r="AN103" s="492">
        <f>IF(AN$94="","",Underwriting!AS207)</f>
        <v>0</v>
      </c>
      <c r="AO103" s="492">
        <f>IF(AO$94="","",Underwriting!AT207)</f>
        <v>0</v>
      </c>
      <c r="AP103" s="492">
        <f>IF(AP$94="","",Underwriting!AU207)</f>
        <v>0</v>
      </c>
      <c r="AQ103" s="492">
        <f>IF(AQ$94="","",Underwriting!AV207)</f>
        <v>0</v>
      </c>
      <c r="AR103" s="492">
        <f>IF(AR$94="","",Underwriting!AW207)</f>
        <v>0</v>
      </c>
      <c r="AS103" s="492">
        <f>IF(AS$94="","",Underwriting!AX207)</f>
        <v>0</v>
      </c>
      <c r="AT103" s="492">
        <f>IF(AT$94="","",Underwriting!AY207)</f>
        <v>0</v>
      </c>
      <c r="AU103" s="492">
        <f>IF(AU$94="","",Underwriting!AZ207)</f>
        <v>0</v>
      </c>
      <c r="AV103" s="492">
        <f>IF(AV$94="","",Underwriting!BA207)</f>
        <v>0</v>
      </c>
      <c r="AW103" s="492">
        <f>IF(AW$94="","",Underwriting!BB207)</f>
        <v>0</v>
      </c>
      <c r="AX103" s="492">
        <f>IF(AX$94="","",Underwriting!BC207)</f>
        <v>0</v>
      </c>
      <c r="AY103" s="492">
        <f>IF(AY$94="","",Underwriting!BD207)</f>
        <v>0</v>
      </c>
      <c r="AZ103" s="492">
        <f>IF(AZ$94="","",Underwriting!BE207)</f>
        <v>-43911647.873051375</v>
      </c>
      <c r="BA103" s="492" t="str">
        <f>IF(BA$94="","",Underwriting!BF207)</f>
        <v/>
      </c>
      <c r="BB103" s="492" t="str">
        <f>IF(BB$94="","",Underwriting!BG207)</f>
        <v/>
      </c>
      <c r="BC103" s="492" t="str">
        <f>IF(BC$94="","",Underwriting!BH207)</f>
        <v/>
      </c>
      <c r="BD103" s="492" t="str">
        <f>IF(BD$94="","",Underwriting!BI207)</f>
        <v/>
      </c>
      <c r="BE103" s="492" t="str">
        <f>IF(BE$94="","",Underwriting!BJ207)</f>
        <v/>
      </c>
      <c r="BF103" s="492" t="str">
        <f>IF(BF$94="","",Underwriting!BK207)</f>
        <v/>
      </c>
      <c r="BG103" s="492" t="str">
        <f>IF(BG$94="","",Underwriting!BL207)</f>
        <v/>
      </c>
      <c r="BH103" s="492" t="str">
        <f>IF(BH$94="","",Underwriting!BM207)</f>
        <v/>
      </c>
      <c r="BI103" s="492" t="str">
        <f>IF(BI$94="","",Underwriting!BN207)</f>
        <v/>
      </c>
      <c r="BJ103" s="492" t="str">
        <f>IF(BJ$94="","",Underwriting!BO207)</f>
        <v/>
      </c>
      <c r="BK103" s="492" t="str">
        <f>IF(BK$94="","",Underwriting!BP207)</f>
        <v/>
      </c>
      <c r="BL103" s="492" t="str">
        <f>IF(BL$94="","",Underwriting!BQ207)</f>
        <v/>
      </c>
      <c r="BM103" s="492" t="str">
        <f>IF(BM$94="","",Underwriting!BR207)</f>
        <v/>
      </c>
      <c r="BN103" s="492" t="str">
        <f>IF(BN$94="","",Underwriting!BS207)</f>
        <v/>
      </c>
      <c r="BO103" s="492" t="str">
        <f>IF(BO$94="","",Underwriting!BT207)</f>
        <v/>
      </c>
      <c r="BP103" s="492" t="str">
        <f>IF(BP$94="","",Underwriting!BU207)</f>
        <v/>
      </c>
      <c r="BQ103" s="492" t="str">
        <f>IF(BQ$94="","",Underwriting!BV207)</f>
        <v/>
      </c>
      <c r="BR103" s="492" t="str">
        <f>IF(BR$94="","",Underwriting!BW207)</f>
        <v/>
      </c>
      <c r="BS103" s="492" t="str">
        <f>IF(BS$94="","",Underwriting!BX207)</f>
        <v/>
      </c>
      <c r="BT103" s="492" t="str">
        <f>IF(BT$94="","",Underwriting!BY207)</f>
        <v/>
      </c>
      <c r="BU103" s="492" t="str">
        <f>IF(BU$94="","",Underwriting!BZ207)</f>
        <v/>
      </c>
      <c r="BV103" s="492" t="str">
        <f>IF(BV$94="","",Underwriting!CA207)</f>
        <v/>
      </c>
      <c r="BW103" s="492" t="str">
        <f>IF(BW$94="","",Underwriting!CB207)</f>
        <v/>
      </c>
      <c r="BX103" s="492" t="str">
        <f>IF(BX$94="","",Underwriting!CC207)</f>
        <v/>
      </c>
      <c r="BY103" s="492" t="str">
        <f>IF(BY$94="","",Underwriting!CD207)</f>
        <v/>
      </c>
      <c r="BZ103" s="492" t="str">
        <f>IF(BZ$94="","",Underwriting!CE207)</f>
        <v/>
      </c>
      <c r="CA103" s="492" t="str">
        <f>IF(CA$94="","",Underwriting!CF207)</f>
        <v/>
      </c>
      <c r="CB103" s="492" t="str">
        <f>IF(CB$94="","",Underwriting!CG207)</f>
        <v/>
      </c>
      <c r="CC103" s="492" t="str">
        <f>IF(CC$94="","",Underwriting!CH207)</f>
        <v/>
      </c>
      <c r="CD103" s="492" t="str">
        <f>IF(CD$94="","",Underwriting!CI207)</f>
        <v/>
      </c>
      <c r="CE103" s="492" t="str">
        <f>IF(CE$94="","",Underwriting!CJ207)</f>
        <v/>
      </c>
      <c r="CF103" s="492" t="str">
        <f>IF(CF$94="","",Underwriting!CK207)</f>
        <v/>
      </c>
      <c r="CG103" s="492" t="str">
        <f>IF(CG$94="","",Underwriting!CL207)</f>
        <v/>
      </c>
      <c r="CH103" s="492" t="str">
        <f>IF(CH$94="","",Underwriting!CM207)</f>
        <v/>
      </c>
      <c r="CI103" s="492" t="str">
        <f>IF(CI$94="","",Underwriting!CN207)</f>
        <v/>
      </c>
      <c r="CJ103" s="492" t="str">
        <f>IF(CJ$94="","",Underwriting!CO207)</f>
        <v/>
      </c>
      <c r="CK103" s="492" t="str">
        <f>IF(CK$94="","",Underwriting!CP207)</f>
        <v/>
      </c>
      <c r="CL103" s="492" t="str">
        <f>IF(CL$94="","",Underwriting!CQ207)</f>
        <v/>
      </c>
      <c r="CM103" s="492" t="str">
        <f>IF(CM$94="","",Underwriting!CR207)</f>
        <v/>
      </c>
      <c r="CN103" s="492" t="str">
        <f>IF(CN$94="","",Underwriting!CS207)</f>
        <v/>
      </c>
      <c r="CO103" s="492" t="str">
        <f>IF(CO$94="","",Underwriting!CT207)</f>
        <v/>
      </c>
      <c r="CP103" s="492" t="str">
        <f>IF(CP$94="","",Underwriting!CU207)</f>
        <v/>
      </c>
      <c r="CQ103" s="492" t="str">
        <f>IF(CQ$94="","",Underwriting!CV207)</f>
        <v/>
      </c>
      <c r="CR103" s="492" t="str">
        <f>IF(CR$94="","",Underwriting!CW207)</f>
        <v/>
      </c>
      <c r="CS103" s="492" t="str">
        <f>IF(CS$94="","",Underwriting!CX207)</f>
        <v/>
      </c>
      <c r="CT103" s="492" t="str">
        <f>IF(CT$94="","",Underwriting!CY207)</f>
        <v/>
      </c>
      <c r="CU103" s="492" t="str">
        <f>IF(CU$94="","",Underwriting!CZ207)</f>
        <v/>
      </c>
      <c r="CV103" s="492" t="str">
        <f>IF(CV$94="","",Underwriting!DA207)</f>
        <v/>
      </c>
      <c r="CW103" s="492" t="str">
        <f>IF(CW$94="","",Underwriting!DB207)</f>
        <v/>
      </c>
      <c r="CX103" s="492" t="str">
        <f>IF(CX$94="","",Underwriting!DC207)</f>
        <v/>
      </c>
      <c r="CY103" s="492" t="str">
        <f>IF(CY$94="","",Underwriting!DD207)</f>
        <v/>
      </c>
      <c r="CZ103" s="492" t="str">
        <f>IF(CZ$94="","",Underwriting!DE207)</f>
        <v/>
      </c>
      <c r="DA103" s="492" t="str">
        <f>IF(DA$94="","",Underwriting!DF207)</f>
        <v/>
      </c>
      <c r="DB103" s="492" t="str">
        <f>IF(DB$94="","",Underwriting!DG207)</f>
        <v/>
      </c>
      <c r="DC103" s="492" t="str">
        <f>IF(DC$94="","",Underwriting!DH207)</f>
        <v/>
      </c>
      <c r="DD103" s="492" t="str">
        <f>IF(DD$94="","",Underwriting!DI207)</f>
        <v/>
      </c>
      <c r="DE103" s="492" t="str">
        <f>IF(DE$94="","",Underwriting!DJ207)</f>
        <v/>
      </c>
      <c r="DF103" s="492" t="str">
        <f>IF(DF$94="","",Underwriting!DK207)</f>
        <v/>
      </c>
      <c r="DG103" s="492" t="str">
        <f>IF(DG$94="","",Underwriting!DL207)</f>
        <v/>
      </c>
      <c r="DH103" s="492" t="str">
        <f>IF(DH$94="","",Underwriting!DM207)</f>
        <v/>
      </c>
      <c r="DI103" s="492" t="str">
        <f>IF(DI$94="","",Underwriting!DN207)</f>
        <v/>
      </c>
      <c r="DJ103" s="492" t="str">
        <f>IF(DJ$94="","",Underwriting!DO207)</f>
        <v/>
      </c>
      <c r="DK103" s="492" t="str">
        <f>IF(DK$94="","",Underwriting!DP207)</f>
        <v/>
      </c>
      <c r="DL103" s="492" t="str">
        <f>IF(DL$94="","",Underwriting!DQ207)</f>
        <v/>
      </c>
      <c r="DM103" s="492" t="str">
        <f>IF(DM$94="","",Underwriting!DR207)</f>
        <v/>
      </c>
      <c r="DN103" s="492" t="str">
        <f>IF(DN$94="","",Underwriting!DS207)</f>
        <v/>
      </c>
      <c r="DO103" s="492" t="str">
        <f>IF(DO$94="","",Underwriting!DT207)</f>
        <v/>
      </c>
      <c r="DP103" s="492" t="str">
        <f>IF(DP$94="","",Underwriting!DU207)</f>
        <v/>
      </c>
      <c r="DQ103" s="492" t="str">
        <f>IF(DQ$94="","",Underwriting!DV207)</f>
        <v/>
      </c>
      <c r="DR103" s="492" t="str">
        <f>IF(DR$94="","",Underwriting!DW207)</f>
        <v/>
      </c>
      <c r="DS103" s="492" t="str">
        <f>IF(DS$94="","",Underwriting!DX207)</f>
        <v/>
      </c>
      <c r="DT103" s="492" t="str">
        <f>IF(DT$94="","",Underwriting!DY207)</f>
        <v/>
      </c>
      <c r="DU103" s="492" t="str">
        <f>IF(DU$94="","",Underwriting!DZ207)</f>
        <v/>
      </c>
      <c r="DV103" s="492" t="str">
        <f>IF(DV$94="","",Underwriting!EA207)</f>
        <v/>
      </c>
      <c r="DW103" s="492" t="str">
        <f>IF(DW$94="","",Underwriting!EB207)</f>
        <v/>
      </c>
      <c r="DX103" s="492" t="str">
        <f>IF(DX$94="","",Underwriting!EC207)</f>
        <v/>
      </c>
      <c r="DY103" s="492" t="str">
        <f>IF(DY$94="","",Underwriting!ED207)</f>
        <v/>
      </c>
      <c r="DZ103" s="492" t="str">
        <f>IF(DZ$94="","",Underwriting!EE207)</f>
        <v/>
      </c>
      <c r="EA103" s="492" t="str">
        <f>IF(EA$94="","",Underwriting!EF207)</f>
        <v/>
      </c>
      <c r="EB103" s="492" t="str">
        <f>IF(EB$94="","",Underwriting!EG207)</f>
        <v/>
      </c>
      <c r="EC103" s="492" t="str">
        <f>IF(EC$94="","",Underwriting!EH207)</f>
        <v/>
      </c>
      <c r="ED103" s="492" t="str">
        <f>IF(ED$94="","",Underwriting!EI207)</f>
        <v/>
      </c>
      <c r="EE103" s="492" t="str">
        <f>IF(EE$94="","",Underwriting!EJ207)</f>
        <v/>
      </c>
      <c r="EF103" s="492" t="str">
        <f>IF(EF$94="","",Underwriting!EK207)</f>
        <v/>
      </c>
      <c r="EG103" s="492" t="str">
        <f>IF(EG$94="","",Underwriting!EL207)</f>
        <v/>
      </c>
      <c r="EH103" s="492" t="str">
        <f>IF(EH$94="","",Underwriting!EM207)</f>
        <v/>
      </c>
      <c r="EI103" s="492" t="str">
        <f>IF(EI$94="","",Underwriting!EN207)</f>
        <v/>
      </c>
    </row>
    <row r="104" spans="2:139" hidden="1" outlineLevel="1" x14ac:dyDescent="0.2">
      <c r="B104" s="92" t="s">
        <v>196</v>
      </c>
      <c r="C104" s="4"/>
      <c r="D104" s="4"/>
      <c r="E104" s="4"/>
      <c r="F104" s="4"/>
      <c r="G104" s="487">
        <f ca="1">SUM(G102:G103)</f>
        <v>0</v>
      </c>
      <c r="H104" s="487">
        <f t="shared" ref="H104:BS104" ca="1" si="62">SUM(H102:H103)</f>
        <v>0</v>
      </c>
      <c r="I104" s="487">
        <f t="shared" ca="1" si="62"/>
        <v>0</v>
      </c>
      <c r="J104" s="487">
        <f t="shared" ca="1" si="62"/>
        <v>0</v>
      </c>
      <c r="K104" s="487">
        <f t="shared" ca="1" si="62"/>
        <v>0</v>
      </c>
      <c r="L104" s="487">
        <f t="shared" ca="1" si="62"/>
        <v>0</v>
      </c>
      <c r="M104" s="487">
        <f t="shared" ca="1" si="62"/>
        <v>0</v>
      </c>
      <c r="N104" s="487">
        <f t="shared" ca="1" si="62"/>
        <v>0</v>
      </c>
      <c r="O104" s="487">
        <f t="shared" ca="1" si="62"/>
        <v>0</v>
      </c>
      <c r="P104" s="487">
        <f t="shared" ca="1" si="62"/>
        <v>0</v>
      </c>
      <c r="Q104" s="487">
        <f t="shared" ca="1" si="62"/>
        <v>0</v>
      </c>
      <c r="R104" s="487">
        <f t="shared" ca="1" si="62"/>
        <v>0</v>
      </c>
      <c r="S104" s="487">
        <f t="shared" ca="1" si="62"/>
        <v>0</v>
      </c>
      <c r="T104" s="487">
        <f t="shared" ca="1" si="62"/>
        <v>0</v>
      </c>
      <c r="U104" s="487">
        <f t="shared" ca="1" si="62"/>
        <v>0</v>
      </c>
      <c r="V104" s="487">
        <f t="shared" ca="1" si="62"/>
        <v>0</v>
      </c>
      <c r="W104" s="487">
        <f t="shared" ca="1" si="62"/>
        <v>0</v>
      </c>
      <c r="X104" s="487">
        <f t="shared" ca="1" si="62"/>
        <v>0</v>
      </c>
      <c r="Y104" s="487">
        <f t="shared" ca="1" si="62"/>
        <v>0</v>
      </c>
      <c r="Z104" s="487">
        <f t="shared" ca="1" si="62"/>
        <v>0</v>
      </c>
      <c r="AA104" s="487">
        <f t="shared" ca="1" si="62"/>
        <v>0</v>
      </c>
      <c r="AB104" s="487">
        <f t="shared" ca="1" si="62"/>
        <v>0</v>
      </c>
      <c r="AC104" s="487">
        <f t="shared" ca="1" si="62"/>
        <v>0</v>
      </c>
      <c r="AD104" s="487">
        <f t="shared" ca="1" si="62"/>
        <v>0</v>
      </c>
      <c r="AE104" s="487">
        <f t="shared" ca="1" si="62"/>
        <v>0</v>
      </c>
      <c r="AF104" s="487">
        <f t="shared" ca="1" si="62"/>
        <v>0</v>
      </c>
      <c r="AG104" s="487">
        <f t="shared" ca="1" si="62"/>
        <v>0</v>
      </c>
      <c r="AH104" s="487">
        <f t="shared" ca="1" si="62"/>
        <v>0</v>
      </c>
      <c r="AI104" s="487">
        <f t="shared" ca="1" si="62"/>
        <v>0</v>
      </c>
      <c r="AJ104" s="487">
        <f t="shared" ca="1" si="62"/>
        <v>0</v>
      </c>
      <c r="AK104" s="487">
        <f t="shared" ca="1" si="62"/>
        <v>0</v>
      </c>
      <c r="AL104" s="487">
        <f t="shared" ca="1" si="62"/>
        <v>0</v>
      </c>
      <c r="AM104" s="487">
        <f t="shared" ca="1" si="62"/>
        <v>0</v>
      </c>
      <c r="AN104" s="487">
        <f t="shared" ca="1" si="62"/>
        <v>0</v>
      </c>
      <c r="AO104" s="487">
        <f t="shared" ca="1" si="62"/>
        <v>0</v>
      </c>
      <c r="AP104" s="487">
        <f t="shared" ca="1" si="62"/>
        <v>0</v>
      </c>
      <c r="AQ104" s="487">
        <f t="shared" ca="1" si="62"/>
        <v>0</v>
      </c>
      <c r="AR104" s="487">
        <f t="shared" ca="1" si="62"/>
        <v>0</v>
      </c>
      <c r="AS104" s="487">
        <f t="shared" ca="1" si="62"/>
        <v>0</v>
      </c>
      <c r="AT104" s="487">
        <f t="shared" ca="1" si="62"/>
        <v>0</v>
      </c>
      <c r="AU104" s="487">
        <f t="shared" ca="1" si="62"/>
        <v>0</v>
      </c>
      <c r="AV104" s="487">
        <f t="shared" ca="1" si="62"/>
        <v>0</v>
      </c>
      <c r="AW104" s="487">
        <f t="shared" ca="1" si="62"/>
        <v>0</v>
      </c>
      <c r="AX104" s="487">
        <f t="shared" ca="1" si="62"/>
        <v>0</v>
      </c>
      <c r="AY104" s="487">
        <f t="shared" ca="1" si="62"/>
        <v>0</v>
      </c>
      <c r="AZ104" s="487">
        <f t="shared" ca="1" si="62"/>
        <v>22183049.73422005</v>
      </c>
      <c r="BA104" s="487">
        <f t="shared" si="62"/>
        <v>0</v>
      </c>
      <c r="BB104" s="487">
        <f t="shared" si="62"/>
        <v>0</v>
      </c>
      <c r="BC104" s="487">
        <f t="shared" si="62"/>
        <v>0</v>
      </c>
      <c r="BD104" s="487">
        <f t="shared" si="62"/>
        <v>0</v>
      </c>
      <c r="BE104" s="487">
        <f t="shared" si="62"/>
        <v>0</v>
      </c>
      <c r="BF104" s="487">
        <f t="shared" si="62"/>
        <v>0</v>
      </c>
      <c r="BG104" s="487">
        <f t="shared" si="62"/>
        <v>0</v>
      </c>
      <c r="BH104" s="487">
        <f t="shared" si="62"/>
        <v>0</v>
      </c>
      <c r="BI104" s="487">
        <f t="shared" si="62"/>
        <v>0</v>
      </c>
      <c r="BJ104" s="487">
        <f t="shared" si="62"/>
        <v>0</v>
      </c>
      <c r="BK104" s="487">
        <f t="shared" si="62"/>
        <v>0</v>
      </c>
      <c r="BL104" s="487">
        <f t="shared" si="62"/>
        <v>0</v>
      </c>
      <c r="BM104" s="487">
        <f t="shared" si="62"/>
        <v>0</v>
      </c>
      <c r="BN104" s="487">
        <f t="shared" si="62"/>
        <v>0</v>
      </c>
      <c r="BO104" s="487">
        <f t="shared" si="62"/>
        <v>0</v>
      </c>
      <c r="BP104" s="487">
        <f t="shared" si="62"/>
        <v>0</v>
      </c>
      <c r="BQ104" s="487">
        <f t="shared" si="62"/>
        <v>0</v>
      </c>
      <c r="BR104" s="487">
        <f t="shared" si="62"/>
        <v>0</v>
      </c>
      <c r="BS104" s="487">
        <f t="shared" si="62"/>
        <v>0</v>
      </c>
      <c r="BT104" s="487">
        <f t="shared" ref="BT104:EE104" si="63">SUM(BT102:BT103)</f>
        <v>0</v>
      </c>
      <c r="BU104" s="487">
        <f t="shared" si="63"/>
        <v>0</v>
      </c>
      <c r="BV104" s="487">
        <f t="shared" si="63"/>
        <v>0</v>
      </c>
      <c r="BW104" s="487">
        <f t="shared" si="63"/>
        <v>0</v>
      </c>
      <c r="BX104" s="487">
        <f t="shared" si="63"/>
        <v>0</v>
      </c>
      <c r="BY104" s="487">
        <f t="shared" si="63"/>
        <v>0</v>
      </c>
      <c r="BZ104" s="487">
        <f t="shared" si="63"/>
        <v>0</v>
      </c>
      <c r="CA104" s="487">
        <f t="shared" si="63"/>
        <v>0</v>
      </c>
      <c r="CB104" s="487">
        <f t="shared" si="63"/>
        <v>0</v>
      </c>
      <c r="CC104" s="487">
        <f t="shared" si="63"/>
        <v>0</v>
      </c>
      <c r="CD104" s="487">
        <f t="shared" si="63"/>
        <v>0</v>
      </c>
      <c r="CE104" s="487">
        <f t="shared" si="63"/>
        <v>0</v>
      </c>
      <c r="CF104" s="487">
        <f t="shared" si="63"/>
        <v>0</v>
      </c>
      <c r="CG104" s="487">
        <f t="shared" si="63"/>
        <v>0</v>
      </c>
      <c r="CH104" s="487">
        <f t="shared" si="63"/>
        <v>0</v>
      </c>
      <c r="CI104" s="487">
        <f t="shared" si="63"/>
        <v>0</v>
      </c>
      <c r="CJ104" s="487">
        <f t="shared" si="63"/>
        <v>0</v>
      </c>
      <c r="CK104" s="487">
        <f t="shared" si="63"/>
        <v>0</v>
      </c>
      <c r="CL104" s="487">
        <f t="shared" si="63"/>
        <v>0</v>
      </c>
      <c r="CM104" s="487">
        <f t="shared" si="63"/>
        <v>0</v>
      </c>
      <c r="CN104" s="487">
        <f t="shared" si="63"/>
        <v>0</v>
      </c>
      <c r="CO104" s="487">
        <f t="shared" si="63"/>
        <v>0</v>
      </c>
      <c r="CP104" s="487">
        <f t="shared" si="63"/>
        <v>0</v>
      </c>
      <c r="CQ104" s="487">
        <f t="shared" si="63"/>
        <v>0</v>
      </c>
      <c r="CR104" s="487">
        <f t="shared" si="63"/>
        <v>0</v>
      </c>
      <c r="CS104" s="487">
        <f t="shared" si="63"/>
        <v>0</v>
      </c>
      <c r="CT104" s="487">
        <f t="shared" si="63"/>
        <v>0</v>
      </c>
      <c r="CU104" s="487">
        <f t="shared" si="63"/>
        <v>0</v>
      </c>
      <c r="CV104" s="487">
        <f t="shared" si="63"/>
        <v>0</v>
      </c>
      <c r="CW104" s="487">
        <f t="shared" si="63"/>
        <v>0</v>
      </c>
      <c r="CX104" s="487">
        <f t="shared" si="63"/>
        <v>0</v>
      </c>
      <c r="CY104" s="487">
        <f t="shared" si="63"/>
        <v>0</v>
      </c>
      <c r="CZ104" s="487">
        <f t="shared" si="63"/>
        <v>0</v>
      </c>
      <c r="DA104" s="487">
        <f t="shared" si="63"/>
        <v>0</v>
      </c>
      <c r="DB104" s="487">
        <f t="shared" si="63"/>
        <v>0</v>
      </c>
      <c r="DC104" s="487">
        <f t="shared" si="63"/>
        <v>0</v>
      </c>
      <c r="DD104" s="487">
        <f t="shared" si="63"/>
        <v>0</v>
      </c>
      <c r="DE104" s="487">
        <f t="shared" si="63"/>
        <v>0</v>
      </c>
      <c r="DF104" s="487">
        <f t="shared" si="63"/>
        <v>0</v>
      </c>
      <c r="DG104" s="487">
        <f t="shared" si="63"/>
        <v>0</v>
      </c>
      <c r="DH104" s="487">
        <f t="shared" si="63"/>
        <v>0</v>
      </c>
      <c r="DI104" s="487">
        <f t="shared" si="63"/>
        <v>0</v>
      </c>
      <c r="DJ104" s="487">
        <f t="shared" si="63"/>
        <v>0</v>
      </c>
      <c r="DK104" s="487">
        <f t="shared" si="63"/>
        <v>0</v>
      </c>
      <c r="DL104" s="487">
        <f t="shared" si="63"/>
        <v>0</v>
      </c>
      <c r="DM104" s="487">
        <f t="shared" si="63"/>
        <v>0</v>
      </c>
      <c r="DN104" s="487">
        <f t="shared" si="63"/>
        <v>0</v>
      </c>
      <c r="DO104" s="487">
        <f t="shared" si="63"/>
        <v>0</v>
      </c>
      <c r="DP104" s="487">
        <f t="shared" si="63"/>
        <v>0</v>
      </c>
      <c r="DQ104" s="487">
        <f t="shared" si="63"/>
        <v>0</v>
      </c>
      <c r="DR104" s="487">
        <f t="shared" si="63"/>
        <v>0</v>
      </c>
      <c r="DS104" s="487">
        <f t="shared" si="63"/>
        <v>0</v>
      </c>
      <c r="DT104" s="487">
        <f t="shared" si="63"/>
        <v>0</v>
      </c>
      <c r="DU104" s="487">
        <f t="shared" si="63"/>
        <v>0</v>
      </c>
      <c r="DV104" s="487">
        <f t="shared" si="63"/>
        <v>0</v>
      </c>
      <c r="DW104" s="487">
        <f t="shared" si="63"/>
        <v>0</v>
      </c>
      <c r="DX104" s="487">
        <f t="shared" si="63"/>
        <v>0</v>
      </c>
      <c r="DY104" s="487">
        <f t="shared" si="63"/>
        <v>0</v>
      </c>
      <c r="DZ104" s="487">
        <f t="shared" si="63"/>
        <v>0</v>
      </c>
      <c r="EA104" s="487">
        <f t="shared" si="63"/>
        <v>0</v>
      </c>
      <c r="EB104" s="487">
        <f t="shared" si="63"/>
        <v>0</v>
      </c>
      <c r="EC104" s="487">
        <f t="shared" si="63"/>
        <v>0</v>
      </c>
      <c r="ED104" s="487">
        <f t="shared" si="63"/>
        <v>0</v>
      </c>
      <c r="EE104" s="487">
        <f t="shared" si="63"/>
        <v>0</v>
      </c>
      <c r="EF104" s="487">
        <f t="shared" ref="EF104:EI104" si="64">SUM(EF102:EF103)</f>
        <v>0</v>
      </c>
      <c r="EG104" s="487">
        <f t="shared" si="64"/>
        <v>0</v>
      </c>
      <c r="EH104" s="487">
        <f t="shared" si="64"/>
        <v>0</v>
      </c>
      <c r="EI104" s="487">
        <f t="shared" si="64"/>
        <v>0</v>
      </c>
    </row>
    <row r="105" spans="2:139" hidden="1" outlineLevel="1" x14ac:dyDescent="0.2">
      <c r="B105" s="92"/>
      <c r="C105" s="4"/>
      <c r="D105" s="4"/>
      <c r="E105" s="4"/>
      <c r="F105" s="4"/>
      <c r="G105" s="487"/>
      <c r="H105" s="487"/>
      <c r="I105" s="487"/>
      <c r="J105" s="487"/>
      <c r="K105" s="487"/>
      <c r="L105" s="487"/>
      <c r="M105" s="487"/>
      <c r="N105" s="487"/>
      <c r="O105" s="487"/>
      <c r="P105" s="487"/>
      <c r="Q105" s="487"/>
      <c r="R105" s="487"/>
      <c r="S105" s="487"/>
      <c r="T105" s="487"/>
      <c r="U105" s="487"/>
      <c r="V105" s="487"/>
      <c r="W105" s="487"/>
      <c r="X105" s="487"/>
      <c r="Y105" s="487"/>
      <c r="Z105" s="487"/>
      <c r="AA105" s="487"/>
      <c r="AB105" s="487"/>
      <c r="AC105" s="487"/>
      <c r="AD105" s="487"/>
      <c r="AE105" s="487"/>
      <c r="AF105" s="487"/>
      <c r="AG105" s="487"/>
      <c r="AH105" s="487"/>
      <c r="AI105" s="487"/>
      <c r="AJ105" s="487"/>
      <c r="AK105" s="487"/>
      <c r="AL105" s="487"/>
      <c r="AM105" s="487"/>
      <c r="AN105" s="487"/>
      <c r="AO105" s="487"/>
      <c r="AP105" s="487"/>
      <c r="AQ105" s="487"/>
      <c r="AR105" s="487"/>
      <c r="AS105" s="487"/>
      <c r="AT105" s="487"/>
      <c r="AU105" s="487"/>
      <c r="AV105" s="487"/>
      <c r="AW105" s="487"/>
      <c r="AX105" s="487"/>
      <c r="AY105" s="487"/>
      <c r="AZ105" s="487"/>
      <c r="BA105" s="487"/>
      <c r="BB105" s="487"/>
      <c r="BC105" s="487"/>
      <c r="BD105" s="487"/>
      <c r="BE105" s="487"/>
      <c r="BF105" s="487"/>
      <c r="BG105" s="487"/>
      <c r="BH105" s="487"/>
      <c r="BI105" s="487"/>
      <c r="BJ105" s="487"/>
      <c r="BK105" s="487"/>
      <c r="BL105" s="487"/>
      <c r="BM105" s="487"/>
      <c r="BN105" s="487"/>
      <c r="BO105" s="487"/>
      <c r="BP105" s="487"/>
      <c r="BQ105" s="487"/>
      <c r="BR105" s="487"/>
      <c r="BS105" s="487"/>
      <c r="BT105" s="487"/>
      <c r="BU105" s="487"/>
      <c r="BV105" s="487"/>
      <c r="BW105" s="487"/>
      <c r="BX105" s="487"/>
      <c r="BY105" s="487"/>
      <c r="BZ105" s="487"/>
      <c r="CA105" s="487"/>
      <c r="CB105" s="487"/>
      <c r="CC105" s="487"/>
      <c r="CD105" s="487"/>
      <c r="CE105" s="487"/>
      <c r="CF105" s="487"/>
      <c r="CG105" s="487"/>
      <c r="CH105" s="487"/>
      <c r="CI105" s="487"/>
      <c r="CJ105" s="487"/>
      <c r="CK105" s="487"/>
      <c r="CL105" s="487"/>
      <c r="CM105" s="487"/>
      <c r="CN105" s="487"/>
      <c r="CO105" s="487"/>
      <c r="CP105" s="487"/>
      <c r="CQ105" s="487"/>
      <c r="CR105" s="487"/>
      <c r="CS105" s="487"/>
      <c r="CT105" s="487"/>
      <c r="CU105" s="487"/>
      <c r="CV105" s="487"/>
      <c r="CW105" s="487"/>
      <c r="CX105" s="487"/>
      <c r="CY105" s="487"/>
      <c r="CZ105" s="487"/>
      <c r="DA105" s="487"/>
      <c r="DB105" s="487"/>
      <c r="DC105" s="487"/>
      <c r="DD105" s="487"/>
      <c r="DE105" s="487"/>
      <c r="DF105" s="487"/>
      <c r="DG105" s="487"/>
      <c r="DH105" s="487"/>
      <c r="DI105" s="487"/>
      <c r="DJ105" s="487"/>
      <c r="DK105" s="487"/>
      <c r="DL105" s="487"/>
      <c r="DM105" s="487"/>
      <c r="DN105" s="487"/>
      <c r="DO105" s="487"/>
      <c r="DP105" s="487"/>
      <c r="DQ105" s="487"/>
      <c r="DR105" s="487"/>
      <c r="DS105" s="487"/>
      <c r="DT105" s="487"/>
      <c r="DU105" s="487"/>
      <c r="DV105" s="487"/>
      <c r="DW105" s="487"/>
      <c r="DX105" s="487"/>
      <c r="DY105" s="487"/>
      <c r="DZ105" s="487"/>
      <c r="EA105" s="487"/>
      <c r="EB105" s="487"/>
      <c r="EC105" s="487"/>
      <c r="ED105" s="487"/>
      <c r="EE105" s="487"/>
      <c r="EF105" s="487"/>
      <c r="EG105" s="487"/>
      <c r="EH105" s="487"/>
      <c r="EI105" s="487"/>
    </row>
    <row r="106" spans="2:139" hidden="1" outlineLevel="1" x14ac:dyDescent="0.2">
      <c r="B106" s="158" t="s">
        <v>193</v>
      </c>
      <c r="C106" s="4"/>
      <c r="D106" s="4"/>
      <c r="E106" s="4"/>
      <c r="F106" s="4"/>
      <c r="G106" s="487">
        <f ca="1">IF(G$94="","",Underwriting!L212)</f>
        <v>-3028509</v>
      </c>
      <c r="H106" s="487">
        <f ca="1">IF(H$94="","",Underwriting!M212)</f>
        <v>-434615.43632992054</v>
      </c>
      <c r="I106" s="487">
        <f ca="1">IF(I$94="","",Underwriting!N212)</f>
        <v>-595115.21586161223</v>
      </c>
      <c r="J106" s="487">
        <f ca="1">IF(J$94="","",Underwriting!O212)</f>
        <v>-913409.18359364895</v>
      </c>
      <c r="K106" s="487">
        <f ca="1">IF(K$94="","",Underwriting!P212)</f>
        <v>-1467820.9038815256</v>
      </c>
      <c r="L106" s="487">
        <f ca="1">IF(L$94="","",Underwriting!Q212)</f>
        <v>-2309629.6734741665</v>
      </c>
      <c r="M106" s="487">
        <f ca="1">IF(M$94="","",Underwriting!R212)</f>
        <v>-3409858.2075612606</v>
      </c>
      <c r="N106" s="487">
        <f ca="1">IF(N$94="","",Underwriting!S212)</f>
        <v>-4618633.3206490651</v>
      </c>
      <c r="O106" s="487">
        <f ca="1">IF(O$94="","",Underwriting!T212)</f>
        <v>-5677109.6220104769</v>
      </c>
      <c r="P106" s="487">
        <f ca="1">IF(P$94="","",Underwriting!U212)</f>
        <v>-6300422.6669670288</v>
      </c>
      <c r="Q106" s="487">
        <f ca="1">IF(Q$94="","",Underwriting!V212)</f>
        <v>-6300422.6669670306</v>
      </c>
      <c r="R106" s="487">
        <f ca="1">IF(R$94="","",Underwriting!W212)</f>
        <v>-5677109.622010475</v>
      </c>
      <c r="S106" s="487">
        <f ca="1">IF(S$94="","",Underwriting!X212)</f>
        <v>-4618633.3206490669</v>
      </c>
      <c r="T106" s="487">
        <f ca="1">IF(T$94="","",Underwriting!Y212)</f>
        <v>-3409858.2075612592</v>
      </c>
      <c r="U106" s="487">
        <f ca="1">IF(U$94="","",Underwriting!Z212)</f>
        <v>-2309629.6734741665</v>
      </c>
      <c r="V106" s="487">
        <f ca="1">IF(V$94="","",Underwriting!AA212)</f>
        <v>-1467820.9038815245</v>
      </c>
      <c r="W106" s="487">
        <f ca="1">IF(W$94="","",Underwriting!AB212)</f>
        <v>-913409.1835936507</v>
      </c>
      <c r="X106" s="487">
        <f ca="1">IF(X$94="","",Underwriting!AC212)</f>
        <v>-595115.21586160944</v>
      </c>
      <c r="Y106" s="487">
        <f ca="1">IF(Y$94="","",Underwriting!AD212)</f>
        <v>-434615.43632992188</v>
      </c>
      <c r="Z106" s="487">
        <f ca="1">IF(Z$94="","",Underwriting!AE212)</f>
        <v>-137014.1267392564</v>
      </c>
      <c r="AA106" s="487">
        <f ca="1">IF(AA$94="","",Underwriting!AF212)</f>
        <v>-105738.43198636749</v>
      </c>
      <c r="AB106" s="487">
        <f ca="1">IF(AB$94="","",Underwriting!AG212)</f>
        <v>-74462.737233478663</v>
      </c>
      <c r="AC106" s="487">
        <f ca="1">IF(AC$94="","",Underwriting!AH212)</f>
        <v>-43187.042480589735</v>
      </c>
      <c r="AD106" s="487">
        <f ca="1">IF(AD$94="","",Underwriting!AI212)</f>
        <v>-11911.347727700826</v>
      </c>
      <c r="AE106" s="487">
        <f ca="1">IF(AE$94="","",Underwriting!AJ212)</f>
        <v>19364.347025188054</v>
      </c>
      <c r="AF106" s="487">
        <f ca="1">IF(AF$94="","",Underwriting!AK212)</f>
        <v>50640.041778076935</v>
      </c>
      <c r="AG106" s="487">
        <f ca="1">IF(AG$94="","",Underwriting!AL212)</f>
        <v>81915.73653096582</v>
      </c>
      <c r="AH106" s="487">
        <f ca="1">IF(AH$94="","",Underwriting!AM212)</f>
        <v>113191.43128385466</v>
      </c>
      <c r="AI106" s="487">
        <f ca="1">IF(AI$94="","",Underwriting!AN212)</f>
        <v>144467.12603674358</v>
      </c>
      <c r="AJ106" s="487">
        <f ca="1">IF(AJ$94="","",Underwriting!AO212)</f>
        <v>175742.8207896325</v>
      </c>
      <c r="AK106" s="487">
        <f ca="1">IF(AK$94="","",Underwriting!AP212)</f>
        <v>207018.5155425214</v>
      </c>
      <c r="AL106" s="487">
        <f ca="1">IF(AL$94="","",Underwriting!AQ212)</f>
        <v>223226.79761989755</v>
      </c>
      <c r="AM106" s="487">
        <f ca="1">IF(AM$94="","",Underwriting!AR212)</f>
        <v>255440.76321537315</v>
      </c>
      <c r="AN106" s="487">
        <f ca="1">IF(AN$94="","",Underwriting!AS212)</f>
        <v>294529.40665734163</v>
      </c>
      <c r="AO106" s="487">
        <f ca="1">IF(AO$94="","",Underwriting!AT212)</f>
        <v>295640.04453234165</v>
      </c>
      <c r="AP106" s="487">
        <f ca="1">IF(AP$94="","",Underwriting!AU212)</f>
        <v>296750.68240734166</v>
      </c>
      <c r="AQ106" s="487">
        <f ca="1">IF(AQ$94="","",Underwriting!AV212)</f>
        <v>297861.32028234168</v>
      </c>
      <c r="AR106" s="487">
        <f ca="1">IF(AR$94="","",Underwriting!AW212)</f>
        <v>298971.95815734164</v>
      </c>
      <c r="AS106" s="487">
        <f ca="1">IF(AS$94="","",Underwriting!AX212)</f>
        <v>300082.59603234159</v>
      </c>
      <c r="AT106" s="487">
        <f ca="1">IF(AT$94="","",Underwriting!AY212)</f>
        <v>301193.23390734167</v>
      </c>
      <c r="AU106" s="487">
        <f ca="1">IF(AU$94="","",Underwriting!AZ212)</f>
        <v>302303.87178234162</v>
      </c>
      <c r="AV106" s="487">
        <f ca="1">IF(AV$94="","",Underwriting!BA212)</f>
        <v>303414.50965734164</v>
      </c>
      <c r="AW106" s="487">
        <f ca="1">IF(AW$94="","",Underwriting!BB212)</f>
        <v>304525.14753234165</v>
      </c>
      <c r="AX106" s="487">
        <f ca="1">IF(AX$94="","",Underwriting!BC212)</f>
        <v>291922.13281565561</v>
      </c>
      <c r="AY106" s="487">
        <f ca="1">IF(AY$94="","",Underwriting!BD212)</f>
        <v>293066.08982690558</v>
      </c>
      <c r="AZ106" s="487">
        <f ca="1">IF(AZ$94="","",Underwriting!BE212)</f>
        <v>66375180.16997458</v>
      </c>
      <c r="BA106" s="487" t="str">
        <f>IF(BA$94="","",Underwriting!BF212)</f>
        <v/>
      </c>
      <c r="BB106" s="487" t="str">
        <f>IF(BB$94="","",Underwriting!BG212)</f>
        <v/>
      </c>
      <c r="BC106" s="487" t="str">
        <f>IF(BC$94="","",Underwriting!BH212)</f>
        <v/>
      </c>
      <c r="BD106" s="487" t="str">
        <f>IF(BD$94="","",Underwriting!BI212)</f>
        <v/>
      </c>
      <c r="BE106" s="487" t="str">
        <f>IF(BE$94="","",Underwriting!BJ212)</f>
        <v/>
      </c>
      <c r="BF106" s="487" t="str">
        <f>IF(BF$94="","",Underwriting!BK212)</f>
        <v/>
      </c>
      <c r="BG106" s="487" t="str">
        <f>IF(BG$94="","",Underwriting!BL212)</f>
        <v/>
      </c>
      <c r="BH106" s="487" t="str">
        <f>IF(BH$94="","",Underwriting!BM212)</f>
        <v/>
      </c>
      <c r="BI106" s="487" t="str">
        <f>IF(BI$94="","",Underwriting!BN212)</f>
        <v/>
      </c>
      <c r="BJ106" s="487" t="str">
        <f>IF(BJ$94="","",Underwriting!BO212)</f>
        <v/>
      </c>
      <c r="BK106" s="487" t="str">
        <f>IF(BK$94="","",Underwriting!BP212)</f>
        <v/>
      </c>
      <c r="BL106" s="487" t="str">
        <f>IF(BL$94="","",Underwriting!BQ212)</f>
        <v/>
      </c>
      <c r="BM106" s="487" t="str">
        <f>IF(BM$94="","",Underwriting!BR212)</f>
        <v/>
      </c>
      <c r="BN106" s="487" t="str">
        <f>IF(BN$94="","",Underwriting!BS212)</f>
        <v/>
      </c>
      <c r="BO106" s="487" t="str">
        <f>IF(BO$94="","",Underwriting!BT212)</f>
        <v/>
      </c>
      <c r="BP106" s="487" t="str">
        <f>IF(BP$94="","",Underwriting!BU212)</f>
        <v/>
      </c>
      <c r="BQ106" s="487" t="str">
        <f>IF(BQ$94="","",Underwriting!BV212)</f>
        <v/>
      </c>
      <c r="BR106" s="487" t="str">
        <f>IF(BR$94="","",Underwriting!BW212)</f>
        <v/>
      </c>
      <c r="BS106" s="487" t="str">
        <f>IF(BS$94="","",Underwriting!BX212)</f>
        <v/>
      </c>
      <c r="BT106" s="487" t="str">
        <f>IF(BT$94="","",Underwriting!BY212)</f>
        <v/>
      </c>
      <c r="BU106" s="487" t="str">
        <f>IF(BU$94="","",Underwriting!BZ212)</f>
        <v/>
      </c>
      <c r="BV106" s="487" t="str">
        <f>IF(BV$94="","",Underwriting!CA212)</f>
        <v/>
      </c>
      <c r="BW106" s="487" t="str">
        <f>IF(BW$94="","",Underwriting!CB212)</f>
        <v/>
      </c>
      <c r="BX106" s="487" t="str">
        <f>IF(BX$94="","",Underwriting!CC212)</f>
        <v/>
      </c>
      <c r="BY106" s="487" t="str">
        <f>IF(BY$94="","",Underwriting!CD212)</f>
        <v/>
      </c>
      <c r="BZ106" s="487" t="str">
        <f>IF(BZ$94="","",Underwriting!CE212)</f>
        <v/>
      </c>
      <c r="CA106" s="487" t="str">
        <f>IF(CA$94="","",Underwriting!CF212)</f>
        <v/>
      </c>
      <c r="CB106" s="487" t="str">
        <f>IF(CB$94="","",Underwriting!CG212)</f>
        <v/>
      </c>
      <c r="CC106" s="487" t="str">
        <f>IF(CC$94="","",Underwriting!CH212)</f>
        <v/>
      </c>
      <c r="CD106" s="487" t="str">
        <f>IF(CD$94="","",Underwriting!CI212)</f>
        <v/>
      </c>
      <c r="CE106" s="487" t="str">
        <f>IF(CE$94="","",Underwriting!CJ212)</f>
        <v/>
      </c>
      <c r="CF106" s="487" t="str">
        <f>IF(CF$94="","",Underwriting!CK212)</f>
        <v/>
      </c>
      <c r="CG106" s="487" t="str">
        <f>IF(CG$94="","",Underwriting!CL212)</f>
        <v/>
      </c>
      <c r="CH106" s="487" t="str">
        <f>IF(CH$94="","",Underwriting!CM212)</f>
        <v/>
      </c>
      <c r="CI106" s="487" t="str">
        <f>IF(CI$94="","",Underwriting!CN212)</f>
        <v/>
      </c>
      <c r="CJ106" s="487" t="str">
        <f>IF(CJ$94="","",Underwriting!CO212)</f>
        <v/>
      </c>
      <c r="CK106" s="487" t="str">
        <f>IF(CK$94="","",Underwriting!CP212)</f>
        <v/>
      </c>
      <c r="CL106" s="487" t="str">
        <f>IF(CL$94="","",Underwriting!CQ212)</f>
        <v/>
      </c>
      <c r="CM106" s="487" t="str">
        <f>IF(CM$94="","",Underwriting!CR212)</f>
        <v/>
      </c>
      <c r="CN106" s="487" t="str">
        <f>IF(CN$94="","",Underwriting!CS212)</f>
        <v/>
      </c>
      <c r="CO106" s="487" t="str">
        <f>IF(CO$94="","",Underwriting!CT212)</f>
        <v/>
      </c>
      <c r="CP106" s="487" t="str">
        <f>IF(CP$94="","",Underwriting!CU212)</f>
        <v/>
      </c>
      <c r="CQ106" s="487" t="str">
        <f>IF(CQ$94="","",Underwriting!CV212)</f>
        <v/>
      </c>
      <c r="CR106" s="487" t="str">
        <f>IF(CR$94="","",Underwriting!CW212)</f>
        <v/>
      </c>
      <c r="CS106" s="487" t="str">
        <f>IF(CS$94="","",Underwriting!CX212)</f>
        <v/>
      </c>
      <c r="CT106" s="487" t="str">
        <f>IF(CT$94="","",Underwriting!CY212)</f>
        <v/>
      </c>
      <c r="CU106" s="487" t="str">
        <f>IF(CU$94="","",Underwriting!CZ212)</f>
        <v/>
      </c>
      <c r="CV106" s="487" t="str">
        <f>IF(CV$94="","",Underwriting!DA212)</f>
        <v/>
      </c>
      <c r="CW106" s="487" t="str">
        <f>IF(CW$94="","",Underwriting!DB212)</f>
        <v/>
      </c>
      <c r="CX106" s="487" t="str">
        <f>IF(CX$94="","",Underwriting!DC212)</f>
        <v/>
      </c>
      <c r="CY106" s="487" t="str">
        <f>IF(CY$94="","",Underwriting!DD212)</f>
        <v/>
      </c>
      <c r="CZ106" s="487" t="str">
        <f>IF(CZ$94="","",Underwriting!DE212)</f>
        <v/>
      </c>
      <c r="DA106" s="487" t="str">
        <f>IF(DA$94="","",Underwriting!DF212)</f>
        <v/>
      </c>
      <c r="DB106" s="487" t="str">
        <f>IF(DB$94="","",Underwriting!DG212)</f>
        <v/>
      </c>
      <c r="DC106" s="487" t="str">
        <f>IF(DC$94="","",Underwriting!DH212)</f>
        <v/>
      </c>
      <c r="DD106" s="487" t="str">
        <f>IF(DD$94="","",Underwriting!DI212)</f>
        <v/>
      </c>
      <c r="DE106" s="487" t="str">
        <f>IF(DE$94="","",Underwriting!DJ212)</f>
        <v/>
      </c>
      <c r="DF106" s="487" t="str">
        <f>IF(DF$94="","",Underwriting!DK212)</f>
        <v/>
      </c>
      <c r="DG106" s="487" t="str">
        <f>IF(DG$94="","",Underwriting!DL212)</f>
        <v/>
      </c>
      <c r="DH106" s="487" t="str">
        <f>IF(DH$94="","",Underwriting!DM212)</f>
        <v/>
      </c>
      <c r="DI106" s="487" t="str">
        <f>IF(DI$94="","",Underwriting!DN212)</f>
        <v/>
      </c>
      <c r="DJ106" s="487" t="str">
        <f>IF(DJ$94="","",Underwriting!DO212)</f>
        <v/>
      </c>
      <c r="DK106" s="487" t="str">
        <f>IF(DK$94="","",Underwriting!DP212)</f>
        <v/>
      </c>
      <c r="DL106" s="487" t="str">
        <f>IF(DL$94="","",Underwriting!DQ212)</f>
        <v/>
      </c>
      <c r="DM106" s="487" t="str">
        <f>IF(DM$94="","",Underwriting!DR212)</f>
        <v/>
      </c>
      <c r="DN106" s="487" t="str">
        <f>IF(DN$94="","",Underwriting!DS212)</f>
        <v/>
      </c>
      <c r="DO106" s="487" t="str">
        <f>IF(DO$94="","",Underwriting!DT212)</f>
        <v/>
      </c>
      <c r="DP106" s="487" t="str">
        <f>IF(DP$94="","",Underwriting!DU212)</f>
        <v/>
      </c>
      <c r="DQ106" s="487" t="str">
        <f>IF(DQ$94="","",Underwriting!DV212)</f>
        <v/>
      </c>
      <c r="DR106" s="487" t="str">
        <f>IF(DR$94="","",Underwriting!DW212)</f>
        <v/>
      </c>
      <c r="DS106" s="487" t="str">
        <f>IF(DS$94="","",Underwriting!DX212)</f>
        <v/>
      </c>
      <c r="DT106" s="487" t="str">
        <f>IF(DT$94="","",Underwriting!DY212)</f>
        <v/>
      </c>
      <c r="DU106" s="487" t="str">
        <f>IF(DU$94="","",Underwriting!DZ212)</f>
        <v/>
      </c>
      <c r="DV106" s="487" t="str">
        <f>IF(DV$94="","",Underwriting!EA212)</f>
        <v/>
      </c>
      <c r="DW106" s="487" t="str">
        <f>IF(DW$94="","",Underwriting!EB212)</f>
        <v/>
      </c>
      <c r="DX106" s="487" t="str">
        <f>IF(DX$94="","",Underwriting!EC212)</f>
        <v/>
      </c>
      <c r="DY106" s="487" t="str">
        <f>IF(DY$94="","",Underwriting!ED212)</f>
        <v/>
      </c>
      <c r="DZ106" s="487" t="str">
        <f>IF(DZ$94="","",Underwriting!EE212)</f>
        <v/>
      </c>
      <c r="EA106" s="487" t="str">
        <f>IF(EA$94="","",Underwriting!EF212)</f>
        <v/>
      </c>
      <c r="EB106" s="487" t="str">
        <f>IF(EB$94="","",Underwriting!EG212)</f>
        <v/>
      </c>
      <c r="EC106" s="487" t="str">
        <f>IF(EC$94="","",Underwriting!EH212)</f>
        <v/>
      </c>
      <c r="ED106" s="487" t="str">
        <f>IF(ED$94="","",Underwriting!EI212)</f>
        <v/>
      </c>
      <c r="EE106" s="487" t="str">
        <f>IF(EE$94="","",Underwriting!EJ212)</f>
        <v/>
      </c>
      <c r="EF106" s="487" t="str">
        <f>IF(EF$94="","",Underwriting!EK212)</f>
        <v/>
      </c>
      <c r="EG106" s="487" t="str">
        <f>IF(EG$94="","",Underwriting!EL212)</f>
        <v/>
      </c>
      <c r="EH106" s="487" t="str">
        <f>IF(EH$94="","",Underwriting!EM212)</f>
        <v/>
      </c>
      <c r="EI106" s="487" t="str">
        <f>IF(EI$94="","",Underwriting!EN212)</f>
        <v/>
      </c>
    </row>
    <row r="107" spans="2:139" hidden="1" outlineLevel="1" x14ac:dyDescent="0.2">
      <c r="B107" s="158" t="s">
        <v>194</v>
      </c>
      <c r="C107" s="4"/>
      <c r="D107" s="4"/>
      <c r="E107" s="4"/>
      <c r="F107" s="4"/>
      <c r="G107" s="487">
        <f ca="1">IF(G$94="","",Underwriting!L213)</f>
        <v>-3753159.5276612928</v>
      </c>
      <c r="H107" s="487">
        <f ca="1">IF(H$94="","",Underwriting!M213)</f>
        <v>-434615.43632992054</v>
      </c>
      <c r="I107" s="487">
        <f ca="1">IF(I$94="","",Underwriting!N213)</f>
        <v>-595115.21586161223</v>
      </c>
      <c r="J107" s="487">
        <f ca="1">IF(J$94="","",Underwriting!O213)</f>
        <v>-913409.18359364895</v>
      </c>
      <c r="K107" s="487">
        <f ca="1">IF(K$94="","",Underwriting!P213)</f>
        <v>-1467820.9038815256</v>
      </c>
      <c r="L107" s="487">
        <f ca="1">IF(L$94="","",Underwriting!Q213)</f>
        <v>-2309629.6734741665</v>
      </c>
      <c r="M107" s="487">
        <f ca="1">IF(M$94="","",Underwriting!R213)</f>
        <v>-3409858.2075612606</v>
      </c>
      <c r="N107" s="487">
        <f ca="1">IF(N$94="","",Underwriting!S213)</f>
        <v>-1753606.1237601093</v>
      </c>
      <c r="O107" s="487">
        <f ca="1">IF(O$94="","",Underwriting!T213)</f>
        <v>0</v>
      </c>
      <c r="P107" s="487">
        <f ca="1">IF(P$94="","",Underwriting!U213)</f>
        <v>0</v>
      </c>
      <c r="Q107" s="487">
        <f ca="1">IF(Q$94="","",Underwriting!V213)</f>
        <v>0</v>
      </c>
      <c r="R107" s="487">
        <f ca="1">IF(R$94="","",Underwriting!W213)</f>
        <v>0</v>
      </c>
      <c r="S107" s="487">
        <f ca="1">IF(S$94="","",Underwriting!X213)</f>
        <v>0</v>
      </c>
      <c r="T107" s="487">
        <f ca="1">IF(T$94="","",Underwriting!Y213)</f>
        <v>0</v>
      </c>
      <c r="U107" s="487">
        <f ca="1">IF(U$94="","",Underwriting!Z213)</f>
        <v>0</v>
      </c>
      <c r="V107" s="487">
        <f ca="1">IF(V$94="","",Underwriting!AA213)</f>
        <v>0</v>
      </c>
      <c r="W107" s="487">
        <f ca="1">IF(W$94="","",Underwriting!AB213)</f>
        <v>0</v>
      </c>
      <c r="X107" s="487">
        <f ca="1">IF(X$94="","",Underwriting!AC213)</f>
        <v>0</v>
      </c>
      <c r="Y107" s="487">
        <f ca="1">IF(Y$94="","",Underwriting!AD213)</f>
        <v>0</v>
      </c>
      <c r="Z107" s="487">
        <f ca="1">IF(Z$94="","",Underwriting!AE213)</f>
        <v>0</v>
      </c>
      <c r="AA107" s="487">
        <f ca="1">IF(AA$94="","",Underwriting!AF213)</f>
        <v>1.4551915228366852E-11</v>
      </c>
      <c r="AB107" s="487">
        <f ca="1">IF(AB$94="","",Underwriting!AG213)</f>
        <v>0</v>
      </c>
      <c r="AC107" s="487">
        <f ca="1">IF(AC$94="","",Underwriting!AH213)</f>
        <v>0</v>
      </c>
      <c r="AD107" s="487">
        <f ca="1">IF(AD$94="","",Underwriting!AI213)</f>
        <v>9.0949470177292824E-12</v>
      </c>
      <c r="AE107" s="487">
        <f ca="1">IF(AE$94="","",Underwriting!AJ213)</f>
        <v>-1.0913936421275139E-11</v>
      </c>
      <c r="AF107" s="487">
        <f ca="1">IF(AF$94="","",Underwriting!AK213)</f>
        <v>0</v>
      </c>
      <c r="AG107" s="487">
        <f ca="1">IF(AG$94="","",Underwriting!AL213)</f>
        <v>0</v>
      </c>
      <c r="AH107" s="487">
        <f ca="1">IF(AH$94="","",Underwriting!AM213)</f>
        <v>0</v>
      </c>
      <c r="AI107" s="487">
        <f ca="1">IF(AI$94="","",Underwriting!AN213)</f>
        <v>0</v>
      </c>
      <c r="AJ107" s="487">
        <f ca="1">IF(AJ$94="","",Underwriting!AO213)</f>
        <v>0</v>
      </c>
      <c r="AK107" s="487">
        <f ca="1">IF(AK$94="","",Underwriting!AP213)</f>
        <v>2097.4921349482902</v>
      </c>
      <c r="AL107" s="487">
        <f ca="1">IF(AL$94="","",Underwriting!AQ213)</f>
        <v>18305.774212324439</v>
      </c>
      <c r="AM107" s="487">
        <f ca="1">IF(AM$94="","",Underwriting!AR213)</f>
        <v>50519.739807800041</v>
      </c>
      <c r="AN107" s="487">
        <f ca="1">IF(AN$94="","",Underwriting!AS213)</f>
        <v>89608.383249768522</v>
      </c>
      <c r="AO107" s="487">
        <f ca="1">IF(AO$94="","",Underwriting!AT213)</f>
        <v>90719.021124768537</v>
      </c>
      <c r="AP107" s="487">
        <f ca="1">IF(AP$94="","",Underwriting!AU213)</f>
        <v>91829.658999768551</v>
      </c>
      <c r="AQ107" s="487">
        <f ca="1">IF(AQ$94="","",Underwriting!AV213)</f>
        <v>92940.296874768566</v>
      </c>
      <c r="AR107" s="487">
        <f ca="1">IF(AR$94="","",Underwriting!AW213)</f>
        <v>94050.934749768523</v>
      </c>
      <c r="AS107" s="487">
        <f ca="1">IF(AS$94="","",Underwriting!AX213)</f>
        <v>95161.57262476848</v>
      </c>
      <c r="AT107" s="487">
        <f ca="1">IF(AT$94="","",Underwriting!AY213)</f>
        <v>96272.210499768553</v>
      </c>
      <c r="AU107" s="487">
        <f ca="1">IF(AU$94="","",Underwriting!AZ213)</f>
        <v>97382.84837476851</v>
      </c>
      <c r="AV107" s="487">
        <f ca="1">IF(AV$94="","",Underwriting!BA213)</f>
        <v>98493.486249768524</v>
      </c>
      <c r="AW107" s="487">
        <f ca="1">IF(AW$94="","",Underwriting!BB213)</f>
        <v>99604.124124768539</v>
      </c>
      <c r="AX107" s="487">
        <f ca="1">IF(AX$94="","",Underwriting!BC213)</f>
        <v>87001.109408082499</v>
      </c>
      <c r="AY107" s="487">
        <f ca="1">IF(AY$94="","",Underwriting!BD213)</f>
        <v>88145.066419332463</v>
      </c>
      <c r="AZ107" s="487">
        <f ca="1">IF(AZ$94="","",Underwriting!BE213)</f>
        <v>22258611.273515634</v>
      </c>
      <c r="BA107" s="487" t="str">
        <f>IF(BA$94="","",Underwriting!BF213)</f>
        <v/>
      </c>
      <c r="BB107" s="487" t="str">
        <f>IF(BB$94="","",Underwriting!BG213)</f>
        <v/>
      </c>
      <c r="BC107" s="487" t="str">
        <f>IF(BC$94="","",Underwriting!BH213)</f>
        <v/>
      </c>
      <c r="BD107" s="487" t="str">
        <f>IF(BD$94="","",Underwriting!BI213)</f>
        <v/>
      </c>
      <c r="BE107" s="487" t="str">
        <f>IF(BE$94="","",Underwriting!BJ213)</f>
        <v/>
      </c>
      <c r="BF107" s="487" t="str">
        <f>IF(BF$94="","",Underwriting!BK213)</f>
        <v/>
      </c>
      <c r="BG107" s="487" t="str">
        <f>IF(BG$94="","",Underwriting!BL213)</f>
        <v/>
      </c>
      <c r="BH107" s="487" t="str">
        <f>IF(BH$94="","",Underwriting!BM213)</f>
        <v/>
      </c>
      <c r="BI107" s="487" t="str">
        <f>IF(BI$94="","",Underwriting!BN213)</f>
        <v/>
      </c>
      <c r="BJ107" s="487" t="str">
        <f>IF(BJ$94="","",Underwriting!BO213)</f>
        <v/>
      </c>
      <c r="BK107" s="487" t="str">
        <f>IF(BK$94="","",Underwriting!BP213)</f>
        <v/>
      </c>
      <c r="BL107" s="487" t="str">
        <f>IF(BL$94="","",Underwriting!BQ213)</f>
        <v/>
      </c>
      <c r="BM107" s="487" t="str">
        <f>IF(BM$94="","",Underwriting!BR213)</f>
        <v/>
      </c>
      <c r="BN107" s="487" t="str">
        <f>IF(BN$94="","",Underwriting!BS213)</f>
        <v/>
      </c>
      <c r="BO107" s="487" t="str">
        <f>IF(BO$94="","",Underwriting!BT213)</f>
        <v/>
      </c>
      <c r="BP107" s="487" t="str">
        <f>IF(BP$94="","",Underwriting!BU213)</f>
        <v/>
      </c>
      <c r="BQ107" s="487" t="str">
        <f>IF(BQ$94="","",Underwriting!BV213)</f>
        <v/>
      </c>
      <c r="BR107" s="487" t="str">
        <f>IF(BR$94="","",Underwriting!BW213)</f>
        <v/>
      </c>
      <c r="BS107" s="487" t="str">
        <f>IF(BS$94="","",Underwriting!BX213)</f>
        <v/>
      </c>
      <c r="BT107" s="487" t="str">
        <f>IF(BT$94="","",Underwriting!BY213)</f>
        <v/>
      </c>
      <c r="BU107" s="487" t="str">
        <f>IF(BU$94="","",Underwriting!BZ213)</f>
        <v/>
      </c>
      <c r="BV107" s="487" t="str">
        <f>IF(BV$94="","",Underwriting!CA213)</f>
        <v/>
      </c>
      <c r="BW107" s="487" t="str">
        <f>IF(BW$94="","",Underwriting!CB213)</f>
        <v/>
      </c>
      <c r="BX107" s="487" t="str">
        <f>IF(BX$94="","",Underwriting!CC213)</f>
        <v/>
      </c>
      <c r="BY107" s="487" t="str">
        <f>IF(BY$94="","",Underwriting!CD213)</f>
        <v/>
      </c>
      <c r="BZ107" s="487" t="str">
        <f>IF(BZ$94="","",Underwriting!CE213)</f>
        <v/>
      </c>
      <c r="CA107" s="487" t="str">
        <f>IF(CA$94="","",Underwriting!CF213)</f>
        <v/>
      </c>
      <c r="CB107" s="487" t="str">
        <f>IF(CB$94="","",Underwriting!CG213)</f>
        <v/>
      </c>
      <c r="CC107" s="487" t="str">
        <f>IF(CC$94="","",Underwriting!CH213)</f>
        <v/>
      </c>
      <c r="CD107" s="487" t="str">
        <f>IF(CD$94="","",Underwriting!CI213)</f>
        <v/>
      </c>
      <c r="CE107" s="487" t="str">
        <f>IF(CE$94="","",Underwriting!CJ213)</f>
        <v/>
      </c>
      <c r="CF107" s="487" t="str">
        <f>IF(CF$94="","",Underwriting!CK213)</f>
        <v/>
      </c>
      <c r="CG107" s="487" t="str">
        <f>IF(CG$94="","",Underwriting!CL213)</f>
        <v/>
      </c>
      <c r="CH107" s="487" t="str">
        <f>IF(CH$94="","",Underwriting!CM213)</f>
        <v/>
      </c>
      <c r="CI107" s="487" t="str">
        <f>IF(CI$94="","",Underwriting!CN213)</f>
        <v/>
      </c>
      <c r="CJ107" s="487" t="str">
        <f>IF(CJ$94="","",Underwriting!CO213)</f>
        <v/>
      </c>
      <c r="CK107" s="487" t="str">
        <f>IF(CK$94="","",Underwriting!CP213)</f>
        <v/>
      </c>
      <c r="CL107" s="487" t="str">
        <f>IF(CL$94="","",Underwriting!CQ213)</f>
        <v/>
      </c>
      <c r="CM107" s="487" t="str">
        <f>IF(CM$94="","",Underwriting!CR213)</f>
        <v/>
      </c>
      <c r="CN107" s="487" t="str">
        <f>IF(CN$94="","",Underwriting!CS213)</f>
        <v/>
      </c>
      <c r="CO107" s="487" t="str">
        <f>IF(CO$94="","",Underwriting!CT213)</f>
        <v/>
      </c>
      <c r="CP107" s="487" t="str">
        <f>IF(CP$94="","",Underwriting!CU213)</f>
        <v/>
      </c>
      <c r="CQ107" s="487" t="str">
        <f>IF(CQ$94="","",Underwriting!CV213)</f>
        <v/>
      </c>
      <c r="CR107" s="487" t="str">
        <f>IF(CR$94="","",Underwriting!CW213)</f>
        <v/>
      </c>
      <c r="CS107" s="487" t="str">
        <f>IF(CS$94="","",Underwriting!CX213)</f>
        <v/>
      </c>
      <c r="CT107" s="487" t="str">
        <f>IF(CT$94="","",Underwriting!CY213)</f>
        <v/>
      </c>
      <c r="CU107" s="487" t="str">
        <f>IF(CU$94="","",Underwriting!CZ213)</f>
        <v/>
      </c>
      <c r="CV107" s="487" t="str">
        <f>IF(CV$94="","",Underwriting!DA213)</f>
        <v/>
      </c>
      <c r="CW107" s="487" t="str">
        <f>IF(CW$94="","",Underwriting!DB213)</f>
        <v/>
      </c>
      <c r="CX107" s="487" t="str">
        <f>IF(CX$94="","",Underwriting!DC213)</f>
        <v/>
      </c>
      <c r="CY107" s="487" t="str">
        <f>IF(CY$94="","",Underwriting!DD213)</f>
        <v/>
      </c>
      <c r="CZ107" s="487" t="str">
        <f>IF(CZ$94="","",Underwriting!DE213)</f>
        <v/>
      </c>
      <c r="DA107" s="487" t="str">
        <f>IF(DA$94="","",Underwriting!DF213)</f>
        <v/>
      </c>
      <c r="DB107" s="487" t="str">
        <f>IF(DB$94="","",Underwriting!DG213)</f>
        <v/>
      </c>
      <c r="DC107" s="487" t="str">
        <f>IF(DC$94="","",Underwriting!DH213)</f>
        <v/>
      </c>
      <c r="DD107" s="487" t="str">
        <f>IF(DD$94="","",Underwriting!DI213)</f>
        <v/>
      </c>
      <c r="DE107" s="487" t="str">
        <f>IF(DE$94="","",Underwriting!DJ213)</f>
        <v/>
      </c>
      <c r="DF107" s="487" t="str">
        <f>IF(DF$94="","",Underwriting!DK213)</f>
        <v/>
      </c>
      <c r="DG107" s="487" t="str">
        <f>IF(DG$94="","",Underwriting!DL213)</f>
        <v/>
      </c>
      <c r="DH107" s="487" t="str">
        <f>IF(DH$94="","",Underwriting!DM213)</f>
        <v/>
      </c>
      <c r="DI107" s="487" t="str">
        <f>IF(DI$94="","",Underwriting!DN213)</f>
        <v/>
      </c>
      <c r="DJ107" s="487" t="str">
        <f>IF(DJ$94="","",Underwriting!DO213)</f>
        <v/>
      </c>
      <c r="DK107" s="487" t="str">
        <f>IF(DK$94="","",Underwriting!DP213)</f>
        <v/>
      </c>
      <c r="DL107" s="487" t="str">
        <f>IF(DL$94="","",Underwriting!DQ213)</f>
        <v/>
      </c>
      <c r="DM107" s="487" t="str">
        <f>IF(DM$94="","",Underwriting!DR213)</f>
        <v/>
      </c>
      <c r="DN107" s="487" t="str">
        <f>IF(DN$94="","",Underwriting!DS213)</f>
        <v/>
      </c>
      <c r="DO107" s="487" t="str">
        <f>IF(DO$94="","",Underwriting!DT213)</f>
        <v/>
      </c>
      <c r="DP107" s="487" t="str">
        <f>IF(DP$94="","",Underwriting!DU213)</f>
        <v/>
      </c>
      <c r="DQ107" s="487" t="str">
        <f>IF(DQ$94="","",Underwriting!DV213)</f>
        <v/>
      </c>
      <c r="DR107" s="487" t="str">
        <f>IF(DR$94="","",Underwriting!DW213)</f>
        <v/>
      </c>
      <c r="DS107" s="487" t="str">
        <f>IF(DS$94="","",Underwriting!DX213)</f>
        <v/>
      </c>
      <c r="DT107" s="487" t="str">
        <f>IF(DT$94="","",Underwriting!DY213)</f>
        <v/>
      </c>
      <c r="DU107" s="487" t="str">
        <f>IF(DU$94="","",Underwriting!DZ213)</f>
        <v/>
      </c>
      <c r="DV107" s="487" t="str">
        <f>IF(DV$94="","",Underwriting!EA213)</f>
        <v/>
      </c>
      <c r="DW107" s="487" t="str">
        <f>IF(DW$94="","",Underwriting!EB213)</f>
        <v/>
      </c>
      <c r="DX107" s="487" t="str">
        <f>IF(DX$94="","",Underwriting!EC213)</f>
        <v/>
      </c>
      <c r="DY107" s="487" t="str">
        <f>IF(DY$94="","",Underwriting!ED213)</f>
        <v/>
      </c>
      <c r="DZ107" s="487" t="str">
        <f>IF(DZ$94="","",Underwriting!EE213)</f>
        <v/>
      </c>
      <c r="EA107" s="487" t="str">
        <f>IF(EA$94="","",Underwriting!EF213)</f>
        <v/>
      </c>
      <c r="EB107" s="487" t="str">
        <f>IF(EB$94="","",Underwriting!EG213)</f>
        <v/>
      </c>
      <c r="EC107" s="487" t="str">
        <f>IF(EC$94="","",Underwriting!EH213)</f>
        <v/>
      </c>
      <c r="ED107" s="487" t="str">
        <f>IF(ED$94="","",Underwriting!EI213)</f>
        <v/>
      </c>
      <c r="EE107" s="487" t="str">
        <f>IF(EE$94="","",Underwriting!EJ213)</f>
        <v/>
      </c>
      <c r="EF107" s="487" t="str">
        <f>IF(EF$94="","",Underwriting!EK213)</f>
        <v/>
      </c>
      <c r="EG107" s="487" t="str">
        <f>IF(EG$94="","",Underwriting!EL213)</f>
        <v/>
      </c>
      <c r="EH107" s="487" t="str">
        <f>IF(EH$94="","",Underwriting!EM213)</f>
        <v/>
      </c>
      <c r="EI107" s="487" t="str">
        <f>IF(EI$94="","",Underwriting!EN213)</f>
        <v/>
      </c>
    </row>
    <row r="108" spans="2:139" hidden="1" outlineLevel="1" x14ac:dyDescent="0.2"/>
    <row r="109" spans="2:139" hidden="1" outlineLevel="1" x14ac:dyDescent="0.2"/>
    <row r="110" spans="2:139" hidden="1" outlineLevel="1" x14ac:dyDescent="0.2"/>
    <row r="111" spans="2:139" hidden="1" outlineLevel="1" x14ac:dyDescent="0.2"/>
    <row r="112" spans="2:139" hidden="1" outlineLevel="1" x14ac:dyDescent="0.2"/>
    <row r="113" hidden="1" outlineLevel="1" x14ac:dyDescent="0.2"/>
    <row r="114" hidden="1" outlineLevel="1" x14ac:dyDescent="0.2"/>
    <row r="115" hidden="1" outlineLevel="1" x14ac:dyDescent="0.2"/>
    <row r="116" hidden="1" outlineLevel="1" x14ac:dyDescent="0.2"/>
    <row r="117" hidden="1" outlineLevel="1" x14ac:dyDescent="0.2"/>
    <row r="118" hidden="1" outlineLevel="1" x14ac:dyDescent="0.2"/>
    <row r="119" hidden="1" outlineLevel="1" x14ac:dyDescent="0.2"/>
    <row r="120" hidden="1" outlineLevel="1" x14ac:dyDescent="0.2"/>
    <row r="121" hidden="1" outlineLevel="1" x14ac:dyDescent="0.2"/>
    <row r="122" hidden="1" outlineLevel="1" x14ac:dyDescent="0.2"/>
    <row r="123" hidden="1" outlineLevel="1" x14ac:dyDescent="0.2"/>
    <row r="124" hidden="1" outlineLevel="1" x14ac:dyDescent="0.2"/>
    <row r="125" hidden="1" outlineLevel="1" x14ac:dyDescent="0.2"/>
    <row r="126" hidden="1" outlineLevel="1" x14ac:dyDescent="0.2"/>
    <row r="127" hidden="1" outlineLevel="1" x14ac:dyDescent="0.2"/>
    <row r="128" hidden="1" outlineLevel="1" x14ac:dyDescent="0.2"/>
    <row r="129" hidden="1" outlineLevel="1" x14ac:dyDescent="0.2"/>
    <row r="130" hidden="1" outlineLevel="1" x14ac:dyDescent="0.2"/>
    <row r="131" hidden="1" outlineLevel="1" x14ac:dyDescent="0.2"/>
    <row r="132" collapsed="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sheetData>
  <conditionalFormatting sqref="H35">
    <cfRule type="expression" dxfId="44" priority="6">
      <formula>$B$36=""</formula>
    </cfRule>
  </conditionalFormatting>
  <conditionalFormatting sqref="H34">
    <cfRule type="expression" dxfId="43" priority="5">
      <formula>$B$36=""</formula>
    </cfRule>
  </conditionalFormatting>
  <conditionalFormatting sqref="G35">
    <cfRule type="expression" dxfId="42" priority="4">
      <formula>$B$36=""</formula>
    </cfRule>
  </conditionalFormatting>
  <conditionalFormatting sqref="G34">
    <cfRule type="expression" dxfId="41" priority="3">
      <formula>$B$36=""</formula>
    </cfRule>
  </conditionalFormatting>
  <conditionalFormatting sqref="B5:B6">
    <cfRule type="expression" dxfId="40" priority="2">
      <formula>B5="Incomplete"</formula>
    </cfRule>
  </conditionalFormatting>
  <conditionalFormatting sqref="G5:R51">
    <cfRule type="expression" dxfId="39" priority="1">
      <formula>G$4="EXIT"</formula>
    </cfRule>
  </conditionalFormatting>
  <printOptions horizontalCentered="1"/>
  <pageMargins left="0.25" right="0.25" top="0.5" bottom="0.5" header="0.3" footer="0.3"/>
  <pageSetup scale="60"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79998168889431442"/>
  </sheetPr>
  <dimension ref="A1:JX294"/>
  <sheetViews>
    <sheetView showGridLines="0" zoomScaleNormal="100" workbookViewId="0">
      <pane xSplit="9" ySplit="6" topLeftCell="J7" activePane="bottomRight" state="frozen"/>
      <selection pane="topRight" activeCell="I1" sqref="I1"/>
      <selection pane="bottomLeft" activeCell="A7" sqref="A7"/>
      <selection pane="bottomRight" activeCell="J7" sqref="J7"/>
    </sheetView>
  </sheetViews>
  <sheetFormatPr defaultColWidth="0" defaultRowHeight="14.25" zeroHeight="1" x14ac:dyDescent="0.2"/>
  <cols>
    <col min="1" max="1" width="0.875" style="410" customWidth="1"/>
    <col min="2" max="2" width="15.375" style="212" bestFit="1" customWidth="1"/>
    <col min="3" max="9" width="10.75" style="212" customWidth="1"/>
    <col min="10" max="10" width="1.25" style="43" customWidth="1"/>
    <col min="11" max="11" width="9.875" style="43" customWidth="1"/>
    <col min="12" max="12" width="7.875" style="43" bestFit="1" customWidth="1"/>
    <col min="13" max="13" width="8.75" style="43" customWidth="1"/>
    <col min="14" max="14" width="8.5" style="43" bestFit="1" customWidth="1"/>
    <col min="15" max="15" width="8.75" style="43" customWidth="1"/>
    <col min="16" max="16" width="9.875" style="43" bestFit="1" customWidth="1"/>
    <col min="17" max="19" width="8.75" style="43" customWidth="1"/>
    <col min="20" max="27" width="9.375" style="43" bestFit="1" customWidth="1"/>
    <col min="28" max="144" width="8.75" style="43" customWidth="1"/>
    <col min="145" max="145" width="0.875" style="43" customWidth="1"/>
    <col min="146" max="150" width="10.625" style="43" customWidth="1"/>
    <col min="151" max="151" width="10.625" style="56" customWidth="1"/>
    <col min="152" max="284" width="10.625" style="43" customWidth="1"/>
    <col min="285" max="16384" width="8.75" style="43" hidden="1"/>
  </cols>
  <sheetData>
    <row r="1" spans="1:284" s="7" customFormat="1" ht="4.9000000000000004" customHeight="1" x14ac:dyDescent="0.2">
      <c r="A1" s="406"/>
      <c r="B1"/>
      <c r="C1"/>
      <c r="D1"/>
      <c r="E1"/>
      <c r="F1"/>
      <c r="G1"/>
      <c r="H1"/>
      <c r="I1"/>
      <c r="EP1" s="24"/>
      <c r="EQ1" s="24"/>
      <c r="ER1" s="24"/>
      <c r="ES1" s="24"/>
      <c r="ET1" s="24"/>
      <c r="EU1" s="33"/>
      <c r="EV1" s="24"/>
      <c r="EW1" s="24"/>
      <c r="EX1" s="24"/>
      <c r="EY1" s="24"/>
      <c r="EZ1" s="24"/>
      <c r="FA1" s="24"/>
      <c r="FB1" s="24"/>
      <c r="FC1" s="24"/>
      <c r="FD1" s="24"/>
      <c r="FE1" s="24"/>
      <c r="FF1" s="24"/>
      <c r="FG1" s="24"/>
      <c r="FH1" s="24"/>
      <c r="FI1" s="24"/>
      <c r="FJ1" s="24"/>
      <c r="FK1" s="24"/>
      <c r="FL1" s="24"/>
      <c r="FM1" s="24"/>
      <c r="FN1" s="24"/>
      <c r="FO1" s="24"/>
      <c r="FP1" s="24"/>
      <c r="FQ1" s="24"/>
      <c r="FR1" s="24"/>
      <c r="FS1" s="24"/>
      <c r="FT1" s="24"/>
      <c r="FU1" s="24"/>
      <c r="FV1" s="24"/>
      <c r="FW1" s="24"/>
      <c r="FX1" s="24"/>
      <c r="FY1" s="24"/>
      <c r="FZ1" s="24"/>
      <c r="GA1" s="24"/>
      <c r="GB1" s="24"/>
      <c r="GC1" s="24"/>
      <c r="GD1" s="24"/>
      <c r="GE1" s="24"/>
      <c r="GF1" s="24"/>
      <c r="GG1" s="24"/>
      <c r="GH1" s="24"/>
      <c r="GI1" s="24"/>
      <c r="GJ1" s="24"/>
      <c r="GK1" s="24"/>
      <c r="GL1" s="24"/>
      <c r="GM1" s="24"/>
      <c r="GN1" s="24"/>
      <c r="GO1" s="24"/>
      <c r="GP1" s="24"/>
      <c r="GQ1" s="24"/>
      <c r="GR1" s="24"/>
      <c r="GS1" s="24"/>
      <c r="GT1" s="24"/>
      <c r="GU1" s="24"/>
      <c r="GV1" s="24"/>
      <c r="GW1" s="24"/>
      <c r="GX1" s="24"/>
      <c r="GY1" s="24"/>
      <c r="GZ1" s="24"/>
      <c r="HA1" s="24"/>
      <c r="HB1" s="24"/>
      <c r="HC1" s="24"/>
      <c r="HD1" s="24"/>
      <c r="HE1" s="24"/>
      <c r="HF1" s="24"/>
      <c r="HG1" s="24"/>
      <c r="HH1" s="24"/>
      <c r="HI1" s="24"/>
      <c r="HJ1" s="24"/>
      <c r="HK1" s="24"/>
      <c r="HL1" s="24"/>
      <c r="HM1" s="24"/>
      <c r="HN1" s="24"/>
      <c r="HO1" s="24"/>
      <c r="HP1" s="24"/>
      <c r="HQ1" s="24"/>
      <c r="HR1" s="24"/>
      <c r="HS1" s="24"/>
      <c r="HT1" s="24"/>
      <c r="HU1" s="24"/>
      <c r="HV1" s="24"/>
      <c r="HW1" s="24"/>
      <c r="HX1" s="24"/>
      <c r="HY1" s="24"/>
      <c r="HZ1" s="24"/>
      <c r="IA1" s="24"/>
      <c r="IB1" s="24"/>
      <c r="IC1" s="24"/>
      <c r="ID1" s="24"/>
      <c r="IE1" s="24"/>
      <c r="IF1" s="24"/>
      <c r="IG1" s="24"/>
      <c r="IH1" s="24"/>
      <c r="II1" s="24"/>
      <c r="IJ1" s="24"/>
      <c r="IK1" s="24"/>
      <c r="IL1" s="24"/>
      <c r="IM1" s="24"/>
      <c r="IN1" s="24"/>
      <c r="IO1" s="24"/>
      <c r="IP1" s="24"/>
      <c r="IQ1" s="24"/>
      <c r="IR1" s="24"/>
      <c r="IS1" s="24"/>
      <c r="IT1" s="24"/>
      <c r="IU1" s="24"/>
      <c r="IV1" s="24"/>
      <c r="IW1" s="24"/>
      <c r="IX1" s="24"/>
      <c r="IY1" s="24"/>
      <c r="IZ1" s="24"/>
      <c r="JA1" s="24"/>
      <c r="JB1" s="24"/>
      <c r="JC1" s="24"/>
      <c r="JD1" s="24"/>
      <c r="JE1" s="24"/>
      <c r="JF1" s="24"/>
      <c r="JG1" s="24"/>
      <c r="JH1" s="24"/>
      <c r="JI1" s="24"/>
      <c r="JJ1" s="24"/>
      <c r="JK1" s="24"/>
      <c r="JL1" s="24"/>
      <c r="JM1" s="24"/>
      <c r="JN1" s="24"/>
      <c r="JO1" s="24"/>
      <c r="JP1" s="24"/>
      <c r="JQ1" s="24"/>
      <c r="JR1" s="24"/>
      <c r="JS1" s="24"/>
      <c r="JT1" s="24"/>
      <c r="JU1" s="24"/>
      <c r="JV1" s="24"/>
      <c r="JW1" s="24"/>
      <c r="JX1" s="24"/>
    </row>
    <row r="2" spans="1:284" s="7" customFormat="1" ht="15.75" x14ac:dyDescent="0.25">
      <c r="A2" s="406"/>
      <c r="B2" s="5" t="str">
        <f>UPPER(Investment_Name)</f>
        <v>[INVESTMENT NAME]</v>
      </c>
      <c r="C2"/>
      <c r="D2" s="630" t="str">
        <f>IF(Recalc?=FALSE,"","CLICK TO RECALCULATE")</f>
        <v/>
      </c>
      <c r="E2" s="630"/>
      <c r="F2" s="630"/>
      <c r="G2" s="630"/>
      <c r="H2"/>
      <c r="I2" s="6" t="s">
        <v>204</v>
      </c>
      <c r="J2" s="63"/>
      <c r="K2" s="63" t="s">
        <v>503</v>
      </c>
      <c r="L2" s="9">
        <f>ROUNDUP(L3/12,0)</f>
        <v>0</v>
      </c>
      <c r="M2" s="9">
        <f>ROUNDUP(M3/12,0)</f>
        <v>1</v>
      </c>
      <c r="N2" s="9">
        <f t="shared" ref="N2:BY2" si="0">ROUNDUP(N3/12,0)</f>
        <v>1</v>
      </c>
      <c r="O2" s="9">
        <f t="shared" si="0"/>
        <v>1</v>
      </c>
      <c r="P2" s="9">
        <f t="shared" si="0"/>
        <v>1</v>
      </c>
      <c r="Q2" s="9">
        <f t="shared" si="0"/>
        <v>1</v>
      </c>
      <c r="R2" s="9">
        <f t="shared" si="0"/>
        <v>1</v>
      </c>
      <c r="S2" s="9">
        <f t="shared" si="0"/>
        <v>1</v>
      </c>
      <c r="T2" s="9">
        <f t="shared" si="0"/>
        <v>1</v>
      </c>
      <c r="U2" s="9">
        <f t="shared" si="0"/>
        <v>1</v>
      </c>
      <c r="V2" s="9">
        <f t="shared" si="0"/>
        <v>1</v>
      </c>
      <c r="W2" s="9">
        <f t="shared" si="0"/>
        <v>1</v>
      </c>
      <c r="X2" s="9">
        <f t="shared" si="0"/>
        <v>1</v>
      </c>
      <c r="Y2" s="9">
        <f t="shared" si="0"/>
        <v>2</v>
      </c>
      <c r="Z2" s="9">
        <f t="shared" si="0"/>
        <v>2</v>
      </c>
      <c r="AA2" s="9">
        <f t="shared" si="0"/>
        <v>2</v>
      </c>
      <c r="AB2" s="9">
        <f t="shared" si="0"/>
        <v>2</v>
      </c>
      <c r="AC2" s="9">
        <f t="shared" si="0"/>
        <v>2</v>
      </c>
      <c r="AD2" s="9">
        <f t="shared" si="0"/>
        <v>2</v>
      </c>
      <c r="AE2" s="9">
        <f t="shared" si="0"/>
        <v>2</v>
      </c>
      <c r="AF2" s="9">
        <f t="shared" si="0"/>
        <v>2</v>
      </c>
      <c r="AG2" s="9">
        <f t="shared" si="0"/>
        <v>2</v>
      </c>
      <c r="AH2" s="9">
        <f t="shared" si="0"/>
        <v>2</v>
      </c>
      <c r="AI2" s="9">
        <f t="shared" si="0"/>
        <v>2</v>
      </c>
      <c r="AJ2" s="9">
        <f t="shared" si="0"/>
        <v>2</v>
      </c>
      <c r="AK2" s="9">
        <f t="shared" si="0"/>
        <v>3</v>
      </c>
      <c r="AL2" s="9">
        <f t="shared" si="0"/>
        <v>3</v>
      </c>
      <c r="AM2" s="9">
        <f t="shared" si="0"/>
        <v>3</v>
      </c>
      <c r="AN2" s="9">
        <f t="shared" si="0"/>
        <v>3</v>
      </c>
      <c r="AO2" s="9">
        <f t="shared" si="0"/>
        <v>3</v>
      </c>
      <c r="AP2" s="9">
        <f t="shared" si="0"/>
        <v>3</v>
      </c>
      <c r="AQ2" s="9">
        <f t="shared" si="0"/>
        <v>3</v>
      </c>
      <c r="AR2" s="9">
        <f t="shared" si="0"/>
        <v>3</v>
      </c>
      <c r="AS2" s="9">
        <f t="shared" si="0"/>
        <v>3</v>
      </c>
      <c r="AT2" s="9">
        <f t="shared" si="0"/>
        <v>3</v>
      </c>
      <c r="AU2" s="9">
        <f t="shared" si="0"/>
        <v>3</v>
      </c>
      <c r="AV2" s="9">
        <f t="shared" si="0"/>
        <v>3</v>
      </c>
      <c r="AW2" s="9">
        <f t="shared" si="0"/>
        <v>4</v>
      </c>
      <c r="AX2" s="9">
        <f t="shared" si="0"/>
        <v>4</v>
      </c>
      <c r="AY2" s="9">
        <f t="shared" si="0"/>
        <v>4</v>
      </c>
      <c r="AZ2" s="9">
        <f t="shared" si="0"/>
        <v>4</v>
      </c>
      <c r="BA2" s="9">
        <f t="shared" si="0"/>
        <v>4</v>
      </c>
      <c r="BB2" s="9">
        <f t="shared" si="0"/>
        <v>4</v>
      </c>
      <c r="BC2" s="9">
        <f t="shared" si="0"/>
        <v>4</v>
      </c>
      <c r="BD2" s="9">
        <f t="shared" si="0"/>
        <v>4</v>
      </c>
      <c r="BE2" s="9">
        <f t="shared" si="0"/>
        <v>4</v>
      </c>
      <c r="BF2" s="9">
        <f t="shared" si="0"/>
        <v>4</v>
      </c>
      <c r="BG2" s="9">
        <f t="shared" si="0"/>
        <v>4</v>
      </c>
      <c r="BH2" s="9">
        <f t="shared" si="0"/>
        <v>4</v>
      </c>
      <c r="BI2" s="9">
        <f t="shared" si="0"/>
        <v>5</v>
      </c>
      <c r="BJ2" s="9">
        <f t="shared" si="0"/>
        <v>5</v>
      </c>
      <c r="BK2" s="9">
        <f t="shared" si="0"/>
        <v>5</v>
      </c>
      <c r="BL2" s="9">
        <f t="shared" si="0"/>
        <v>5</v>
      </c>
      <c r="BM2" s="9">
        <f t="shared" si="0"/>
        <v>5</v>
      </c>
      <c r="BN2" s="9">
        <f t="shared" si="0"/>
        <v>5</v>
      </c>
      <c r="BO2" s="9">
        <f t="shared" si="0"/>
        <v>5</v>
      </c>
      <c r="BP2" s="9">
        <f t="shared" si="0"/>
        <v>5</v>
      </c>
      <c r="BQ2" s="9">
        <f t="shared" si="0"/>
        <v>5</v>
      </c>
      <c r="BR2" s="9">
        <f t="shared" si="0"/>
        <v>5</v>
      </c>
      <c r="BS2" s="9">
        <f t="shared" si="0"/>
        <v>5</v>
      </c>
      <c r="BT2" s="9">
        <f t="shared" si="0"/>
        <v>5</v>
      </c>
      <c r="BU2" s="9">
        <f t="shared" si="0"/>
        <v>6</v>
      </c>
      <c r="BV2" s="9">
        <f t="shared" si="0"/>
        <v>6</v>
      </c>
      <c r="BW2" s="9">
        <f t="shared" si="0"/>
        <v>6</v>
      </c>
      <c r="BX2" s="9">
        <f t="shared" si="0"/>
        <v>6</v>
      </c>
      <c r="BY2" s="9">
        <f t="shared" si="0"/>
        <v>6</v>
      </c>
      <c r="BZ2" s="9">
        <f t="shared" ref="BZ2:EK2" si="1">ROUNDUP(BZ3/12,0)</f>
        <v>6</v>
      </c>
      <c r="CA2" s="9">
        <f t="shared" si="1"/>
        <v>6</v>
      </c>
      <c r="CB2" s="9">
        <f t="shared" si="1"/>
        <v>6</v>
      </c>
      <c r="CC2" s="9">
        <f t="shared" si="1"/>
        <v>6</v>
      </c>
      <c r="CD2" s="9">
        <f t="shared" si="1"/>
        <v>6</v>
      </c>
      <c r="CE2" s="9">
        <f t="shared" si="1"/>
        <v>6</v>
      </c>
      <c r="CF2" s="9">
        <f t="shared" si="1"/>
        <v>6</v>
      </c>
      <c r="CG2" s="9">
        <f t="shared" si="1"/>
        <v>7</v>
      </c>
      <c r="CH2" s="9">
        <f t="shared" si="1"/>
        <v>7</v>
      </c>
      <c r="CI2" s="9">
        <f t="shared" si="1"/>
        <v>7</v>
      </c>
      <c r="CJ2" s="9">
        <f t="shared" si="1"/>
        <v>7</v>
      </c>
      <c r="CK2" s="9">
        <f t="shared" si="1"/>
        <v>7</v>
      </c>
      <c r="CL2" s="9">
        <f t="shared" si="1"/>
        <v>7</v>
      </c>
      <c r="CM2" s="9">
        <f t="shared" si="1"/>
        <v>7</v>
      </c>
      <c r="CN2" s="9">
        <f t="shared" si="1"/>
        <v>7</v>
      </c>
      <c r="CO2" s="9">
        <f t="shared" si="1"/>
        <v>7</v>
      </c>
      <c r="CP2" s="9">
        <f t="shared" si="1"/>
        <v>7</v>
      </c>
      <c r="CQ2" s="9">
        <f t="shared" si="1"/>
        <v>7</v>
      </c>
      <c r="CR2" s="9">
        <f t="shared" si="1"/>
        <v>7</v>
      </c>
      <c r="CS2" s="9">
        <f t="shared" si="1"/>
        <v>8</v>
      </c>
      <c r="CT2" s="9">
        <f t="shared" si="1"/>
        <v>8</v>
      </c>
      <c r="CU2" s="9">
        <f t="shared" si="1"/>
        <v>8</v>
      </c>
      <c r="CV2" s="9">
        <f t="shared" si="1"/>
        <v>8</v>
      </c>
      <c r="CW2" s="9">
        <f t="shared" si="1"/>
        <v>8</v>
      </c>
      <c r="CX2" s="9">
        <f t="shared" si="1"/>
        <v>8</v>
      </c>
      <c r="CY2" s="9">
        <f t="shared" si="1"/>
        <v>8</v>
      </c>
      <c r="CZ2" s="9">
        <f t="shared" si="1"/>
        <v>8</v>
      </c>
      <c r="DA2" s="9">
        <f t="shared" si="1"/>
        <v>8</v>
      </c>
      <c r="DB2" s="9">
        <f t="shared" si="1"/>
        <v>8</v>
      </c>
      <c r="DC2" s="9">
        <f t="shared" si="1"/>
        <v>8</v>
      </c>
      <c r="DD2" s="9">
        <f t="shared" si="1"/>
        <v>8</v>
      </c>
      <c r="DE2" s="9">
        <f t="shared" si="1"/>
        <v>9</v>
      </c>
      <c r="DF2" s="9">
        <f t="shared" si="1"/>
        <v>9</v>
      </c>
      <c r="DG2" s="9">
        <f t="shared" si="1"/>
        <v>9</v>
      </c>
      <c r="DH2" s="9">
        <f t="shared" si="1"/>
        <v>9</v>
      </c>
      <c r="DI2" s="9">
        <f t="shared" si="1"/>
        <v>9</v>
      </c>
      <c r="DJ2" s="9">
        <f t="shared" si="1"/>
        <v>9</v>
      </c>
      <c r="DK2" s="9">
        <f t="shared" si="1"/>
        <v>9</v>
      </c>
      <c r="DL2" s="9">
        <f t="shared" si="1"/>
        <v>9</v>
      </c>
      <c r="DM2" s="9">
        <f t="shared" si="1"/>
        <v>9</v>
      </c>
      <c r="DN2" s="9">
        <f t="shared" si="1"/>
        <v>9</v>
      </c>
      <c r="DO2" s="9">
        <f t="shared" si="1"/>
        <v>9</v>
      </c>
      <c r="DP2" s="9">
        <f t="shared" si="1"/>
        <v>9</v>
      </c>
      <c r="DQ2" s="9">
        <f t="shared" si="1"/>
        <v>10</v>
      </c>
      <c r="DR2" s="9">
        <f t="shared" si="1"/>
        <v>10</v>
      </c>
      <c r="DS2" s="9">
        <f t="shared" si="1"/>
        <v>10</v>
      </c>
      <c r="DT2" s="9">
        <f t="shared" si="1"/>
        <v>10</v>
      </c>
      <c r="DU2" s="9">
        <f t="shared" si="1"/>
        <v>10</v>
      </c>
      <c r="DV2" s="9">
        <f t="shared" si="1"/>
        <v>10</v>
      </c>
      <c r="DW2" s="9">
        <f t="shared" si="1"/>
        <v>10</v>
      </c>
      <c r="DX2" s="9">
        <f t="shared" si="1"/>
        <v>10</v>
      </c>
      <c r="DY2" s="9">
        <f t="shared" si="1"/>
        <v>10</v>
      </c>
      <c r="DZ2" s="9">
        <f t="shared" si="1"/>
        <v>10</v>
      </c>
      <c r="EA2" s="9">
        <f t="shared" si="1"/>
        <v>10</v>
      </c>
      <c r="EB2" s="9">
        <f t="shared" si="1"/>
        <v>10</v>
      </c>
      <c r="EC2" s="9">
        <f t="shared" si="1"/>
        <v>11</v>
      </c>
      <c r="ED2" s="9">
        <f t="shared" si="1"/>
        <v>11</v>
      </c>
      <c r="EE2" s="9">
        <f t="shared" si="1"/>
        <v>11</v>
      </c>
      <c r="EF2" s="9">
        <f t="shared" si="1"/>
        <v>11</v>
      </c>
      <c r="EG2" s="9">
        <f t="shared" si="1"/>
        <v>11</v>
      </c>
      <c r="EH2" s="9">
        <f t="shared" si="1"/>
        <v>11</v>
      </c>
      <c r="EI2" s="9">
        <f t="shared" si="1"/>
        <v>11</v>
      </c>
      <c r="EJ2" s="9">
        <f t="shared" si="1"/>
        <v>11</v>
      </c>
      <c r="EK2" s="9">
        <f t="shared" si="1"/>
        <v>11</v>
      </c>
      <c r="EL2" s="9">
        <f>ROUNDUP(EL3/12,0)</f>
        <v>11</v>
      </c>
      <c r="EM2" s="9">
        <f>ROUNDUP(EM3/12,0)</f>
        <v>11</v>
      </c>
      <c r="EN2" s="9">
        <f>ROUNDUP(EN3/12,0)</f>
        <v>11</v>
      </c>
      <c r="EP2" s="24"/>
      <c r="EQ2" s="24"/>
      <c r="ER2" s="24"/>
      <c r="ES2" s="24"/>
      <c r="ET2" s="24"/>
      <c r="EU2" s="33"/>
      <c r="EV2" s="25">
        <f>L2</f>
        <v>0</v>
      </c>
      <c r="EW2" s="25">
        <f t="shared" ref="EW2:HH3" si="2">M2</f>
        <v>1</v>
      </c>
      <c r="EX2" s="25">
        <f t="shared" si="2"/>
        <v>1</v>
      </c>
      <c r="EY2" s="25">
        <f t="shared" si="2"/>
        <v>1</v>
      </c>
      <c r="EZ2" s="25">
        <f t="shared" si="2"/>
        <v>1</v>
      </c>
      <c r="FA2" s="25">
        <f t="shared" si="2"/>
        <v>1</v>
      </c>
      <c r="FB2" s="25">
        <f t="shared" si="2"/>
        <v>1</v>
      </c>
      <c r="FC2" s="25">
        <f t="shared" si="2"/>
        <v>1</v>
      </c>
      <c r="FD2" s="25">
        <f t="shared" si="2"/>
        <v>1</v>
      </c>
      <c r="FE2" s="25">
        <f t="shared" si="2"/>
        <v>1</v>
      </c>
      <c r="FF2" s="25">
        <f t="shared" si="2"/>
        <v>1</v>
      </c>
      <c r="FG2" s="25">
        <f t="shared" si="2"/>
        <v>1</v>
      </c>
      <c r="FH2" s="25">
        <f t="shared" si="2"/>
        <v>1</v>
      </c>
      <c r="FI2" s="25">
        <f t="shared" si="2"/>
        <v>2</v>
      </c>
      <c r="FJ2" s="25">
        <f t="shared" si="2"/>
        <v>2</v>
      </c>
      <c r="FK2" s="25">
        <f t="shared" si="2"/>
        <v>2</v>
      </c>
      <c r="FL2" s="25">
        <f t="shared" si="2"/>
        <v>2</v>
      </c>
      <c r="FM2" s="25">
        <f t="shared" si="2"/>
        <v>2</v>
      </c>
      <c r="FN2" s="25">
        <f t="shared" si="2"/>
        <v>2</v>
      </c>
      <c r="FO2" s="25">
        <f t="shared" si="2"/>
        <v>2</v>
      </c>
      <c r="FP2" s="25">
        <f t="shared" si="2"/>
        <v>2</v>
      </c>
      <c r="FQ2" s="25">
        <f t="shared" si="2"/>
        <v>2</v>
      </c>
      <c r="FR2" s="25">
        <f t="shared" si="2"/>
        <v>2</v>
      </c>
      <c r="FS2" s="25">
        <f t="shared" si="2"/>
        <v>2</v>
      </c>
      <c r="FT2" s="25">
        <f t="shared" si="2"/>
        <v>2</v>
      </c>
      <c r="FU2" s="25">
        <f t="shared" si="2"/>
        <v>3</v>
      </c>
      <c r="FV2" s="25">
        <f t="shared" si="2"/>
        <v>3</v>
      </c>
      <c r="FW2" s="25">
        <f t="shared" si="2"/>
        <v>3</v>
      </c>
      <c r="FX2" s="25">
        <f t="shared" si="2"/>
        <v>3</v>
      </c>
      <c r="FY2" s="25">
        <f t="shared" si="2"/>
        <v>3</v>
      </c>
      <c r="FZ2" s="25">
        <f t="shared" si="2"/>
        <v>3</v>
      </c>
      <c r="GA2" s="25">
        <f t="shared" si="2"/>
        <v>3</v>
      </c>
      <c r="GB2" s="25">
        <f t="shared" si="2"/>
        <v>3</v>
      </c>
      <c r="GC2" s="25">
        <f t="shared" si="2"/>
        <v>3</v>
      </c>
      <c r="GD2" s="25">
        <f t="shared" si="2"/>
        <v>3</v>
      </c>
      <c r="GE2" s="25">
        <f t="shared" si="2"/>
        <v>3</v>
      </c>
      <c r="GF2" s="25">
        <f t="shared" si="2"/>
        <v>3</v>
      </c>
      <c r="GG2" s="25">
        <f t="shared" si="2"/>
        <v>4</v>
      </c>
      <c r="GH2" s="25">
        <f t="shared" si="2"/>
        <v>4</v>
      </c>
      <c r="GI2" s="25">
        <f t="shared" si="2"/>
        <v>4</v>
      </c>
      <c r="GJ2" s="25">
        <f t="shared" si="2"/>
        <v>4</v>
      </c>
      <c r="GK2" s="25">
        <f t="shared" si="2"/>
        <v>4</v>
      </c>
      <c r="GL2" s="25">
        <f t="shared" si="2"/>
        <v>4</v>
      </c>
      <c r="GM2" s="25">
        <f t="shared" si="2"/>
        <v>4</v>
      </c>
      <c r="GN2" s="25">
        <f t="shared" si="2"/>
        <v>4</v>
      </c>
      <c r="GO2" s="25">
        <f t="shared" si="2"/>
        <v>4</v>
      </c>
      <c r="GP2" s="25">
        <f t="shared" si="2"/>
        <v>4</v>
      </c>
      <c r="GQ2" s="25">
        <f t="shared" si="2"/>
        <v>4</v>
      </c>
      <c r="GR2" s="25">
        <f t="shared" si="2"/>
        <v>4</v>
      </c>
      <c r="GS2" s="25">
        <f t="shared" si="2"/>
        <v>5</v>
      </c>
      <c r="GT2" s="25">
        <f t="shared" si="2"/>
        <v>5</v>
      </c>
      <c r="GU2" s="25">
        <f t="shared" si="2"/>
        <v>5</v>
      </c>
      <c r="GV2" s="25">
        <f t="shared" si="2"/>
        <v>5</v>
      </c>
      <c r="GW2" s="25">
        <f t="shared" si="2"/>
        <v>5</v>
      </c>
      <c r="GX2" s="25">
        <f t="shared" si="2"/>
        <v>5</v>
      </c>
      <c r="GY2" s="25">
        <f t="shared" si="2"/>
        <v>5</v>
      </c>
      <c r="GZ2" s="25">
        <f t="shared" si="2"/>
        <v>5</v>
      </c>
      <c r="HA2" s="25">
        <f t="shared" si="2"/>
        <v>5</v>
      </c>
      <c r="HB2" s="25">
        <f t="shared" si="2"/>
        <v>5</v>
      </c>
      <c r="HC2" s="25">
        <f t="shared" si="2"/>
        <v>5</v>
      </c>
      <c r="HD2" s="25">
        <f t="shared" si="2"/>
        <v>5</v>
      </c>
      <c r="HE2" s="25">
        <f t="shared" si="2"/>
        <v>6</v>
      </c>
      <c r="HF2" s="25">
        <f t="shared" si="2"/>
        <v>6</v>
      </c>
      <c r="HG2" s="25">
        <f t="shared" si="2"/>
        <v>6</v>
      </c>
      <c r="HH2" s="25">
        <f t="shared" si="2"/>
        <v>6</v>
      </c>
      <c r="HI2" s="25">
        <f t="shared" ref="HI2:IQ3" si="3">BY2</f>
        <v>6</v>
      </c>
      <c r="HJ2" s="25">
        <f t="shared" si="3"/>
        <v>6</v>
      </c>
      <c r="HK2" s="25">
        <f t="shared" si="3"/>
        <v>6</v>
      </c>
      <c r="HL2" s="25">
        <f t="shared" si="3"/>
        <v>6</v>
      </c>
      <c r="HM2" s="25">
        <f t="shared" si="3"/>
        <v>6</v>
      </c>
      <c r="HN2" s="25">
        <f t="shared" si="3"/>
        <v>6</v>
      </c>
      <c r="HO2" s="25">
        <f t="shared" si="3"/>
        <v>6</v>
      </c>
      <c r="HP2" s="25">
        <f t="shared" si="3"/>
        <v>6</v>
      </c>
      <c r="HQ2" s="25">
        <f t="shared" si="3"/>
        <v>7</v>
      </c>
      <c r="HR2" s="25">
        <f t="shared" si="3"/>
        <v>7</v>
      </c>
      <c r="HS2" s="25">
        <f t="shared" si="3"/>
        <v>7</v>
      </c>
      <c r="HT2" s="25">
        <f t="shared" si="3"/>
        <v>7</v>
      </c>
      <c r="HU2" s="25">
        <f t="shared" si="3"/>
        <v>7</v>
      </c>
      <c r="HV2" s="25">
        <f t="shared" si="3"/>
        <v>7</v>
      </c>
      <c r="HW2" s="25">
        <f t="shared" si="3"/>
        <v>7</v>
      </c>
      <c r="HX2" s="25">
        <f t="shared" si="3"/>
        <v>7</v>
      </c>
      <c r="HY2" s="25">
        <f t="shared" si="3"/>
        <v>7</v>
      </c>
      <c r="HZ2" s="25">
        <f t="shared" si="3"/>
        <v>7</v>
      </c>
      <c r="IA2" s="25">
        <f t="shared" si="3"/>
        <v>7</v>
      </c>
      <c r="IB2" s="25">
        <f t="shared" si="3"/>
        <v>7</v>
      </c>
      <c r="IC2" s="25">
        <f t="shared" si="3"/>
        <v>8</v>
      </c>
      <c r="ID2" s="25">
        <f t="shared" si="3"/>
        <v>8</v>
      </c>
      <c r="IE2" s="25">
        <f t="shared" si="3"/>
        <v>8</v>
      </c>
      <c r="IF2" s="25">
        <f t="shared" si="3"/>
        <v>8</v>
      </c>
      <c r="IG2" s="25">
        <f t="shared" si="3"/>
        <v>8</v>
      </c>
      <c r="IH2" s="25">
        <f t="shared" si="3"/>
        <v>8</v>
      </c>
      <c r="II2" s="25">
        <f t="shared" si="3"/>
        <v>8</v>
      </c>
      <c r="IJ2" s="25">
        <f t="shared" si="3"/>
        <v>8</v>
      </c>
      <c r="IK2" s="25">
        <f t="shared" si="3"/>
        <v>8</v>
      </c>
      <c r="IL2" s="25">
        <f t="shared" si="3"/>
        <v>8</v>
      </c>
      <c r="IM2" s="25">
        <f t="shared" si="3"/>
        <v>8</v>
      </c>
      <c r="IN2" s="25">
        <f t="shared" si="3"/>
        <v>8</v>
      </c>
      <c r="IO2" s="25">
        <f t="shared" si="3"/>
        <v>9</v>
      </c>
      <c r="IP2" s="25">
        <f t="shared" si="3"/>
        <v>9</v>
      </c>
      <c r="IQ2" s="25">
        <f t="shared" si="3"/>
        <v>9</v>
      </c>
      <c r="IR2" s="25">
        <f t="shared" ref="IR2:JA3" si="4">DH2</f>
        <v>9</v>
      </c>
      <c r="IS2" s="25">
        <f t="shared" si="4"/>
        <v>9</v>
      </c>
      <c r="IT2" s="25">
        <f t="shared" si="4"/>
        <v>9</v>
      </c>
      <c r="IU2" s="25">
        <f t="shared" si="4"/>
        <v>9</v>
      </c>
      <c r="IV2" s="25">
        <f t="shared" si="4"/>
        <v>9</v>
      </c>
      <c r="IW2" s="25">
        <f t="shared" si="4"/>
        <v>9</v>
      </c>
      <c r="IX2" s="25">
        <f t="shared" si="4"/>
        <v>9</v>
      </c>
      <c r="IY2" s="25">
        <f t="shared" si="4"/>
        <v>9</v>
      </c>
      <c r="IZ2" s="25">
        <f t="shared" si="4"/>
        <v>9</v>
      </c>
      <c r="JA2" s="25">
        <f t="shared" si="4"/>
        <v>10</v>
      </c>
      <c r="JB2" s="25">
        <f t="shared" ref="JB2:JK3" si="5">DR2</f>
        <v>10</v>
      </c>
      <c r="JC2" s="25">
        <f t="shared" si="5"/>
        <v>10</v>
      </c>
      <c r="JD2" s="25">
        <f t="shared" si="5"/>
        <v>10</v>
      </c>
      <c r="JE2" s="25">
        <f t="shared" si="5"/>
        <v>10</v>
      </c>
      <c r="JF2" s="25">
        <f t="shared" si="5"/>
        <v>10</v>
      </c>
      <c r="JG2" s="25">
        <f t="shared" si="5"/>
        <v>10</v>
      </c>
      <c r="JH2" s="25">
        <f t="shared" si="5"/>
        <v>10</v>
      </c>
      <c r="JI2" s="25">
        <f t="shared" si="5"/>
        <v>10</v>
      </c>
      <c r="JJ2" s="25">
        <f t="shared" si="5"/>
        <v>10</v>
      </c>
      <c r="JK2" s="25">
        <f t="shared" si="5"/>
        <v>10</v>
      </c>
      <c r="JL2" s="25">
        <f t="shared" ref="JL2:JU3" si="6">EB2</f>
        <v>10</v>
      </c>
      <c r="JM2" s="25">
        <f t="shared" si="6"/>
        <v>11</v>
      </c>
      <c r="JN2" s="25">
        <f t="shared" si="6"/>
        <v>11</v>
      </c>
      <c r="JO2" s="25">
        <f t="shared" si="6"/>
        <v>11</v>
      </c>
      <c r="JP2" s="25">
        <f t="shared" si="6"/>
        <v>11</v>
      </c>
      <c r="JQ2" s="25">
        <f t="shared" si="6"/>
        <v>11</v>
      </c>
      <c r="JR2" s="25">
        <f t="shared" si="6"/>
        <v>11</v>
      </c>
      <c r="JS2" s="25">
        <f t="shared" si="6"/>
        <v>11</v>
      </c>
      <c r="JT2" s="25">
        <f t="shared" si="6"/>
        <v>11</v>
      </c>
      <c r="JU2" s="25">
        <f t="shared" si="6"/>
        <v>11</v>
      </c>
      <c r="JV2" s="25">
        <f t="shared" ref="JV2:JX3" si="7">EL2</f>
        <v>11</v>
      </c>
      <c r="JW2" s="25">
        <f t="shared" si="7"/>
        <v>11</v>
      </c>
      <c r="JX2" s="25">
        <f t="shared" si="7"/>
        <v>11</v>
      </c>
    </row>
    <row r="3" spans="1:284" s="7" customFormat="1" x14ac:dyDescent="0.2">
      <c r="A3" s="406"/>
      <c r="B3"/>
      <c r="C3"/>
      <c r="D3"/>
      <c r="E3"/>
      <c r="F3"/>
      <c r="G3"/>
      <c r="H3"/>
      <c r="I3"/>
      <c r="J3" s="463"/>
      <c r="K3" s="463" t="s">
        <v>504</v>
      </c>
      <c r="L3" s="52">
        <v>0</v>
      </c>
      <c r="M3" s="52">
        <f>L3+1</f>
        <v>1</v>
      </c>
      <c r="N3" s="52">
        <f t="shared" ref="N3:BY3" si="8">M3+1</f>
        <v>2</v>
      </c>
      <c r="O3" s="52">
        <f t="shared" si="8"/>
        <v>3</v>
      </c>
      <c r="P3" s="52">
        <f t="shared" si="8"/>
        <v>4</v>
      </c>
      <c r="Q3" s="52">
        <f t="shared" si="8"/>
        <v>5</v>
      </c>
      <c r="R3" s="52">
        <f t="shared" si="8"/>
        <v>6</v>
      </c>
      <c r="S3" s="52">
        <f t="shared" si="8"/>
        <v>7</v>
      </c>
      <c r="T3" s="52">
        <f t="shared" si="8"/>
        <v>8</v>
      </c>
      <c r="U3" s="52">
        <f t="shared" si="8"/>
        <v>9</v>
      </c>
      <c r="V3" s="52">
        <f t="shared" si="8"/>
        <v>10</v>
      </c>
      <c r="W3" s="52">
        <f t="shared" si="8"/>
        <v>11</v>
      </c>
      <c r="X3" s="52">
        <f t="shared" si="8"/>
        <v>12</v>
      </c>
      <c r="Y3" s="52">
        <f t="shared" si="8"/>
        <v>13</v>
      </c>
      <c r="Z3" s="52">
        <f t="shared" si="8"/>
        <v>14</v>
      </c>
      <c r="AA3" s="52">
        <f t="shared" si="8"/>
        <v>15</v>
      </c>
      <c r="AB3" s="52">
        <f t="shared" si="8"/>
        <v>16</v>
      </c>
      <c r="AC3" s="52">
        <f t="shared" si="8"/>
        <v>17</v>
      </c>
      <c r="AD3" s="52">
        <f t="shared" si="8"/>
        <v>18</v>
      </c>
      <c r="AE3" s="52">
        <f t="shared" si="8"/>
        <v>19</v>
      </c>
      <c r="AF3" s="52">
        <f t="shared" si="8"/>
        <v>20</v>
      </c>
      <c r="AG3" s="52">
        <f t="shared" si="8"/>
        <v>21</v>
      </c>
      <c r="AH3" s="52">
        <f t="shared" si="8"/>
        <v>22</v>
      </c>
      <c r="AI3" s="52">
        <f t="shared" si="8"/>
        <v>23</v>
      </c>
      <c r="AJ3" s="52">
        <f t="shared" si="8"/>
        <v>24</v>
      </c>
      <c r="AK3" s="52">
        <f t="shared" si="8"/>
        <v>25</v>
      </c>
      <c r="AL3" s="52">
        <f t="shared" si="8"/>
        <v>26</v>
      </c>
      <c r="AM3" s="52">
        <f t="shared" si="8"/>
        <v>27</v>
      </c>
      <c r="AN3" s="52">
        <f t="shared" si="8"/>
        <v>28</v>
      </c>
      <c r="AO3" s="52">
        <f t="shared" si="8"/>
        <v>29</v>
      </c>
      <c r="AP3" s="52">
        <f t="shared" si="8"/>
        <v>30</v>
      </c>
      <c r="AQ3" s="52">
        <f t="shared" si="8"/>
        <v>31</v>
      </c>
      <c r="AR3" s="52">
        <f t="shared" si="8"/>
        <v>32</v>
      </c>
      <c r="AS3" s="52">
        <f t="shared" si="8"/>
        <v>33</v>
      </c>
      <c r="AT3" s="52">
        <f t="shared" si="8"/>
        <v>34</v>
      </c>
      <c r="AU3" s="52">
        <f t="shared" si="8"/>
        <v>35</v>
      </c>
      <c r="AV3" s="52">
        <f t="shared" si="8"/>
        <v>36</v>
      </c>
      <c r="AW3" s="52">
        <f t="shared" si="8"/>
        <v>37</v>
      </c>
      <c r="AX3" s="52">
        <f t="shared" si="8"/>
        <v>38</v>
      </c>
      <c r="AY3" s="52">
        <f t="shared" si="8"/>
        <v>39</v>
      </c>
      <c r="AZ3" s="52">
        <f t="shared" si="8"/>
        <v>40</v>
      </c>
      <c r="BA3" s="52">
        <f t="shared" si="8"/>
        <v>41</v>
      </c>
      <c r="BB3" s="52">
        <f t="shared" si="8"/>
        <v>42</v>
      </c>
      <c r="BC3" s="52">
        <f t="shared" si="8"/>
        <v>43</v>
      </c>
      <c r="BD3" s="52">
        <f t="shared" si="8"/>
        <v>44</v>
      </c>
      <c r="BE3" s="52">
        <f t="shared" si="8"/>
        <v>45</v>
      </c>
      <c r="BF3" s="52">
        <f t="shared" si="8"/>
        <v>46</v>
      </c>
      <c r="BG3" s="52">
        <f t="shared" si="8"/>
        <v>47</v>
      </c>
      <c r="BH3" s="52">
        <f t="shared" si="8"/>
        <v>48</v>
      </c>
      <c r="BI3" s="52">
        <f t="shared" si="8"/>
        <v>49</v>
      </c>
      <c r="BJ3" s="52">
        <f t="shared" si="8"/>
        <v>50</v>
      </c>
      <c r="BK3" s="52">
        <f t="shared" si="8"/>
        <v>51</v>
      </c>
      <c r="BL3" s="52">
        <f t="shared" si="8"/>
        <v>52</v>
      </c>
      <c r="BM3" s="52">
        <f t="shared" si="8"/>
        <v>53</v>
      </c>
      <c r="BN3" s="52">
        <f t="shared" si="8"/>
        <v>54</v>
      </c>
      <c r="BO3" s="52">
        <f t="shared" si="8"/>
        <v>55</v>
      </c>
      <c r="BP3" s="52">
        <f t="shared" si="8"/>
        <v>56</v>
      </c>
      <c r="BQ3" s="52">
        <f t="shared" si="8"/>
        <v>57</v>
      </c>
      <c r="BR3" s="52">
        <f t="shared" si="8"/>
        <v>58</v>
      </c>
      <c r="BS3" s="52">
        <f t="shared" si="8"/>
        <v>59</v>
      </c>
      <c r="BT3" s="52">
        <f t="shared" si="8"/>
        <v>60</v>
      </c>
      <c r="BU3" s="52">
        <f t="shared" si="8"/>
        <v>61</v>
      </c>
      <c r="BV3" s="52">
        <f t="shared" si="8"/>
        <v>62</v>
      </c>
      <c r="BW3" s="52">
        <f t="shared" si="8"/>
        <v>63</v>
      </c>
      <c r="BX3" s="52">
        <f t="shared" si="8"/>
        <v>64</v>
      </c>
      <c r="BY3" s="52">
        <f t="shared" si="8"/>
        <v>65</v>
      </c>
      <c r="BZ3" s="52">
        <f t="shared" ref="BZ3:EK3" si="9">BY3+1</f>
        <v>66</v>
      </c>
      <c r="CA3" s="52">
        <f t="shared" si="9"/>
        <v>67</v>
      </c>
      <c r="CB3" s="52">
        <f t="shared" si="9"/>
        <v>68</v>
      </c>
      <c r="CC3" s="52">
        <f t="shared" si="9"/>
        <v>69</v>
      </c>
      <c r="CD3" s="52">
        <f t="shared" si="9"/>
        <v>70</v>
      </c>
      <c r="CE3" s="52">
        <f t="shared" si="9"/>
        <v>71</v>
      </c>
      <c r="CF3" s="52">
        <f t="shared" si="9"/>
        <v>72</v>
      </c>
      <c r="CG3" s="52">
        <f t="shared" si="9"/>
        <v>73</v>
      </c>
      <c r="CH3" s="52">
        <f t="shared" si="9"/>
        <v>74</v>
      </c>
      <c r="CI3" s="52">
        <f t="shared" si="9"/>
        <v>75</v>
      </c>
      <c r="CJ3" s="52">
        <f t="shared" si="9"/>
        <v>76</v>
      </c>
      <c r="CK3" s="52">
        <f t="shared" si="9"/>
        <v>77</v>
      </c>
      <c r="CL3" s="52">
        <f t="shared" si="9"/>
        <v>78</v>
      </c>
      <c r="CM3" s="52">
        <f t="shared" si="9"/>
        <v>79</v>
      </c>
      <c r="CN3" s="52">
        <f t="shared" si="9"/>
        <v>80</v>
      </c>
      <c r="CO3" s="52">
        <f t="shared" si="9"/>
        <v>81</v>
      </c>
      <c r="CP3" s="52">
        <f t="shared" si="9"/>
        <v>82</v>
      </c>
      <c r="CQ3" s="52">
        <f t="shared" si="9"/>
        <v>83</v>
      </c>
      <c r="CR3" s="52">
        <f t="shared" si="9"/>
        <v>84</v>
      </c>
      <c r="CS3" s="52">
        <f t="shared" si="9"/>
        <v>85</v>
      </c>
      <c r="CT3" s="52">
        <f t="shared" si="9"/>
        <v>86</v>
      </c>
      <c r="CU3" s="52">
        <f t="shared" si="9"/>
        <v>87</v>
      </c>
      <c r="CV3" s="52">
        <f t="shared" si="9"/>
        <v>88</v>
      </c>
      <c r="CW3" s="52">
        <f t="shared" si="9"/>
        <v>89</v>
      </c>
      <c r="CX3" s="52">
        <f t="shared" si="9"/>
        <v>90</v>
      </c>
      <c r="CY3" s="52">
        <f t="shared" si="9"/>
        <v>91</v>
      </c>
      <c r="CZ3" s="52">
        <f t="shared" si="9"/>
        <v>92</v>
      </c>
      <c r="DA3" s="52">
        <f t="shared" si="9"/>
        <v>93</v>
      </c>
      <c r="DB3" s="52">
        <f t="shared" si="9"/>
        <v>94</v>
      </c>
      <c r="DC3" s="52">
        <f t="shared" si="9"/>
        <v>95</v>
      </c>
      <c r="DD3" s="52">
        <f t="shared" si="9"/>
        <v>96</v>
      </c>
      <c r="DE3" s="52">
        <f t="shared" si="9"/>
        <v>97</v>
      </c>
      <c r="DF3" s="52">
        <f t="shared" si="9"/>
        <v>98</v>
      </c>
      <c r="DG3" s="52">
        <f t="shared" si="9"/>
        <v>99</v>
      </c>
      <c r="DH3" s="52">
        <f t="shared" si="9"/>
        <v>100</v>
      </c>
      <c r="DI3" s="52">
        <f t="shared" si="9"/>
        <v>101</v>
      </c>
      <c r="DJ3" s="52">
        <f t="shared" si="9"/>
        <v>102</v>
      </c>
      <c r="DK3" s="52">
        <f t="shared" si="9"/>
        <v>103</v>
      </c>
      <c r="DL3" s="52">
        <f t="shared" si="9"/>
        <v>104</v>
      </c>
      <c r="DM3" s="52">
        <f t="shared" si="9"/>
        <v>105</v>
      </c>
      <c r="DN3" s="52">
        <f t="shared" si="9"/>
        <v>106</v>
      </c>
      <c r="DO3" s="52">
        <f t="shared" si="9"/>
        <v>107</v>
      </c>
      <c r="DP3" s="52">
        <f t="shared" si="9"/>
        <v>108</v>
      </c>
      <c r="DQ3" s="52">
        <f t="shared" si="9"/>
        <v>109</v>
      </c>
      <c r="DR3" s="52">
        <f t="shared" si="9"/>
        <v>110</v>
      </c>
      <c r="DS3" s="52">
        <f t="shared" si="9"/>
        <v>111</v>
      </c>
      <c r="DT3" s="52">
        <f t="shared" si="9"/>
        <v>112</v>
      </c>
      <c r="DU3" s="52">
        <f t="shared" si="9"/>
        <v>113</v>
      </c>
      <c r="DV3" s="52">
        <f t="shared" si="9"/>
        <v>114</v>
      </c>
      <c r="DW3" s="52">
        <f t="shared" si="9"/>
        <v>115</v>
      </c>
      <c r="DX3" s="52">
        <f t="shared" si="9"/>
        <v>116</v>
      </c>
      <c r="DY3" s="52">
        <f t="shared" si="9"/>
        <v>117</v>
      </c>
      <c r="DZ3" s="52">
        <f t="shared" si="9"/>
        <v>118</v>
      </c>
      <c r="EA3" s="52">
        <f t="shared" si="9"/>
        <v>119</v>
      </c>
      <c r="EB3" s="52">
        <f t="shared" si="9"/>
        <v>120</v>
      </c>
      <c r="EC3" s="52">
        <f t="shared" si="9"/>
        <v>121</v>
      </c>
      <c r="ED3" s="52">
        <f t="shared" si="9"/>
        <v>122</v>
      </c>
      <c r="EE3" s="52">
        <f t="shared" si="9"/>
        <v>123</v>
      </c>
      <c r="EF3" s="52">
        <f t="shared" si="9"/>
        <v>124</v>
      </c>
      <c r="EG3" s="52">
        <f t="shared" si="9"/>
        <v>125</v>
      </c>
      <c r="EH3" s="52">
        <f t="shared" si="9"/>
        <v>126</v>
      </c>
      <c r="EI3" s="52">
        <f t="shared" si="9"/>
        <v>127</v>
      </c>
      <c r="EJ3" s="52">
        <f t="shared" si="9"/>
        <v>128</v>
      </c>
      <c r="EK3" s="52">
        <f t="shared" si="9"/>
        <v>129</v>
      </c>
      <c r="EL3" s="52">
        <f>EK3+1</f>
        <v>130</v>
      </c>
      <c r="EM3" s="52">
        <f>EL3+1</f>
        <v>131</v>
      </c>
      <c r="EN3" s="52">
        <f>EM3+1</f>
        <v>132</v>
      </c>
      <c r="EP3" s="24"/>
      <c r="EQ3" s="24"/>
      <c r="ER3" s="24"/>
      <c r="ES3" s="24"/>
      <c r="ET3" s="24"/>
      <c r="EU3" s="33"/>
      <c r="EV3" s="26">
        <f>L3</f>
        <v>0</v>
      </c>
      <c r="EW3" s="26">
        <f t="shared" si="2"/>
        <v>1</v>
      </c>
      <c r="EX3" s="26">
        <f t="shared" si="2"/>
        <v>2</v>
      </c>
      <c r="EY3" s="26">
        <f t="shared" si="2"/>
        <v>3</v>
      </c>
      <c r="EZ3" s="26">
        <f t="shared" si="2"/>
        <v>4</v>
      </c>
      <c r="FA3" s="26">
        <f t="shared" si="2"/>
        <v>5</v>
      </c>
      <c r="FB3" s="26">
        <f t="shared" si="2"/>
        <v>6</v>
      </c>
      <c r="FC3" s="26">
        <f t="shared" si="2"/>
        <v>7</v>
      </c>
      <c r="FD3" s="26">
        <f t="shared" si="2"/>
        <v>8</v>
      </c>
      <c r="FE3" s="26">
        <f t="shared" si="2"/>
        <v>9</v>
      </c>
      <c r="FF3" s="26">
        <f t="shared" si="2"/>
        <v>10</v>
      </c>
      <c r="FG3" s="26">
        <f t="shared" si="2"/>
        <v>11</v>
      </c>
      <c r="FH3" s="26">
        <f t="shared" si="2"/>
        <v>12</v>
      </c>
      <c r="FI3" s="26">
        <f t="shared" si="2"/>
        <v>13</v>
      </c>
      <c r="FJ3" s="26">
        <f t="shared" si="2"/>
        <v>14</v>
      </c>
      <c r="FK3" s="26">
        <f t="shared" si="2"/>
        <v>15</v>
      </c>
      <c r="FL3" s="26">
        <f t="shared" si="2"/>
        <v>16</v>
      </c>
      <c r="FM3" s="26">
        <f t="shared" si="2"/>
        <v>17</v>
      </c>
      <c r="FN3" s="26">
        <f t="shared" si="2"/>
        <v>18</v>
      </c>
      <c r="FO3" s="26">
        <f t="shared" si="2"/>
        <v>19</v>
      </c>
      <c r="FP3" s="26">
        <f t="shared" si="2"/>
        <v>20</v>
      </c>
      <c r="FQ3" s="26">
        <f t="shared" si="2"/>
        <v>21</v>
      </c>
      <c r="FR3" s="26">
        <f t="shared" si="2"/>
        <v>22</v>
      </c>
      <c r="FS3" s="26">
        <f t="shared" si="2"/>
        <v>23</v>
      </c>
      <c r="FT3" s="26">
        <f t="shared" si="2"/>
        <v>24</v>
      </c>
      <c r="FU3" s="26">
        <f t="shared" si="2"/>
        <v>25</v>
      </c>
      <c r="FV3" s="26">
        <f t="shared" si="2"/>
        <v>26</v>
      </c>
      <c r="FW3" s="26">
        <f t="shared" si="2"/>
        <v>27</v>
      </c>
      <c r="FX3" s="26">
        <f t="shared" si="2"/>
        <v>28</v>
      </c>
      <c r="FY3" s="26">
        <f t="shared" si="2"/>
        <v>29</v>
      </c>
      <c r="FZ3" s="26">
        <f t="shared" si="2"/>
        <v>30</v>
      </c>
      <c r="GA3" s="26">
        <f t="shared" si="2"/>
        <v>31</v>
      </c>
      <c r="GB3" s="26">
        <f t="shared" si="2"/>
        <v>32</v>
      </c>
      <c r="GC3" s="26">
        <f t="shared" si="2"/>
        <v>33</v>
      </c>
      <c r="GD3" s="26">
        <f t="shared" si="2"/>
        <v>34</v>
      </c>
      <c r="GE3" s="26">
        <f t="shared" si="2"/>
        <v>35</v>
      </c>
      <c r="GF3" s="26">
        <f t="shared" si="2"/>
        <v>36</v>
      </c>
      <c r="GG3" s="26">
        <f t="shared" si="2"/>
        <v>37</v>
      </c>
      <c r="GH3" s="26">
        <f t="shared" si="2"/>
        <v>38</v>
      </c>
      <c r="GI3" s="26">
        <f t="shared" si="2"/>
        <v>39</v>
      </c>
      <c r="GJ3" s="26">
        <f t="shared" si="2"/>
        <v>40</v>
      </c>
      <c r="GK3" s="26">
        <f t="shared" si="2"/>
        <v>41</v>
      </c>
      <c r="GL3" s="26">
        <f t="shared" si="2"/>
        <v>42</v>
      </c>
      <c r="GM3" s="26">
        <f t="shared" si="2"/>
        <v>43</v>
      </c>
      <c r="GN3" s="26">
        <f t="shared" si="2"/>
        <v>44</v>
      </c>
      <c r="GO3" s="26">
        <f t="shared" si="2"/>
        <v>45</v>
      </c>
      <c r="GP3" s="26">
        <f t="shared" si="2"/>
        <v>46</v>
      </c>
      <c r="GQ3" s="26">
        <f t="shared" si="2"/>
        <v>47</v>
      </c>
      <c r="GR3" s="26">
        <f t="shared" si="2"/>
        <v>48</v>
      </c>
      <c r="GS3" s="26">
        <f t="shared" si="2"/>
        <v>49</v>
      </c>
      <c r="GT3" s="26">
        <f t="shared" si="2"/>
        <v>50</v>
      </c>
      <c r="GU3" s="26">
        <f t="shared" si="2"/>
        <v>51</v>
      </c>
      <c r="GV3" s="26">
        <f t="shared" si="2"/>
        <v>52</v>
      </c>
      <c r="GW3" s="26">
        <f t="shared" si="2"/>
        <v>53</v>
      </c>
      <c r="GX3" s="26">
        <f t="shared" si="2"/>
        <v>54</v>
      </c>
      <c r="GY3" s="26">
        <f t="shared" si="2"/>
        <v>55</v>
      </c>
      <c r="GZ3" s="26">
        <f t="shared" si="2"/>
        <v>56</v>
      </c>
      <c r="HA3" s="26">
        <f t="shared" si="2"/>
        <v>57</v>
      </c>
      <c r="HB3" s="26">
        <f t="shared" si="2"/>
        <v>58</v>
      </c>
      <c r="HC3" s="26">
        <f t="shared" si="2"/>
        <v>59</v>
      </c>
      <c r="HD3" s="26">
        <f t="shared" si="2"/>
        <v>60</v>
      </c>
      <c r="HE3" s="26">
        <f t="shared" si="2"/>
        <v>61</v>
      </c>
      <c r="HF3" s="26">
        <f t="shared" si="2"/>
        <v>62</v>
      </c>
      <c r="HG3" s="26">
        <f t="shared" si="2"/>
        <v>63</v>
      </c>
      <c r="HH3" s="26">
        <f t="shared" si="2"/>
        <v>64</v>
      </c>
      <c r="HI3" s="26">
        <f t="shared" si="3"/>
        <v>65</v>
      </c>
      <c r="HJ3" s="26">
        <f t="shared" si="3"/>
        <v>66</v>
      </c>
      <c r="HK3" s="26">
        <f t="shared" si="3"/>
        <v>67</v>
      </c>
      <c r="HL3" s="26">
        <f t="shared" si="3"/>
        <v>68</v>
      </c>
      <c r="HM3" s="26">
        <f t="shared" si="3"/>
        <v>69</v>
      </c>
      <c r="HN3" s="26">
        <f t="shared" si="3"/>
        <v>70</v>
      </c>
      <c r="HO3" s="26">
        <f t="shared" si="3"/>
        <v>71</v>
      </c>
      <c r="HP3" s="26">
        <f t="shared" si="3"/>
        <v>72</v>
      </c>
      <c r="HQ3" s="26">
        <f t="shared" si="3"/>
        <v>73</v>
      </c>
      <c r="HR3" s="26">
        <f t="shared" si="3"/>
        <v>74</v>
      </c>
      <c r="HS3" s="26">
        <f t="shared" si="3"/>
        <v>75</v>
      </c>
      <c r="HT3" s="26">
        <f t="shared" si="3"/>
        <v>76</v>
      </c>
      <c r="HU3" s="26">
        <f t="shared" si="3"/>
        <v>77</v>
      </c>
      <c r="HV3" s="26">
        <f t="shared" si="3"/>
        <v>78</v>
      </c>
      <c r="HW3" s="26">
        <f t="shared" si="3"/>
        <v>79</v>
      </c>
      <c r="HX3" s="26">
        <f t="shared" si="3"/>
        <v>80</v>
      </c>
      <c r="HY3" s="26">
        <f t="shared" si="3"/>
        <v>81</v>
      </c>
      <c r="HZ3" s="26">
        <f t="shared" si="3"/>
        <v>82</v>
      </c>
      <c r="IA3" s="26">
        <f t="shared" si="3"/>
        <v>83</v>
      </c>
      <c r="IB3" s="26">
        <f t="shared" si="3"/>
        <v>84</v>
      </c>
      <c r="IC3" s="26">
        <f t="shared" si="3"/>
        <v>85</v>
      </c>
      <c r="ID3" s="26">
        <f t="shared" si="3"/>
        <v>86</v>
      </c>
      <c r="IE3" s="26">
        <f t="shared" si="3"/>
        <v>87</v>
      </c>
      <c r="IF3" s="26">
        <f t="shared" si="3"/>
        <v>88</v>
      </c>
      <c r="IG3" s="26">
        <f t="shared" si="3"/>
        <v>89</v>
      </c>
      <c r="IH3" s="26">
        <f t="shared" si="3"/>
        <v>90</v>
      </c>
      <c r="II3" s="26">
        <f t="shared" si="3"/>
        <v>91</v>
      </c>
      <c r="IJ3" s="26">
        <f t="shared" si="3"/>
        <v>92</v>
      </c>
      <c r="IK3" s="26">
        <f t="shared" si="3"/>
        <v>93</v>
      </c>
      <c r="IL3" s="26">
        <f t="shared" si="3"/>
        <v>94</v>
      </c>
      <c r="IM3" s="26">
        <f t="shared" si="3"/>
        <v>95</v>
      </c>
      <c r="IN3" s="26">
        <f t="shared" si="3"/>
        <v>96</v>
      </c>
      <c r="IO3" s="26">
        <f t="shared" si="3"/>
        <v>97</v>
      </c>
      <c r="IP3" s="26">
        <f t="shared" si="3"/>
        <v>98</v>
      </c>
      <c r="IQ3" s="26">
        <f t="shared" si="3"/>
        <v>99</v>
      </c>
      <c r="IR3" s="26">
        <f t="shared" si="4"/>
        <v>100</v>
      </c>
      <c r="IS3" s="26">
        <f t="shared" si="4"/>
        <v>101</v>
      </c>
      <c r="IT3" s="26">
        <f t="shared" si="4"/>
        <v>102</v>
      </c>
      <c r="IU3" s="26">
        <f t="shared" si="4"/>
        <v>103</v>
      </c>
      <c r="IV3" s="26">
        <f t="shared" si="4"/>
        <v>104</v>
      </c>
      <c r="IW3" s="26">
        <f t="shared" si="4"/>
        <v>105</v>
      </c>
      <c r="IX3" s="26">
        <f t="shared" si="4"/>
        <v>106</v>
      </c>
      <c r="IY3" s="26">
        <f t="shared" si="4"/>
        <v>107</v>
      </c>
      <c r="IZ3" s="26">
        <f t="shared" si="4"/>
        <v>108</v>
      </c>
      <c r="JA3" s="26">
        <f t="shared" si="4"/>
        <v>109</v>
      </c>
      <c r="JB3" s="26">
        <f t="shared" si="5"/>
        <v>110</v>
      </c>
      <c r="JC3" s="26">
        <f t="shared" si="5"/>
        <v>111</v>
      </c>
      <c r="JD3" s="26">
        <f t="shared" si="5"/>
        <v>112</v>
      </c>
      <c r="JE3" s="26">
        <f t="shared" si="5"/>
        <v>113</v>
      </c>
      <c r="JF3" s="26">
        <f t="shared" si="5"/>
        <v>114</v>
      </c>
      <c r="JG3" s="26">
        <f t="shared" si="5"/>
        <v>115</v>
      </c>
      <c r="JH3" s="26">
        <f t="shared" si="5"/>
        <v>116</v>
      </c>
      <c r="JI3" s="26">
        <f t="shared" si="5"/>
        <v>117</v>
      </c>
      <c r="JJ3" s="26">
        <f t="shared" si="5"/>
        <v>118</v>
      </c>
      <c r="JK3" s="26">
        <f t="shared" si="5"/>
        <v>119</v>
      </c>
      <c r="JL3" s="26">
        <f t="shared" si="6"/>
        <v>120</v>
      </c>
      <c r="JM3" s="26">
        <f t="shared" si="6"/>
        <v>121</v>
      </c>
      <c r="JN3" s="26">
        <f t="shared" si="6"/>
        <v>122</v>
      </c>
      <c r="JO3" s="26">
        <f t="shared" si="6"/>
        <v>123</v>
      </c>
      <c r="JP3" s="26">
        <f t="shared" si="6"/>
        <v>124</v>
      </c>
      <c r="JQ3" s="26">
        <f t="shared" si="6"/>
        <v>125</v>
      </c>
      <c r="JR3" s="26">
        <f t="shared" si="6"/>
        <v>126</v>
      </c>
      <c r="JS3" s="26">
        <f t="shared" si="6"/>
        <v>127</v>
      </c>
      <c r="JT3" s="26">
        <f t="shared" si="6"/>
        <v>128</v>
      </c>
      <c r="JU3" s="26">
        <f t="shared" si="6"/>
        <v>129</v>
      </c>
      <c r="JV3" s="26">
        <f t="shared" si="7"/>
        <v>130</v>
      </c>
      <c r="JW3" s="26">
        <f t="shared" si="7"/>
        <v>131</v>
      </c>
      <c r="JX3" s="26">
        <f t="shared" si="7"/>
        <v>132</v>
      </c>
    </row>
    <row r="4" spans="1:284" s="7" customFormat="1" ht="5.0999999999999996" customHeight="1" x14ac:dyDescent="0.2">
      <c r="A4" s="406"/>
      <c r="B4"/>
      <c r="C4"/>
      <c r="D4"/>
      <c r="E4"/>
      <c r="F4"/>
      <c r="G4"/>
      <c r="H4"/>
      <c r="I4"/>
      <c r="EP4" s="24"/>
      <c r="EQ4" s="24"/>
      <c r="ER4" s="24"/>
      <c r="ES4" s="24"/>
      <c r="ET4" s="24"/>
      <c r="EU4" s="33"/>
      <c r="EV4" s="24"/>
      <c r="EW4" s="24"/>
      <c r="EX4" s="24"/>
      <c r="EY4" s="24"/>
      <c r="EZ4" s="24"/>
      <c r="FA4" s="24"/>
      <c r="FB4" s="24"/>
      <c r="FC4" s="24"/>
      <c r="FD4" s="24"/>
      <c r="FE4" s="24"/>
      <c r="FF4" s="24"/>
      <c r="FG4" s="24"/>
      <c r="FH4" s="24"/>
      <c r="FI4" s="24"/>
      <c r="FJ4" s="24"/>
      <c r="FK4" s="24"/>
      <c r="FL4" s="24"/>
      <c r="FM4" s="24"/>
      <c r="FN4" s="24"/>
      <c r="FO4" s="24"/>
      <c r="FP4" s="24"/>
      <c r="FQ4" s="24"/>
      <c r="FR4" s="24"/>
      <c r="FS4" s="24"/>
      <c r="FT4" s="24"/>
      <c r="FU4" s="24"/>
      <c r="FV4" s="24"/>
      <c r="FW4" s="24"/>
      <c r="FX4" s="24"/>
      <c r="FY4" s="24"/>
      <c r="FZ4" s="24"/>
      <c r="GA4" s="24"/>
      <c r="GB4" s="24"/>
      <c r="GC4" s="24"/>
      <c r="GD4" s="24"/>
      <c r="GE4" s="24"/>
      <c r="GF4" s="24"/>
      <c r="GG4" s="24"/>
      <c r="GH4" s="24"/>
      <c r="GI4" s="24"/>
      <c r="GJ4" s="24"/>
      <c r="GK4" s="24"/>
      <c r="GL4" s="24"/>
      <c r="GM4" s="24"/>
      <c r="GN4" s="24"/>
      <c r="GO4" s="24"/>
      <c r="GP4" s="24"/>
      <c r="GQ4" s="24"/>
      <c r="GR4" s="24"/>
      <c r="GS4" s="24"/>
      <c r="GT4" s="24"/>
      <c r="GU4" s="24"/>
      <c r="GV4" s="24"/>
      <c r="GW4" s="24"/>
      <c r="GX4" s="24"/>
      <c r="GY4" s="24"/>
      <c r="GZ4" s="24"/>
      <c r="HA4" s="24"/>
      <c r="HB4" s="24"/>
      <c r="HC4" s="24"/>
      <c r="HD4" s="24"/>
      <c r="HE4" s="24"/>
      <c r="HF4" s="24"/>
      <c r="HG4" s="24"/>
      <c r="HH4" s="24"/>
      <c r="HI4" s="24"/>
      <c r="HJ4" s="24"/>
      <c r="HK4" s="24"/>
      <c r="HL4" s="24"/>
      <c r="HM4" s="24"/>
      <c r="HN4" s="24"/>
      <c r="HO4" s="24"/>
      <c r="HP4" s="24"/>
      <c r="HQ4" s="24"/>
      <c r="HR4" s="24"/>
      <c r="HS4" s="24"/>
      <c r="HT4" s="24"/>
      <c r="HU4" s="24"/>
      <c r="HV4" s="24"/>
      <c r="HW4" s="24"/>
      <c r="HX4" s="24"/>
      <c r="HY4" s="24"/>
      <c r="HZ4" s="24"/>
      <c r="IA4" s="24"/>
      <c r="IB4" s="24"/>
      <c r="IC4" s="24"/>
      <c r="ID4" s="24"/>
      <c r="IE4" s="24"/>
      <c r="IF4" s="24"/>
      <c r="IG4" s="24"/>
      <c r="IH4" s="24"/>
      <c r="II4" s="24"/>
      <c r="IJ4" s="24"/>
      <c r="IK4" s="24"/>
      <c r="IL4" s="24"/>
      <c r="IM4" s="24"/>
      <c r="IN4" s="24"/>
      <c r="IO4" s="24"/>
      <c r="IP4" s="24"/>
      <c r="IQ4" s="24"/>
      <c r="IR4" s="24"/>
      <c r="IS4" s="24"/>
      <c r="IT4" s="24"/>
      <c r="IU4" s="24"/>
      <c r="IV4" s="24"/>
      <c r="IW4" s="24"/>
      <c r="IX4" s="24"/>
      <c r="IY4" s="24"/>
      <c r="IZ4" s="24"/>
      <c r="JA4" s="24"/>
      <c r="JB4" s="24"/>
      <c r="JC4" s="24"/>
      <c r="JD4" s="24"/>
      <c r="JE4" s="24"/>
      <c r="JF4" s="24"/>
      <c r="JG4" s="24"/>
      <c r="JH4" s="24"/>
      <c r="JI4" s="24"/>
      <c r="JJ4" s="24"/>
      <c r="JK4" s="24"/>
      <c r="JL4" s="24"/>
      <c r="JM4" s="24"/>
      <c r="JN4" s="24"/>
      <c r="JO4" s="24"/>
      <c r="JP4" s="24"/>
      <c r="JQ4" s="24"/>
      <c r="JR4" s="24"/>
      <c r="JS4" s="24"/>
      <c r="JT4" s="24"/>
      <c r="JU4" s="24"/>
      <c r="JV4" s="24"/>
      <c r="JW4" s="24"/>
      <c r="JX4" s="24"/>
    </row>
    <row r="5" spans="1:284" s="84" customFormat="1" ht="12.75" x14ac:dyDescent="0.2">
      <c r="A5" s="407"/>
      <c r="B5" s="85" t="s">
        <v>304</v>
      </c>
      <c r="C5" s="86">
        <f ca="1">H213</f>
        <v>0.14798039793968204</v>
      </c>
      <c r="D5" s="87" t="s">
        <v>308</v>
      </c>
      <c r="E5" s="88">
        <f ca="1">G213</f>
        <v>1.60213156386134</v>
      </c>
      <c r="F5" s="88"/>
      <c r="G5" s="86"/>
      <c r="H5" s="85" t="s">
        <v>311</v>
      </c>
      <c r="I5" s="89">
        <f>G218</f>
        <v>101.42704654989315</v>
      </c>
      <c r="EM5" s="196" t="s">
        <v>419</v>
      </c>
      <c r="EN5" s="82" t="s">
        <v>418</v>
      </c>
      <c r="EO5" s="84">
        <v>1</v>
      </c>
      <c r="EP5" s="90"/>
      <c r="EQ5" s="90"/>
      <c r="ER5" s="90"/>
      <c r="ES5" s="90"/>
      <c r="ET5" s="90"/>
      <c r="EU5" s="214"/>
      <c r="EV5" s="90"/>
      <c r="EW5" s="90"/>
      <c r="EX5" s="90"/>
      <c r="EY5" s="90"/>
      <c r="EZ5" s="90"/>
      <c r="FA5" s="90"/>
      <c r="FB5" s="90"/>
      <c r="FC5" s="90"/>
      <c r="FD5" s="90"/>
      <c r="FE5" s="90"/>
      <c r="FF5" s="90"/>
      <c r="FG5" s="90"/>
      <c r="FH5" s="90"/>
      <c r="FI5" s="90"/>
      <c r="FJ5" s="90"/>
      <c r="FK5" s="90"/>
      <c r="FL5" s="90"/>
      <c r="FM5" s="90"/>
      <c r="FN5" s="90"/>
      <c r="FO5" s="90"/>
      <c r="FP5" s="90"/>
      <c r="FQ5" s="90"/>
      <c r="FR5" s="90"/>
      <c r="FS5" s="90"/>
      <c r="FT5" s="90"/>
      <c r="FU5" s="90"/>
      <c r="FV5" s="90"/>
      <c r="FW5" s="90"/>
      <c r="FX5" s="90"/>
      <c r="FY5" s="90"/>
      <c r="FZ5" s="90"/>
      <c r="GA5" s="90"/>
      <c r="GB5" s="90"/>
      <c r="GC5" s="90"/>
      <c r="GD5" s="90"/>
      <c r="GE5" s="90"/>
      <c r="GF5" s="90"/>
      <c r="GG5" s="90"/>
      <c r="GH5" s="90"/>
      <c r="GI5" s="90"/>
      <c r="GJ5" s="90"/>
      <c r="GK5" s="90"/>
      <c r="GL5" s="90"/>
      <c r="GM5" s="90"/>
      <c r="GN5" s="90"/>
      <c r="GO5" s="90"/>
      <c r="GP5" s="90"/>
      <c r="GQ5" s="90"/>
      <c r="GR5" s="90"/>
      <c r="GS5" s="90"/>
      <c r="GT5" s="90"/>
      <c r="GU5" s="90"/>
      <c r="GV5" s="90"/>
      <c r="GW5" s="90"/>
      <c r="GX5" s="90"/>
      <c r="GY5" s="90"/>
      <c r="GZ5" s="90"/>
      <c r="HA5" s="90"/>
      <c r="HB5" s="90"/>
      <c r="HC5" s="90"/>
      <c r="HD5" s="90"/>
      <c r="HE5" s="90"/>
      <c r="HF5" s="90"/>
      <c r="HG5" s="90"/>
      <c r="HH5" s="90"/>
      <c r="HI5" s="90"/>
      <c r="HJ5" s="90"/>
      <c r="HK5" s="90"/>
      <c r="HL5" s="90"/>
      <c r="HM5" s="90"/>
      <c r="HN5" s="90"/>
      <c r="HO5" s="90"/>
      <c r="HP5" s="90"/>
      <c r="HQ5" s="90"/>
      <c r="HR5" s="90"/>
      <c r="HS5" s="90"/>
      <c r="HT5" s="90"/>
      <c r="HU5" s="90"/>
      <c r="HV5" s="90"/>
      <c r="HW5" s="90"/>
      <c r="HX5" s="90"/>
      <c r="HY5" s="90"/>
      <c r="HZ5" s="90"/>
      <c r="IA5" s="90"/>
      <c r="IB5" s="90"/>
      <c r="IC5" s="90"/>
      <c r="ID5" s="90"/>
      <c r="IE5" s="90"/>
      <c r="IF5" s="90"/>
      <c r="IG5" s="90"/>
      <c r="IH5" s="90"/>
      <c r="II5" s="90"/>
      <c r="IJ5" s="90"/>
      <c r="IK5" s="90"/>
      <c r="IL5" s="90"/>
      <c r="IM5" s="90"/>
      <c r="IN5" s="90"/>
      <c r="IO5" s="90"/>
      <c r="IP5" s="90"/>
      <c r="IQ5" s="90"/>
      <c r="IR5" s="90"/>
      <c r="IS5" s="90"/>
      <c r="IT5" s="90"/>
      <c r="IU5" s="90"/>
      <c r="IV5" s="90"/>
      <c r="IW5" s="90"/>
      <c r="IX5" s="90"/>
      <c r="IY5" s="90"/>
      <c r="IZ5" s="90"/>
      <c r="JA5" s="90"/>
      <c r="JB5" s="90"/>
      <c r="JC5" s="90"/>
      <c r="JD5" s="90"/>
      <c r="JE5" s="90"/>
      <c r="JF5" s="90"/>
      <c r="JG5" s="90"/>
      <c r="JH5" s="90"/>
      <c r="JI5" s="90"/>
      <c r="JJ5" s="90"/>
      <c r="JK5" s="90"/>
      <c r="JL5" s="90"/>
      <c r="JM5" s="90"/>
      <c r="JN5" s="90"/>
      <c r="JO5" s="90"/>
      <c r="JP5" s="90"/>
      <c r="JQ5" s="90"/>
      <c r="JR5" s="90"/>
      <c r="JS5" s="90"/>
      <c r="JT5" s="90"/>
      <c r="JU5" s="90"/>
      <c r="JV5" s="90"/>
      <c r="JW5" s="90"/>
      <c r="JX5" s="90"/>
    </row>
    <row r="6" spans="1:284" s="84" customFormat="1" ht="5.0999999999999996" customHeight="1" x14ac:dyDescent="0.2">
      <c r="A6" s="407"/>
      <c r="B6" s="85"/>
      <c r="C6" s="86"/>
      <c r="D6" s="87"/>
      <c r="E6" s="88"/>
      <c r="F6" s="88"/>
      <c r="G6" s="86"/>
      <c r="H6" s="85"/>
      <c r="I6" s="89"/>
      <c r="EM6" s="264"/>
      <c r="EN6" s="263"/>
      <c r="EP6" s="90"/>
      <c r="EQ6" s="90"/>
      <c r="ER6" s="90"/>
      <c r="ES6" s="90"/>
      <c r="ET6" s="90"/>
      <c r="EU6" s="214"/>
      <c r="EV6" s="90"/>
      <c r="EW6" s="90"/>
      <c r="EX6" s="90"/>
      <c r="EY6" s="90"/>
      <c r="EZ6" s="90"/>
      <c r="FA6" s="90"/>
      <c r="FB6" s="90"/>
      <c r="FC6" s="90"/>
      <c r="FD6" s="90"/>
      <c r="FE6" s="90"/>
      <c r="FF6" s="90"/>
      <c r="FG6" s="90"/>
      <c r="FH6" s="90"/>
      <c r="FI6" s="90"/>
      <c r="FJ6" s="90"/>
      <c r="FK6" s="90"/>
      <c r="FL6" s="90"/>
      <c r="FM6" s="90"/>
      <c r="FN6" s="90"/>
      <c r="FO6" s="90"/>
      <c r="FP6" s="90"/>
      <c r="FQ6" s="90"/>
      <c r="FR6" s="90"/>
      <c r="FS6" s="90"/>
      <c r="FT6" s="90"/>
      <c r="FU6" s="90"/>
      <c r="FV6" s="90"/>
      <c r="FW6" s="90"/>
      <c r="FX6" s="90"/>
      <c r="FY6" s="90"/>
      <c r="FZ6" s="90"/>
      <c r="GA6" s="90"/>
      <c r="GB6" s="90"/>
      <c r="GC6" s="90"/>
      <c r="GD6" s="90"/>
      <c r="GE6" s="90"/>
      <c r="GF6" s="90"/>
      <c r="GG6" s="90"/>
      <c r="GH6" s="90"/>
      <c r="GI6" s="90"/>
      <c r="GJ6" s="90"/>
      <c r="GK6" s="90"/>
      <c r="GL6" s="90"/>
      <c r="GM6" s="90"/>
      <c r="GN6" s="90"/>
      <c r="GO6" s="90"/>
      <c r="GP6" s="90"/>
      <c r="GQ6" s="90"/>
      <c r="GR6" s="90"/>
      <c r="GS6" s="90"/>
      <c r="GT6" s="90"/>
      <c r="GU6" s="90"/>
      <c r="GV6" s="90"/>
      <c r="GW6" s="90"/>
      <c r="GX6" s="90"/>
      <c r="GY6" s="90"/>
      <c r="GZ6" s="90"/>
      <c r="HA6" s="90"/>
      <c r="HB6" s="90"/>
      <c r="HC6" s="90"/>
      <c r="HD6" s="90"/>
      <c r="HE6" s="90"/>
      <c r="HF6" s="90"/>
      <c r="HG6" s="90"/>
      <c r="HH6" s="90"/>
      <c r="HI6" s="90"/>
      <c r="HJ6" s="90"/>
      <c r="HK6" s="90"/>
      <c r="HL6" s="90"/>
      <c r="HM6" s="90"/>
      <c r="HN6" s="90"/>
      <c r="HO6" s="90"/>
      <c r="HP6" s="90"/>
      <c r="HQ6" s="90"/>
      <c r="HR6" s="90"/>
      <c r="HS6" s="90"/>
      <c r="HT6" s="90"/>
      <c r="HU6" s="90"/>
      <c r="HV6" s="90"/>
      <c r="HW6" s="90"/>
      <c r="HX6" s="90"/>
      <c r="HY6" s="90"/>
      <c r="HZ6" s="90"/>
      <c r="IA6" s="90"/>
      <c r="IB6" s="90"/>
      <c r="IC6" s="90"/>
      <c r="ID6" s="90"/>
      <c r="IE6" s="90"/>
      <c r="IF6" s="90"/>
      <c r="IG6" s="90"/>
      <c r="IH6" s="90"/>
      <c r="II6" s="90"/>
      <c r="IJ6" s="90"/>
      <c r="IK6" s="90"/>
      <c r="IL6" s="90"/>
      <c r="IM6" s="90"/>
      <c r="IN6" s="90"/>
      <c r="IO6" s="90"/>
      <c r="IP6" s="90"/>
      <c r="IQ6" s="90"/>
      <c r="IR6" s="90"/>
      <c r="IS6" s="90"/>
      <c r="IT6" s="90"/>
      <c r="IU6" s="90"/>
      <c r="IV6" s="90"/>
      <c r="IW6" s="90"/>
      <c r="IX6" s="90"/>
      <c r="IY6" s="90"/>
      <c r="IZ6" s="90"/>
      <c r="JA6" s="90"/>
      <c r="JB6" s="90"/>
      <c r="JC6" s="90"/>
      <c r="JD6" s="90"/>
      <c r="JE6" s="90"/>
      <c r="JF6" s="90"/>
      <c r="JG6" s="90"/>
      <c r="JH6" s="90"/>
      <c r="JI6" s="90"/>
      <c r="JJ6" s="90"/>
      <c r="JK6" s="90"/>
      <c r="JL6" s="90"/>
      <c r="JM6" s="90"/>
      <c r="JN6" s="90"/>
      <c r="JO6" s="90"/>
      <c r="JP6" s="90"/>
      <c r="JQ6" s="90"/>
      <c r="JR6" s="90"/>
      <c r="JS6" s="90"/>
      <c r="JT6" s="90"/>
      <c r="JU6" s="90"/>
      <c r="JV6" s="90"/>
      <c r="JW6" s="90"/>
      <c r="JX6" s="90"/>
    </row>
    <row r="7" spans="1:284" s="7" customFormat="1" ht="5.0999999999999996" customHeight="1" x14ac:dyDescent="0.2">
      <c r="A7" s="408"/>
      <c r="B7" s="40"/>
      <c r="C7" s="40"/>
      <c r="D7" s="40"/>
      <c r="E7" s="40"/>
      <c r="F7" s="40"/>
      <c r="G7" s="40"/>
      <c r="H7" s="40"/>
      <c r="I7" s="40"/>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91"/>
      <c r="EQ7" s="91"/>
      <c r="ER7" s="91"/>
      <c r="ES7" s="91"/>
      <c r="ET7" s="91"/>
      <c r="EU7" s="215"/>
      <c r="EV7" s="91"/>
      <c r="EW7" s="91"/>
      <c r="EX7" s="91"/>
      <c r="EY7" s="91"/>
      <c r="EZ7" s="91"/>
      <c r="FA7" s="91"/>
      <c r="FB7" s="91"/>
      <c r="FC7" s="91"/>
      <c r="FD7" s="91"/>
      <c r="FE7" s="91"/>
      <c r="FF7" s="91"/>
      <c r="FG7" s="91"/>
      <c r="FH7" s="91"/>
      <c r="FI7" s="91"/>
      <c r="FJ7" s="91"/>
      <c r="FK7" s="91"/>
      <c r="FL7" s="91"/>
      <c r="FM7" s="91"/>
      <c r="FN7" s="91"/>
      <c r="FO7" s="91"/>
      <c r="FP7" s="91"/>
      <c r="FQ7" s="91"/>
      <c r="FR7" s="91"/>
      <c r="FS7" s="91"/>
      <c r="FT7" s="91"/>
      <c r="FU7" s="91"/>
      <c r="FV7" s="91"/>
      <c r="FW7" s="91"/>
      <c r="FX7" s="91"/>
      <c r="FY7" s="91"/>
      <c r="FZ7" s="91"/>
      <c r="GA7" s="91"/>
      <c r="GB7" s="91"/>
      <c r="GC7" s="91"/>
      <c r="GD7" s="91"/>
      <c r="GE7" s="91"/>
      <c r="GF7" s="91"/>
      <c r="GG7" s="91"/>
      <c r="GH7" s="91"/>
      <c r="GI7" s="91"/>
      <c r="GJ7" s="91"/>
      <c r="GK7" s="91"/>
      <c r="GL7" s="91"/>
      <c r="GM7" s="91"/>
      <c r="GN7" s="91"/>
      <c r="GO7" s="91"/>
      <c r="GP7" s="91"/>
      <c r="GQ7" s="91"/>
      <c r="GR7" s="91"/>
      <c r="GS7" s="91"/>
      <c r="GT7" s="91"/>
      <c r="GU7" s="91"/>
      <c r="GV7" s="91"/>
      <c r="GW7" s="91"/>
      <c r="GX7" s="91"/>
      <c r="GY7" s="91"/>
      <c r="GZ7" s="91"/>
      <c r="HA7" s="91"/>
      <c r="HB7" s="91"/>
      <c r="HC7" s="91"/>
      <c r="HD7" s="91"/>
      <c r="HE7" s="91"/>
      <c r="HF7" s="91"/>
      <c r="HG7" s="91"/>
      <c r="HH7" s="91"/>
      <c r="HI7" s="91"/>
      <c r="HJ7" s="91"/>
      <c r="HK7" s="91"/>
      <c r="HL7" s="91"/>
      <c r="HM7" s="91"/>
      <c r="HN7" s="91"/>
      <c r="HO7" s="91"/>
      <c r="HP7" s="91"/>
      <c r="HQ7" s="91"/>
      <c r="HR7" s="91"/>
      <c r="HS7" s="91"/>
      <c r="HT7" s="91"/>
      <c r="HU7" s="91"/>
      <c r="HV7" s="91"/>
      <c r="HW7" s="91"/>
      <c r="HX7" s="91"/>
      <c r="HY7" s="91"/>
      <c r="HZ7" s="91"/>
      <c r="IA7" s="91"/>
      <c r="IB7" s="91"/>
      <c r="IC7" s="91"/>
      <c r="ID7" s="91"/>
      <c r="IE7" s="91"/>
      <c r="IF7" s="91"/>
      <c r="IG7" s="91"/>
      <c r="IH7" s="91"/>
      <c r="II7" s="91"/>
      <c r="IJ7" s="91"/>
      <c r="IK7" s="91"/>
      <c r="IL7" s="91"/>
      <c r="IM7" s="91"/>
      <c r="IN7" s="91"/>
      <c r="IO7" s="91"/>
      <c r="IP7" s="91"/>
      <c r="IQ7" s="91"/>
      <c r="IR7" s="91"/>
      <c r="IS7" s="91"/>
      <c r="IT7" s="91"/>
      <c r="IU7" s="91"/>
      <c r="IV7" s="91"/>
      <c r="IW7" s="91"/>
      <c r="IX7" s="91"/>
      <c r="IY7" s="91"/>
      <c r="IZ7" s="91"/>
      <c r="JA7" s="91"/>
      <c r="JB7" s="91"/>
      <c r="JC7" s="91"/>
      <c r="JD7" s="91"/>
      <c r="JE7" s="91"/>
      <c r="JF7" s="91"/>
      <c r="JG7" s="91"/>
      <c r="JH7" s="91"/>
      <c r="JI7" s="91"/>
      <c r="JJ7" s="91"/>
      <c r="JK7" s="91"/>
      <c r="JL7" s="91"/>
      <c r="JM7" s="91"/>
      <c r="JN7" s="91"/>
      <c r="JO7" s="91"/>
      <c r="JP7" s="91"/>
      <c r="JQ7" s="91"/>
      <c r="JR7" s="91"/>
      <c r="JS7" s="91"/>
      <c r="JT7" s="91"/>
      <c r="JU7" s="91"/>
      <c r="JV7" s="91"/>
      <c r="JW7" s="91"/>
      <c r="JX7" s="91"/>
    </row>
    <row r="8" spans="1:284" s="7" customFormat="1" x14ac:dyDescent="0.2">
      <c r="A8" s="408"/>
      <c r="B8" s="539" t="s">
        <v>0</v>
      </c>
      <c r="C8" s="540"/>
      <c r="D8" s="540"/>
      <c r="E8" s="540"/>
      <c r="F8" s="540"/>
      <c r="G8" s="540"/>
      <c r="H8" s="541"/>
      <c r="I8" s="557" t="s">
        <v>329</v>
      </c>
      <c r="J8" s="381"/>
      <c r="K8" s="381"/>
      <c r="L8" s="381"/>
      <c r="M8" s="381"/>
      <c r="N8" s="381"/>
      <c r="O8" s="381"/>
      <c r="P8" s="381"/>
      <c r="Q8" s="381"/>
      <c r="R8" s="381"/>
      <c r="S8" s="381"/>
      <c r="T8" s="381"/>
      <c r="U8" s="381"/>
      <c r="V8" s="381"/>
      <c r="W8" s="381"/>
      <c r="X8" s="381"/>
      <c r="Y8" s="381"/>
      <c r="Z8" s="381"/>
      <c r="AA8" s="381"/>
      <c r="AB8" s="381"/>
      <c r="AC8" s="381"/>
      <c r="AD8" s="381"/>
      <c r="AE8" s="381"/>
      <c r="AF8" s="381"/>
      <c r="AG8" s="381"/>
      <c r="AH8" s="381"/>
      <c r="AI8" s="381"/>
      <c r="AJ8" s="381"/>
      <c r="AK8" s="381"/>
      <c r="AL8" s="381"/>
      <c r="AM8" s="381"/>
      <c r="AN8" s="381"/>
      <c r="AO8" s="381"/>
      <c r="AP8" s="381"/>
      <c r="AQ8" s="381"/>
      <c r="AR8" s="381"/>
      <c r="AS8" s="381"/>
      <c r="AT8" s="381"/>
      <c r="AU8" s="381"/>
      <c r="AV8" s="381"/>
      <c r="AW8" s="381"/>
      <c r="AX8" s="381"/>
      <c r="AY8" s="381"/>
      <c r="AZ8" s="381"/>
      <c r="BA8" s="381"/>
      <c r="BB8" s="381"/>
      <c r="BC8" s="381"/>
      <c r="BD8" s="381"/>
      <c r="BE8" s="381"/>
      <c r="BF8" s="381"/>
      <c r="BG8" s="381"/>
      <c r="BH8" s="381"/>
      <c r="BI8" s="381"/>
      <c r="BJ8" s="381"/>
      <c r="BK8" s="381"/>
      <c r="BL8" s="381"/>
      <c r="BM8" s="381"/>
      <c r="BN8" s="381"/>
      <c r="BO8" s="381"/>
      <c r="BP8" s="381"/>
      <c r="BQ8" s="381"/>
      <c r="BR8" s="381"/>
      <c r="BS8" s="381"/>
      <c r="BT8" s="381"/>
      <c r="BU8" s="381"/>
      <c r="BV8" s="381"/>
      <c r="BW8" s="381"/>
      <c r="BX8" s="381"/>
      <c r="BY8" s="381"/>
      <c r="BZ8" s="381"/>
      <c r="CA8" s="381"/>
      <c r="CB8" s="381"/>
      <c r="CC8" s="381"/>
      <c r="CD8" s="381"/>
      <c r="CE8" s="381"/>
      <c r="CF8" s="381"/>
      <c r="CG8" s="381"/>
      <c r="CH8" s="381"/>
      <c r="CI8" s="381"/>
      <c r="CJ8" s="381"/>
      <c r="CK8" s="381"/>
      <c r="CL8" s="381"/>
      <c r="CM8" s="381"/>
      <c r="CN8" s="381"/>
      <c r="CO8" s="381"/>
      <c r="CP8" s="381"/>
      <c r="CQ8" s="381"/>
      <c r="CR8" s="381"/>
      <c r="CS8" s="381"/>
      <c r="CT8" s="381"/>
      <c r="CU8" s="381"/>
      <c r="CV8" s="381"/>
      <c r="CW8" s="381"/>
      <c r="CX8" s="381"/>
      <c r="CY8" s="381"/>
      <c r="CZ8" s="381"/>
      <c r="DA8" s="381"/>
      <c r="DB8" s="381"/>
      <c r="DC8" s="381"/>
      <c r="DD8" s="381"/>
      <c r="DE8" s="381"/>
      <c r="DF8" s="381"/>
      <c r="DG8" s="381"/>
      <c r="DH8" s="381"/>
      <c r="DI8" s="381"/>
      <c r="DJ8" s="381"/>
      <c r="DK8" s="381"/>
      <c r="DL8" s="381"/>
      <c r="DM8" s="381"/>
      <c r="DN8" s="381"/>
      <c r="DO8" s="381"/>
      <c r="DP8" s="381"/>
      <c r="DQ8" s="381"/>
      <c r="DR8" s="381"/>
      <c r="DS8" s="381"/>
      <c r="DT8" s="381"/>
      <c r="DU8" s="381"/>
      <c r="DV8" s="381"/>
      <c r="DW8" s="381"/>
      <c r="DX8" s="381"/>
      <c r="DY8" s="381"/>
      <c r="DZ8" s="381"/>
      <c r="EA8" s="381"/>
      <c r="EB8" s="381"/>
      <c r="EC8" s="381"/>
      <c r="ED8" s="381"/>
      <c r="EE8" s="381"/>
      <c r="EF8" s="381"/>
      <c r="EG8" s="381"/>
      <c r="EH8" s="381"/>
      <c r="EI8" s="381"/>
      <c r="EJ8" s="381"/>
      <c r="EK8" s="381"/>
      <c r="EL8" s="381"/>
      <c r="EM8" s="381"/>
      <c r="EN8" s="381"/>
      <c r="EO8" s="381"/>
      <c r="EP8" s="24"/>
      <c r="EQ8" s="24"/>
      <c r="ER8" s="24"/>
      <c r="ES8" s="24"/>
      <c r="ET8" s="24"/>
      <c r="EU8" s="33"/>
      <c r="EV8" s="24"/>
      <c r="EW8" s="24"/>
      <c r="EX8" s="24"/>
      <c r="EY8" s="24"/>
      <c r="EZ8" s="24"/>
      <c r="FA8" s="24"/>
      <c r="FB8" s="24"/>
      <c r="FC8" s="24"/>
      <c r="FD8" s="24"/>
      <c r="FE8" s="24"/>
      <c r="FF8" s="24"/>
      <c r="FG8" s="24"/>
      <c r="FH8" s="24"/>
      <c r="FI8" s="24"/>
      <c r="FJ8" s="24"/>
      <c r="FK8" s="24"/>
      <c r="FL8" s="24"/>
      <c r="FM8" s="24"/>
      <c r="FN8" s="24"/>
      <c r="FO8" s="24"/>
      <c r="FP8" s="24"/>
      <c r="FQ8" s="24"/>
      <c r="FR8" s="24"/>
      <c r="FS8" s="24"/>
      <c r="FT8" s="24"/>
      <c r="FU8" s="24"/>
      <c r="FV8" s="24"/>
      <c r="FW8" s="24"/>
      <c r="FX8" s="24"/>
      <c r="FY8" s="24"/>
      <c r="FZ8" s="24"/>
      <c r="GA8" s="24"/>
      <c r="GB8" s="24"/>
      <c r="GC8" s="24"/>
      <c r="GD8" s="24"/>
      <c r="GE8" s="24"/>
      <c r="GF8" s="24"/>
      <c r="GG8" s="24"/>
      <c r="GH8" s="24"/>
      <c r="GI8" s="24"/>
      <c r="GJ8" s="24"/>
      <c r="GK8" s="24"/>
      <c r="GL8" s="24"/>
      <c r="GM8" s="24"/>
      <c r="GN8" s="24"/>
      <c r="GO8" s="24"/>
      <c r="GP8" s="24"/>
      <c r="GQ8" s="24"/>
      <c r="GR8" s="24"/>
      <c r="GS8" s="24"/>
      <c r="GT8" s="24"/>
      <c r="GU8" s="24"/>
      <c r="GV8" s="24"/>
      <c r="GW8" s="24"/>
      <c r="GX8" s="24"/>
      <c r="GY8" s="24"/>
      <c r="GZ8" s="24"/>
      <c r="HA8" s="24"/>
      <c r="HB8" s="24"/>
      <c r="HC8" s="24"/>
      <c r="HD8" s="24"/>
      <c r="HE8" s="24"/>
      <c r="HF8" s="24"/>
      <c r="HG8" s="24"/>
      <c r="HH8" s="24"/>
      <c r="HI8" s="24"/>
      <c r="HJ8" s="24"/>
      <c r="HK8" s="24"/>
      <c r="HL8" s="24"/>
      <c r="HM8" s="24"/>
      <c r="HN8" s="24"/>
      <c r="HO8" s="24"/>
      <c r="HP8" s="24"/>
      <c r="HQ8" s="24"/>
      <c r="HR8" s="24"/>
      <c r="HS8" s="24"/>
      <c r="HT8" s="24"/>
      <c r="HU8" s="24"/>
      <c r="HV8" s="24"/>
      <c r="HW8" s="24"/>
      <c r="HX8" s="24"/>
      <c r="HY8" s="24"/>
      <c r="HZ8" s="24"/>
      <c r="IA8" s="24"/>
      <c r="IB8" s="24"/>
      <c r="IC8" s="24"/>
      <c r="ID8" s="24"/>
      <c r="IE8" s="24"/>
      <c r="IF8" s="24"/>
      <c r="IG8" s="24"/>
      <c r="IH8" s="24"/>
      <c r="II8" s="24"/>
      <c r="IJ8" s="24"/>
      <c r="IK8" s="24"/>
      <c r="IL8" s="24"/>
      <c r="IM8" s="24"/>
      <c r="IN8" s="24"/>
      <c r="IO8" s="24"/>
      <c r="IP8" s="24"/>
      <c r="IQ8" s="24"/>
      <c r="IR8" s="24"/>
      <c r="IS8" s="24"/>
      <c r="IT8" s="24"/>
      <c r="IU8" s="24"/>
      <c r="IV8" s="24"/>
      <c r="IW8" s="24"/>
      <c r="IX8" s="24"/>
      <c r="IY8" s="24"/>
      <c r="IZ8" s="24"/>
      <c r="JA8" s="24"/>
      <c r="JB8" s="24"/>
      <c r="JC8" s="24"/>
      <c r="JD8" s="24"/>
      <c r="JE8" s="24"/>
      <c r="JF8" s="24"/>
      <c r="JG8" s="24"/>
      <c r="JH8" s="24"/>
      <c r="JI8" s="24"/>
      <c r="JJ8" s="24"/>
      <c r="JK8" s="24"/>
      <c r="JL8" s="24"/>
      <c r="JM8" s="24"/>
      <c r="JN8" s="24"/>
      <c r="JO8" s="24"/>
      <c r="JP8" s="24"/>
      <c r="JQ8" s="24"/>
      <c r="JR8" s="24"/>
      <c r="JS8" s="24"/>
      <c r="JT8" s="24"/>
      <c r="JU8" s="24"/>
      <c r="JV8" s="24"/>
      <c r="JW8" s="24"/>
      <c r="JX8" s="24"/>
    </row>
    <row r="9" spans="1:284" s="7" customFormat="1" x14ac:dyDescent="0.2">
      <c r="A9" s="406"/>
      <c r="B9" s="92" t="s">
        <v>2</v>
      </c>
      <c r="C9" s="92"/>
      <c r="D9" s="93"/>
      <c r="E9" s="162" t="s">
        <v>205</v>
      </c>
      <c r="F9" s="92" t="s">
        <v>6</v>
      </c>
      <c r="G9" s="93"/>
      <c r="H9" s="93"/>
      <c r="I9" s="162" t="s">
        <v>208</v>
      </c>
      <c r="J9" s="381"/>
      <c r="K9" s="381"/>
      <c r="L9" s="381"/>
      <c r="M9" s="381"/>
      <c r="N9" s="381"/>
      <c r="O9" s="381"/>
      <c r="P9" s="381"/>
      <c r="Q9" s="381"/>
      <c r="R9" s="381"/>
      <c r="S9" s="381"/>
      <c r="T9" s="381"/>
      <c r="U9" s="381"/>
      <c r="V9" s="381"/>
      <c r="W9" s="381"/>
      <c r="X9" s="381"/>
      <c r="Y9" s="381"/>
      <c r="Z9" s="381"/>
      <c r="AA9" s="381"/>
      <c r="AB9" s="381"/>
      <c r="AC9" s="381"/>
      <c r="AD9" s="381"/>
      <c r="AE9" s="381"/>
      <c r="AF9" s="381"/>
      <c r="AG9" s="381"/>
      <c r="AH9" s="381"/>
      <c r="AI9" s="381"/>
      <c r="AJ9" s="381"/>
      <c r="AK9" s="381"/>
      <c r="AL9" s="381"/>
      <c r="AM9" s="381"/>
      <c r="AN9" s="381"/>
      <c r="AO9" s="381"/>
      <c r="AP9" s="381"/>
      <c r="AQ9" s="381"/>
      <c r="AR9" s="381"/>
      <c r="AS9" s="381"/>
      <c r="AT9" s="381"/>
      <c r="AU9" s="381"/>
      <c r="AV9" s="381"/>
      <c r="AW9" s="381"/>
      <c r="AX9" s="381"/>
      <c r="AY9" s="381"/>
      <c r="AZ9" s="381"/>
      <c r="BA9" s="381"/>
      <c r="BB9" s="381"/>
      <c r="BC9" s="381"/>
      <c r="BD9" s="381"/>
      <c r="BE9" s="381"/>
      <c r="BF9" s="381"/>
      <c r="BG9" s="381"/>
      <c r="BH9" s="381"/>
      <c r="BI9" s="381"/>
      <c r="BJ9" s="381"/>
      <c r="BK9" s="381"/>
      <c r="BL9" s="381"/>
      <c r="BM9" s="381"/>
      <c r="BN9" s="381"/>
      <c r="BO9" s="381"/>
      <c r="BP9" s="381"/>
      <c r="BQ9" s="381"/>
      <c r="BR9" s="381"/>
      <c r="BS9" s="381"/>
      <c r="BT9" s="381"/>
      <c r="BU9" s="381"/>
      <c r="BV9" s="381"/>
      <c r="BW9" s="381"/>
      <c r="BX9" s="381"/>
      <c r="BY9" s="381"/>
      <c r="BZ9" s="381"/>
      <c r="CA9" s="381"/>
      <c r="CB9" s="381"/>
      <c r="CC9" s="381"/>
      <c r="CD9" s="381"/>
      <c r="CE9" s="381"/>
      <c r="CF9" s="381"/>
      <c r="CG9" s="381"/>
      <c r="CH9" s="381"/>
      <c r="CI9" s="381"/>
      <c r="CJ9" s="381"/>
      <c r="CK9" s="381"/>
      <c r="CL9" s="381"/>
      <c r="CM9" s="381"/>
      <c r="CN9" s="381"/>
      <c r="CO9" s="381"/>
      <c r="CP9" s="381"/>
      <c r="CQ9" s="381"/>
      <c r="CR9" s="381"/>
      <c r="CS9" s="381"/>
      <c r="CT9" s="381"/>
      <c r="CU9" s="381"/>
      <c r="CV9" s="381"/>
      <c r="CW9" s="381"/>
      <c r="CX9" s="381"/>
      <c r="CY9" s="381"/>
      <c r="CZ9" s="381"/>
      <c r="DA9" s="381"/>
      <c r="DB9" s="381"/>
      <c r="DC9" s="381"/>
      <c r="DD9" s="381"/>
      <c r="DE9" s="381"/>
      <c r="DF9" s="381"/>
      <c r="DG9" s="381"/>
      <c r="DH9" s="381"/>
      <c r="DI9" s="381"/>
      <c r="DJ9" s="381"/>
      <c r="DK9" s="381"/>
      <c r="DL9" s="381"/>
      <c r="DM9" s="381"/>
      <c r="DN9" s="381"/>
      <c r="DO9" s="381"/>
      <c r="DP9" s="381"/>
      <c r="DQ9" s="381"/>
      <c r="DR9" s="381"/>
      <c r="DS9" s="381"/>
      <c r="DT9" s="381"/>
      <c r="DU9" s="381"/>
      <c r="DV9" s="381"/>
      <c r="DW9" s="381"/>
      <c r="DX9" s="381"/>
      <c r="DY9" s="381"/>
      <c r="DZ9" s="381"/>
      <c r="EA9" s="381"/>
      <c r="EB9" s="381"/>
      <c r="EC9" s="381"/>
      <c r="ED9" s="381"/>
      <c r="EE9" s="381"/>
      <c r="EF9" s="381"/>
      <c r="EG9" s="381"/>
      <c r="EH9" s="381"/>
      <c r="EI9" s="381"/>
      <c r="EJ9" s="381"/>
      <c r="EK9" s="381"/>
      <c r="EL9" s="381"/>
      <c r="EM9" s="381"/>
      <c r="EN9" s="381"/>
      <c r="EO9" s="381"/>
      <c r="EP9" s="24"/>
      <c r="EQ9" s="24"/>
      <c r="ER9" s="24"/>
      <c r="ES9" s="24"/>
      <c r="ET9" s="24"/>
      <c r="EU9" s="33"/>
      <c r="EV9" s="24"/>
      <c r="EW9" s="24"/>
      <c r="EX9" s="24"/>
      <c r="EY9" s="24"/>
      <c r="EZ9" s="24"/>
      <c r="FA9" s="24"/>
      <c r="FB9" s="24"/>
      <c r="FC9" s="24"/>
      <c r="FD9" s="24"/>
      <c r="FE9" s="24"/>
      <c r="FF9" s="24"/>
      <c r="FG9" s="24"/>
      <c r="FH9" s="24"/>
      <c r="FI9" s="24"/>
      <c r="FJ9" s="24"/>
      <c r="FK9" s="24"/>
      <c r="FL9" s="24"/>
      <c r="FM9" s="24"/>
      <c r="FN9" s="24"/>
      <c r="FO9" s="24"/>
      <c r="FP9" s="24"/>
      <c r="FQ9" s="24"/>
      <c r="FR9" s="24"/>
      <c r="FS9" s="24"/>
      <c r="FT9" s="24"/>
      <c r="FU9" s="24"/>
      <c r="FV9" s="24"/>
      <c r="FW9" s="24"/>
      <c r="FX9" s="24"/>
      <c r="FY9" s="24"/>
      <c r="FZ9" s="24"/>
      <c r="GA9" s="24"/>
      <c r="GB9" s="24"/>
      <c r="GC9" s="24"/>
      <c r="GD9" s="24"/>
      <c r="GE9" s="24"/>
      <c r="GF9" s="24"/>
      <c r="GG9" s="24"/>
      <c r="GH9" s="24"/>
      <c r="GI9" s="24"/>
      <c r="GJ9" s="24"/>
      <c r="GK9" s="24"/>
      <c r="GL9" s="24"/>
      <c r="GM9" s="24"/>
      <c r="GN9" s="24"/>
      <c r="GO9" s="24"/>
      <c r="GP9" s="24"/>
      <c r="GQ9" s="24"/>
      <c r="GR9" s="24"/>
      <c r="GS9" s="24"/>
      <c r="GT9" s="24"/>
      <c r="GU9" s="24"/>
      <c r="GV9" s="24"/>
      <c r="GW9" s="24"/>
      <c r="GX9" s="24"/>
      <c r="GY9" s="24"/>
      <c r="GZ9" s="24"/>
      <c r="HA9" s="24"/>
      <c r="HB9" s="24"/>
      <c r="HC9" s="24"/>
      <c r="HD9" s="24"/>
      <c r="HE9" s="24"/>
      <c r="HF9" s="24"/>
      <c r="HG9" s="24"/>
      <c r="HH9" s="24"/>
      <c r="HI9" s="24"/>
      <c r="HJ9" s="24"/>
      <c r="HK9" s="24"/>
      <c r="HL9" s="24"/>
      <c r="HM9" s="24"/>
      <c r="HN9" s="24"/>
      <c r="HO9" s="24"/>
      <c r="HP9" s="24"/>
      <c r="HQ9" s="24"/>
      <c r="HR9" s="24"/>
      <c r="HS9" s="24"/>
      <c r="HT9" s="24"/>
      <c r="HU9" s="24"/>
      <c r="HV9" s="24"/>
      <c r="HW9" s="24"/>
      <c r="HX9" s="24"/>
      <c r="HY9" s="24"/>
      <c r="HZ9" s="24"/>
      <c r="IA9" s="24"/>
      <c r="IB9" s="24"/>
      <c r="IC9" s="24"/>
      <c r="ID9" s="24"/>
      <c r="IE9" s="24"/>
      <c r="IF9" s="24"/>
      <c r="IG9" s="24"/>
      <c r="IH9" s="24"/>
      <c r="II9" s="24"/>
      <c r="IJ9" s="24"/>
      <c r="IK9" s="24"/>
      <c r="IL9" s="24"/>
      <c r="IM9" s="24"/>
      <c r="IN9" s="24"/>
      <c r="IO9" s="24"/>
      <c r="IP9" s="24"/>
      <c r="IQ9" s="24"/>
      <c r="IR9" s="24"/>
      <c r="IS9" s="24"/>
      <c r="IT9" s="24"/>
      <c r="IU9" s="24"/>
      <c r="IV9" s="24"/>
      <c r="IW9" s="24"/>
      <c r="IX9" s="24"/>
      <c r="IY9" s="24"/>
      <c r="IZ9" s="24"/>
      <c r="JA9" s="24"/>
      <c r="JB9" s="24"/>
      <c r="JC9" s="24"/>
      <c r="JD9" s="24"/>
      <c r="JE9" s="24"/>
      <c r="JF9" s="24"/>
      <c r="JG9" s="24"/>
      <c r="JH9" s="24"/>
      <c r="JI9" s="24"/>
      <c r="JJ9" s="24"/>
      <c r="JK9" s="24"/>
      <c r="JL9" s="24"/>
      <c r="JM9" s="24"/>
      <c r="JN9" s="24"/>
      <c r="JO9" s="24"/>
      <c r="JP9" s="24"/>
      <c r="JQ9" s="24"/>
      <c r="JR9" s="24"/>
      <c r="JS9" s="24"/>
      <c r="JT9" s="24"/>
      <c r="JU9" s="24"/>
      <c r="JV9" s="24"/>
      <c r="JW9" s="24"/>
      <c r="JX9" s="24"/>
    </row>
    <row r="10" spans="1:284" s="7" customFormat="1" x14ac:dyDescent="0.2">
      <c r="A10" s="406"/>
      <c r="B10" s="163" t="s">
        <v>4</v>
      </c>
      <c r="C10" s="92"/>
      <c r="D10" s="93"/>
      <c r="E10" s="162" t="s">
        <v>206</v>
      </c>
      <c r="F10" s="92" t="s">
        <v>7</v>
      </c>
      <c r="G10" s="93"/>
      <c r="H10" s="93"/>
      <c r="I10" s="162" t="s">
        <v>209</v>
      </c>
      <c r="J10" s="381"/>
      <c r="K10" s="381"/>
      <c r="L10" s="381"/>
      <c r="M10" s="381"/>
      <c r="N10" s="381"/>
      <c r="O10" s="381"/>
      <c r="P10" s="381"/>
      <c r="Q10" s="381"/>
      <c r="R10" s="381"/>
      <c r="S10" s="381"/>
      <c r="T10" s="381"/>
      <c r="U10" s="381"/>
      <c r="V10" s="381"/>
      <c r="W10" s="381"/>
      <c r="X10" s="381"/>
      <c r="Y10" s="381"/>
      <c r="Z10" s="381"/>
      <c r="AA10" s="381"/>
      <c r="AB10" s="381"/>
      <c r="AC10" s="381"/>
      <c r="AD10" s="381"/>
      <c r="AE10" s="381"/>
      <c r="AF10" s="381"/>
      <c r="AG10" s="381"/>
      <c r="AH10" s="381"/>
      <c r="AI10" s="381"/>
      <c r="AJ10" s="381"/>
      <c r="AK10" s="381"/>
      <c r="AL10" s="381"/>
      <c r="AM10" s="381"/>
      <c r="AN10" s="381"/>
      <c r="AO10" s="381"/>
      <c r="AP10" s="381"/>
      <c r="AQ10" s="381"/>
      <c r="AR10" s="381"/>
      <c r="AS10" s="381"/>
      <c r="AT10" s="381"/>
      <c r="AU10" s="381"/>
      <c r="AV10" s="381"/>
      <c r="AW10" s="381"/>
      <c r="AX10" s="381"/>
      <c r="AY10" s="381"/>
      <c r="AZ10" s="381"/>
      <c r="BA10" s="381"/>
      <c r="BB10" s="381"/>
      <c r="BC10" s="381"/>
      <c r="BD10" s="381"/>
      <c r="BE10" s="381"/>
      <c r="BF10" s="381"/>
      <c r="BG10" s="381"/>
      <c r="BH10" s="381"/>
      <c r="BI10" s="381"/>
      <c r="BJ10" s="381"/>
      <c r="BK10" s="381"/>
      <c r="BL10" s="381"/>
      <c r="BM10" s="381"/>
      <c r="BN10" s="381"/>
      <c r="BO10" s="381"/>
      <c r="BP10" s="381"/>
      <c r="BQ10" s="381"/>
      <c r="BR10" s="381"/>
      <c r="BS10" s="381"/>
      <c r="BT10" s="381"/>
      <c r="BU10" s="381"/>
      <c r="BV10" s="381"/>
      <c r="BW10" s="381"/>
      <c r="BX10" s="381"/>
      <c r="BY10" s="381"/>
      <c r="BZ10" s="381"/>
      <c r="CA10" s="381"/>
      <c r="CB10" s="381"/>
      <c r="CC10" s="381"/>
      <c r="CD10" s="381"/>
      <c r="CE10" s="381"/>
      <c r="CF10" s="381"/>
      <c r="CG10" s="381"/>
      <c r="CH10" s="381"/>
      <c r="CI10" s="381"/>
      <c r="CJ10" s="381"/>
      <c r="CK10" s="381"/>
      <c r="CL10" s="381"/>
      <c r="CM10" s="381"/>
      <c r="CN10" s="381"/>
      <c r="CO10" s="381"/>
      <c r="CP10" s="381"/>
      <c r="CQ10" s="381"/>
      <c r="CR10" s="381"/>
      <c r="CS10" s="381"/>
      <c r="CT10" s="381"/>
      <c r="CU10" s="381"/>
      <c r="CV10" s="381"/>
      <c r="CW10" s="381"/>
      <c r="CX10" s="381"/>
      <c r="CY10" s="381"/>
      <c r="CZ10" s="381"/>
      <c r="DA10" s="381"/>
      <c r="DB10" s="381"/>
      <c r="DC10" s="381"/>
      <c r="DD10" s="381"/>
      <c r="DE10" s="381"/>
      <c r="DF10" s="381"/>
      <c r="DG10" s="381"/>
      <c r="DH10" s="381"/>
      <c r="DI10" s="381"/>
      <c r="DJ10" s="381"/>
      <c r="DK10" s="381"/>
      <c r="DL10" s="381"/>
      <c r="DM10" s="381"/>
      <c r="DN10" s="381"/>
      <c r="DO10" s="381"/>
      <c r="DP10" s="381"/>
      <c r="DQ10" s="381"/>
      <c r="DR10" s="381"/>
      <c r="DS10" s="381"/>
      <c r="DT10" s="381"/>
      <c r="DU10" s="381"/>
      <c r="DV10" s="381"/>
      <c r="DW10" s="381"/>
      <c r="DX10" s="381"/>
      <c r="DY10" s="381"/>
      <c r="DZ10" s="381"/>
      <c r="EA10" s="381"/>
      <c r="EB10" s="381"/>
      <c r="EC10" s="381"/>
      <c r="ED10" s="381"/>
      <c r="EE10" s="381"/>
      <c r="EF10" s="381"/>
      <c r="EG10" s="381"/>
      <c r="EH10" s="381"/>
      <c r="EI10" s="381"/>
      <c r="EJ10" s="381"/>
      <c r="EK10" s="381"/>
      <c r="EL10" s="381"/>
      <c r="EM10" s="381"/>
      <c r="EN10" s="381"/>
      <c r="EO10" s="381"/>
      <c r="EP10" s="24"/>
      <c r="EQ10" s="24"/>
      <c r="ER10" s="24"/>
      <c r="ES10" s="24"/>
      <c r="ET10" s="24"/>
      <c r="EU10" s="33"/>
      <c r="EV10" s="24"/>
      <c r="EW10" s="24"/>
      <c r="EX10" s="24"/>
      <c r="EY10" s="24"/>
      <c r="EZ10" s="24"/>
      <c r="FA10" s="24"/>
      <c r="FB10" s="24"/>
      <c r="FC10" s="24"/>
      <c r="FD10" s="24"/>
      <c r="FE10" s="24"/>
      <c r="FF10" s="24"/>
      <c r="FG10" s="24"/>
      <c r="FH10" s="24"/>
      <c r="FI10" s="24"/>
      <c r="FJ10" s="24"/>
      <c r="FK10" s="24"/>
      <c r="FL10" s="24"/>
      <c r="FM10" s="24"/>
      <c r="FN10" s="24"/>
      <c r="FO10" s="24"/>
      <c r="FP10" s="24"/>
      <c r="FQ10" s="24"/>
      <c r="FR10" s="24"/>
      <c r="FS10" s="24"/>
      <c r="FT10" s="24"/>
      <c r="FU10" s="24"/>
      <c r="FV10" s="24"/>
      <c r="FW10" s="24"/>
      <c r="FX10" s="24"/>
      <c r="FY10" s="24"/>
      <c r="FZ10" s="24"/>
      <c r="GA10" s="24"/>
      <c r="GB10" s="24"/>
      <c r="GC10" s="24"/>
      <c r="GD10" s="24"/>
      <c r="GE10" s="24"/>
      <c r="GF10" s="24"/>
      <c r="GG10" s="24"/>
      <c r="GH10" s="24"/>
      <c r="GI10" s="24"/>
      <c r="GJ10" s="24"/>
      <c r="GK10" s="24"/>
      <c r="GL10" s="24"/>
      <c r="GM10" s="24"/>
      <c r="GN10" s="24"/>
      <c r="GO10" s="24"/>
      <c r="GP10" s="24"/>
      <c r="GQ10" s="24"/>
      <c r="GR10" s="24"/>
      <c r="GS10" s="24"/>
      <c r="GT10" s="24"/>
      <c r="GU10" s="24"/>
      <c r="GV10" s="24"/>
      <c r="GW10" s="24"/>
      <c r="GX10" s="24"/>
      <c r="GY10" s="24"/>
      <c r="GZ10" s="24"/>
      <c r="HA10" s="24"/>
      <c r="HB10" s="24"/>
      <c r="HC10" s="24"/>
      <c r="HD10" s="24"/>
      <c r="HE10" s="24"/>
      <c r="HF10" s="24"/>
      <c r="HG10" s="24"/>
      <c r="HH10" s="24"/>
      <c r="HI10" s="24"/>
      <c r="HJ10" s="24"/>
      <c r="HK10" s="24"/>
      <c r="HL10" s="24"/>
      <c r="HM10" s="24"/>
      <c r="HN10" s="24"/>
      <c r="HO10" s="24"/>
      <c r="HP10" s="24"/>
      <c r="HQ10" s="24"/>
      <c r="HR10" s="24"/>
      <c r="HS10" s="24"/>
      <c r="HT10" s="24"/>
      <c r="HU10" s="24"/>
      <c r="HV10" s="24"/>
      <c r="HW10" s="24"/>
      <c r="HX10" s="24"/>
      <c r="HY10" s="24"/>
      <c r="HZ10" s="24"/>
      <c r="IA10" s="24"/>
      <c r="IB10" s="24"/>
      <c r="IC10" s="24"/>
      <c r="ID10" s="24"/>
      <c r="IE10" s="24"/>
      <c r="IF10" s="24"/>
      <c r="IG10" s="24"/>
      <c r="IH10" s="24"/>
      <c r="II10" s="24"/>
      <c r="IJ10" s="24"/>
      <c r="IK10" s="24"/>
      <c r="IL10" s="24"/>
      <c r="IM10" s="24"/>
      <c r="IN10" s="24"/>
      <c r="IO10" s="24"/>
      <c r="IP10" s="24"/>
      <c r="IQ10" s="24"/>
      <c r="IR10" s="24"/>
      <c r="IS10" s="24"/>
      <c r="IT10" s="24"/>
      <c r="IU10" s="24"/>
      <c r="IV10" s="24"/>
      <c r="IW10" s="24"/>
      <c r="IX10" s="24"/>
      <c r="IY10" s="24"/>
      <c r="IZ10" s="24"/>
      <c r="JA10" s="24"/>
      <c r="JB10" s="24"/>
      <c r="JC10" s="24"/>
      <c r="JD10" s="24"/>
      <c r="JE10" s="24"/>
      <c r="JF10" s="24"/>
      <c r="JG10" s="24"/>
      <c r="JH10" s="24"/>
      <c r="JI10" s="24"/>
      <c r="JJ10" s="24"/>
      <c r="JK10" s="24"/>
      <c r="JL10" s="24"/>
      <c r="JM10" s="24"/>
      <c r="JN10" s="24"/>
      <c r="JO10" s="24"/>
      <c r="JP10" s="24"/>
      <c r="JQ10" s="24"/>
      <c r="JR10" s="24"/>
      <c r="JS10" s="24"/>
      <c r="JT10" s="24"/>
      <c r="JU10" s="24"/>
      <c r="JV10" s="24"/>
      <c r="JW10" s="24"/>
      <c r="JX10" s="24"/>
    </row>
    <row r="11" spans="1:284" s="7" customFormat="1" x14ac:dyDescent="0.2">
      <c r="A11" s="406"/>
      <c r="B11" s="92" t="s">
        <v>5</v>
      </c>
      <c r="C11" s="92"/>
      <c r="D11" s="93"/>
      <c r="E11" s="162" t="s">
        <v>207</v>
      </c>
      <c r="F11" s="92" t="s">
        <v>8</v>
      </c>
      <c r="G11" s="93"/>
      <c r="H11" s="93"/>
      <c r="I11" s="164" t="s">
        <v>210</v>
      </c>
      <c r="J11" s="381"/>
      <c r="K11" s="381"/>
      <c r="L11" s="381"/>
      <c r="M11" s="381"/>
      <c r="N11" s="381"/>
      <c r="O11" s="381"/>
      <c r="P11" s="381"/>
      <c r="Q11" s="381"/>
      <c r="R11" s="381"/>
      <c r="S11" s="381"/>
      <c r="T11" s="381"/>
      <c r="U11" s="381"/>
      <c r="V11" s="381"/>
      <c r="W11" s="381"/>
      <c r="X11" s="381"/>
      <c r="Y11" s="381"/>
      <c r="Z11" s="381"/>
      <c r="AA11" s="381"/>
      <c r="AB11" s="381"/>
      <c r="AC11" s="381"/>
      <c r="AD11" s="381"/>
      <c r="AE11" s="381"/>
      <c r="AF11" s="381"/>
      <c r="AG11" s="381"/>
      <c r="AH11" s="381"/>
      <c r="AI11" s="381"/>
      <c r="AJ11" s="381"/>
      <c r="AK11" s="381"/>
      <c r="AL11" s="381"/>
      <c r="AM11" s="381"/>
      <c r="AN11" s="381"/>
      <c r="AO11" s="381"/>
      <c r="AP11" s="381"/>
      <c r="AQ11" s="381"/>
      <c r="AR11" s="381"/>
      <c r="AS11" s="381"/>
      <c r="AT11" s="381"/>
      <c r="AU11" s="381"/>
      <c r="AV11" s="381"/>
      <c r="AW11" s="381"/>
      <c r="AX11" s="381"/>
      <c r="AY11" s="381"/>
      <c r="AZ11" s="381"/>
      <c r="BA11" s="381"/>
      <c r="BB11" s="381"/>
      <c r="BC11" s="381"/>
      <c r="BD11" s="381"/>
      <c r="BE11" s="381"/>
      <c r="BF11" s="381"/>
      <c r="BG11" s="381"/>
      <c r="BH11" s="381"/>
      <c r="BI11" s="381"/>
      <c r="BJ11" s="381"/>
      <c r="BK11" s="381"/>
      <c r="BL11" s="381"/>
      <c r="BM11" s="381"/>
      <c r="BN11" s="381"/>
      <c r="BO11" s="381"/>
      <c r="BP11" s="381"/>
      <c r="BQ11" s="381"/>
      <c r="BR11" s="381"/>
      <c r="BS11" s="381"/>
      <c r="BT11" s="381"/>
      <c r="BU11" s="381"/>
      <c r="BV11" s="381"/>
      <c r="BW11" s="381"/>
      <c r="BX11" s="381"/>
      <c r="BY11" s="381"/>
      <c r="BZ11" s="381"/>
      <c r="CA11" s="381"/>
      <c r="CB11" s="381"/>
      <c r="CC11" s="381"/>
      <c r="CD11" s="381"/>
      <c r="CE11" s="381"/>
      <c r="CF11" s="381"/>
      <c r="CG11" s="381"/>
      <c r="CH11" s="381"/>
      <c r="CI11" s="381"/>
      <c r="CJ11" s="381"/>
      <c r="CK11" s="381"/>
      <c r="CL11" s="381"/>
      <c r="CM11" s="381"/>
      <c r="CN11" s="381"/>
      <c r="CO11" s="381"/>
      <c r="CP11" s="381"/>
      <c r="CQ11" s="381"/>
      <c r="CR11" s="381"/>
      <c r="CS11" s="381"/>
      <c r="CT11" s="381"/>
      <c r="CU11" s="381"/>
      <c r="CV11" s="381"/>
      <c r="CW11" s="381"/>
      <c r="CX11" s="381"/>
      <c r="CY11" s="381"/>
      <c r="CZ11" s="381"/>
      <c r="DA11" s="381"/>
      <c r="DB11" s="381"/>
      <c r="DC11" s="381"/>
      <c r="DD11" s="381"/>
      <c r="DE11" s="381"/>
      <c r="DF11" s="381"/>
      <c r="DG11" s="381"/>
      <c r="DH11" s="381"/>
      <c r="DI11" s="381"/>
      <c r="DJ11" s="381"/>
      <c r="DK11" s="381"/>
      <c r="DL11" s="381"/>
      <c r="DM11" s="381"/>
      <c r="DN11" s="381"/>
      <c r="DO11" s="381"/>
      <c r="DP11" s="381"/>
      <c r="DQ11" s="381"/>
      <c r="DR11" s="381"/>
      <c r="DS11" s="381"/>
      <c r="DT11" s="381"/>
      <c r="DU11" s="381"/>
      <c r="DV11" s="381"/>
      <c r="DW11" s="381"/>
      <c r="DX11" s="381"/>
      <c r="DY11" s="381"/>
      <c r="DZ11" s="381"/>
      <c r="EA11" s="381"/>
      <c r="EB11" s="381"/>
      <c r="EC11" s="381"/>
      <c r="ED11" s="381"/>
      <c r="EE11" s="381"/>
      <c r="EF11" s="381"/>
      <c r="EG11" s="381"/>
      <c r="EH11" s="381"/>
      <c r="EI11" s="381"/>
      <c r="EJ11" s="381"/>
      <c r="EK11" s="381"/>
      <c r="EL11" s="381"/>
      <c r="EM11" s="381"/>
      <c r="EN11" s="381"/>
      <c r="EO11" s="381"/>
      <c r="EP11" s="24"/>
      <c r="EQ11" s="24"/>
      <c r="ER11" s="24"/>
      <c r="ES11" s="24"/>
      <c r="ET11" s="24"/>
      <c r="EU11" s="33"/>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row>
    <row r="12" spans="1:284" s="7" customFormat="1" ht="4.9000000000000004" customHeight="1" x14ac:dyDescent="0.2">
      <c r="A12" s="406"/>
      <c r="B12" s="92"/>
      <c r="C12" s="92"/>
      <c r="D12" s="93"/>
      <c r="E12" s="162"/>
      <c r="F12" s="92"/>
      <c r="G12" s="93"/>
      <c r="H12" s="93"/>
      <c r="I12" s="164"/>
      <c r="J12" s="381"/>
      <c r="K12" s="381"/>
      <c r="L12" s="381"/>
      <c r="M12" s="381"/>
      <c r="N12" s="381"/>
      <c r="O12" s="381"/>
      <c r="P12" s="381"/>
      <c r="Q12" s="381"/>
      <c r="R12" s="381"/>
      <c r="S12" s="381"/>
      <c r="T12" s="381"/>
      <c r="U12" s="381"/>
      <c r="V12" s="381"/>
      <c r="W12" s="381"/>
      <c r="X12" s="381"/>
      <c r="Y12" s="381"/>
      <c r="Z12" s="381"/>
      <c r="AA12" s="381"/>
      <c r="AB12" s="381"/>
      <c r="AC12" s="381"/>
      <c r="AD12" s="381"/>
      <c r="AE12" s="381"/>
      <c r="AF12" s="381"/>
      <c r="AG12" s="381"/>
      <c r="AH12" s="381"/>
      <c r="AI12" s="381"/>
      <c r="AJ12" s="381"/>
      <c r="AK12" s="381"/>
      <c r="AL12" s="381"/>
      <c r="AM12" s="381"/>
      <c r="AN12" s="381"/>
      <c r="AO12" s="381"/>
      <c r="AP12" s="381"/>
      <c r="AQ12" s="381"/>
      <c r="AR12" s="381"/>
      <c r="AS12" s="381"/>
      <c r="AT12" s="381"/>
      <c r="AU12" s="381"/>
      <c r="AV12" s="381"/>
      <c r="AW12" s="381"/>
      <c r="AX12" s="381"/>
      <c r="AY12" s="381"/>
      <c r="AZ12" s="381"/>
      <c r="BA12" s="381"/>
      <c r="BB12" s="381"/>
      <c r="BC12" s="381"/>
      <c r="BD12" s="381"/>
      <c r="BE12" s="381"/>
      <c r="BF12" s="381"/>
      <c r="BG12" s="381"/>
      <c r="BH12" s="381"/>
      <c r="BI12" s="381"/>
      <c r="BJ12" s="381"/>
      <c r="BK12" s="381"/>
      <c r="BL12" s="381"/>
      <c r="BM12" s="381"/>
      <c r="BN12" s="381"/>
      <c r="BO12" s="381"/>
      <c r="BP12" s="381"/>
      <c r="BQ12" s="381"/>
      <c r="BR12" s="381"/>
      <c r="BS12" s="381"/>
      <c r="BT12" s="381"/>
      <c r="BU12" s="381"/>
      <c r="BV12" s="381"/>
      <c r="BW12" s="381"/>
      <c r="BX12" s="381"/>
      <c r="BY12" s="381"/>
      <c r="BZ12" s="381"/>
      <c r="CA12" s="381"/>
      <c r="CB12" s="381"/>
      <c r="CC12" s="381"/>
      <c r="CD12" s="381"/>
      <c r="CE12" s="381"/>
      <c r="CF12" s="381"/>
      <c r="CG12" s="381"/>
      <c r="CH12" s="381"/>
      <c r="CI12" s="381"/>
      <c r="CJ12" s="381"/>
      <c r="CK12" s="381"/>
      <c r="CL12" s="381"/>
      <c r="CM12" s="381"/>
      <c r="CN12" s="381"/>
      <c r="CO12" s="381"/>
      <c r="CP12" s="381"/>
      <c r="CQ12" s="381"/>
      <c r="CR12" s="381"/>
      <c r="CS12" s="381"/>
      <c r="CT12" s="381"/>
      <c r="CU12" s="381"/>
      <c r="CV12" s="381"/>
      <c r="CW12" s="381"/>
      <c r="CX12" s="381"/>
      <c r="CY12" s="381"/>
      <c r="CZ12" s="381"/>
      <c r="DA12" s="381"/>
      <c r="DB12" s="381"/>
      <c r="DC12" s="381"/>
      <c r="DD12" s="381"/>
      <c r="DE12" s="381"/>
      <c r="DF12" s="381"/>
      <c r="DG12" s="381"/>
      <c r="DH12" s="381"/>
      <c r="DI12" s="381"/>
      <c r="DJ12" s="381"/>
      <c r="DK12" s="381"/>
      <c r="DL12" s="381"/>
      <c r="DM12" s="381"/>
      <c r="DN12" s="381"/>
      <c r="DO12" s="381"/>
      <c r="DP12" s="381"/>
      <c r="DQ12" s="381"/>
      <c r="DR12" s="381"/>
      <c r="DS12" s="381"/>
      <c r="DT12" s="381"/>
      <c r="DU12" s="381"/>
      <c r="DV12" s="381"/>
      <c r="DW12" s="381"/>
      <c r="DX12" s="381"/>
      <c r="DY12" s="381"/>
      <c r="DZ12" s="381"/>
      <c r="EA12" s="381"/>
      <c r="EB12" s="381"/>
      <c r="EC12" s="381"/>
      <c r="ED12" s="381"/>
      <c r="EE12" s="381"/>
      <c r="EF12" s="381"/>
      <c r="EG12" s="381"/>
      <c r="EH12" s="381"/>
      <c r="EI12" s="381"/>
      <c r="EJ12" s="381"/>
      <c r="EK12" s="381"/>
      <c r="EL12" s="381"/>
      <c r="EM12" s="381"/>
      <c r="EN12" s="381"/>
      <c r="EO12" s="381"/>
      <c r="EP12" s="24"/>
      <c r="EQ12" s="24"/>
      <c r="ER12" s="24"/>
      <c r="ES12" s="24"/>
      <c r="ET12" s="24"/>
      <c r="EU12" s="33"/>
      <c r="EV12" s="24"/>
      <c r="EW12" s="24"/>
      <c r="EX12" s="24"/>
      <c r="EY12" s="24"/>
      <c r="EZ12" s="24"/>
      <c r="FA12" s="24"/>
      <c r="FB12" s="24"/>
      <c r="FC12" s="24"/>
      <c r="FD12" s="24"/>
      <c r="FE12" s="24"/>
      <c r="FF12" s="24"/>
      <c r="FG12" s="24"/>
      <c r="FH12" s="24"/>
      <c r="FI12" s="24"/>
      <c r="FJ12" s="24"/>
      <c r="FK12" s="24"/>
      <c r="FL12" s="24"/>
      <c r="FM12" s="24"/>
      <c r="FN12" s="24"/>
      <c r="FO12" s="24"/>
      <c r="FP12" s="24"/>
      <c r="FQ12" s="24"/>
      <c r="FR12" s="24"/>
      <c r="FS12" s="24"/>
      <c r="FT12" s="24"/>
      <c r="FU12" s="24"/>
      <c r="FV12" s="24"/>
      <c r="FW12" s="24"/>
      <c r="FX12" s="24"/>
      <c r="FY12" s="24"/>
      <c r="FZ12" s="24"/>
      <c r="GA12" s="24"/>
      <c r="GB12" s="24"/>
      <c r="GC12" s="24"/>
      <c r="GD12" s="24"/>
      <c r="GE12" s="24"/>
      <c r="GF12" s="24"/>
      <c r="GG12" s="24"/>
      <c r="GH12" s="24"/>
      <c r="GI12" s="24"/>
      <c r="GJ12" s="24"/>
      <c r="GK12" s="24"/>
      <c r="GL12" s="24"/>
      <c r="GM12" s="24"/>
      <c r="GN12" s="24"/>
      <c r="GO12" s="24"/>
      <c r="GP12" s="24"/>
      <c r="GQ12" s="24"/>
      <c r="GR12" s="24"/>
      <c r="GS12" s="24"/>
      <c r="GT12" s="24"/>
      <c r="GU12" s="24"/>
      <c r="GV12" s="24"/>
      <c r="GW12" s="24"/>
      <c r="GX12" s="24"/>
      <c r="GY12" s="24"/>
      <c r="GZ12" s="24"/>
      <c r="HA12" s="24"/>
      <c r="HB12" s="24"/>
      <c r="HC12" s="24"/>
      <c r="HD12" s="24"/>
      <c r="HE12" s="24"/>
      <c r="HF12" s="24"/>
      <c r="HG12" s="24"/>
      <c r="HH12" s="24"/>
      <c r="HI12" s="24"/>
      <c r="HJ12" s="24"/>
      <c r="HK12" s="24"/>
      <c r="HL12" s="24"/>
      <c r="HM12" s="24"/>
      <c r="HN12" s="24"/>
      <c r="HO12" s="24"/>
      <c r="HP12" s="24"/>
      <c r="HQ12" s="24"/>
      <c r="HR12" s="24"/>
      <c r="HS12" s="24"/>
      <c r="HT12" s="24"/>
      <c r="HU12" s="24"/>
      <c r="HV12" s="24"/>
      <c r="HW12" s="24"/>
      <c r="HX12" s="24"/>
      <c r="HY12" s="24"/>
      <c r="HZ12" s="24"/>
      <c r="IA12" s="24"/>
      <c r="IB12" s="24"/>
      <c r="IC12" s="24"/>
      <c r="ID12" s="24"/>
      <c r="IE12" s="24"/>
      <c r="IF12" s="24"/>
      <c r="IG12" s="24"/>
      <c r="IH12" s="24"/>
      <c r="II12" s="24"/>
      <c r="IJ12" s="24"/>
      <c r="IK12" s="24"/>
      <c r="IL12" s="24"/>
      <c r="IM12" s="24"/>
      <c r="IN12" s="24"/>
      <c r="IO12" s="24"/>
      <c r="IP12" s="24"/>
      <c r="IQ12" s="24"/>
      <c r="IR12" s="24"/>
      <c r="IS12" s="24"/>
      <c r="IT12" s="24"/>
      <c r="IU12" s="24"/>
      <c r="IV12" s="24"/>
      <c r="IW12" s="24"/>
      <c r="IX12" s="24"/>
      <c r="IY12" s="24"/>
      <c r="IZ12" s="24"/>
      <c r="JA12" s="24"/>
      <c r="JB12" s="24"/>
      <c r="JC12" s="24"/>
      <c r="JD12" s="24"/>
      <c r="JE12" s="24"/>
      <c r="JF12" s="24"/>
      <c r="JG12" s="24"/>
      <c r="JH12" s="24"/>
      <c r="JI12" s="24"/>
      <c r="JJ12" s="24"/>
      <c r="JK12" s="24"/>
      <c r="JL12" s="24"/>
      <c r="JM12" s="24"/>
      <c r="JN12" s="24"/>
      <c r="JO12" s="24"/>
      <c r="JP12" s="24"/>
      <c r="JQ12" s="24"/>
      <c r="JR12" s="24"/>
      <c r="JS12" s="24"/>
      <c r="JT12" s="24"/>
      <c r="JU12" s="24"/>
      <c r="JV12" s="24"/>
      <c r="JW12" s="24"/>
      <c r="JX12" s="24"/>
    </row>
    <row r="13" spans="1:284" s="7" customFormat="1" x14ac:dyDescent="0.2">
      <c r="A13" s="406"/>
      <c r="B13" s="92" t="s">
        <v>18</v>
      </c>
      <c r="C13" s="92"/>
      <c r="D13" s="93"/>
      <c r="E13" s="165">
        <v>44562</v>
      </c>
      <c r="F13" s="92" t="s">
        <v>19</v>
      </c>
      <c r="G13" s="93"/>
      <c r="H13" s="98">
        <f>Timing_Reversion_Month</f>
        <v>45</v>
      </c>
      <c r="I13" s="166">
        <f>EDATE(E13,H13-1)</f>
        <v>45901</v>
      </c>
      <c r="J13" s="381"/>
      <c r="K13" s="381"/>
      <c r="L13" s="381"/>
      <c r="M13" s="381"/>
      <c r="N13" s="381"/>
      <c r="O13" s="381"/>
      <c r="P13" s="381"/>
      <c r="Q13" s="381"/>
      <c r="R13" s="381"/>
      <c r="S13" s="381"/>
      <c r="T13" s="381"/>
      <c r="U13" s="381"/>
      <c r="V13" s="381"/>
      <c r="W13" s="381"/>
      <c r="X13" s="381"/>
      <c r="Y13" s="381"/>
      <c r="Z13" s="381"/>
      <c r="AA13" s="381"/>
      <c r="AB13" s="381"/>
      <c r="AC13" s="381"/>
      <c r="AD13" s="381"/>
      <c r="AE13" s="381"/>
      <c r="AF13" s="381"/>
      <c r="AG13" s="381"/>
      <c r="AH13" s="381"/>
      <c r="AI13" s="381"/>
      <c r="AJ13" s="381"/>
      <c r="AK13" s="381"/>
      <c r="AL13" s="381"/>
      <c r="AM13" s="381"/>
      <c r="AN13" s="381"/>
      <c r="AO13" s="381"/>
      <c r="AP13" s="381"/>
      <c r="AQ13" s="381"/>
      <c r="AR13" s="381"/>
      <c r="AS13" s="381"/>
      <c r="AT13" s="381"/>
      <c r="AU13" s="381"/>
      <c r="AV13" s="381"/>
      <c r="AW13" s="381"/>
      <c r="AX13" s="381"/>
      <c r="AY13" s="381"/>
      <c r="AZ13" s="381"/>
      <c r="BA13" s="381"/>
      <c r="BB13" s="381"/>
      <c r="BC13" s="381"/>
      <c r="BD13" s="381"/>
      <c r="BE13" s="381"/>
      <c r="BF13" s="381"/>
      <c r="BG13" s="381"/>
      <c r="BH13" s="381"/>
      <c r="BI13" s="381"/>
      <c r="BJ13" s="381"/>
      <c r="BK13" s="381"/>
      <c r="BL13" s="381"/>
      <c r="BM13" s="381"/>
      <c r="BN13" s="381"/>
      <c r="BO13" s="381"/>
      <c r="BP13" s="381"/>
      <c r="BQ13" s="381"/>
      <c r="BR13" s="381"/>
      <c r="BS13" s="381"/>
      <c r="BT13" s="381"/>
      <c r="BU13" s="381"/>
      <c r="BV13" s="381"/>
      <c r="BW13" s="381"/>
      <c r="BX13" s="381"/>
      <c r="BY13" s="381"/>
      <c r="BZ13" s="381"/>
      <c r="CA13" s="381"/>
      <c r="CB13" s="381"/>
      <c r="CC13" s="381"/>
      <c r="CD13" s="381"/>
      <c r="CE13" s="381"/>
      <c r="CF13" s="381"/>
      <c r="CG13" s="381"/>
      <c r="CH13" s="381"/>
      <c r="CI13" s="381"/>
      <c r="CJ13" s="381"/>
      <c r="CK13" s="381"/>
      <c r="CL13" s="381"/>
      <c r="CM13" s="381"/>
      <c r="CN13" s="381"/>
      <c r="CO13" s="381"/>
      <c r="CP13" s="381"/>
      <c r="CQ13" s="381"/>
      <c r="CR13" s="381"/>
      <c r="CS13" s="381"/>
      <c r="CT13" s="381"/>
      <c r="CU13" s="381"/>
      <c r="CV13" s="381"/>
      <c r="CW13" s="381"/>
      <c r="CX13" s="381"/>
      <c r="CY13" s="381"/>
      <c r="CZ13" s="381"/>
      <c r="DA13" s="381"/>
      <c r="DB13" s="381"/>
      <c r="DC13" s="381"/>
      <c r="DD13" s="381"/>
      <c r="DE13" s="381"/>
      <c r="DF13" s="381"/>
      <c r="DG13" s="381"/>
      <c r="DH13" s="381"/>
      <c r="DI13" s="381"/>
      <c r="DJ13" s="381"/>
      <c r="DK13" s="381"/>
      <c r="DL13" s="381"/>
      <c r="DM13" s="381"/>
      <c r="DN13" s="381"/>
      <c r="DO13" s="381"/>
      <c r="DP13" s="381"/>
      <c r="DQ13" s="381"/>
      <c r="DR13" s="381"/>
      <c r="DS13" s="381"/>
      <c r="DT13" s="381"/>
      <c r="DU13" s="381"/>
      <c r="DV13" s="381"/>
      <c r="DW13" s="381"/>
      <c r="DX13" s="381"/>
      <c r="DY13" s="381"/>
      <c r="DZ13" s="381"/>
      <c r="EA13" s="381"/>
      <c r="EB13" s="381"/>
      <c r="EC13" s="381"/>
      <c r="ED13" s="381"/>
      <c r="EE13" s="381"/>
      <c r="EF13" s="381"/>
      <c r="EG13" s="381"/>
      <c r="EH13" s="381"/>
      <c r="EI13" s="381"/>
      <c r="EJ13" s="381"/>
      <c r="EK13" s="381"/>
      <c r="EL13" s="381"/>
      <c r="EM13" s="381"/>
      <c r="EN13" s="381"/>
      <c r="EO13" s="381"/>
      <c r="EP13" s="24"/>
      <c r="EQ13" s="24"/>
      <c r="ER13" s="24"/>
      <c r="ES13" s="24"/>
      <c r="ET13" s="24"/>
      <c r="EU13" s="33"/>
      <c r="EV13" s="24"/>
      <c r="EW13" s="24"/>
      <c r="EX13" s="24"/>
      <c r="EY13" s="24"/>
      <c r="EZ13" s="24"/>
      <c r="FA13" s="24"/>
      <c r="FB13" s="24"/>
      <c r="FC13" s="24"/>
      <c r="FD13" s="24"/>
      <c r="FE13" s="24"/>
      <c r="FF13" s="24"/>
      <c r="FG13" s="24"/>
      <c r="FH13" s="24"/>
      <c r="FI13" s="24"/>
      <c r="FJ13" s="24"/>
      <c r="FK13" s="24"/>
      <c r="FL13" s="24"/>
      <c r="FM13" s="24"/>
      <c r="FN13" s="24"/>
      <c r="FO13" s="24"/>
      <c r="FP13" s="24"/>
      <c r="FQ13" s="24"/>
      <c r="FR13" s="24"/>
      <c r="FS13" s="24"/>
      <c r="FT13" s="24"/>
      <c r="FU13" s="24"/>
      <c r="FV13" s="24"/>
      <c r="FW13" s="24"/>
      <c r="FX13" s="24"/>
      <c r="FY13" s="24"/>
      <c r="FZ13" s="24"/>
      <c r="GA13" s="24"/>
      <c r="GB13" s="24"/>
      <c r="GC13" s="24"/>
      <c r="GD13" s="24"/>
      <c r="GE13" s="24"/>
      <c r="GF13" s="24"/>
      <c r="GG13" s="24"/>
      <c r="GH13" s="24"/>
      <c r="GI13" s="24"/>
      <c r="GJ13" s="24"/>
      <c r="GK13" s="24"/>
      <c r="GL13" s="24"/>
      <c r="GM13" s="24"/>
      <c r="GN13" s="24"/>
      <c r="GO13" s="24"/>
      <c r="GP13" s="24"/>
      <c r="GQ13" s="24"/>
      <c r="GR13" s="24"/>
      <c r="GS13" s="24"/>
      <c r="GT13" s="24"/>
      <c r="GU13" s="24"/>
      <c r="GV13" s="24"/>
      <c r="GW13" s="24"/>
      <c r="GX13" s="24"/>
      <c r="GY13" s="24"/>
      <c r="GZ13" s="24"/>
      <c r="HA13" s="24"/>
      <c r="HB13" s="24"/>
      <c r="HC13" s="24"/>
      <c r="HD13" s="24"/>
      <c r="HE13" s="24"/>
      <c r="HF13" s="24"/>
      <c r="HG13" s="24"/>
      <c r="HH13" s="24"/>
      <c r="HI13" s="24"/>
      <c r="HJ13" s="24"/>
      <c r="HK13" s="24"/>
      <c r="HL13" s="24"/>
      <c r="HM13" s="24"/>
      <c r="HN13" s="24"/>
      <c r="HO13" s="24"/>
      <c r="HP13" s="24"/>
      <c r="HQ13" s="24"/>
      <c r="HR13" s="24"/>
      <c r="HS13" s="24"/>
      <c r="HT13" s="24"/>
      <c r="HU13" s="24"/>
      <c r="HV13" s="24"/>
      <c r="HW13" s="24"/>
      <c r="HX13" s="24"/>
      <c r="HY13" s="24"/>
      <c r="HZ13" s="24"/>
      <c r="IA13" s="24"/>
      <c r="IB13" s="24"/>
      <c r="IC13" s="24"/>
      <c r="ID13" s="24"/>
      <c r="IE13" s="24"/>
      <c r="IF13" s="24"/>
      <c r="IG13" s="24"/>
      <c r="IH13" s="24"/>
      <c r="II13" s="24"/>
      <c r="IJ13" s="24"/>
      <c r="IK13" s="24"/>
      <c r="IL13" s="24"/>
      <c r="IM13" s="24"/>
      <c r="IN13" s="24"/>
      <c r="IO13" s="24"/>
      <c r="IP13" s="24"/>
      <c r="IQ13" s="24"/>
      <c r="IR13" s="24"/>
      <c r="IS13" s="24"/>
      <c r="IT13" s="24"/>
      <c r="IU13" s="24"/>
      <c r="IV13" s="24"/>
      <c r="IW13" s="24"/>
      <c r="IX13" s="24"/>
      <c r="IY13" s="24"/>
      <c r="IZ13" s="24"/>
      <c r="JA13" s="24"/>
      <c r="JB13" s="24"/>
      <c r="JC13" s="24"/>
      <c r="JD13" s="24"/>
      <c r="JE13" s="24"/>
      <c r="JF13" s="24"/>
      <c r="JG13" s="24"/>
      <c r="JH13" s="24"/>
      <c r="JI13" s="24"/>
      <c r="JJ13" s="24"/>
      <c r="JK13" s="24"/>
      <c r="JL13" s="24"/>
      <c r="JM13" s="24"/>
      <c r="JN13" s="24"/>
      <c r="JO13" s="24"/>
      <c r="JP13" s="24"/>
      <c r="JQ13" s="24"/>
      <c r="JR13" s="24"/>
      <c r="JS13" s="24"/>
      <c r="JT13" s="24"/>
      <c r="JU13" s="24"/>
      <c r="JV13" s="24"/>
      <c r="JW13" s="24"/>
      <c r="JX13" s="24"/>
    </row>
    <row r="14" spans="1:284" s="7" customFormat="1" ht="4.9000000000000004" customHeight="1" x14ac:dyDescent="0.2">
      <c r="A14" s="406"/>
      <c r="B14" s="92"/>
      <c r="C14" s="92"/>
      <c r="D14" s="93"/>
      <c r="E14" s="162"/>
      <c r="F14" s="92"/>
      <c r="G14" s="93"/>
      <c r="H14" s="93"/>
      <c r="I14" s="162"/>
      <c r="J14" s="381"/>
      <c r="K14" s="381"/>
      <c r="L14" s="381"/>
      <c r="M14" s="381"/>
      <c r="N14" s="381"/>
      <c r="O14" s="381"/>
      <c r="P14" s="381"/>
      <c r="Q14" s="381"/>
      <c r="R14" s="381"/>
      <c r="S14" s="381"/>
      <c r="T14" s="381"/>
      <c r="U14" s="381"/>
      <c r="V14" s="381"/>
      <c r="W14" s="381"/>
      <c r="X14" s="381"/>
      <c r="Y14" s="381"/>
      <c r="Z14" s="381"/>
      <c r="AA14" s="381"/>
      <c r="AB14" s="381"/>
      <c r="AC14" s="381"/>
      <c r="AD14" s="381"/>
      <c r="AE14" s="381"/>
      <c r="AF14" s="381"/>
      <c r="AG14" s="381"/>
      <c r="AH14" s="381"/>
      <c r="AI14" s="381"/>
      <c r="AJ14" s="381"/>
      <c r="AK14" s="381"/>
      <c r="AL14" s="381"/>
      <c r="AM14" s="381"/>
      <c r="AN14" s="381"/>
      <c r="AO14" s="381"/>
      <c r="AP14" s="381"/>
      <c r="AQ14" s="381"/>
      <c r="AR14" s="381"/>
      <c r="AS14" s="381"/>
      <c r="AT14" s="381"/>
      <c r="AU14" s="381"/>
      <c r="AV14" s="381"/>
      <c r="AW14" s="381"/>
      <c r="AX14" s="381"/>
      <c r="AY14" s="381"/>
      <c r="AZ14" s="381"/>
      <c r="BA14" s="381"/>
      <c r="BB14" s="381"/>
      <c r="BC14" s="381"/>
      <c r="BD14" s="381"/>
      <c r="BE14" s="381"/>
      <c r="BF14" s="381"/>
      <c r="BG14" s="381"/>
      <c r="BH14" s="381"/>
      <c r="BI14" s="381"/>
      <c r="BJ14" s="381"/>
      <c r="BK14" s="381"/>
      <c r="BL14" s="381"/>
      <c r="BM14" s="381"/>
      <c r="BN14" s="381"/>
      <c r="BO14" s="381"/>
      <c r="BP14" s="381"/>
      <c r="BQ14" s="381"/>
      <c r="BR14" s="381"/>
      <c r="BS14" s="381"/>
      <c r="BT14" s="381"/>
      <c r="BU14" s="381"/>
      <c r="BV14" s="381"/>
      <c r="BW14" s="381"/>
      <c r="BX14" s="381"/>
      <c r="BY14" s="381"/>
      <c r="BZ14" s="381"/>
      <c r="CA14" s="381"/>
      <c r="CB14" s="381"/>
      <c r="CC14" s="381"/>
      <c r="CD14" s="381"/>
      <c r="CE14" s="381"/>
      <c r="CF14" s="381"/>
      <c r="CG14" s="381"/>
      <c r="CH14" s="381"/>
      <c r="CI14" s="381"/>
      <c r="CJ14" s="381"/>
      <c r="CK14" s="381"/>
      <c r="CL14" s="381"/>
      <c r="CM14" s="381"/>
      <c r="CN14" s="381"/>
      <c r="CO14" s="381"/>
      <c r="CP14" s="381"/>
      <c r="CQ14" s="381"/>
      <c r="CR14" s="381"/>
      <c r="CS14" s="381"/>
      <c r="CT14" s="381"/>
      <c r="CU14" s="381"/>
      <c r="CV14" s="381"/>
      <c r="CW14" s="381"/>
      <c r="CX14" s="381"/>
      <c r="CY14" s="381"/>
      <c r="CZ14" s="381"/>
      <c r="DA14" s="381"/>
      <c r="DB14" s="381"/>
      <c r="DC14" s="381"/>
      <c r="DD14" s="381"/>
      <c r="DE14" s="381"/>
      <c r="DF14" s="381"/>
      <c r="DG14" s="381"/>
      <c r="DH14" s="381"/>
      <c r="DI14" s="381"/>
      <c r="DJ14" s="381"/>
      <c r="DK14" s="381"/>
      <c r="DL14" s="381"/>
      <c r="DM14" s="381"/>
      <c r="DN14" s="381"/>
      <c r="DO14" s="381"/>
      <c r="DP14" s="381"/>
      <c r="DQ14" s="381"/>
      <c r="DR14" s="381"/>
      <c r="DS14" s="381"/>
      <c r="DT14" s="381"/>
      <c r="DU14" s="381"/>
      <c r="DV14" s="381"/>
      <c r="DW14" s="381"/>
      <c r="DX14" s="381"/>
      <c r="DY14" s="381"/>
      <c r="DZ14" s="381"/>
      <c r="EA14" s="381"/>
      <c r="EB14" s="381"/>
      <c r="EC14" s="381"/>
      <c r="ED14" s="381"/>
      <c r="EE14" s="381"/>
      <c r="EF14" s="381"/>
      <c r="EG14" s="381"/>
      <c r="EH14" s="381"/>
      <c r="EI14" s="381"/>
      <c r="EJ14" s="381"/>
      <c r="EK14" s="381"/>
      <c r="EL14" s="381"/>
      <c r="EM14" s="381"/>
      <c r="EN14" s="381"/>
      <c r="EO14" s="381"/>
      <c r="EP14" s="24"/>
      <c r="EQ14" s="24"/>
      <c r="ER14" s="24"/>
      <c r="ES14" s="24"/>
      <c r="ET14" s="24"/>
      <c r="EU14" s="33"/>
      <c r="EV14" s="24"/>
      <c r="EW14" s="24"/>
      <c r="EX14" s="24"/>
      <c r="EY14" s="24"/>
      <c r="EZ14" s="24"/>
      <c r="FA14" s="24"/>
      <c r="FB14" s="24"/>
      <c r="FC14" s="24"/>
      <c r="FD14" s="24"/>
      <c r="FE14" s="24"/>
      <c r="FF14" s="24"/>
      <c r="FG14" s="24"/>
      <c r="FH14" s="24"/>
      <c r="FI14" s="24"/>
      <c r="FJ14" s="24"/>
      <c r="FK14" s="24"/>
      <c r="FL14" s="24"/>
      <c r="FM14" s="24"/>
      <c r="FN14" s="24"/>
      <c r="FO14" s="24"/>
      <c r="FP14" s="24"/>
      <c r="FQ14" s="24"/>
      <c r="FR14" s="24"/>
      <c r="FS14" s="24"/>
      <c r="FT14" s="24"/>
      <c r="FU14" s="24"/>
      <c r="FV14" s="24"/>
      <c r="FW14" s="24"/>
      <c r="FX14" s="24"/>
      <c r="FY14" s="24"/>
      <c r="FZ14" s="24"/>
      <c r="GA14" s="24"/>
      <c r="GB14" s="24"/>
      <c r="GC14" s="24"/>
      <c r="GD14" s="24"/>
      <c r="GE14" s="24"/>
      <c r="GF14" s="24"/>
      <c r="GG14" s="24"/>
      <c r="GH14" s="24"/>
      <c r="GI14" s="24"/>
      <c r="GJ14" s="24"/>
      <c r="GK14" s="24"/>
      <c r="GL14" s="24"/>
      <c r="GM14" s="24"/>
      <c r="GN14" s="24"/>
      <c r="GO14" s="24"/>
      <c r="GP14" s="24"/>
      <c r="GQ14" s="24"/>
      <c r="GR14" s="24"/>
      <c r="GS14" s="24"/>
      <c r="GT14" s="24"/>
      <c r="GU14" s="24"/>
      <c r="GV14" s="24"/>
      <c r="GW14" s="24"/>
      <c r="GX14" s="24"/>
      <c r="GY14" s="24"/>
      <c r="GZ14" s="24"/>
      <c r="HA14" s="24"/>
      <c r="HB14" s="24"/>
      <c r="HC14" s="24"/>
      <c r="HD14" s="24"/>
      <c r="HE14" s="24"/>
      <c r="HF14" s="24"/>
      <c r="HG14" s="24"/>
      <c r="HH14" s="24"/>
      <c r="HI14" s="24"/>
      <c r="HJ14" s="24"/>
      <c r="HK14" s="24"/>
      <c r="HL14" s="24"/>
      <c r="HM14" s="24"/>
      <c r="HN14" s="24"/>
      <c r="HO14" s="24"/>
      <c r="HP14" s="24"/>
      <c r="HQ14" s="24"/>
      <c r="HR14" s="24"/>
      <c r="HS14" s="24"/>
      <c r="HT14" s="24"/>
      <c r="HU14" s="24"/>
      <c r="HV14" s="24"/>
      <c r="HW14" s="24"/>
      <c r="HX14" s="24"/>
      <c r="HY14" s="24"/>
      <c r="HZ14" s="24"/>
      <c r="IA14" s="24"/>
      <c r="IB14" s="24"/>
      <c r="IC14" s="24"/>
      <c r="ID14" s="24"/>
      <c r="IE14" s="24"/>
      <c r="IF14" s="24"/>
      <c r="IG14" s="24"/>
      <c r="IH14" s="24"/>
      <c r="II14" s="24"/>
      <c r="IJ14" s="24"/>
      <c r="IK14" s="24"/>
      <c r="IL14" s="24"/>
      <c r="IM14" s="24"/>
      <c r="IN14" s="24"/>
      <c r="IO14" s="24"/>
      <c r="IP14" s="24"/>
      <c r="IQ14" s="24"/>
      <c r="IR14" s="24"/>
      <c r="IS14" s="24"/>
      <c r="IT14" s="24"/>
      <c r="IU14" s="24"/>
      <c r="IV14" s="24"/>
      <c r="IW14" s="24"/>
      <c r="IX14" s="24"/>
      <c r="IY14" s="24"/>
      <c r="IZ14" s="24"/>
      <c r="JA14" s="24"/>
      <c r="JB14" s="24"/>
      <c r="JC14" s="24"/>
      <c r="JD14" s="24"/>
      <c r="JE14" s="24"/>
      <c r="JF14" s="24"/>
      <c r="JG14" s="24"/>
      <c r="JH14" s="24"/>
      <c r="JI14" s="24"/>
      <c r="JJ14" s="24"/>
      <c r="JK14" s="24"/>
      <c r="JL14" s="24"/>
      <c r="JM14" s="24"/>
      <c r="JN14" s="24"/>
      <c r="JO14" s="24"/>
      <c r="JP14" s="24"/>
      <c r="JQ14" s="24"/>
      <c r="JR14" s="24"/>
      <c r="JS14" s="24"/>
      <c r="JT14" s="24"/>
      <c r="JU14" s="24"/>
      <c r="JV14" s="24"/>
      <c r="JW14" s="24"/>
      <c r="JX14" s="24"/>
    </row>
    <row r="15" spans="1:284" s="7" customFormat="1" x14ac:dyDescent="0.2">
      <c r="A15" s="406"/>
      <c r="B15" s="92" t="s">
        <v>9</v>
      </c>
      <c r="C15" s="118">
        <f>IF(Unit_Type="SF",E15*43560,E15*4046.86)</f>
        <v>196020</v>
      </c>
      <c r="D15" s="93" t="str">
        <f>Unit_Type</f>
        <v>SF</v>
      </c>
      <c r="E15" s="167">
        <v>4.5</v>
      </c>
      <c r="F15" s="92" t="s">
        <v>10</v>
      </c>
      <c r="G15" s="93"/>
      <c r="H15" s="93"/>
      <c r="I15" s="168">
        <v>1</v>
      </c>
      <c r="J15" s="381"/>
      <c r="K15" s="381"/>
      <c r="L15" s="381"/>
      <c r="M15" s="381"/>
      <c r="N15" s="381"/>
      <c r="O15" s="381"/>
      <c r="P15" s="381"/>
      <c r="Q15" s="381"/>
      <c r="R15" s="381"/>
      <c r="S15" s="381"/>
      <c r="T15" s="381"/>
      <c r="U15" s="381"/>
      <c r="V15" s="381"/>
      <c r="W15" s="381"/>
      <c r="X15" s="381"/>
      <c r="Y15" s="381"/>
      <c r="Z15" s="381"/>
      <c r="AA15" s="381"/>
      <c r="AB15" s="381"/>
      <c r="AC15" s="381"/>
      <c r="AD15" s="381"/>
      <c r="AE15" s="381"/>
      <c r="AF15" s="381"/>
      <c r="AG15" s="381"/>
      <c r="AH15" s="381"/>
      <c r="AI15" s="381"/>
      <c r="AJ15" s="381"/>
      <c r="AK15" s="381"/>
      <c r="AL15" s="381"/>
      <c r="AM15" s="381"/>
      <c r="AN15" s="381"/>
      <c r="AO15" s="381"/>
      <c r="AP15" s="381"/>
      <c r="AQ15" s="381"/>
      <c r="AR15" s="381"/>
      <c r="AS15" s="381"/>
      <c r="AT15" s="381"/>
      <c r="AU15" s="381"/>
      <c r="AV15" s="381"/>
      <c r="AW15" s="381"/>
      <c r="AX15" s="381"/>
      <c r="AY15" s="381"/>
      <c r="AZ15" s="381"/>
      <c r="BA15" s="381"/>
      <c r="BB15" s="381"/>
      <c r="BC15" s="381"/>
      <c r="BD15" s="381"/>
      <c r="BE15" s="381"/>
      <c r="BF15" s="381"/>
      <c r="BG15" s="381"/>
      <c r="BH15" s="381"/>
      <c r="BI15" s="381"/>
      <c r="BJ15" s="381"/>
      <c r="BK15" s="381"/>
      <c r="BL15" s="381"/>
      <c r="BM15" s="381"/>
      <c r="BN15" s="381"/>
      <c r="BO15" s="381"/>
      <c r="BP15" s="381"/>
      <c r="BQ15" s="381"/>
      <c r="BR15" s="381"/>
      <c r="BS15" s="381"/>
      <c r="BT15" s="381"/>
      <c r="BU15" s="381"/>
      <c r="BV15" s="381"/>
      <c r="BW15" s="381"/>
      <c r="BX15" s="381"/>
      <c r="BY15" s="381"/>
      <c r="BZ15" s="381"/>
      <c r="CA15" s="381"/>
      <c r="CB15" s="381"/>
      <c r="CC15" s="381"/>
      <c r="CD15" s="381"/>
      <c r="CE15" s="381"/>
      <c r="CF15" s="381"/>
      <c r="CG15" s="381"/>
      <c r="CH15" s="381"/>
      <c r="CI15" s="381"/>
      <c r="CJ15" s="381"/>
      <c r="CK15" s="381"/>
      <c r="CL15" s="381"/>
      <c r="CM15" s="381"/>
      <c r="CN15" s="381"/>
      <c r="CO15" s="381"/>
      <c r="CP15" s="381"/>
      <c r="CQ15" s="381"/>
      <c r="CR15" s="381"/>
      <c r="CS15" s="381"/>
      <c r="CT15" s="381"/>
      <c r="CU15" s="381"/>
      <c r="CV15" s="381"/>
      <c r="CW15" s="381"/>
      <c r="CX15" s="381"/>
      <c r="CY15" s="381"/>
      <c r="CZ15" s="381"/>
      <c r="DA15" s="381"/>
      <c r="DB15" s="381"/>
      <c r="DC15" s="381"/>
      <c r="DD15" s="381"/>
      <c r="DE15" s="381"/>
      <c r="DF15" s="381"/>
      <c r="DG15" s="381"/>
      <c r="DH15" s="381"/>
      <c r="DI15" s="381"/>
      <c r="DJ15" s="381"/>
      <c r="DK15" s="381"/>
      <c r="DL15" s="381"/>
      <c r="DM15" s="381"/>
      <c r="DN15" s="381"/>
      <c r="DO15" s="381"/>
      <c r="DP15" s="381"/>
      <c r="DQ15" s="381"/>
      <c r="DR15" s="381"/>
      <c r="DS15" s="381"/>
      <c r="DT15" s="381"/>
      <c r="DU15" s="381"/>
      <c r="DV15" s="381"/>
      <c r="DW15" s="381"/>
      <c r="DX15" s="381"/>
      <c r="DY15" s="381"/>
      <c r="DZ15" s="381"/>
      <c r="EA15" s="381"/>
      <c r="EB15" s="381"/>
      <c r="EC15" s="381"/>
      <c r="ED15" s="381"/>
      <c r="EE15" s="381"/>
      <c r="EF15" s="381"/>
      <c r="EG15" s="381"/>
      <c r="EH15" s="381"/>
      <c r="EI15" s="381"/>
      <c r="EJ15" s="381"/>
      <c r="EK15" s="381"/>
      <c r="EL15" s="381"/>
      <c r="EM15" s="381"/>
      <c r="EN15" s="381"/>
      <c r="EO15" s="381"/>
      <c r="EP15" s="24"/>
      <c r="EQ15" s="24"/>
      <c r="ER15" s="24"/>
      <c r="ES15" s="24"/>
      <c r="ET15" s="24"/>
      <c r="EU15" s="33"/>
      <c r="EV15" s="24"/>
      <c r="EW15" s="24"/>
      <c r="EX15" s="24"/>
      <c r="EY15" s="24"/>
      <c r="EZ15" s="24"/>
      <c r="FA15" s="24"/>
      <c r="FB15" s="24"/>
      <c r="FC15" s="24"/>
      <c r="FD15" s="24"/>
      <c r="FE15" s="24"/>
      <c r="FF15" s="24"/>
      <c r="FG15" s="24"/>
      <c r="FH15" s="24"/>
      <c r="FI15" s="24"/>
      <c r="FJ15" s="24"/>
      <c r="FK15" s="24"/>
      <c r="FL15" s="24"/>
      <c r="FM15" s="24"/>
      <c r="FN15" s="24"/>
      <c r="FO15" s="24"/>
      <c r="FP15" s="24"/>
      <c r="FQ15" s="24"/>
      <c r="FR15" s="24"/>
      <c r="FS15" s="24"/>
      <c r="FT15" s="24"/>
      <c r="FU15" s="24"/>
      <c r="FV15" s="24"/>
      <c r="FW15" s="24"/>
      <c r="FX15" s="24"/>
      <c r="FY15" s="24"/>
      <c r="FZ15" s="24"/>
      <c r="GA15" s="24"/>
      <c r="GB15" s="24"/>
      <c r="GC15" s="24"/>
      <c r="GD15" s="24"/>
      <c r="GE15" s="24"/>
      <c r="GF15" s="24"/>
      <c r="GG15" s="24"/>
      <c r="GH15" s="24"/>
      <c r="GI15" s="24"/>
      <c r="GJ15" s="24"/>
      <c r="GK15" s="24"/>
      <c r="GL15" s="24"/>
      <c r="GM15" s="24"/>
      <c r="GN15" s="24"/>
      <c r="GO15" s="24"/>
      <c r="GP15" s="24"/>
      <c r="GQ15" s="24"/>
      <c r="GR15" s="24"/>
      <c r="GS15" s="24"/>
      <c r="GT15" s="24"/>
      <c r="GU15" s="24"/>
      <c r="GV15" s="24"/>
      <c r="GW15" s="24"/>
      <c r="GX15" s="24"/>
      <c r="GY15" s="24"/>
      <c r="GZ15" s="24"/>
      <c r="HA15" s="24"/>
      <c r="HB15" s="24"/>
      <c r="HC15" s="24"/>
      <c r="HD15" s="24"/>
      <c r="HE15" s="24"/>
      <c r="HF15" s="24"/>
      <c r="HG15" s="24"/>
      <c r="HH15" s="24"/>
      <c r="HI15" s="24"/>
      <c r="HJ15" s="24"/>
      <c r="HK15" s="24"/>
      <c r="HL15" s="24"/>
      <c r="HM15" s="24"/>
      <c r="HN15" s="24"/>
      <c r="HO15" s="24"/>
      <c r="HP15" s="24"/>
      <c r="HQ15" s="24"/>
      <c r="HR15" s="24"/>
      <c r="HS15" s="24"/>
      <c r="HT15" s="24"/>
      <c r="HU15" s="24"/>
      <c r="HV15" s="24"/>
      <c r="HW15" s="24"/>
      <c r="HX15" s="24"/>
      <c r="HY15" s="24"/>
      <c r="HZ15" s="24"/>
      <c r="IA15" s="24"/>
      <c r="IB15" s="24"/>
      <c r="IC15" s="24"/>
      <c r="ID15" s="24"/>
      <c r="IE15" s="24"/>
      <c r="IF15" s="24"/>
      <c r="IG15" s="24"/>
      <c r="IH15" s="24"/>
      <c r="II15" s="24"/>
      <c r="IJ15" s="24"/>
      <c r="IK15" s="24"/>
      <c r="IL15" s="24"/>
      <c r="IM15" s="24"/>
      <c r="IN15" s="24"/>
      <c r="IO15" s="24"/>
      <c r="IP15" s="24"/>
      <c r="IQ15" s="24"/>
      <c r="IR15" s="24"/>
      <c r="IS15" s="24"/>
      <c r="IT15" s="24"/>
      <c r="IU15" s="24"/>
      <c r="IV15" s="24"/>
      <c r="IW15" s="24"/>
      <c r="IX15" s="24"/>
      <c r="IY15" s="24"/>
      <c r="IZ15" s="24"/>
      <c r="JA15" s="24"/>
      <c r="JB15" s="24"/>
      <c r="JC15" s="24"/>
      <c r="JD15" s="24"/>
      <c r="JE15" s="24"/>
      <c r="JF15" s="24"/>
      <c r="JG15" s="24"/>
      <c r="JH15" s="24"/>
      <c r="JI15" s="24"/>
      <c r="JJ15" s="24"/>
      <c r="JK15" s="24"/>
      <c r="JL15" s="24"/>
      <c r="JM15" s="24"/>
      <c r="JN15" s="24"/>
      <c r="JO15" s="24"/>
      <c r="JP15" s="24"/>
      <c r="JQ15" s="24"/>
      <c r="JR15" s="24"/>
      <c r="JS15" s="24"/>
      <c r="JT15" s="24"/>
      <c r="JU15" s="24"/>
      <c r="JV15" s="24"/>
      <c r="JW15" s="24"/>
      <c r="JX15" s="24"/>
    </row>
    <row r="16" spans="1:284" s="7" customFormat="1" x14ac:dyDescent="0.2">
      <c r="A16" s="406"/>
      <c r="B16" s="92" t="s">
        <v>14</v>
      </c>
      <c r="C16" s="169"/>
      <c r="D16" s="93"/>
      <c r="E16" s="170">
        <f>I17/E15</f>
        <v>66.666666666666671</v>
      </c>
      <c r="F16" s="92" t="s">
        <v>11</v>
      </c>
      <c r="G16" s="93"/>
      <c r="H16" s="93"/>
      <c r="I16" s="168">
        <v>4</v>
      </c>
      <c r="J16" s="381"/>
      <c r="K16" s="381"/>
      <c r="L16" s="381"/>
      <c r="M16" s="381"/>
      <c r="N16" s="381"/>
      <c r="O16" s="381"/>
      <c r="P16" s="381"/>
      <c r="Q16" s="381"/>
      <c r="R16" s="381"/>
      <c r="S16" s="381"/>
      <c r="T16" s="381"/>
      <c r="U16" s="381"/>
      <c r="V16" s="381"/>
      <c r="W16" s="381"/>
      <c r="X16" s="381"/>
      <c r="Y16" s="381"/>
      <c r="Z16" s="381"/>
      <c r="AA16" s="381"/>
      <c r="AB16" s="381"/>
      <c r="AC16" s="381"/>
      <c r="AD16" s="381"/>
      <c r="AE16" s="381"/>
      <c r="AF16" s="381"/>
      <c r="AG16" s="381"/>
      <c r="AH16" s="381"/>
      <c r="AI16" s="381"/>
      <c r="AJ16" s="381"/>
      <c r="AK16" s="381"/>
      <c r="AL16" s="381"/>
      <c r="AM16" s="381"/>
      <c r="AN16" s="381"/>
      <c r="AO16" s="381"/>
      <c r="AP16" s="381"/>
      <c r="AQ16" s="381"/>
      <c r="AR16" s="381"/>
      <c r="AS16" s="381"/>
      <c r="AT16" s="381"/>
      <c r="AU16" s="381"/>
      <c r="AV16" s="381"/>
      <c r="AW16" s="381"/>
      <c r="AX16" s="381"/>
      <c r="AY16" s="381"/>
      <c r="AZ16" s="381"/>
      <c r="BA16" s="381"/>
      <c r="BB16" s="381"/>
      <c r="BC16" s="381"/>
      <c r="BD16" s="381"/>
      <c r="BE16" s="381"/>
      <c r="BF16" s="381"/>
      <c r="BG16" s="381"/>
      <c r="BH16" s="381"/>
      <c r="BI16" s="381"/>
      <c r="BJ16" s="381"/>
      <c r="BK16" s="381"/>
      <c r="BL16" s="381"/>
      <c r="BM16" s="381"/>
      <c r="BN16" s="381"/>
      <c r="BO16" s="381"/>
      <c r="BP16" s="381"/>
      <c r="BQ16" s="381"/>
      <c r="BR16" s="381"/>
      <c r="BS16" s="381"/>
      <c r="BT16" s="381"/>
      <c r="BU16" s="381"/>
      <c r="BV16" s="381"/>
      <c r="BW16" s="381"/>
      <c r="BX16" s="381"/>
      <c r="BY16" s="381"/>
      <c r="BZ16" s="381"/>
      <c r="CA16" s="381"/>
      <c r="CB16" s="381"/>
      <c r="CC16" s="381"/>
      <c r="CD16" s="381"/>
      <c r="CE16" s="381"/>
      <c r="CF16" s="381"/>
      <c r="CG16" s="381"/>
      <c r="CH16" s="381"/>
      <c r="CI16" s="381"/>
      <c r="CJ16" s="381"/>
      <c r="CK16" s="381"/>
      <c r="CL16" s="381"/>
      <c r="CM16" s="381"/>
      <c r="CN16" s="381"/>
      <c r="CO16" s="381"/>
      <c r="CP16" s="381"/>
      <c r="CQ16" s="381"/>
      <c r="CR16" s="381"/>
      <c r="CS16" s="381"/>
      <c r="CT16" s="381"/>
      <c r="CU16" s="381"/>
      <c r="CV16" s="381"/>
      <c r="CW16" s="381"/>
      <c r="CX16" s="381"/>
      <c r="CY16" s="381"/>
      <c r="CZ16" s="381"/>
      <c r="DA16" s="381"/>
      <c r="DB16" s="381"/>
      <c r="DC16" s="381"/>
      <c r="DD16" s="381"/>
      <c r="DE16" s="381"/>
      <c r="DF16" s="381"/>
      <c r="DG16" s="381"/>
      <c r="DH16" s="381"/>
      <c r="DI16" s="381"/>
      <c r="DJ16" s="381"/>
      <c r="DK16" s="381"/>
      <c r="DL16" s="381"/>
      <c r="DM16" s="381"/>
      <c r="DN16" s="381"/>
      <c r="DO16" s="381"/>
      <c r="DP16" s="381"/>
      <c r="DQ16" s="381"/>
      <c r="DR16" s="381"/>
      <c r="DS16" s="381"/>
      <c r="DT16" s="381"/>
      <c r="DU16" s="381"/>
      <c r="DV16" s="381"/>
      <c r="DW16" s="381"/>
      <c r="DX16" s="381"/>
      <c r="DY16" s="381"/>
      <c r="DZ16" s="381"/>
      <c r="EA16" s="381"/>
      <c r="EB16" s="381"/>
      <c r="EC16" s="381"/>
      <c r="ED16" s="381"/>
      <c r="EE16" s="381"/>
      <c r="EF16" s="381"/>
      <c r="EG16" s="381"/>
      <c r="EH16" s="381"/>
      <c r="EI16" s="381"/>
      <c r="EJ16" s="381"/>
      <c r="EK16" s="381"/>
      <c r="EL16" s="381"/>
      <c r="EM16" s="381"/>
      <c r="EN16" s="381"/>
      <c r="EO16" s="381"/>
      <c r="EP16" s="24"/>
      <c r="EQ16" s="24"/>
      <c r="ER16" s="24"/>
      <c r="ES16" s="24"/>
      <c r="ET16" s="24"/>
      <c r="EU16" s="33"/>
      <c r="EV16" s="24"/>
      <c r="EW16" s="24"/>
      <c r="EX16" s="24"/>
      <c r="EY16" s="24"/>
      <c r="EZ16" s="24"/>
      <c r="FA16" s="24"/>
      <c r="FB16" s="24"/>
      <c r="FC16" s="24"/>
      <c r="FD16" s="24"/>
      <c r="FE16" s="24"/>
      <c r="FF16" s="24"/>
      <c r="FG16" s="24"/>
      <c r="FH16" s="24"/>
      <c r="FI16" s="24"/>
      <c r="FJ16" s="24"/>
      <c r="FK16" s="24"/>
      <c r="FL16" s="24"/>
      <c r="FM16" s="24"/>
      <c r="FN16" s="24"/>
      <c r="FO16" s="24"/>
      <c r="FP16" s="24"/>
      <c r="FQ16" s="24"/>
      <c r="FR16" s="24"/>
      <c r="FS16" s="24"/>
      <c r="FT16" s="24"/>
      <c r="FU16" s="24"/>
      <c r="FV16" s="24"/>
      <c r="FW16" s="24"/>
      <c r="FX16" s="24"/>
      <c r="FY16" s="24"/>
      <c r="FZ16" s="24"/>
      <c r="GA16" s="24"/>
      <c r="GB16" s="24"/>
      <c r="GC16" s="24"/>
      <c r="GD16" s="24"/>
      <c r="GE16" s="24"/>
      <c r="GF16" s="24"/>
      <c r="GG16" s="24"/>
      <c r="GH16" s="24"/>
      <c r="GI16" s="24"/>
      <c r="GJ16" s="24"/>
      <c r="GK16" s="24"/>
      <c r="GL16" s="24"/>
      <c r="GM16" s="24"/>
      <c r="GN16" s="24"/>
      <c r="GO16" s="24"/>
      <c r="GP16" s="24"/>
      <c r="GQ16" s="24"/>
      <c r="GR16" s="24"/>
      <c r="GS16" s="24"/>
      <c r="GT16" s="24"/>
      <c r="GU16" s="24"/>
      <c r="GV16" s="24"/>
      <c r="GW16" s="24"/>
      <c r="GX16" s="24"/>
      <c r="GY16" s="24"/>
      <c r="GZ16" s="24"/>
      <c r="HA16" s="24"/>
      <c r="HB16" s="24"/>
      <c r="HC16" s="24"/>
      <c r="HD16" s="24"/>
      <c r="HE16" s="24"/>
      <c r="HF16" s="24"/>
      <c r="HG16" s="24"/>
      <c r="HH16" s="24"/>
      <c r="HI16" s="24"/>
      <c r="HJ16" s="24"/>
      <c r="HK16" s="24"/>
      <c r="HL16" s="24"/>
      <c r="HM16" s="24"/>
      <c r="HN16" s="24"/>
      <c r="HO16" s="24"/>
      <c r="HP16" s="24"/>
      <c r="HQ16" s="24"/>
      <c r="HR16" s="24"/>
      <c r="HS16" s="24"/>
      <c r="HT16" s="24"/>
      <c r="HU16" s="24"/>
      <c r="HV16" s="24"/>
      <c r="HW16" s="24"/>
      <c r="HX16" s="24"/>
      <c r="HY16" s="24"/>
      <c r="HZ16" s="24"/>
      <c r="IA16" s="24"/>
      <c r="IB16" s="24"/>
      <c r="IC16" s="24"/>
      <c r="ID16" s="24"/>
      <c r="IE16" s="24"/>
      <c r="IF16" s="24"/>
      <c r="IG16" s="24"/>
      <c r="IH16" s="24"/>
      <c r="II16" s="24"/>
      <c r="IJ16" s="24"/>
      <c r="IK16" s="24"/>
      <c r="IL16" s="24"/>
      <c r="IM16" s="24"/>
      <c r="IN16" s="24"/>
      <c r="IO16" s="24"/>
      <c r="IP16" s="24"/>
      <c r="IQ16" s="24"/>
      <c r="IR16" s="24"/>
      <c r="IS16" s="24"/>
      <c r="IT16" s="24"/>
      <c r="IU16" s="24"/>
      <c r="IV16" s="24"/>
      <c r="IW16" s="24"/>
      <c r="IX16" s="24"/>
      <c r="IY16" s="24"/>
      <c r="IZ16" s="24"/>
      <c r="JA16" s="24"/>
      <c r="JB16" s="24"/>
      <c r="JC16" s="24"/>
      <c r="JD16" s="24"/>
      <c r="JE16" s="24"/>
      <c r="JF16" s="24"/>
      <c r="JG16" s="24"/>
      <c r="JH16" s="24"/>
      <c r="JI16" s="24"/>
      <c r="JJ16" s="24"/>
      <c r="JK16" s="24"/>
      <c r="JL16" s="24"/>
      <c r="JM16" s="24"/>
      <c r="JN16" s="24"/>
      <c r="JO16" s="24"/>
      <c r="JP16" s="24"/>
      <c r="JQ16" s="24"/>
      <c r="JR16" s="24"/>
      <c r="JS16" s="24"/>
      <c r="JT16" s="24"/>
      <c r="JU16" s="24"/>
      <c r="JV16" s="24"/>
      <c r="JW16" s="24"/>
      <c r="JX16" s="24"/>
    </row>
    <row r="17" spans="1:284" s="7" customFormat="1" x14ac:dyDescent="0.2">
      <c r="A17" s="406"/>
      <c r="B17" s="92" t="s">
        <v>12</v>
      </c>
      <c r="C17" s="92"/>
      <c r="D17" s="93"/>
      <c r="E17" s="266">
        <f>E18/C15</f>
        <v>1.6372717069686766</v>
      </c>
      <c r="F17" s="92" t="s">
        <v>13</v>
      </c>
      <c r="G17" s="93"/>
      <c r="H17" s="93"/>
      <c r="I17" s="171">
        <f>C96</f>
        <v>300</v>
      </c>
      <c r="J17" s="381"/>
      <c r="K17" s="381"/>
      <c r="L17" s="381"/>
      <c r="M17" s="381"/>
      <c r="N17" s="381"/>
      <c r="O17" s="381"/>
      <c r="P17" s="381"/>
      <c r="Q17" s="381"/>
      <c r="R17" s="381"/>
      <c r="S17" s="381"/>
      <c r="T17" s="381"/>
      <c r="U17" s="381"/>
      <c r="V17" s="381"/>
      <c r="W17" s="381"/>
      <c r="X17" s="381"/>
      <c r="Y17" s="381"/>
      <c r="Z17" s="381"/>
      <c r="AA17" s="381"/>
      <c r="AB17" s="381"/>
      <c r="AC17" s="381"/>
      <c r="AD17" s="381"/>
      <c r="AE17" s="381"/>
      <c r="AF17" s="381"/>
      <c r="AG17" s="381"/>
      <c r="AH17" s="381"/>
      <c r="AI17" s="381"/>
      <c r="AJ17" s="381"/>
      <c r="AK17" s="381"/>
      <c r="AL17" s="381"/>
      <c r="AM17" s="381"/>
      <c r="AN17" s="381"/>
      <c r="AO17" s="381"/>
      <c r="AP17" s="381"/>
      <c r="AQ17" s="381"/>
      <c r="AR17" s="381"/>
      <c r="AS17" s="381"/>
      <c r="AT17" s="381"/>
      <c r="AU17" s="381"/>
      <c r="AV17" s="381"/>
      <c r="AW17" s="381"/>
      <c r="AX17" s="381"/>
      <c r="AY17" s="381"/>
      <c r="AZ17" s="381"/>
      <c r="BA17" s="381"/>
      <c r="BB17" s="381"/>
      <c r="BC17" s="381"/>
      <c r="BD17" s="381"/>
      <c r="BE17" s="381"/>
      <c r="BF17" s="381"/>
      <c r="BG17" s="381"/>
      <c r="BH17" s="381"/>
      <c r="BI17" s="381"/>
      <c r="BJ17" s="381"/>
      <c r="BK17" s="381"/>
      <c r="BL17" s="381"/>
      <c r="BM17" s="381"/>
      <c r="BN17" s="381"/>
      <c r="BO17" s="381"/>
      <c r="BP17" s="381"/>
      <c r="BQ17" s="381"/>
      <c r="BR17" s="381"/>
      <c r="BS17" s="381"/>
      <c r="BT17" s="381"/>
      <c r="BU17" s="381"/>
      <c r="BV17" s="381"/>
      <c r="BW17" s="381"/>
      <c r="BX17" s="381"/>
      <c r="BY17" s="381"/>
      <c r="BZ17" s="381"/>
      <c r="CA17" s="381"/>
      <c r="CB17" s="381"/>
      <c r="CC17" s="381"/>
      <c r="CD17" s="381"/>
      <c r="CE17" s="381"/>
      <c r="CF17" s="381"/>
      <c r="CG17" s="381"/>
      <c r="CH17" s="381"/>
      <c r="CI17" s="381"/>
      <c r="CJ17" s="381"/>
      <c r="CK17" s="381"/>
      <c r="CL17" s="381"/>
      <c r="CM17" s="381"/>
      <c r="CN17" s="381"/>
      <c r="CO17" s="381"/>
      <c r="CP17" s="381"/>
      <c r="CQ17" s="381"/>
      <c r="CR17" s="381"/>
      <c r="CS17" s="381"/>
      <c r="CT17" s="381"/>
      <c r="CU17" s="381"/>
      <c r="CV17" s="381"/>
      <c r="CW17" s="381"/>
      <c r="CX17" s="381"/>
      <c r="CY17" s="381"/>
      <c r="CZ17" s="381"/>
      <c r="DA17" s="381"/>
      <c r="DB17" s="381"/>
      <c r="DC17" s="381"/>
      <c r="DD17" s="381"/>
      <c r="DE17" s="381"/>
      <c r="DF17" s="381"/>
      <c r="DG17" s="381"/>
      <c r="DH17" s="381"/>
      <c r="DI17" s="381"/>
      <c r="DJ17" s="381"/>
      <c r="DK17" s="381"/>
      <c r="DL17" s="381"/>
      <c r="DM17" s="381"/>
      <c r="DN17" s="381"/>
      <c r="DO17" s="381"/>
      <c r="DP17" s="381"/>
      <c r="DQ17" s="381"/>
      <c r="DR17" s="381"/>
      <c r="DS17" s="381"/>
      <c r="DT17" s="381"/>
      <c r="DU17" s="381"/>
      <c r="DV17" s="381"/>
      <c r="DW17" s="381"/>
      <c r="DX17" s="381"/>
      <c r="DY17" s="381"/>
      <c r="DZ17" s="381"/>
      <c r="EA17" s="381"/>
      <c r="EB17" s="381"/>
      <c r="EC17" s="381"/>
      <c r="ED17" s="381"/>
      <c r="EE17" s="381"/>
      <c r="EF17" s="381"/>
      <c r="EG17" s="381"/>
      <c r="EH17" s="381"/>
      <c r="EI17" s="381"/>
      <c r="EJ17" s="381"/>
      <c r="EK17" s="381"/>
      <c r="EL17" s="381"/>
      <c r="EM17" s="381"/>
      <c r="EN17" s="381"/>
      <c r="EO17" s="381"/>
      <c r="EP17" s="24"/>
      <c r="EQ17" s="24"/>
      <c r="ER17" s="24"/>
      <c r="ES17" s="24"/>
      <c r="ET17" s="24"/>
      <c r="EU17" s="33"/>
      <c r="EV17" s="24"/>
      <c r="EW17" s="24"/>
      <c r="EX17" s="24"/>
      <c r="EY17" s="24"/>
      <c r="EZ17" s="24"/>
      <c r="FA17" s="24"/>
      <c r="FB17" s="24"/>
      <c r="FC17" s="24"/>
      <c r="FD17" s="24"/>
      <c r="FE17" s="24"/>
      <c r="FF17" s="24"/>
      <c r="FG17" s="24"/>
      <c r="FH17" s="24"/>
      <c r="FI17" s="24"/>
      <c r="FJ17" s="24"/>
      <c r="FK17" s="24"/>
      <c r="FL17" s="24"/>
      <c r="FM17" s="24"/>
      <c r="FN17" s="24"/>
      <c r="FO17" s="24"/>
      <c r="FP17" s="24"/>
      <c r="FQ17" s="24"/>
      <c r="FR17" s="24"/>
      <c r="FS17" s="24"/>
      <c r="FT17" s="24"/>
      <c r="FU17" s="24"/>
      <c r="FV17" s="24"/>
      <c r="FW17" s="24"/>
      <c r="FX17" s="24"/>
      <c r="FY17" s="24"/>
      <c r="FZ17" s="24"/>
      <c r="GA17" s="24"/>
      <c r="GB17" s="24"/>
      <c r="GC17" s="24"/>
      <c r="GD17" s="24"/>
      <c r="GE17" s="24"/>
      <c r="GF17" s="24"/>
      <c r="GG17" s="24"/>
      <c r="GH17" s="24"/>
      <c r="GI17" s="24"/>
      <c r="GJ17" s="24"/>
      <c r="GK17" s="24"/>
      <c r="GL17" s="24"/>
      <c r="GM17" s="24"/>
      <c r="GN17" s="24"/>
      <c r="GO17" s="24"/>
      <c r="GP17" s="24"/>
      <c r="GQ17" s="24"/>
      <c r="GR17" s="24"/>
      <c r="GS17" s="24"/>
      <c r="GT17" s="24"/>
      <c r="GU17" s="24"/>
      <c r="GV17" s="24"/>
      <c r="GW17" s="24"/>
      <c r="GX17" s="24"/>
      <c r="GY17" s="24"/>
      <c r="GZ17" s="24"/>
      <c r="HA17" s="24"/>
      <c r="HB17" s="24"/>
      <c r="HC17" s="24"/>
      <c r="HD17" s="24"/>
      <c r="HE17" s="24"/>
      <c r="HF17" s="24"/>
      <c r="HG17" s="24"/>
      <c r="HH17" s="24"/>
      <c r="HI17" s="24"/>
      <c r="HJ17" s="24"/>
      <c r="HK17" s="24"/>
      <c r="HL17" s="24"/>
      <c r="HM17" s="24"/>
      <c r="HN17" s="24"/>
      <c r="HO17" s="24"/>
      <c r="HP17" s="24"/>
      <c r="HQ17" s="24"/>
      <c r="HR17" s="24"/>
      <c r="HS17" s="24"/>
      <c r="HT17" s="24"/>
      <c r="HU17" s="24"/>
      <c r="HV17" s="24"/>
      <c r="HW17" s="24"/>
      <c r="HX17" s="24"/>
      <c r="HY17" s="24"/>
      <c r="HZ17" s="24"/>
      <c r="IA17" s="24"/>
      <c r="IB17" s="24"/>
      <c r="IC17" s="24"/>
      <c r="ID17" s="24"/>
      <c r="IE17" s="24"/>
      <c r="IF17" s="24"/>
      <c r="IG17" s="24"/>
      <c r="IH17" s="24"/>
      <c r="II17" s="24"/>
      <c r="IJ17" s="24"/>
      <c r="IK17" s="24"/>
      <c r="IL17" s="24"/>
      <c r="IM17" s="24"/>
      <c r="IN17" s="24"/>
      <c r="IO17" s="24"/>
      <c r="IP17" s="24"/>
      <c r="IQ17" s="24"/>
      <c r="IR17" s="24"/>
      <c r="IS17" s="24"/>
      <c r="IT17" s="24"/>
      <c r="IU17" s="24"/>
      <c r="IV17" s="24"/>
      <c r="IW17" s="24"/>
      <c r="IX17" s="24"/>
      <c r="IY17" s="24"/>
      <c r="IZ17" s="24"/>
      <c r="JA17" s="24"/>
      <c r="JB17" s="24"/>
      <c r="JC17" s="24"/>
      <c r="JD17" s="24"/>
      <c r="JE17" s="24"/>
      <c r="JF17" s="24"/>
      <c r="JG17" s="24"/>
      <c r="JH17" s="24"/>
      <c r="JI17" s="24"/>
      <c r="JJ17" s="24"/>
      <c r="JK17" s="24"/>
      <c r="JL17" s="24"/>
      <c r="JM17" s="24"/>
      <c r="JN17" s="24"/>
      <c r="JO17" s="24"/>
      <c r="JP17" s="24"/>
      <c r="JQ17" s="24"/>
      <c r="JR17" s="24"/>
      <c r="JS17" s="24"/>
      <c r="JT17" s="24"/>
      <c r="JU17" s="24"/>
      <c r="JV17" s="24"/>
      <c r="JW17" s="24"/>
      <c r="JX17" s="24"/>
    </row>
    <row r="18" spans="1:284" s="7" customFormat="1" x14ac:dyDescent="0.2">
      <c r="A18" s="406"/>
      <c r="B18" s="92" t="str">
        <f>"Gross Buildable (GBA - "&amp;Unit_Type&amp;")"</f>
        <v>Gross Buildable (GBA - SF)</v>
      </c>
      <c r="C18" s="92"/>
      <c r="D18" s="93"/>
      <c r="E18" s="542">
        <v>320938</v>
      </c>
      <c r="F18" s="92" t="str">
        <f>"Net Rentable (NRA - "&amp;Unit_Type&amp;")"</f>
        <v>Net Rentable (NRA - SF)</v>
      </c>
      <c r="G18" s="93"/>
      <c r="H18" s="120" t="str">
        <f>TEXT(Units_SF_M2/E18,"0.0%")&amp;" of GBA"</f>
        <v>79.5% of GBA</v>
      </c>
      <c r="I18" s="543">
        <f>I17*D96</f>
        <v>255000</v>
      </c>
      <c r="J18" s="381"/>
      <c r="K18" s="381"/>
      <c r="L18" s="381"/>
      <c r="M18" s="381"/>
      <c r="N18" s="381"/>
      <c r="O18" s="381"/>
      <c r="P18" s="381"/>
      <c r="Q18" s="381"/>
      <c r="R18" s="381"/>
      <c r="S18" s="381"/>
      <c r="T18" s="381"/>
      <c r="U18" s="381"/>
      <c r="V18" s="381"/>
      <c r="W18" s="381"/>
      <c r="X18" s="381"/>
      <c r="Y18" s="381"/>
      <c r="Z18" s="381"/>
      <c r="AA18" s="381"/>
      <c r="AB18" s="381"/>
      <c r="AC18" s="381"/>
      <c r="AD18" s="381"/>
      <c r="AE18" s="381"/>
      <c r="AF18" s="381"/>
      <c r="AG18" s="381"/>
      <c r="AH18" s="381"/>
      <c r="AI18" s="381"/>
      <c r="AJ18" s="381"/>
      <c r="AK18" s="381"/>
      <c r="AL18" s="381"/>
      <c r="AM18" s="381"/>
      <c r="AN18" s="381"/>
      <c r="AO18" s="381"/>
      <c r="AP18" s="381"/>
      <c r="AQ18" s="381"/>
      <c r="AR18" s="381"/>
      <c r="AS18" s="381"/>
      <c r="AT18" s="381"/>
      <c r="AU18" s="381"/>
      <c r="AV18" s="381"/>
      <c r="AW18" s="381"/>
      <c r="AX18" s="381"/>
      <c r="AY18" s="381"/>
      <c r="AZ18" s="381"/>
      <c r="BA18" s="381"/>
      <c r="BB18" s="381"/>
      <c r="BC18" s="381"/>
      <c r="BD18" s="381"/>
      <c r="BE18" s="381"/>
      <c r="BF18" s="381"/>
      <c r="BG18" s="381"/>
      <c r="BH18" s="381"/>
      <c r="BI18" s="381"/>
      <c r="BJ18" s="381"/>
      <c r="BK18" s="381"/>
      <c r="BL18" s="381"/>
      <c r="BM18" s="381"/>
      <c r="BN18" s="381"/>
      <c r="BO18" s="381"/>
      <c r="BP18" s="381"/>
      <c r="BQ18" s="381"/>
      <c r="BR18" s="381"/>
      <c r="BS18" s="381"/>
      <c r="BT18" s="381"/>
      <c r="BU18" s="381"/>
      <c r="BV18" s="381"/>
      <c r="BW18" s="381"/>
      <c r="BX18" s="381"/>
      <c r="BY18" s="381"/>
      <c r="BZ18" s="381"/>
      <c r="CA18" s="381"/>
      <c r="CB18" s="381"/>
      <c r="CC18" s="381"/>
      <c r="CD18" s="381"/>
      <c r="CE18" s="381"/>
      <c r="CF18" s="381"/>
      <c r="CG18" s="381"/>
      <c r="CH18" s="381"/>
      <c r="CI18" s="381"/>
      <c r="CJ18" s="381"/>
      <c r="CK18" s="381"/>
      <c r="CL18" s="381"/>
      <c r="CM18" s="381"/>
      <c r="CN18" s="381"/>
      <c r="CO18" s="381"/>
      <c r="CP18" s="381"/>
      <c r="CQ18" s="381"/>
      <c r="CR18" s="381"/>
      <c r="CS18" s="381"/>
      <c r="CT18" s="381"/>
      <c r="CU18" s="381"/>
      <c r="CV18" s="381"/>
      <c r="CW18" s="381"/>
      <c r="CX18" s="381"/>
      <c r="CY18" s="381"/>
      <c r="CZ18" s="381"/>
      <c r="DA18" s="381"/>
      <c r="DB18" s="381"/>
      <c r="DC18" s="381"/>
      <c r="DD18" s="381"/>
      <c r="DE18" s="381"/>
      <c r="DF18" s="381"/>
      <c r="DG18" s="381"/>
      <c r="DH18" s="381"/>
      <c r="DI18" s="381"/>
      <c r="DJ18" s="381"/>
      <c r="DK18" s="381"/>
      <c r="DL18" s="381"/>
      <c r="DM18" s="381"/>
      <c r="DN18" s="381"/>
      <c r="DO18" s="381"/>
      <c r="DP18" s="381"/>
      <c r="DQ18" s="381"/>
      <c r="DR18" s="381"/>
      <c r="DS18" s="381"/>
      <c r="DT18" s="381"/>
      <c r="DU18" s="381"/>
      <c r="DV18" s="381"/>
      <c r="DW18" s="381"/>
      <c r="DX18" s="381"/>
      <c r="DY18" s="381"/>
      <c r="DZ18" s="381"/>
      <c r="EA18" s="381"/>
      <c r="EB18" s="381"/>
      <c r="EC18" s="381"/>
      <c r="ED18" s="381"/>
      <c r="EE18" s="381"/>
      <c r="EF18" s="381"/>
      <c r="EG18" s="381"/>
      <c r="EH18" s="381"/>
      <c r="EI18" s="381"/>
      <c r="EJ18" s="381"/>
      <c r="EK18" s="381"/>
      <c r="EL18" s="381"/>
      <c r="EM18" s="381"/>
      <c r="EN18" s="381"/>
      <c r="EO18" s="381"/>
      <c r="EP18" s="24"/>
      <c r="EQ18" s="24"/>
      <c r="ER18" s="24"/>
      <c r="ES18" s="24"/>
      <c r="ET18" s="24"/>
      <c r="EU18" s="33"/>
      <c r="EV18" s="24"/>
      <c r="EW18" s="24"/>
      <c r="EX18" s="24"/>
      <c r="EY18" s="24"/>
      <c r="EZ18" s="24"/>
      <c r="FA18" s="24"/>
      <c r="FB18" s="24"/>
      <c r="FC18" s="24"/>
      <c r="FD18" s="24"/>
      <c r="FE18" s="24"/>
      <c r="FF18" s="24"/>
      <c r="FG18" s="24"/>
      <c r="FH18" s="24"/>
      <c r="FI18" s="24"/>
      <c r="FJ18" s="24"/>
      <c r="FK18" s="24"/>
      <c r="FL18" s="24"/>
      <c r="FM18" s="24"/>
      <c r="FN18" s="24"/>
      <c r="FO18" s="24"/>
      <c r="FP18" s="24"/>
      <c r="FQ18" s="24"/>
      <c r="FR18" s="24"/>
      <c r="FS18" s="24"/>
      <c r="FT18" s="24"/>
      <c r="FU18" s="24"/>
      <c r="FV18" s="24"/>
      <c r="FW18" s="24"/>
      <c r="FX18" s="24"/>
      <c r="FY18" s="24"/>
      <c r="FZ18" s="24"/>
      <c r="GA18" s="24"/>
      <c r="GB18" s="24"/>
      <c r="GC18" s="24"/>
      <c r="GD18" s="24"/>
      <c r="GE18" s="24"/>
      <c r="GF18" s="24"/>
      <c r="GG18" s="24"/>
      <c r="GH18" s="24"/>
      <c r="GI18" s="24"/>
      <c r="GJ18" s="24"/>
      <c r="GK18" s="24"/>
      <c r="GL18" s="24"/>
      <c r="GM18" s="24"/>
      <c r="GN18" s="24"/>
      <c r="GO18" s="24"/>
      <c r="GP18" s="24"/>
      <c r="GQ18" s="24"/>
      <c r="GR18" s="24"/>
      <c r="GS18" s="24"/>
      <c r="GT18" s="24"/>
      <c r="GU18" s="24"/>
      <c r="GV18" s="24"/>
      <c r="GW18" s="24"/>
      <c r="GX18" s="24"/>
      <c r="GY18" s="24"/>
      <c r="GZ18" s="24"/>
      <c r="HA18" s="24"/>
      <c r="HB18" s="24"/>
      <c r="HC18" s="24"/>
      <c r="HD18" s="24"/>
      <c r="HE18" s="24"/>
      <c r="HF18" s="24"/>
      <c r="HG18" s="24"/>
      <c r="HH18" s="24"/>
      <c r="HI18" s="24"/>
      <c r="HJ18" s="24"/>
      <c r="HK18" s="24"/>
      <c r="HL18" s="24"/>
      <c r="HM18" s="24"/>
      <c r="HN18" s="24"/>
      <c r="HO18" s="24"/>
      <c r="HP18" s="24"/>
      <c r="HQ18" s="24"/>
      <c r="HR18" s="24"/>
      <c r="HS18" s="24"/>
      <c r="HT18" s="24"/>
      <c r="HU18" s="24"/>
      <c r="HV18" s="24"/>
      <c r="HW18" s="24"/>
      <c r="HX18" s="24"/>
      <c r="HY18" s="24"/>
      <c r="HZ18" s="24"/>
      <c r="IA18" s="24"/>
      <c r="IB18" s="24"/>
      <c r="IC18" s="24"/>
      <c r="ID18" s="24"/>
      <c r="IE18" s="24"/>
      <c r="IF18" s="24"/>
      <c r="IG18" s="24"/>
      <c r="IH18" s="24"/>
      <c r="II18" s="24"/>
      <c r="IJ18" s="24"/>
      <c r="IK18" s="24"/>
      <c r="IL18" s="24"/>
      <c r="IM18" s="24"/>
      <c r="IN18" s="24"/>
      <c r="IO18" s="24"/>
      <c r="IP18" s="24"/>
      <c r="IQ18" s="24"/>
      <c r="IR18" s="24"/>
      <c r="IS18" s="24"/>
      <c r="IT18" s="24"/>
      <c r="IU18" s="24"/>
      <c r="IV18" s="24"/>
      <c r="IW18" s="24"/>
      <c r="IX18" s="24"/>
      <c r="IY18" s="24"/>
      <c r="IZ18" s="24"/>
      <c r="JA18" s="24"/>
      <c r="JB18" s="24"/>
      <c r="JC18" s="24"/>
      <c r="JD18" s="24"/>
      <c r="JE18" s="24"/>
      <c r="JF18" s="24"/>
      <c r="JG18" s="24"/>
      <c r="JH18" s="24"/>
      <c r="JI18" s="24"/>
      <c r="JJ18" s="24"/>
      <c r="JK18" s="24"/>
      <c r="JL18" s="24"/>
      <c r="JM18" s="24"/>
      <c r="JN18" s="24"/>
      <c r="JO18" s="24"/>
      <c r="JP18" s="24"/>
      <c r="JQ18" s="24"/>
      <c r="JR18" s="24"/>
      <c r="JS18" s="24"/>
      <c r="JT18" s="24"/>
      <c r="JU18" s="24"/>
      <c r="JV18" s="24"/>
      <c r="JW18" s="24"/>
      <c r="JX18" s="24"/>
    </row>
    <row r="19" spans="1:284" s="7" customFormat="1" x14ac:dyDescent="0.2">
      <c r="A19" s="406"/>
      <c r="B19" s="92" t="s">
        <v>15</v>
      </c>
      <c r="C19" s="92"/>
      <c r="D19" s="93"/>
      <c r="E19" s="172">
        <f>SUM(I19:I20)</f>
        <v>340</v>
      </c>
      <c r="F19" s="92" t="s">
        <v>16</v>
      </c>
      <c r="G19" s="93"/>
      <c r="H19" s="92"/>
      <c r="I19" s="162">
        <v>285</v>
      </c>
      <c r="J19" s="381"/>
      <c r="K19" s="381"/>
      <c r="L19" s="381"/>
      <c r="M19" s="381"/>
      <c r="N19" s="381"/>
      <c r="O19" s="381"/>
      <c r="P19" s="381"/>
      <c r="Q19" s="381"/>
      <c r="R19" s="381"/>
      <c r="S19" s="381"/>
      <c r="T19" s="381"/>
      <c r="U19" s="381"/>
      <c r="V19" s="381"/>
      <c r="W19" s="381"/>
      <c r="X19" s="381"/>
      <c r="Y19" s="381"/>
      <c r="Z19" s="381"/>
      <c r="AA19" s="381"/>
      <c r="AB19" s="381"/>
      <c r="AC19" s="381"/>
      <c r="AD19" s="381"/>
      <c r="AE19" s="381"/>
      <c r="AF19" s="381"/>
      <c r="AG19" s="381"/>
      <c r="AH19" s="381"/>
      <c r="AI19" s="381"/>
      <c r="AJ19" s="381"/>
      <c r="AK19" s="381"/>
      <c r="AL19" s="381"/>
      <c r="AM19" s="381"/>
      <c r="AN19" s="381"/>
      <c r="AO19" s="381"/>
      <c r="AP19" s="381"/>
      <c r="AQ19" s="381"/>
      <c r="AR19" s="381"/>
      <c r="AS19" s="381"/>
      <c r="AT19" s="381"/>
      <c r="AU19" s="381"/>
      <c r="AV19" s="381"/>
      <c r="AW19" s="381"/>
      <c r="AX19" s="381"/>
      <c r="AY19" s="381"/>
      <c r="AZ19" s="381"/>
      <c r="BA19" s="381"/>
      <c r="BB19" s="381"/>
      <c r="BC19" s="381"/>
      <c r="BD19" s="381"/>
      <c r="BE19" s="381"/>
      <c r="BF19" s="381"/>
      <c r="BG19" s="381"/>
      <c r="BH19" s="381"/>
      <c r="BI19" s="381"/>
      <c r="BJ19" s="381"/>
      <c r="BK19" s="381"/>
      <c r="BL19" s="381"/>
      <c r="BM19" s="381"/>
      <c r="BN19" s="381"/>
      <c r="BO19" s="381"/>
      <c r="BP19" s="381"/>
      <c r="BQ19" s="381"/>
      <c r="BR19" s="381"/>
      <c r="BS19" s="381"/>
      <c r="BT19" s="381"/>
      <c r="BU19" s="381"/>
      <c r="BV19" s="381"/>
      <c r="BW19" s="381"/>
      <c r="BX19" s="381"/>
      <c r="BY19" s="381"/>
      <c r="BZ19" s="381"/>
      <c r="CA19" s="381"/>
      <c r="CB19" s="381"/>
      <c r="CC19" s="381"/>
      <c r="CD19" s="381"/>
      <c r="CE19" s="381"/>
      <c r="CF19" s="381"/>
      <c r="CG19" s="381"/>
      <c r="CH19" s="381"/>
      <c r="CI19" s="381"/>
      <c r="CJ19" s="381"/>
      <c r="CK19" s="381"/>
      <c r="CL19" s="381"/>
      <c r="CM19" s="381"/>
      <c r="CN19" s="381"/>
      <c r="CO19" s="381"/>
      <c r="CP19" s="381"/>
      <c r="CQ19" s="381"/>
      <c r="CR19" s="381"/>
      <c r="CS19" s="381"/>
      <c r="CT19" s="381"/>
      <c r="CU19" s="381"/>
      <c r="CV19" s="381"/>
      <c r="CW19" s="381"/>
      <c r="CX19" s="381"/>
      <c r="CY19" s="381"/>
      <c r="CZ19" s="381"/>
      <c r="DA19" s="381"/>
      <c r="DB19" s="381"/>
      <c r="DC19" s="381"/>
      <c r="DD19" s="381"/>
      <c r="DE19" s="381"/>
      <c r="DF19" s="381"/>
      <c r="DG19" s="381"/>
      <c r="DH19" s="381"/>
      <c r="DI19" s="381"/>
      <c r="DJ19" s="381"/>
      <c r="DK19" s="381"/>
      <c r="DL19" s="381"/>
      <c r="DM19" s="381"/>
      <c r="DN19" s="381"/>
      <c r="DO19" s="381"/>
      <c r="DP19" s="381"/>
      <c r="DQ19" s="381"/>
      <c r="DR19" s="381"/>
      <c r="DS19" s="381"/>
      <c r="DT19" s="381"/>
      <c r="DU19" s="381"/>
      <c r="DV19" s="381"/>
      <c r="DW19" s="381"/>
      <c r="DX19" s="381"/>
      <c r="DY19" s="381"/>
      <c r="DZ19" s="381"/>
      <c r="EA19" s="381"/>
      <c r="EB19" s="381"/>
      <c r="EC19" s="381"/>
      <c r="ED19" s="381"/>
      <c r="EE19" s="381"/>
      <c r="EF19" s="381"/>
      <c r="EG19" s="381"/>
      <c r="EH19" s="381"/>
      <c r="EI19" s="381"/>
      <c r="EJ19" s="381"/>
      <c r="EK19" s="381"/>
      <c r="EL19" s="381"/>
      <c r="EM19" s="381"/>
      <c r="EN19" s="381"/>
      <c r="EO19" s="381"/>
      <c r="EP19" s="24"/>
      <c r="EQ19" s="24"/>
      <c r="ER19" s="24"/>
      <c r="ES19" s="24"/>
      <c r="ET19" s="24"/>
      <c r="EU19" s="33"/>
      <c r="EV19" s="24"/>
      <c r="EW19" s="24"/>
      <c r="EX19" s="24"/>
      <c r="EY19" s="24"/>
      <c r="EZ19" s="24"/>
      <c r="FA19" s="24"/>
      <c r="FB19" s="24"/>
      <c r="FC19" s="24"/>
      <c r="FD19" s="24"/>
      <c r="FE19" s="24"/>
      <c r="FF19" s="24"/>
      <c r="FG19" s="24"/>
      <c r="FH19" s="24"/>
      <c r="FI19" s="24"/>
      <c r="FJ19" s="24"/>
      <c r="FK19" s="24"/>
      <c r="FL19" s="24"/>
      <c r="FM19" s="24"/>
      <c r="FN19" s="24"/>
      <c r="FO19" s="24"/>
      <c r="FP19" s="24"/>
      <c r="FQ19" s="24"/>
      <c r="FR19" s="24"/>
      <c r="FS19" s="24"/>
      <c r="FT19" s="24"/>
      <c r="FU19" s="24"/>
      <c r="FV19" s="24"/>
      <c r="FW19" s="24"/>
      <c r="FX19" s="24"/>
      <c r="FY19" s="24"/>
      <c r="FZ19" s="24"/>
      <c r="GA19" s="24"/>
      <c r="GB19" s="24"/>
      <c r="GC19" s="24"/>
      <c r="GD19" s="24"/>
      <c r="GE19" s="24"/>
      <c r="GF19" s="24"/>
      <c r="GG19" s="24"/>
      <c r="GH19" s="24"/>
      <c r="GI19" s="24"/>
      <c r="GJ19" s="24"/>
      <c r="GK19" s="24"/>
      <c r="GL19" s="24"/>
      <c r="GM19" s="24"/>
      <c r="GN19" s="24"/>
      <c r="GO19" s="24"/>
      <c r="GP19" s="24"/>
      <c r="GQ19" s="24"/>
      <c r="GR19" s="24"/>
      <c r="GS19" s="24"/>
      <c r="GT19" s="24"/>
      <c r="GU19" s="24"/>
      <c r="GV19" s="24"/>
      <c r="GW19" s="24"/>
      <c r="GX19" s="24"/>
      <c r="GY19" s="24"/>
      <c r="GZ19" s="24"/>
      <c r="HA19" s="24"/>
      <c r="HB19" s="24"/>
      <c r="HC19" s="24"/>
      <c r="HD19" s="24"/>
      <c r="HE19" s="24"/>
      <c r="HF19" s="24"/>
      <c r="HG19" s="24"/>
      <c r="HH19" s="24"/>
      <c r="HI19" s="24"/>
      <c r="HJ19" s="24"/>
      <c r="HK19" s="24"/>
      <c r="HL19" s="24"/>
      <c r="HM19" s="24"/>
      <c r="HN19" s="24"/>
      <c r="HO19" s="24"/>
      <c r="HP19" s="24"/>
      <c r="HQ19" s="24"/>
      <c r="HR19" s="24"/>
      <c r="HS19" s="24"/>
      <c r="HT19" s="24"/>
      <c r="HU19" s="24"/>
      <c r="HV19" s="24"/>
      <c r="HW19" s="24"/>
      <c r="HX19" s="24"/>
      <c r="HY19" s="24"/>
      <c r="HZ19" s="24"/>
      <c r="IA19" s="24"/>
      <c r="IB19" s="24"/>
      <c r="IC19" s="24"/>
      <c r="ID19" s="24"/>
      <c r="IE19" s="24"/>
      <c r="IF19" s="24"/>
      <c r="IG19" s="24"/>
      <c r="IH19" s="24"/>
      <c r="II19" s="24"/>
      <c r="IJ19" s="24"/>
      <c r="IK19" s="24"/>
      <c r="IL19" s="24"/>
      <c r="IM19" s="24"/>
      <c r="IN19" s="24"/>
      <c r="IO19" s="24"/>
      <c r="IP19" s="24"/>
      <c r="IQ19" s="24"/>
      <c r="IR19" s="24"/>
      <c r="IS19" s="24"/>
      <c r="IT19" s="24"/>
      <c r="IU19" s="24"/>
      <c r="IV19" s="24"/>
      <c r="IW19" s="24"/>
      <c r="IX19" s="24"/>
      <c r="IY19" s="24"/>
      <c r="IZ19" s="24"/>
      <c r="JA19" s="24"/>
      <c r="JB19" s="24"/>
      <c r="JC19" s="24"/>
      <c r="JD19" s="24"/>
      <c r="JE19" s="24"/>
      <c r="JF19" s="24"/>
      <c r="JG19" s="24"/>
      <c r="JH19" s="24"/>
      <c r="JI19" s="24"/>
      <c r="JJ19" s="24"/>
      <c r="JK19" s="24"/>
      <c r="JL19" s="24"/>
      <c r="JM19" s="24"/>
      <c r="JN19" s="24"/>
      <c r="JO19" s="24"/>
      <c r="JP19" s="24"/>
      <c r="JQ19" s="24"/>
      <c r="JR19" s="24"/>
      <c r="JS19" s="24"/>
      <c r="JT19" s="24"/>
      <c r="JU19" s="24"/>
      <c r="JV19" s="24"/>
      <c r="JW19" s="24"/>
      <c r="JX19" s="24"/>
    </row>
    <row r="20" spans="1:284" s="7" customFormat="1" x14ac:dyDescent="0.2">
      <c r="A20" s="406"/>
      <c r="B20" s="92" t="s">
        <v>17</v>
      </c>
      <c r="C20" s="92"/>
      <c r="D20" s="93"/>
      <c r="E20" s="265">
        <f>E19/I17</f>
        <v>1.1333333333333333</v>
      </c>
      <c r="F20" s="92" t="s">
        <v>529</v>
      </c>
      <c r="G20" s="93"/>
      <c r="H20" s="92"/>
      <c r="I20" s="162">
        <v>55</v>
      </c>
      <c r="J20" s="381"/>
      <c r="K20" s="381"/>
      <c r="L20" s="381"/>
      <c r="M20" s="381"/>
      <c r="N20" s="381"/>
      <c r="O20" s="381"/>
      <c r="P20" s="381"/>
      <c r="Q20" s="381"/>
      <c r="R20" s="381"/>
      <c r="S20" s="381"/>
      <c r="T20" s="381"/>
      <c r="U20" s="381"/>
      <c r="V20" s="381"/>
      <c r="W20" s="381"/>
      <c r="X20" s="381"/>
      <c r="Y20" s="381"/>
      <c r="Z20" s="381"/>
      <c r="AA20" s="381"/>
      <c r="AB20" s="381"/>
      <c r="AC20" s="381"/>
      <c r="AD20" s="381"/>
      <c r="AE20" s="381"/>
      <c r="AF20" s="381"/>
      <c r="AG20" s="381"/>
      <c r="AH20" s="381"/>
      <c r="AI20" s="381"/>
      <c r="AJ20" s="381"/>
      <c r="AK20" s="381"/>
      <c r="AL20" s="381"/>
      <c r="AM20" s="381"/>
      <c r="AN20" s="381"/>
      <c r="AO20" s="381"/>
      <c r="AP20" s="381"/>
      <c r="AQ20" s="381"/>
      <c r="AR20" s="381"/>
      <c r="AS20" s="381"/>
      <c r="AT20" s="381"/>
      <c r="AU20" s="381"/>
      <c r="AV20" s="381"/>
      <c r="AW20" s="381"/>
      <c r="AX20" s="381"/>
      <c r="AY20" s="381"/>
      <c r="AZ20" s="381"/>
      <c r="BA20" s="381"/>
      <c r="BB20" s="381"/>
      <c r="BC20" s="381"/>
      <c r="BD20" s="381"/>
      <c r="BE20" s="381"/>
      <c r="BF20" s="381"/>
      <c r="BG20" s="381"/>
      <c r="BH20" s="381"/>
      <c r="BI20" s="381"/>
      <c r="BJ20" s="381"/>
      <c r="BK20" s="381"/>
      <c r="BL20" s="381"/>
      <c r="BM20" s="381"/>
      <c r="BN20" s="381"/>
      <c r="BO20" s="381"/>
      <c r="BP20" s="381"/>
      <c r="BQ20" s="381"/>
      <c r="BR20" s="381"/>
      <c r="BS20" s="381"/>
      <c r="BT20" s="381"/>
      <c r="BU20" s="381"/>
      <c r="BV20" s="381"/>
      <c r="BW20" s="381"/>
      <c r="BX20" s="381"/>
      <c r="BY20" s="381"/>
      <c r="BZ20" s="381"/>
      <c r="CA20" s="381"/>
      <c r="CB20" s="381"/>
      <c r="CC20" s="381"/>
      <c r="CD20" s="381"/>
      <c r="CE20" s="381"/>
      <c r="CF20" s="381"/>
      <c r="CG20" s="381"/>
      <c r="CH20" s="381"/>
      <c r="CI20" s="381"/>
      <c r="CJ20" s="381"/>
      <c r="CK20" s="381"/>
      <c r="CL20" s="381"/>
      <c r="CM20" s="381"/>
      <c r="CN20" s="381"/>
      <c r="CO20" s="381"/>
      <c r="CP20" s="381"/>
      <c r="CQ20" s="381"/>
      <c r="CR20" s="381"/>
      <c r="CS20" s="381"/>
      <c r="CT20" s="381"/>
      <c r="CU20" s="381"/>
      <c r="CV20" s="381"/>
      <c r="CW20" s="381"/>
      <c r="CX20" s="381"/>
      <c r="CY20" s="381"/>
      <c r="CZ20" s="381"/>
      <c r="DA20" s="381"/>
      <c r="DB20" s="381"/>
      <c r="DC20" s="381"/>
      <c r="DD20" s="381"/>
      <c r="DE20" s="381"/>
      <c r="DF20" s="381"/>
      <c r="DG20" s="381"/>
      <c r="DH20" s="381"/>
      <c r="DI20" s="381"/>
      <c r="DJ20" s="381"/>
      <c r="DK20" s="381"/>
      <c r="DL20" s="381"/>
      <c r="DM20" s="381"/>
      <c r="DN20" s="381"/>
      <c r="DO20" s="381"/>
      <c r="DP20" s="381"/>
      <c r="DQ20" s="381"/>
      <c r="DR20" s="381"/>
      <c r="DS20" s="381"/>
      <c r="DT20" s="381"/>
      <c r="DU20" s="381"/>
      <c r="DV20" s="381"/>
      <c r="DW20" s="381"/>
      <c r="DX20" s="381"/>
      <c r="DY20" s="381"/>
      <c r="DZ20" s="381"/>
      <c r="EA20" s="381"/>
      <c r="EB20" s="381"/>
      <c r="EC20" s="381"/>
      <c r="ED20" s="381"/>
      <c r="EE20" s="381"/>
      <c r="EF20" s="381"/>
      <c r="EG20" s="381"/>
      <c r="EH20" s="381"/>
      <c r="EI20" s="381"/>
      <c r="EJ20" s="381"/>
      <c r="EK20" s="381"/>
      <c r="EL20" s="381"/>
      <c r="EM20" s="381"/>
      <c r="EN20" s="381"/>
      <c r="EO20" s="381"/>
      <c r="EP20" s="24"/>
      <c r="EQ20" s="24"/>
      <c r="ER20" s="24"/>
      <c r="ES20" s="24"/>
      <c r="ET20" s="24"/>
      <c r="EU20" s="33"/>
      <c r="EV20" s="24"/>
      <c r="EW20" s="24"/>
      <c r="EX20" s="24"/>
      <c r="EY20" s="24"/>
      <c r="EZ20" s="24"/>
      <c r="FA20" s="24"/>
      <c r="FB20" s="24"/>
      <c r="FC20" s="24"/>
      <c r="FD20" s="24"/>
      <c r="FE20" s="24"/>
      <c r="FF20" s="24"/>
      <c r="FG20" s="24"/>
      <c r="FH20" s="24"/>
      <c r="FI20" s="24"/>
      <c r="FJ20" s="24"/>
      <c r="FK20" s="24"/>
      <c r="FL20" s="24"/>
      <c r="FM20" s="24"/>
      <c r="FN20" s="24"/>
      <c r="FO20" s="24"/>
      <c r="FP20" s="24"/>
      <c r="FQ20" s="24"/>
      <c r="FR20" s="24"/>
      <c r="FS20" s="24"/>
      <c r="FT20" s="24"/>
      <c r="FU20" s="24"/>
      <c r="FV20" s="24"/>
      <c r="FW20" s="24"/>
      <c r="FX20" s="24"/>
      <c r="FY20" s="24"/>
      <c r="FZ20" s="24"/>
      <c r="GA20" s="24"/>
      <c r="GB20" s="24"/>
      <c r="GC20" s="24"/>
      <c r="GD20" s="24"/>
      <c r="GE20" s="24"/>
      <c r="GF20" s="24"/>
      <c r="GG20" s="24"/>
      <c r="GH20" s="24"/>
      <c r="GI20" s="24"/>
      <c r="GJ20" s="24"/>
      <c r="GK20" s="24"/>
      <c r="GL20" s="24"/>
      <c r="GM20" s="24"/>
      <c r="GN20" s="24"/>
      <c r="GO20" s="24"/>
      <c r="GP20" s="24"/>
      <c r="GQ20" s="24"/>
      <c r="GR20" s="24"/>
      <c r="GS20" s="24"/>
      <c r="GT20" s="24"/>
      <c r="GU20" s="24"/>
      <c r="GV20" s="24"/>
      <c r="GW20" s="24"/>
      <c r="GX20" s="24"/>
      <c r="GY20" s="24"/>
      <c r="GZ20" s="24"/>
      <c r="HA20" s="24"/>
      <c r="HB20" s="24"/>
      <c r="HC20" s="24"/>
      <c r="HD20" s="24"/>
      <c r="HE20" s="24"/>
      <c r="HF20" s="24"/>
      <c r="HG20" s="24"/>
      <c r="HH20" s="24"/>
      <c r="HI20" s="24"/>
      <c r="HJ20" s="24"/>
      <c r="HK20" s="24"/>
      <c r="HL20" s="24"/>
      <c r="HM20" s="24"/>
      <c r="HN20" s="24"/>
      <c r="HO20" s="24"/>
      <c r="HP20" s="24"/>
      <c r="HQ20" s="24"/>
      <c r="HR20" s="24"/>
      <c r="HS20" s="24"/>
      <c r="HT20" s="24"/>
      <c r="HU20" s="24"/>
      <c r="HV20" s="24"/>
      <c r="HW20" s="24"/>
      <c r="HX20" s="24"/>
      <c r="HY20" s="24"/>
      <c r="HZ20" s="24"/>
      <c r="IA20" s="24"/>
      <c r="IB20" s="24"/>
      <c r="IC20" s="24"/>
      <c r="ID20" s="24"/>
      <c r="IE20" s="24"/>
      <c r="IF20" s="24"/>
      <c r="IG20" s="24"/>
      <c r="IH20" s="24"/>
      <c r="II20" s="24"/>
      <c r="IJ20" s="24"/>
      <c r="IK20" s="24"/>
      <c r="IL20" s="24"/>
      <c r="IM20" s="24"/>
      <c r="IN20" s="24"/>
      <c r="IO20" s="24"/>
      <c r="IP20" s="24"/>
      <c r="IQ20" s="24"/>
      <c r="IR20" s="24"/>
      <c r="IS20" s="24"/>
      <c r="IT20" s="24"/>
      <c r="IU20" s="24"/>
      <c r="IV20" s="24"/>
      <c r="IW20" s="24"/>
      <c r="IX20" s="24"/>
      <c r="IY20" s="24"/>
      <c r="IZ20" s="24"/>
      <c r="JA20" s="24"/>
      <c r="JB20" s="24"/>
      <c r="JC20" s="24"/>
      <c r="JD20" s="24"/>
      <c r="JE20" s="24"/>
      <c r="JF20" s="24"/>
      <c r="JG20" s="24"/>
      <c r="JH20" s="24"/>
      <c r="JI20" s="24"/>
      <c r="JJ20" s="24"/>
      <c r="JK20" s="24"/>
      <c r="JL20" s="24"/>
      <c r="JM20" s="24"/>
      <c r="JN20" s="24"/>
      <c r="JO20" s="24"/>
      <c r="JP20" s="24"/>
      <c r="JQ20" s="24"/>
      <c r="JR20" s="24"/>
      <c r="JS20" s="24"/>
      <c r="JT20" s="24"/>
      <c r="JU20" s="24"/>
      <c r="JV20" s="24"/>
      <c r="JW20" s="24"/>
      <c r="JX20" s="24"/>
    </row>
    <row r="21" spans="1:284" s="7" customFormat="1" ht="4.9000000000000004" customHeight="1" x14ac:dyDescent="0.2">
      <c r="A21" s="406"/>
      <c r="B21" s="40"/>
      <c r="C21" s="40"/>
      <c r="D21" s="40"/>
      <c r="E21" s="40"/>
      <c r="F21" s="40"/>
      <c r="G21" s="40"/>
      <c r="H21" s="40"/>
      <c r="I21" s="40"/>
      <c r="J21" s="41"/>
      <c r="K21" s="41"/>
      <c r="L21" s="41"/>
      <c r="M21" s="41"/>
      <c r="N21" s="41"/>
      <c r="O21" s="41"/>
      <c r="P21" s="41"/>
      <c r="Q21" s="4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41"/>
      <c r="AQ21" s="41"/>
      <c r="AR21" s="41"/>
      <c r="AS21" s="41"/>
      <c r="AT21" s="41"/>
      <c r="AU21" s="41"/>
      <c r="AV21" s="41"/>
      <c r="AW21" s="41"/>
      <c r="AX21" s="41"/>
      <c r="AY21" s="41"/>
      <c r="AZ21" s="41"/>
      <c r="BA21" s="41"/>
      <c r="BB21" s="41"/>
      <c r="BC21" s="41"/>
      <c r="BD21" s="41"/>
      <c r="BE21" s="41"/>
      <c r="BF21" s="41"/>
      <c r="BG21" s="41"/>
      <c r="BH21" s="41"/>
      <c r="BI21" s="41"/>
      <c r="BJ21" s="41"/>
      <c r="BK21" s="41"/>
      <c r="BL21" s="41"/>
      <c r="BM21" s="41"/>
      <c r="BN21" s="41"/>
      <c r="BO21" s="41"/>
      <c r="BP21" s="41"/>
      <c r="BQ21" s="41"/>
      <c r="BR21" s="41"/>
      <c r="BS21" s="41"/>
      <c r="BT21" s="41"/>
      <c r="BU21" s="41"/>
      <c r="BV21" s="41"/>
      <c r="BW21" s="41"/>
      <c r="BX21" s="41"/>
      <c r="BY21" s="41"/>
      <c r="BZ21" s="41"/>
      <c r="CA21" s="41"/>
      <c r="CB21" s="41"/>
      <c r="CC21" s="41"/>
      <c r="CD21" s="41"/>
      <c r="CE21" s="41"/>
      <c r="CF21" s="41"/>
      <c r="CG21" s="41"/>
      <c r="CH21" s="41"/>
      <c r="CI21" s="41"/>
      <c r="CJ21" s="41"/>
      <c r="CK21" s="41"/>
      <c r="CL21" s="41"/>
      <c r="CM21" s="41"/>
      <c r="CN21" s="41"/>
      <c r="CO21" s="41"/>
      <c r="CP21" s="41"/>
      <c r="CQ21" s="41"/>
      <c r="CR21" s="41"/>
      <c r="CS21" s="41"/>
      <c r="CT21" s="41"/>
      <c r="CU21" s="41"/>
      <c r="CV21" s="41"/>
      <c r="CW21" s="41"/>
      <c r="CX21" s="41"/>
      <c r="CY21" s="41"/>
      <c r="CZ21" s="41"/>
      <c r="DA21" s="41"/>
      <c r="DB21" s="41"/>
      <c r="DC21" s="41"/>
      <c r="DD21" s="41"/>
      <c r="DE21" s="41"/>
      <c r="DF21" s="41"/>
      <c r="DG21" s="41"/>
      <c r="DH21" s="41"/>
      <c r="DI21" s="41"/>
      <c r="DJ21" s="41"/>
      <c r="DK21" s="41"/>
      <c r="DL21" s="41"/>
      <c r="DM21" s="41"/>
      <c r="DN21" s="41"/>
      <c r="DO21" s="41"/>
      <c r="DP21" s="41"/>
      <c r="DQ21" s="41"/>
      <c r="DR21" s="41"/>
      <c r="DS21" s="41"/>
      <c r="DT21" s="41"/>
      <c r="DU21" s="41"/>
      <c r="DV21" s="41"/>
      <c r="DW21" s="41"/>
      <c r="DX21" s="41"/>
      <c r="DY21" s="41"/>
      <c r="DZ21" s="41"/>
      <c r="EA21" s="41"/>
      <c r="EB21" s="41"/>
      <c r="EC21" s="41"/>
      <c r="ED21" s="41"/>
      <c r="EE21" s="41"/>
      <c r="EF21" s="41"/>
      <c r="EG21" s="41"/>
      <c r="EH21" s="41"/>
      <c r="EI21" s="41"/>
      <c r="EJ21" s="41"/>
      <c r="EK21" s="41"/>
      <c r="EL21" s="41"/>
      <c r="EM21" s="41"/>
      <c r="EN21" s="41"/>
      <c r="EO21" s="41"/>
      <c r="EP21" s="42"/>
      <c r="EQ21" s="42"/>
      <c r="ER21" s="42"/>
      <c r="ES21" s="42"/>
      <c r="ET21" s="42"/>
      <c r="EU21" s="216"/>
      <c r="EV21" s="42"/>
      <c r="EW21" s="42"/>
      <c r="EX21" s="42"/>
      <c r="EY21" s="42"/>
      <c r="EZ21" s="42"/>
      <c r="FA21" s="42"/>
      <c r="FB21" s="42"/>
      <c r="FC21" s="42"/>
      <c r="FD21" s="42"/>
      <c r="FE21" s="42"/>
      <c r="FF21" s="42"/>
      <c r="FG21" s="42"/>
      <c r="FH21" s="42"/>
      <c r="FI21" s="42"/>
      <c r="FJ21" s="42"/>
      <c r="FK21" s="42"/>
      <c r="FL21" s="42"/>
      <c r="FM21" s="42"/>
      <c r="FN21" s="42"/>
      <c r="FO21" s="42"/>
      <c r="FP21" s="42"/>
      <c r="FQ21" s="42"/>
      <c r="FR21" s="42"/>
      <c r="FS21" s="42"/>
      <c r="FT21" s="42"/>
      <c r="FU21" s="42"/>
      <c r="FV21" s="42"/>
      <c r="FW21" s="42"/>
      <c r="FX21" s="42"/>
      <c r="FY21" s="42"/>
      <c r="FZ21" s="42"/>
      <c r="GA21" s="42"/>
      <c r="GB21" s="42"/>
      <c r="GC21" s="42"/>
      <c r="GD21" s="42"/>
      <c r="GE21" s="42"/>
      <c r="GF21" s="42"/>
      <c r="GG21" s="42"/>
      <c r="GH21" s="42"/>
      <c r="GI21" s="42"/>
      <c r="GJ21" s="42"/>
      <c r="GK21" s="42"/>
      <c r="GL21" s="42"/>
      <c r="GM21" s="42"/>
      <c r="GN21" s="42"/>
      <c r="GO21" s="42"/>
      <c r="GP21" s="42"/>
      <c r="GQ21" s="42"/>
      <c r="GR21" s="42"/>
      <c r="GS21" s="42"/>
      <c r="GT21" s="42"/>
      <c r="GU21" s="42"/>
      <c r="GV21" s="42"/>
      <c r="GW21" s="42"/>
      <c r="GX21" s="42"/>
      <c r="GY21" s="42"/>
      <c r="GZ21" s="42"/>
      <c r="HA21" s="42"/>
      <c r="HB21" s="42"/>
      <c r="HC21" s="42"/>
      <c r="HD21" s="42"/>
      <c r="HE21" s="42"/>
      <c r="HF21" s="42"/>
      <c r="HG21" s="42"/>
      <c r="HH21" s="42"/>
      <c r="HI21" s="42"/>
      <c r="HJ21" s="42"/>
      <c r="HK21" s="42"/>
      <c r="HL21" s="42"/>
      <c r="HM21" s="42"/>
      <c r="HN21" s="42"/>
      <c r="HO21" s="42"/>
      <c r="HP21" s="42"/>
      <c r="HQ21" s="42"/>
      <c r="HR21" s="42"/>
      <c r="HS21" s="42"/>
      <c r="HT21" s="42"/>
      <c r="HU21" s="42"/>
      <c r="HV21" s="42"/>
      <c r="HW21" s="42"/>
      <c r="HX21" s="42"/>
      <c r="HY21" s="42"/>
      <c r="HZ21" s="42"/>
      <c r="IA21" s="42"/>
      <c r="IB21" s="42"/>
      <c r="IC21" s="42"/>
      <c r="ID21" s="42"/>
      <c r="IE21" s="42"/>
      <c r="IF21" s="42"/>
      <c r="IG21" s="42"/>
      <c r="IH21" s="42"/>
      <c r="II21" s="42"/>
      <c r="IJ21" s="42"/>
      <c r="IK21" s="42"/>
      <c r="IL21" s="42"/>
      <c r="IM21" s="42"/>
      <c r="IN21" s="42"/>
      <c r="IO21" s="42"/>
      <c r="IP21" s="42"/>
      <c r="IQ21" s="42"/>
      <c r="IR21" s="42"/>
      <c r="IS21" s="42"/>
      <c r="IT21" s="42"/>
      <c r="IU21" s="42"/>
      <c r="IV21" s="42"/>
      <c r="IW21" s="42"/>
      <c r="IX21" s="42"/>
      <c r="IY21" s="42"/>
      <c r="IZ21" s="42"/>
      <c r="JA21" s="42"/>
      <c r="JB21" s="42"/>
      <c r="JC21" s="42"/>
      <c r="JD21" s="42"/>
      <c r="JE21" s="42"/>
      <c r="JF21" s="42"/>
      <c r="JG21" s="42"/>
      <c r="JH21" s="42"/>
      <c r="JI21" s="42"/>
      <c r="JJ21" s="42"/>
      <c r="JK21" s="42"/>
      <c r="JL21" s="42"/>
      <c r="JM21" s="42"/>
      <c r="JN21" s="42"/>
      <c r="JO21" s="42"/>
      <c r="JP21" s="42"/>
      <c r="JQ21" s="42"/>
      <c r="JR21" s="42"/>
      <c r="JS21" s="42"/>
      <c r="JT21" s="42"/>
      <c r="JU21" s="42"/>
      <c r="JV21" s="42"/>
      <c r="JW21" s="42"/>
      <c r="JX21" s="42"/>
    </row>
    <row r="22" spans="1:284" s="7" customFormat="1" x14ac:dyDescent="0.2">
      <c r="A22" s="406"/>
      <c r="B22" s="2" t="s">
        <v>615</v>
      </c>
      <c r="C22" s="1"/>
      <c r="D22" s="1"/>
      <c r="E22" s="1"/>
      <c r="F22" s="1"/>
      <c r="G22" s="1"/>
      <c r="H22" s="1"/>
      <c r="I22" s="1"/>
      <c r="J22" s="464"/>
      <c r="K22" s="464" t="s">
        <v>504</v>
      </c>
      <c r="L22" s="8">
        <v>0</v>
      </c>
      <c r="M22" s="8">
        <f t="shared" ref="M22:BX22" si="10">L22+1</f>
        <v>1</v>
      </c>
      <c r="N22" s="8">
        <f t="shared" si="10"/>
        <v>2</v>
      </c>
      <c r="O22" s="8">
        <f t="shared" si="10"/>
        <v>3</v>
      </c>
      <c r="P22" s="8">
        <f t="shared" si="10"/>
        <v>4</v>
      </c>
      <c r="Q22" s="8">
        <f t="shared" si="10"/>
        <v>5</v>
      </c>
      <c r="R22" s="8">
        <f t="shared" si="10"/>
        <v>6</v>
      </c>
      <c r="S22" s="8">
        <f t="shared" si="10"/>
        <v>7</v>
      </c>
      <c r="T22" s="8">
        <f t="shared" si="10"/>
        <v>8</v>
      </c>
      <c r="U22" s="8">
        <f t="shared" si="10"/>
        <v>9</v>
      </c>
      <c r="V22" s="8">
        <f t="shared" si="10"/>
        <v>10</v>
      </c>
      <c r="W22" s="8">
        <f t="shared" si="10"/>
        <v>11</v>
      </c>
      <c r="X22" s="8">
        <f t="shared" si="10"/>
        <v>12</v>
      </c>
      <c r="Y22" s="8">
        <f t="shared" si="10"/>
        <v>13</v>
      </c>
      <c r="Z22" s="8">
        <f t="shared" si="10"/>
        <v>14</v>
      </c>
      <c r="AA22" s="8">
        <f t="shared" si="10"/>
        <v>15</v>
      </c>
      <c r="AB22" s="8">
        <f t="shared" si="10"/>
        <v>16</v>
      </c>
      <c r="AC22" s="8">
        <f t="shared" si="10"/>
        <v>17</v>
      </c>
      <c r="AD22" s="8">
        <f t="shared" si="10"/>
        <v>18</v>
      </c>
      <c r="AE22" s="8">
        <f t="shared" si="10"/>
        <v>19</v>
      </c>
      <c r="AF22" s="8">
        <f t="shared" si="10"/>
        <v>20</v>
      </c>
      <c r="AG22" s="8">
        <f t="shared" si="10"/>
        <v>21</v>
      </c>
      <c r="AH22" s="8">
        <f t="shared" si="10"/>
        <v>22</v>
      </c>
      <c r="AI22" s="8">
        <f t="shared" si="10"/>
        <v>23</v>
      </c>
      <c r="AJ22" s="8">
        <f t="shared" si="10"/>
        <v>24</v>
      </c>
      <c r="AK22" s="8">
        <f t="shared" si="10"/>
        <v>25</v>
      </c>
      <c r="AL22" s="8">
        <f t="shared" si="10"/>
        <v>26</v>
      </c>
      <c r="AM22" s="8">
        <f t="shared" si="10"/>
        <v>27</v>
      </c>
      <c r="AN22" s="8">
        <f t="shared" si="10"/>
        <v>28</v>
      </c>
      <c r="AO22" s="8">
        <f t="shared" si="10"/>
        <v>29</v>
      </c>
      <c r="AP22" s="8">
        <f t="shared" si="10"/>
        <v>30</v>
      </c>
      <c r="AQ22" s="8">
        <f t="shared" si="10"/>
        <v>31</v>
      </c>
      <c r="AR22" s="8">
        <f t="shared" si="10"/>
        <v>32</v>
      </c>
      <c r="AS22" s="8">
        <f t="shared" si="10"/>
        <v>33</v>
      </c>
      <c r="AT22" s="8">
        <f t="shared" si="10"/>
        <v>34</v>
      </c>
      <c r="AU22" s="8">
        <f t="shared" si="10"/>
        <v>35</v>
      </c>
      <c r="AV22" s="8">
        <f t="shared" si="10"/>
        <v>36</v>
      </c>
      <c r="AW22" s="8">
        <f t="shared" si="10"/>
        <v>37</v>
      </c>
      <c r="AX22" s="8">
        <f t="shared" si="10"/>
        <v>38</v>
      </c>
      <c r="AY22" s="8">
        <f t="shared" si="10"/>
        <v>39</v>
      </c>
      <c r="AZ22" s="8">
        <f t="shared" si="10"/>
        <v>40</v>
      </c>
      <c r="BA22" s="8">
        <f t="shared" si="10"/>
        <v>41</v>
      </c>
      <c r="BB22" s="8">
        <f t="shared" si="10"/>
        <v>42</v>
      </c>
      <c r="BC22" s="8">
        <f t="shared" si="10"/>
        <v>43</v>
      </c>
      <c r="BD22" s="8">
        <f t="shared" si="10"/>
        <v>44</v>
      </c>
      <c r="BE22" s="8">
        <f t="shared" si="10"/>
        <v>45</v>
      </c>
      <c r="BF22" s="8">
        <f t="shared" si="10"/>
        <v>46</v>
      </c>
      <c r="BG22" s="8">
        <f t="shared" si="10"/>
        <v>47</v>
      </c>
      <c r="BH22" s="8">
        <f t="shared" si="10"/>
        <v>48</v>
      </c>
      <c r="BI22" s="8">
        <f t="shared" si="10"/>
        <v>49</v>
      </c>
      <c r="BJ22" s="8">
        <f t="shared" si="10"/>
        <v>50</v>
      </c>
      <c r="BK22" s="8">
        <f t="shared" si="10"/>
        <v>51</v>
      </c>
      <c r="BL22" s="8">
        <f t="shared" si="10"/>
        <v>52</v>
      </c>
      <c r="BM22" s="8">
        <f t="shared" si="10"/>
        <v>53</v>
      </c>
      <c r="BN22" s="8">
        <f t="shared" si="10"/>
        <v>54</v>
      </c>
      <c r="BO22" s="8">
        <f t="shared" si="10"/>
        <v>55</v>
      </c>
      <c r="BP22" s="8">
        <f t="shared" si="10"/>
        <v>56</v>
      </c>
      <c r="BQ22" s="8">
        <f t="shared" si="10"/>
        <v>57</v>
      </c>
      <c r="BR22" s="8">
        <f t="shared" si="10"/>
        <v>58</v>
      </c>
      <c r="BS22" s="8">
        <f t="shared" si="10"/>
        <v>59</v>
      </c>
      <c r="BT22" s="8">
        <f t="shared" si="10"/>
        <v>60</v>
      </c>
      <c r="BU22" s="8">
        <f t="shared" si="10"/>
        <v>61</v>
      </c>
      <c r="BV22" s="8">
        <f t="shared" si="10"/>
        <v>62</v>
      </c>
      <c r="BW22" s="8">
        <f t="shared" si="10"/>
        <v>63</v>
      </c>
      <c r="BX22" s="8">
        <f t="shared" si="10"/>
        <v>64</v>
      </c>
      <c r="BY22" s="8">
        <f t="shared" ref="BY22:EJ22" si="11">BX22+1</f>
        <v>65</v>
      </c>
      <c r="BZ22" s="8">
        <f t="shared" si="11"/>
        <v>66</v>
      </c>
      <c r="CA22" s="8">
        <f t="shared" si="11"/>
        <v>67</v>
      </c>
      <c r="CB22" s="8">
        <f t="shared" si="11"/>
        <v>68</v>
      </c>
      <c r="CC22" s="8">
        <f t="shared" si="11"/>
        <v>69</v>
      </c>
      <c r="CD22" s="8">
        <f t="shared" si="11"/>
        <v>70</v>
      </c>
      <c r="CE22" s="8">
        <f t="shared" si="11"/>
        <v>71</v>
      </c>
      <c r="CF22" s="8">
        <f t="shared" si="11"/>
        <v>72</v>
      </c>
      <c r="CG22" s="8">
        <f t="shared" si="11"/>
        <v>73</v>
      </c>
      <c r="CH22" s="8">
        <f t="shared" si="11"/>
        <v>74</v>
      </c>
      <c r="CI22" s="8">
        <f t="shared" si="11"/>
        <v>75</v>
      </c>
      <c r="CJ22" s="8">
        <f t="shared" si="11"/>
        <v>76</v>
      </c>
      <c r="CK22" s="8">
        <f t="shared" si="11"/>
        <v>77</v>
      </c>
      <c r="CL22" s="8">
        <f t="shared" si="11"/>
        <v>78</v>
      </c>
      <c r="CM22" s="8">
        <f t="shared" si="11"/>
        <v>79</v>
      </c>
      <c r="CN22" s="8">
        <f t="shared" si="11"/>
        <v>80</v>
      </c>
      <c r="CO22" s="8">
        <f t="shared" si="11"/>
        <v>81</v>
      </c>
      <c r="CP22" s="8">
        <f t="shared" si="11"/>
        <v>82</v>
      </c>
      <c r="CQ22" s="8">
        <f t="shared" si="11"/>
        <v>83</v>
      </c>
      <c r="CR22" s="8">
        <f t="shared" si="11"/>
        <v>84</v>
      </c>
      <c r="CS22" s="8">
        <f t="shared" si="11"/>
        <v>85</v>
      </c>
      <c r="CT22" s="8">
        <f t="shared" si="11"/>
        <v>86</v>
      </c>
      <c r="CU22" s="8">
        <f t="shared" si="11"/>
        <v>87</v>
      </c>
      <c r="CV22" s="8">
        <f t="shared" si="11"/>
        <v>88</v>
      </c>
      <c r="CW22" s="8">
        <f t="shared" si="11"/>
        <v>89</v>
      </c>
      <c r="CX22" s="8">
        <f t="shared" si="11"/>
        <v>90</v>
      </c>
      <c r="CY22" s="8">
        <f t="shared" si="11"/>
        <v>91</v>
      </c>
      <c r="CZ22" s="8">
        <f t="shared" si="11"/>
        <v>92</v>
      </c>
      <c r="DA22" s="8">
        <f t="shared" si="11"/>
        <v>93</v>
      </c>
      <c r="DB22" s="8">
        <f t="shared" si="11"/>
        <v>94</v>
      </c>
      <c r="DC22" s="8">
        <f t="shared" si="11"/>
        <v>95</v>
      </c>
      <c r="DD22" s="8">
        <f t="shared" si="11"/>
        <v>96</v>
      </c>
      <c r="DE22" s="8">
        <f t="shared" si="11"/>
        <v>97</v>
      </c>
      <c r="DF22" s="8">
        <f t="shared" si="11"/>
        <v>98</v>
      </c>
      <c r="DG22" s="8">
        <f t="shared" si="11"/>
        <v>99</v>
      </c>
      <c r="DH22" s="8">
        <f t="shared" si="11"/>
        <v>100</v>
      </c>
      <c r="DI22" s="8">
        <f t="shared" si="11"/>
        <v>101</v>
      </c>
      <c r="DJ22" s="8">
        <f t="shared" si="11"/>
        <v>102</v>
      </c>
      <c r="DK22" s="8">
        <f t="shared" si="11"/>
        <v>103</v>
      </c>
      <c r="DL22" s="8">
        <f t="shared" si="11"/>
        <v>104</v>
      </c>
      <c r="DM22" s="8">
        <f t="shared" si="11"/>
        <v>105</v>
      </c>
      <c r="DN22" s="8">
        <f t="shared" si="11"/>
        <v>106</v>
      </c>
      <c r="DO22" s="8">
        <f t="shared" si="11"/>
        <v>107</v>
      </c>
      <c r="DP22" s="8">
        <f t="shared" si="11"/>
        <v>108</v>
      </c>
      <c r="DQ22" s="8">
        <f t="shared" si="11"/>
        <v>109</v>
      </c>
      <c r="DR22" s="8">
        <f t="shared" si="11"/>
        <v>110</v>
      </c>
      <c r="DS22" s="8">
        <f t="shared" si="11"/>
        <v>111</v>
      </c>
      <c r="DT22" s="8">
        <f t="shared" si="11"/>
        <v>112</v>
      </c>
      <c r="DU22" s="8">
        <f t="shared" si="11"/>
        <v>113</v>
      </c>
      <c r="DV22" s="8">
        <f t="shared" si="11"/>
        <v>114</v>
      </c>
      <c r="DW22" s="8">
        <f t="shared" si="11"/>
        <v>115</v>
      </c>
      <c r="DX22" s="8">
        <f t="shared" si="11"/>
        <v>116</v>
      </c>
      <c r="DY22" s="8">
        <f t="shared" si="11"/>
        <v>117</v>
      </c>
      <c r="DZ22" s="8">
        <f t="shared" si="11"/>
        <v>118</v>
      </c>
      <c r="EA22" s="8">
        <f t="shared" si="11"/>
        <v>119</v>
      </c>
      <c r="EB22" s="8">
        <f t="shared" si="11"/>
        <v>120</v>
      </c>
      <c r="EC22" s="8">
        <f t="shared" si="11"/>
        <v>121</v>
      </c>
      <c r="ED22" s="8">
        <f t="shared" si="11"/>
        <v>122</v>
      </c>
      <c r="EE22" s="8">
        <f t="shared" si="11"/>
        <v>123</v>
      </c>
      <c r="EF22" s="8">
        <f t="shared" si="11"/>
        <v>124</v>
      </c>
      <c r="EG22" s="8">
        <f t="shared" si="11"/>
        <v>125</v>
      </c>
      <c r="EH22" s="8">
        <f t="shared" si="11"/>
        <v>126</v>
      </c>
      <c r="EI22" s="8">
        <f t="shared" si="11"/>
        <v>127</v>
      </c>
      <c r="EJ22" s="8">
        <f t="shared" si="11"/>
        <v>128</v>
      </c>
      <c r="EK22" s="8">
        <f>EJ22+1</f>
        <v>129</v>
      </c>
      <c r="EL22" s="8">
        <f>EK22+1</f>
        <v>130</v>
      </c>
      <c r="EM22" s="8">
        <f>EL22+1</f>
        <v>131</v>
      </c>
      <c r="EN22" s="8">
        <f>EM22+1</f>
        <v>132</v>
      </c>
      <c r="EO22" s="9"/>
      <c r="EP22" s="37" t="s">
        <v>53</v>
      </c>
      <c r="EQ22" s="29"/>
      <c r="ER22" s="28"/>
      <c r="ES22" s="28"/>
      <c r="ET22" s="28"/>
      <c r="EU22" s="28"/>
      <c r="EV22" s="32">
        <f>L22</f>
        <v>0</v>
      </c>
      <c r="EW22" s="32">
        <f t="shared" ref="EW22:HH23" si="12">M22</f>
        <v>1</v>
      </c>
      <c r="EX22" s="32">
        <f t="shared" si="12"/>
        <v>2</v>
      </c>
      <c r="EY22" s="32">
        <f t="shared" si="12"/>
        <v>3</v>
      </c>
      <c r="EZ22" s="32">
        <f t="shared" si="12"/>
        <v>4</v>
      </c>
      <c r="FA22" s="32">
        <f t="shared" si="12"/>
        <v>5</v>
      </c>
      <c r="FB22" s="32">
        <f t="shared" si="12"/>
        <v>6</v>
      </c>
      <c r="FC22" s="32">
        <f t="shared" si="12"/>
        <v>7</v>
      </c>
      <c r="FD22" s="32">
        <f t="shared" si="12"/>
        <v>8</v>
      </c>
      <c r="FE22" s="32">
        <f t="shared" si="12"/>
        <v>9</v>
      </c>
      <c r="FF22" s="32">
        <f t="shared" si="12"/>
        <v>10</v>
      </c>
      <c r="FG22" s="32">
        <f t="shared" si="12"/>
        <v>11</v>
      </c>
      <c r="FH22" s="32">
        <f t="shared" si="12"/>
        <v>12</v>
      </c>
      <c r="FI22" s="32">
        <f t="shared" si="12"/>
        <v>13</v>
      </c>
      <c r="FJ22" s="32">
        <f t="shared" si="12"/>
        <v>14</v>
      </c>
      <c r="FK22" s="32">
        <f t="shared" si="12"/>
        <v>15</v>
      </c>
      <c r="FL22" s="32">
        <f t="shared" si="12"/>
        <v>16</v>
      </c>
      <c r="FM22" s="32">
        <f t="shared" si="12"/>
        <v>17</v>
      </c>
      <c r="FN22" s="32">
        <f t="shared" si="12"/>
        <v>18</v>
      </c>
      <c r="FO22" s="32">
        <f t="shared" si="12"/>
        <v>19</v>
      </c>
      <c r="FP22" s="32">
        <f t="shared" si="12"/>
        <v>20</v>
      </c>
      <c r="FQ22" s="32">
        <f t="shared" si="12"/>
        <v>21</v>
      </c>
      <c r="FR22" s="32">
        <f t="shared" si="12"/>
        <v>22</v>
      </c>
      <c r="FS22" s="32">
        <f t="shared" si="12"/>
        <v>23</v>
      </c>
      <c r="FT22" s="32">
        <f t="shared" si="12"/>
        <v>24</v>
      </c>
      <c r="FU22" s="32">
        <f t="shared" si="12"/>
        <v>25</v>
      </c>
      <c r="FV22" s="32">
        <f t="shared" si="12"/>
        <v>26</v>
      </c>
      <c r="FW22" s="32">
        <f t="shared" si="12"/>
        <v>27</v>
      </c>
      <c r="FX22" s="32">
        <f t="shared" si="12"/>
        <v>28</v>
      </c>
      <c r="FY22" s="32">
        <f t="shared" si="12"/>
        <v>29</v>
      </c>
      <c r="FZ22" s="32">
        <f t="shared" si="12"/>
        <v>30</v>
      </c>
      <c r="GA22" s="32">
        <f t="shared" si="12"/>
        <v>31</v>
      </c>
      <c r="GB22" s="32">
        <f t="shared" si="12"/>
        <v>32</v>
      </c>
      <c r="GC22" s="32">
        <f t="shared" si="12"/>
        <v>33</v>
      </c>
      <c r="GD22" s="32">
        <f t="shared" si="12"/>
        <v>34</v>
      </c>
      <c r="GE22" s="32">
        <f t="shared" si="12"/>
        <v>35</v>
      </c>
      <c r="GF22" s="32">
        <f t="shared" si="12"/>
        <v>36</v>
      </c>
      <c r="GG22" s="32">
        <f t="shared" si="12"/>
        <v>37</v>
      </c>
      <c r="GH22" s="32">
        <f t="shared" si="12"/>
        <v>38</v>
      </c>
      <c r="GI22" s="32">
        <f t="shared" si="12"/>
        <v>39</v>
      </c>
      <c r="GJ22" s="32">
        <f t="shared" si="12"/>
        <v>40</v>
      </c>
      <c r="GK22" s="32">
        <f t="shared" si="12"/>
        <v>41</v>
      </c>
      <c r="GL22" s="32">
        <f t="shared" si="12"/>
        <v>42</v>
      </c>
      <c r="GM22" s="32">
        <f t="shared" si="12"/>
        <v>43</v>
      </c>
      <c r="GN22" s="32">
        <f t="shared" si="12"/>
        <v>44</v>
      </c>
      <c r="GO22" s="32">
        <f t="shared" si="12"/>
        <v>45</v>
      </c>
      <c r="GP22" s="32">
        <f t="shared" si="12"/>
        <v>46</v>
      </c>
      <c r="GQ22" s="32">
        <f t="shared" si="12"/>
        <v>47</v>
      </c>
      <c r="GR22" s="32">
        <f t="shared" si="12"/>
        <v>48</v>
      </c>
      <c r="GS22" s="32">
        <f t="shared" si="12"/>
        <v>49</v>
      </c>
      <c r="GT22" s="32">
        <f t="shared" si="12"/>
        <v>50</v>
      </c>
      <c r="GU22" s="32">
        <f t="shared" si="12"/>
        <v>51</v>
      </c>
      <c r="GV22" s="32">
        <f t="shared" si="12"/>
        <v>52</v>
      </c>
      <c r="GW22" s="32">
        <f t="shared" si="12"/>
        <v>53</v>
      </c>
      <c r="GX22" s="32">
        <f t="shared" si="12"/>
        <v>54</v>
      </c>
      <c r="GY22" s="32">
        <f t="shared" si="12"/>
        <v>55</v>
      </c>
      <c r="GZ22" s="32">
        <f t="shared" si="12"/>
        <v>56</v>
      </c>
      <c r="HA22" s="32">
        <f t="shared" si="12"/>
        <v>57</v>
      </c>
      <c r="HB22" s="32">
        <f t="shared" si="12"/>
        <v>58</v>
      </c>
      <c r="HC22" s="32">
        <f t="shared" si="12"/>
        <v>59</v>
      </c>
      <c r="HD22" s="32">
        <f t="shared" si="12"/>
        <v>60</v>
      </c>
      <c r="HE22" s="32">
        <f t="shared" si="12"/>
        <v>61</v>
      </c>
      <c r="HF22" s="32">
        <f t="shared" si="12"/>
        <v>62</v>
      </c>
      <c r="HG22" s="32">
        <f t="shared" si="12"/>
        <v>63</v>
      </c>
      <c r="HH22" s="32">
        <f t="shared" si="12"/>
        <v>64</v>
      </c>
      <c r="HI22" s="32">
        <f t="shared" ref="HI22:JT23" si="13">BY22</f>
        <v>65</v>
      </c>
      <c r="HJ22" s="32">
        <f t="shared" si="13"/>
        <v>66</v>
      </c>
      <c r="HK22" s="32">
        <f t="shared" si="13"/>
        <v>67</v>
      </c>
      <c r="HL22" s="32">
        <f t="shared" si="13"/>
        <v>68</v>
      </c>
      <c r="HM22" s="32">
        <f t="shared" si="13"/>
        <v>69</v>
      </c>
      <c r="HN22" s="32">
        <f t="shared" si="13"/>
        <v>70</v>
      </c>
      <c r="HO22" s="32">
        <f t="shared" si="13"/>
        <v>71</v>
      </c>
      <c r="HP22" s="32">
        <f t="shared" si="13"/>
        <v>72</v>
      </c>
      <c r="HQ22" s="32">
        <f t="shared" si="13"/>
        <v>73</v>
      </c>
      <c r="HR22" s="32">
        <f t="shared" si="13"/>
        <v>74</v>
      </c>
      <c r="HS22" s="32">
        <f t="shared" si="13"/>
        <v>75</v>
      </c>
      <c r="HT22" s="32">
        <f t="shared" si="13"/>
        <v>76</v>
      </c>
      <c r="HU22" s="32">
        <f t="shared" si="13"/>
        <v>77</v>
      </c>
      <c r="HV22" s="32">
        <f t="shared" si="13"/>
        <v>78</v>
      </c>
      <c r="HW22" s="32">
        <f t="shared" si="13"/>
        <v>79</v>
      </c>
      <c r="HX22" s="32">
        <f t="shared" si="13"/>
        <v>80</v>
      </c>
      <c r="HY22" s="32">
        <f t="shared" si="13"/>
        <v>81</v>
      </c>
      <c r="HZ22" s="32">
        <f t="shared" si="13"/>
        <v>82</v>
      </c>
      <c r="IA22" s="32">
        <f t="shared" si="13"/>
        <v>83</v>
      </c>
      <c r="IB22" s="32">
        <f t="shared" si="13"/>
        <v>84</v>
      </c>
      <c r="IC22" s="32">
        <f t="shared" si="13"/>
        <v>85</v>
      </c>
      <c r="ID22" s="32">
        <f t="shared" si="13"/>
        <v>86</v>
      </c>
      <c r="IE22" s="32">
        <f t="shared" si="13"/>
        <v>87</v>
      </c>
      <c r="IF22" s="32">
        <f t="shared" si="13"/>
        <v>88</v>
      </c>
      <c r="IG22" s="32">
        <f t="shared" si="13"/>
        <v>89</v>
      </c>
      <c r="IH22" s="32">
        <f t="shared" si="13"/>
        <v>90</v>
      </c>
      <c r="II22" s="32">
        <f t="shared" si="13"/>
        <v>91</v>
      </c>
      <c r="IJ22" s="32">
        <f t="shared" si="13"/>
        <v>92</v>
      </c>
      <c r="IK22" s="32">
        <f t="shared" si="13"/>
        <v>93</v>
      </c>
      <c r="IL22" s="32">
        <f t="shared" si="13"/>
        <v>94</v>
      </c>
      <c r="IM22" s="32">
        <f t="shared" si="13"/>
        <v>95</v>
      </c>
      <c r="IN22" s="32">
        <f t="shared" si="13"/>
        <v>96</v>
      </c>
      <c r="IO22" s="32">
        <f t="shared" si="13"/>
        <v>97</v>
      </c>
      <c r="IP22" s="32">
        <f t="shared" si="13"/>
        <v>98</v>
      </c>
      <c r="IQ22" s="32">
        <f t="shared" si="13"/>
        <v>99</v>
      </c>
      <c r="IR22" s="32">
        <f t="shared" si="13"/>
        <v>100</v>
      </c>
      <c r="IS22" s="32">
        <f t="shared" si="13"/>
        <v>101</v>
      </c>
      <c r="IT22" s="32">
        <f t="shared" si="13"/>
        <v>102</v>
      </c>
      <c r="IU22" s="32">
        <f t="shared" si="13"/>
        <v>103</v>
      </c>
      <c r="IV22" s="32">
        <f t="shared" si="13"/>
        <v>104</v>
      </c>
      <c r="IW22" s="32">
        <f t="shared" si="13"/>
        <v>105</v>
      </c>
      <c r="IX22" s="32">
        <f t="shared" si="13"/>
        <v>106</v>
      </c>
      <c r="IY22" s="32">
        <f t="shared" si="13"/>
        <v>107</v>
      </c>
      <c r="IZ22" s="32">
        <f t="shared" si="13"/>
        <v>108</v>
      </c>
      <c r="JA22" s="32">
        <f t="shared" si="13"/>
        <v>109</v>
      </c>
      <c r="JB22" s="32">
        <f t="shared" si="13"/>
        <v>110</v>
      </c>
      <c r="JC22" s="32">
        <f t="shared" si="13"/>
        <v>111</v>
      </c>
      <c r="JD22" s="32">
        <f t="shared" si="13"/>
        <v>112</v>
      </c>
      <c r="JE22" s="32">
        <f t="shared" si="13"/>
        <v>113</v>
      </c>
      <c r="JF22" s="32">
        <f t="shared" si="13"/>
        <v>114</v>
      </c>
      <c r="JG22" s="32">
        <f t="shared" si="13"/>
        <v>115</v>
      </c>
      <c r="JH22" s="32">
        <f t="shared" si="13"/>
        <v>116</v>
      </c>
      <c r="JI22" s="32">
        <f t="shared" si="13"/>
        <v>117</v>
      </c>
      <c r="JJ22" s="32">
        <f t="shared" si="13"/>
        <v>118</v>
      </c>
      <c r="JK22" s="32">
        <f t="shared" si="13"/>
        <v>119</v>
      </c>
      <c r="JL22" s="32">
        <f t="shared" si="13"/>
        <v>120</v>
      </c>
      <c r="JM22" s="32">
        <f t="shared" si="13"/>
        <v>121</v>
      </c>
      <c r="JN22" s="32">
        <f t="shared" si="13"/>
        <v>122</v>
      </c>
      <c r="JO22" s="32">
        <f t="shared" si="13"/>
        <v>123</v>
      </c>
      <c r="JP22" s="32">
        <f t="shared" si="13"/>
        <v>124</v>
      </c>
      <c r="JQ22" s="32">
        <f t="shared" si="13"/>
        <v>125</v>
      </c>
      <c r="JR22" s="32">
        <f t="shared" si="13"/>
        <v>126</v>
      </c>
      <c r="JS22" s="32">
        <f t="shared" si="13"/>
        <v>127</v>
      </c>
      <c r="JT22" s="32">
        <f t="shared" si="13"/>
        <v>128</v>
      </c>
      <c r="JU22" s="32">
        <f t="shared" ref="JU22:JX23" si="14">EK22</f>
        <v>129</v>
      </c>
      <c r="JV22" s="32">
        <f t="shared" si="14"/>
        <v>130</v>
      </c>
      <c r="JW22" s="32">
        <f t="shared" si="14"/>
        <v>131</v>
      </c>
      <c r="JX22" s="32">
        <f t="shared" si="14"/>
        <v>132</v>
      </c>
    </row>
    <row r="23" spans="1:284" s="7" customFormat="1" x14ac:dyDescent="0.2">
      <c r="A23" s="406"/>
      <c r="B23" s="12" t="s">
        <v>28</v>
      </c>
      <c r="C23" s="10"/>
      <c r="D23" s="10"/>
      <c r="E23" s="10"/>
      <c r="F23" s="10"/>
      <c r="G23" s="544" t="str">
        <f>TEXT(Units_SF_M2,"#,##0")&amp;" NRA"</f>
        <v>255,000 NRA</v>
      </c>
      <c r="H23" s="545">
        <f>Units</f>
        <v>300</v>
      </c>
      <c r="I23" s="405"/>
      <c r="J23" s="463"/>
      <c r="K23" s="463" t="s">
        <v>505</v>
      </c>
      <c r="L23" s="36">
        <f>EOMONTH(E13,-1)</f>
        <v>44561</v>
      </c>
      <c r="M23" s="36">
        <f>EOMONTH(L23,1)</f>
        <v>44592</v>
      </c>
      <c r="N23" s="36">
        <f t="shared" ref="N23:BY23" si="15">EOMONTH(M23,1)</f>
        <v>44620</v>
      </c>
      <c r="O23" s="36">
        <f t="shared" si="15"/>
        <v>44651</v>
      </c>
      <c r="P23" s="36">
        <f t="shared" si="15"/>
        <v>44681</v>
      </c>
      <c r="Q23" s="36">
        <f t="shared" si="15"/>
        <v>44712</v>
      </c>
      <c r="R23" s="36">
        <f t="shared" si="15"/>
        <v>44742</v>
      </c>
      <c r="S23" s="36">
        <f t="shared" si="15"/>
        <v>44773</v>
      </c>
      <c r="T23" s="36">
        <f t="shared" si="15"/>
        <v>44804</v>
      </c>
      <c r="U23" s="36">
        <f t="shared" si="15"/>
        <v>44834</v>
      </c>
      <c r="V23" s="36">
        <f t="shared" si="15"/>
        <v>44865</v>
      </c>
      <c r="W23" s="36">
        <f t="shared" si="15"/>
        <v>44895</v>
      </c>
      <c r="X23" s="36">
        <f t="shared" si="15"/>
        <v>44926</v>
      </c>
      <c r="Y23" s="36">
        <f t="shared" si="15"/>
        <v>44957</v>
      </c>
      <c r="Z23" s="36">
        <f t="shared" si="15"/>
        <v>44985</v>
      </c>
      <c r="AA23" s="36">
        <f t="shared" si="15"/>
        <v>45016</v>
      </c>
      <c r="AB23" s="36">
        <f t="shared" si="15"/>
        <v>45046</v>
      </c>
      <c r="AC23" s="36">
        <f t="shared" si="15"/>
        <v>45077</v>
      </c>
      <c r="AD23" s="36">
        <f t="shared" si="15"/>
        <v>45107</v>
      </c>
      <c r="AE23" s="36">
        <f t="shared" si="15"/>
        <v>45138</v>
      </c>
      <c r="AF23" s="36">
        <f t="shared" si="15"/>
        <v>45169</v>
      </c>
      <c r="AG23" s="36">
        <f t="shared" si="15"/>
        <v>45199</v>
      </c>
      <c r="AH23" s="36">
        <f t="shared" si="15"/>
        <v>45230</v>
      </c>
      <c r="AI23" s="36">
        <f t="shared" si="15"/>
        <v>45260</v>
      </c>
      <c r="AJ23" s="36">
        <f t="shared" si="15"/>
        <v>45291</v>
      </c>
      <c r="AK23" s="36">
        <f t="shared" si="15"/>
        <v>45322</v>
      </c>
      <c r="AL23" s="36">
        <f t="shared" si="15"/>
        <v>45351</v>
      </c>
      <c r="AM23" s="36">
        <f t="shared" si="15"/>
        <v>45382</v>
      </c>
      <c r="AN23" s="36">
        <f t="shared" si="15"/>
        <v>45412</v>
      </c>
      <c r="AO23" s="36">
        <f t="shared" si="15"/>
        <v>45443</v>
      </c>
      <c r="AP23" s="36">
        <f t="shared" si="15"/>
        <v>45473</v>
      </c>
      <c r="AQ23" s="36">
        <f t="shared" si="15"/>
        <v>45504</v>
      </c>
      <c r="AR23" s="36">
        <f t="shared" si="15"/>
        <v>45535</v>
      </c>
      <c r="AS23" s="36">
        <f t="shared" si="15"/>
        <v>45565</v>
      </c>
      <c r="AT23" s="36">
        <f t="shared" si="15"/>
        <v>45596</v>
      </c>
      <c r="AU23" s="36">
        <f t="shared" si="15"/>
        <v>45626</v>
      </c>
      <c r="AV23" s="36">
        <f t="shared" si="15"/>
        <v>45657</v>
      </c>
      <c r="AW23" s="36">
        <f t="shared" si="15"/>
        <v>45688</v>
      </c>
      <c r="AX23" s="36">
        <f t="shared" si="15"/>
        <v>45716</v>
      </c>
      <c r="AY23" s="36">
        <f t="shared" si="15"/>
        <v>45747</v>
      </c>
      <c r="AZ23" s="36">
        <f t="shared" si="15"/>
        <v>45777</v>
      </c>
      <c r="BA23" s="36">
        <f t="shared" si="15"/>
        <v>45808</v>
      </c>
      <c r="BB23" s="36">
        <f t="shared" si="15"/>
        <v>45838</v>
      </c>
      <c r="BC23" s="36">
        <f t="shared" si="15"/>
        <v>45869</v>
      </c>
      <c r="BD23" s="36">
        <f t="shared" si="15"/>
        <v>45900</v>
      </c>
      <c r="BE23" s="36">
        <f t="shared" si="15"/>
        <v>45930</v>
      </c>
      <c r="BF23" s="36">
        <f t="shared" si="15"/>
        <v>45961</v>
      </c>
      <c r="BG23" s="36">
        <f t="shared" si="15"/>
        <v>45991</v>
      </c>
      <c r="BH23" s="36">
        <f t="shared" si="15"/>
        <v>46022</v>
      </c>
      <c r="BI23" s="36">
        <f t="shared" si="15"/>
        <v>46053</v>
      </c>
      <c r="BJ23" s="36">
        <f t="shared" si="15"/>
        <v>46081</v>
      </c>
      <c r="BK23" s="36">
        <f t="shared" si="15"/>
        <v>46112</v>
      </c>
      <c r="BL23" s="36">
        <f t="shared" si="15"/>
        <v>46142</v>
      </c>
      <c r="BM23" s="36">
        <f t="shared" si="15"/>
        <v>46173</v>
      </c>
      <c r="BN23" s="36">
        <f t="shared" si="15"/>
        <v>46203</v>
      </c>
      <c r="BO23" s="36">
        <f t="shared" si="15"/>
        <v>46234</v>
      </c>
      <c r="BP23" s="36">
        <f t="shared" si="15"/>
        <v>46265</v>
      </c>
      <c r="BQ23" s="36">
        <f t="shared" si="15"/>
        <v>46295</v>
      </c>
      <c r="BR23" s="36">
        <f t="shared" si="15"/>
        <v>46326</v>
      </c>
      <c r="BS23" s="36">
        <f t="shared" si="15"/>
        <v>46356</v>
      </c>
      <c r="BT23" s="36">
        <f t="shared" si="15"/>
        <v>46387</v>
      </c>
      <c r="BU23" s="36">
        <f t="shared" si="15"/>
        <v>46418</v>
      </c>
      <c r="BV23" s="36">
        <f t="shared" si="15"/>
        <v>46446</v>
      </c>
      <c r="BW23" s="36">
        <f t="shared" si="15"/>
        <v>46477</v>
      </c>
      <c r="BX23" s="36">
        <f t="shared" si="15"/>
        <v>46507</v>
      </c>
      <c r="BY23" s="36">
        <f t="shared" si="15"/>
        <v>46538</v>
      </c>
      <c r="BZ23" s="36">
        <f t="shared" ref="BZ23:EK23" si="16">EOMONTH(BY23,1)</f>
        <v>46568</v>
      </c>
      <c r="CA23" s="36">
        <f t="shared" si="16"/>
        <v>46599</v>
      </c>
      <c r="CB23" s="36">
        <f t="shared" si="16"/>
        <v>46630</v>
      </c>
      <c r="CC23" s="36">
        <f t="shared" si="16"/>
        <v>46660</v>
      </c>
      <c r="CD23" s="36">
        <f t="shared" si="16"/>
        <v>46691</v>
      </c>
      <c r="CE23" s="36">
        <f t="shared" si="16"/>
        <v>46721</v>
      </c>
      <c r="CF23" s="36">
        <f t="shared" si="16"/>
        <v>46752</v>
      </c>
      <c r="CG23" s="36">
        <f t="shared" si="16"/>
        <v>46783</v>
      </c>
      <c r="CH23" s="36">
        <f t="shared" si="16"/>
        <v>46812</v>
      </c>
      <c r="CI23" s="36">
        <f t="shared" si="16"/>
        <v>46843</v>
      </c>
      <c r="CJ23" s="36">
        <f t="shared" si="16"/>
        <v>46873</v>
      </c>
      <c r="CK23" s="36">
        <f t="shared" si="16"/>
        <v>46904</v>
      </c>
      <c r="CL23" s="36">
        <f t="shared" si="16"/>
        <v>46934</v>
      </c>
      <c r="CM23" s="36">
        <f t="shared" si="16"/>
        <v>46965</v>
      </c>
      <c r="CN23" s="36">
        <f t="shared" si="16"/>
        <v>46996</v>
      </c>
      <c r="CO23" s="36">
        <f t="shared" si="16"/>
        <v>47026</v>
      </c>
      <c r="CP23" s="36">
        <f t="shared" si="16"/>
        <v>47057</v>
      </c>
      <c r="CQ23" s="36">
        <f t="shared" si="16"/>
        <v>47087</v>
      </c>
      <c r="CR23" s="36">
        <f t="shared" si="16"/>
        <v>47118</v>
      </c>
      <c r="CS23" s="36">
        <f t="shared" si="16"/>
        <v>47149</v>
      </c>
      <c r="CT23" s="36">
        <f t="shared" si="16"/>
        <v>47177</v>
      </c>
      <c r="CU23" s="36">
        <f t="shared" si="16"/>
        <v>47208</v>
      </c>
      <c r="CV23" s="36">
        <f t="shared" si="16"/>
        <v>47238</v>
      </c>
      <c r="CW23" s="36">
        <f t="shared" si="16"/>
        <v>47269</v>
      </c>
      <c r="CX23" s="36">
        <f t="shared" si="16"/>
        <v>47299</v>
      </c>
      <c r="CY23" s="36">
        <f t="shared" si="16"/>
        <v>47330</v>
      </c>
      <c r="CZ23" s="36">
        <f t="shared" si="16"/>
        <v>47361</v>
      </c>
      <c r="DA23" s="36">
        <f t="shared" si="16"/>
        <v>47391</v>
      </c>
      <c r="DB23" s="36">
        <f t="shared" si="16"/>
        <v>47422</v>
      </c>
      <c r="DC23" s="36">
        <f t="shared" si="16"/>
        <v>47452</v>
      </c>
      <c r="DD23" s="36">
        <f t="shared" si="16"/>
        <v>47483</v>
      </c>
      <c r="DE23" s="36">
        <f t="shared" si="16"/>
        <v>47514</v>
      </c>
      <c r="DF23" s="36">
        <f t="shared" si="16"/>
        <v>47542</v>
      </c>
      <c r="DG23" s="36">
        <f t="shared" si="16"/>
        <v>47573</v>
      </c>
      <c r="DH23" s="36">
        <f t="shared" si="16"/>
        <v>47603</v>
      </c>
      <c r="DI23" s="36">
        <f t="shared" si="16"/>
        <v>47634</v>
      </c>
      <c r="DJ23" s="36">
        <f t="shared" si="16"/>
        <v>47664</v>
      </c>
      <c r="DK23" s="36">
        <f t="shared" si="16"/>
        <v>47695</v>
      </c>
      <c r="DL23" s="36">
        <f t="shared" si="16"/>
        <v>47726</v>
      </c>
      <c r="DM23" s="36">
        <f t="shared" si="16"/>
        <v>47756</v>
      </c>
      <c r="DN23" s="36">
        <f t="shared" si="16"/>
        <v>47787</v>
      </c>
      <c r="DO23" s="36">
        <f t="shared" si="16"/>
        <v>47817</v>
      </c>
      <c r="DP23" s="36">
        <f t="shared" si="16"/>
        <v>47848</v>
      </c>
      <c r="DQ23" s="36">
        <f t="shared" si="16"/>
        <v>47879</v>
      </c>
      <c r="DR23" s="36">
        <f t="shared" si="16"/>
        <v>47907</v>
      </c>
      <c r="DS23" s="36">
        <f t="shared" si="16"/>
        <v>47938</v>
      </c>
      <c r="DT23" s="36">
        <f t="shared" si="16"/>
        <v>47968</v>
      </c>
      <c r="DU23" s="36">
        <f t="shared" si="16"/>
        <v>47999</v>
      </c>
      <c r="DV23" s="36">
        <f t="shared" si="16"/>
        <v>48029</v>
      </c>
      <c r="DW23" s="36">
        <f t="shared" si="16"/>
        <v>48060</v>
      </c>
      <c r="DX23" s="36">
        <f t="shared" si="16"/>
        <v>48091</v>
      </c>
      <c r="DY23" s="36">
        <f t="shared" si="16"/>
        <v>48121</v>
      </c>
      <c r="DZ23" s="36">
        <f t="shared" si="16"/>
        <v>48152</v>
      </c>
      <c r="EA23" s="36">
        <f t="shared" si="16"/>
        <v>48182</v>
      </c>
      <c r="EB23" s="36">
        <f t="shared" si="16"/>
        <v>48213</v>
      </c>
      <c r="EC23" s="36">
        <f t="shared" si="16"/>
        <v>48244</v>
      </c>
      <c r="ED23" s="36">
        <f t="shared" si="16"/>
        <v>48273</v>
      </c>
      <c r="EE23" s="36">
        <f t="shared" si="16"/>
        <v>48304</v>
      </c>
      <c r="EF23" s="36">
        <f t="shared" si="16"/>
        <v>48334</v>
      </c>
      <c r="EG23" s="36">
        <f t="shared" si="16"/>
        <v>48365</v>
      </c>
      <c r="EH23" s="36">
        <f t="shared" si="16"/>
        <v>48395</v>
      </c>
      <c r="EI23" s="36">
        <f t="shared" si="16"/>
        <v>48426</v>
      </c>
      <c r="EJ23" s="36">
        <f t="shared" si="16"/>
        <v>48457</v>
      </c>
      <c r="EK23" s="36">
        <f t="shared" si="16"/>
        <v>48487</v>
      </c>
      <c r="EL23" s="36">
        <f>EOMONTH(EK23,1)</f>
        <v>48518</v>
      </c>
      <c r="EM23" s="36">
        <f>EOMONTH(EL23,1)</f>
        <v>48548</v>
      </c>
      <c r="EN23" s="36">
        <f>EOMONTH(EM23,1)</f>
        <v>48579</v>
      </c>
      <c r="EP23" s="34" t="s">
        <v>46</v>
      </c>
      <c r="EQ23" s="34" t="s">
        <v>54</v>
      </c>
      <c r="ER23" s="34" t="s">
        <v>55</v>
      </c>
      <c r="ES23" s="34" t="s">
        <v>56</v>
      </c>
      <c r="ET23" s="34" t="s">
        <v>57</v>
      </c>
      <c r="EU23" s="34" t="s">
        <v>58</v>
      </c>
      <c r="EV23" s="35">
        <f>L23</f>
        <v>44561</v>
      </c>
      <c r="EW23" s="35">
        <f t="shared" si="12"/>
        <v>44592</v>
      </c>
      <c r="EX23" s="35">
        <f t="shared" si="12"/>
        <v>44620</v>
      </c>
      <c r="EY23" s="35">
        <f t="shared" si="12"/>
        <v>44651</v>
      </c>
      <c r="EZ23" s="35">
        <f t="shared" si="12"/>
        <v>44681</v>
      </c>
      <c r="FA23" s="35">
        <f t="shared" si="12"/>
        <v>44712</v>
      </c>
      <c r="FB23" s="35">
        <f t="shared" si="12"/>
        <v>44742</v>
      </c>
      <c r="FC23" s="35">
        <f t="shared" si="12"/>
        <v>44773</v>
      </c>
      <c r="FD23" s="35">
        <f t="shared" si="12"/>
        <v>44804</v>
      </c>
      <c r="FE23" s="35">
        <f t="shared" si="12"/>
        <v>44834</v>
      </c>
      <c r="FF23" s="35">
        <f t="shared" si="12"/>
        <v>44865</v>
      </c>
      <c r="FG23" s="35">
        <f t="shared" si="12"/>
        <v>44895</v>
      </c>
      <c r="FH23" s="35">
        <f t="shared" si="12"/>
        <v>44926</v>
      </c>
      <c r="FI23" s="35">
        <f t="shared" si="12"/>
        <v>44957</v>
      </c>
      <c r="FJ23" s="35">
        <f t="shared" si="12"/>
        <v>44985</v>
      </c>
      <c r="FK23" s="35">
        <f t="shared" si="12"/>
        <v>45016</v>
      </c>
      <c r="FL23" s="35">
        <f t="shared" si="12"/>
        <v>45046</v>
      </c>
      <c r="FM23" s="35">
        <f t="shared" si="12"/>
        <v>45077</v>
      </c>
      <c r="FN23" s="35">
        <f t="shared" si="12"/>
        <v>45107</v>
      </c>
      <c r="FO23" s="35">
        <f t="shared" si="12"/>
        <v>45138</v>
      </c>
      <c r="FP23" s="35">
        <f t="shared" si="12"/>
        <v>45169</v>
      </c>
      <c r="FQ23" s="35">
        <f t="shared" si="12"/>
        <v>45199</v>
      </c>
      <c r="FR23" s="35">
        <f t="shared" si="12"/>
        <v>45230</v>
      </c>
      <c r="FS23" s="35">
        <f t="shared" si="12"/>
        <v>45260</v>
      </c>
      <c r="FT23" s="35">
        <f t="shared" si="12"/>
        <v>45291</v>
      </c>
      <c r="FU23" s="35">
        <f t="shared" si="12"/>
        <v>45322</v>
      </c>
      <c r="FV23" s="35">
        <f t="shared" si="12"/>
        <v>45351</v>
      </c>
      <c r="FW23" s="35">
        <f t="shared" si="12"/>
        <v>45382</v>
      </c>
      <c r="FX23" s="35">
        <f t="shared" si="12"/>
        <v>45412</v>
      </c>
      <c r="FY23" s="35">
        <f t="shared" si="12"/>
        <v>45443</v>
      </c>
      <c r="FZ23" s="35">
        <f t="shared" si="12"/>
        <v>45473</v>
      </c>
      <c r="GA23" s="35">
        <f t="shared" si="12"/>
        <v>45504</v>
      </c>
      <c r="GB23" s="35">
        <f t="shared" si="12"/>
        <v>45535</v>
      </c>
      <c r="GC23" s="35">
        <f t="shared" si="12"/>
        <v>45565</v>
      </c>
      <c r="GD23" s="35">
        <f t="shared" si="12"/>
        <v>45596</v>
      </c>
      <c r="GE23" s="35">
        <f t="shared" si="12"/>
        <v>45626</v>
      </c>
      <c r="GF23" s="35">
        <f t="shared" si="12"/>
        <v>45657</v>
      </c>
      <c r="GG23" s="35">
        <f t="shared" si="12"/>
        <v>45688</v>
      </c>
      <c r="GH23" s="35">
        <f t="shared" si="12"/>
        <v>45716</v>
      </c>
      <c r="GI23" s="35">
        <f t="shared" si="12"/>
        <v>45747</v>
      </c>
      <c r="GJ23" s="35">
        <f t="shared" si="12"/>
        <v>45777</v>
      </c>
      <c r="GK23" s="35">
        <f t="shared" si="12"/>
        <v>45808</v>
      </c>
      <c r="GL23" s="35">
        <f t="shared" si="12"/>
        <v>45838</v>
      </c>
      <c r="GM23" s="35">
        <f t="shared" si="12"/>
        <v>45869</v>
      </c>
      <c r="GN23" s="35">
        <f t="shared" si="12"/>
        <v>45900</v>
      </c>
      <c r="GO23" s="35">
        <f t="shared" si="12"/>
        <v>45930</v>
      </c>
      <c r="GP23" s="35">
        <f t="shared" si="12"/>
        <v>45961</v>
      </c>
      <c r="GQ23" s="35">
        <f t="shared" si="12"/>
        <v>45991</v>
      </c>
      <c r="GR23" s="35">
        <f t="shared" si="12"/>
        <v>46022</v>
      </c>
      <c r="GS23" s="35">
        <f t="shared" si="12"/>
        <v>46053</v>
      </c>
      <c r="GT23" s="35">
        <f t="shared" si="12"/>
        <v>46081</v>
      </c>
      <c r="GU23" s="35">
        <f t="shared" si="12"/>
        <v>46112</v>
      </c>
      <c r="GV23" s="35">
        <f t="shared" si="12"/>
        <v>46142</v>
      </c>
      <c r="GW23" s="35">
        <f t="shared" si="12"/>
        <v>46173</v>
      </c>
      <c r="GX23" s="35">
        <f t="shared" si="12"/>
        <v>46203</v>
      </c>
      <c r="GY23" s="35">
        <f t="shared" si="12"/>
        <v>46234</v>
      </c>
      <c r="GZ23" s="35">
        <f t="shared" si="12"/>
        <v>46265</v>
      </c>
      <c r="HA23" s="35">
        <f t="shared" si="12"/>
        <v>46295</v>
      </c>
      <c r="HB23" s="35">
        <f t="shared" si="12"/>
        <v>46326</v>
      </c>
      <c r="HC23" s="35">
        <f t="shared" si="12"/>
        <v>46356</v>
      </c>
      <c r="HD23" s="35">
        <f t="shared" si="12"/>
        <v>46387</v>
      </c>
      <c r="HE23" s="35">
        <f t="shared" si="12"/>
        <v>46418</v>
      </c>
      <c r="HF23" s="35">
        <f t="shared" si="12"/>
        <v>46446</v>
      </c>
      <c r="HG23" s="35">
        <f t="shared" si="12"/>
        <v>46477</v>
      </c>
      <c r="HH23" s="35">
        <f t="shared" si="12"/>
        <v>46507</v>
      </c>
      <c r="HI23" s="35">
        <f t="shared" si="13"/>
        <v>46538</v>
      </c>
      <c r="HJ23" s="35">
        <f t="shared" si="13"/>
        <v>46568</v>
      </c>
      <c r="HK23" s="35">
        <f t="shared" si="13"/>
        <v>46599</v>
      </c>
      <c r="HL23" s="35">
        <f t="shared" si="13"/>
        <v>46630</v>
      </c>
      <c r="HM23" s="35">
        <f t="shared" si="13"/>
        <v>46660</v>
      </c>
      <c r="HN23" s="35">
        <f t="shared" si="13"/>
        <v>46691</v>
      </c>
      <c r="HO23" s="35">
        <f t="shared" si="13"/>
        <v>46721</v>
      </c>
      <c r="HP23" s="35">
        <f t="shared" si="13"/>
        <v>46752</v>
      </c>
      <c r="HQ23" s="35">
        <f t="shared" si="13"/>
        <v>46783</v>
      </c>
      <c r="HR23" s="35">
        <f t="shared" si="13"/>
        <v>46812</v>
      </c>
      <c r="HS23" s="35">
        <f t="shared" si="13"/>
        <v>46843</v>
      </c>
      <c r="HT23" s="35">
        <f t="shared" si="13"/>
        <v>46873</v>
      </c>
      <c r="HU23" s="35">
        <f t="shared" si="13"/>
        <v>46904</v>
      </c>
      <c r="HV23" s="35">
        <f t="shared" si="13"/>
        <v>46934</v>
      </c>
      <c r="HW23" s="35">
        <f t="shared" si="13"/>
        <v>46965</v>
      </c>
      <c r="HX23" s="35">
        <f t="shared" si="13"/>
        <v>46996</v>
      </c>
      <c r="HY23" s="35">
        <f t="shared" si="13"/>
        <v>47026</v>
      </c>
      <c r="HZ23" s="35">
        <f t="shared" si="13"/>
        <v>47057</v>
      </c>
      <c r="IA23" s="35">
        <f t="shared" si="13"/>
        <v>47087</v>
      </c>
      <c r="IB23" s="35">
        <f t="shared" si="13"/>
        <v>47118</v>
      </c>
      <c r="IC23" s="35">
        <f t="shared" si="13"/>
        <v>47149</v>
      </c>
      <c r="ID23" s="35">
        <f t="shared" si="13"/>
        <v>47177</v>
      </c>
      <c r="IE23" s="35">
        <f t="shared" si="13"/>
        <v>47208</v>
      </c>
      <c r="IF23" s="35">
        <f t="shared" si="13"/>
        <v>47238</v>
      </c>
      <c r="IG23" s="35">
        <f t="shared" si="13"/>
        <v>47269</v>
      </c>
      <c r="IH23" s="35">
        <f t="shared" si="13"/>
        <v>47299</v>
      </c>
      <c r="II23" s="35">
        <f t="shared" si="13"/>
        <v>47330</v>
      </c>
      <c r="IJ23" s="35">
        <f t="shared" si="13"/>
        <v>47361</v>
      </c>
      <c r="IK23" s="35">
        <f t="shared" si="13"/>
        <v>47391</v>
      </c>
      <c r="IL23" s="35">
        <f t="shared" si="13"/>
        <v>47422</v>
      </c>
      <c r="IM23" s="35">
        <f t="shared" si="13"/>
        <v>47452</v>
      </c>
      <c r="IN23" s="35">
        <f t="shared" si="13"/>
        <v>47483</v>
      </c>
      <c r="IO23" s="35">
        <f t="shared" si="13"/>
        <v>47514</v>
      </c>
      <c r="IP23" s="35">
        <f t="shared" si="13"/>
        <v>47542</v>
      </c>
      <c r="IQ23" s="35">
        <f t="shared" si="13"/>
        <v>47573</v>
      </c>
      <c r="IR23" s="35">
        <f t="shared" si="13"/>
        <v>47603</v>
      </c>
      <c r="IS23" s="35">
        <f t="shared" si="13"/>
        <v>47634</v>
      </c>
      <c r="IT23" s="35">
        <f t="shared" si="13"/>
        <v>47664</v>
      </c>
      <c r="IU23" s="35">
        <f t="shared" si="13"/>
        <v>47695</v>
      </c>
      <c r="IV23" s="35">
        <f t="shared" si="13"/>
        <v>47726</v>
      </c>
      <c r="IW23" s="35">
        <f t="shared" si="13"/>
        <v>47756</v>
      </c>
      <c r="IX23" s="35">
        <f t="shared" si="13"/>
        <v>47787</v>
      </c>
      <c r="IY23" s="35">
        <f t="shared" si="13"/>
        <v>47817</v>
      </c>
      <c r="IZ23" s="35">
        <f t="shared" si="13"/>
        <v>47848</v>
      </c>
      <c r="JA23" s="35">
        <f t="shared" si="13"/>
        <v>47879</v>
      </c>
      <c r="JB23" s="35">
        <f t="shared" si="13"/>
        <v>47907</v>
      </c>
      <c r="JC23" s="35">
        <f t="shared" si="13"/>
        <v>47938</v>
      </c>
      <c r="JD23" s="35">
        <f t="shared" si="13"/>
        <v>47968</v>
      </c>
      <c r="JE23" s="35">
        <f t="shared" si="13"/>
        <v>47999</v>
      </c>
      <c r="JF23" s="35">
        <f t="shared" si="13"/>
        <v>48029</v>
      </c>
      <c r="JG23" s="35">
        <f t="shared" si="13"/>
        <v>48060</v>
      </c>
      <c r="JH23" s="35">
        <f t="shared" si="13"/>
        <v>48091</v>
      </c>
      <c r="JI23" s="35">
        <f t="shared" si="13"/>
        <v>48121</v>
      </c>
      <c r="JJ23" s="35">
        <f t="shared" si="13"/>
        <v>48152</v>
      </c>
      <c r="JK23" s="35">
        <f t="shared" si="13"/>
        <v>48182</v>
      </c>
      <c r="JL23" s="35">
        <f t="shared" si="13"/>
        <v>48213</v>
      </c>
      <c r="JM23" s="35">
        <f t="shared" si="13"/>
        <v>48244</v>
      </c>
      <c r="JN23" s="35">
        <f t="shared" si="13"/>
        <v>48273</v>
      </c>
      <c r="JO23" s="35">
        <f t="shared" si="13"/>
        <v>48304</v>
      </c>
      <c r="JP23" s="35">
        <f t="shared" si="13"/>
        <v>48334</v>
      </c>
      <c r="JQ23" s="35">
        <f t="shared" si="13"/>
        <v>48365</v>
      </c>
      <c r="JR23" s="35">
        <f t="shared" si="13"/>
        <v>48395</v>
      </c>
      <c r="JS23" s="35">
        <f t="shared" si="13"/>
        <v>48426</v>
      </c>
      <c r="JT23" s="35">
        <f t="shared" si="13"/>
        <v>48457</v>
      </c>
      <c r="JU23" s="35">
        <f t="shared" si="14"/>
        <v>48487</v>
      </c>
      <c r="JV23" s="35">
        <f t="shared" si="14"/>
        <v>48518</v>
      </c>
      <c r="JW23" s="35">
        <f t="shared" si="14"/>
        <v>48548</v>
      </c>
      <c r="JX23" s="35">
        <f t="shared" si="14"/>
        <v>48579</v>
      </c>
    </row>
    <row r="24" spans="1:284" s="7" customFormat="1" x14ac:dyDescent="0.2">
      <c r="A24" s="406"/>
      <c r="B24" s="100" t="s">
        <v>29</v>
      </c>
      <c r="C24" s="102"/>
      <c r="D24" s="102" t="s">
        <v>20</v>
      </c>
      <c r="E24" s="102" t="s">
        <v>21</v>
      </c>
      <c r="F24" s="102" t="s">
        <v>23</v>
      </c>
      <c r="G24" s="116" t="str">
        <f>"/RENTABLE "&amp;Unit_Type</f>
        <v>/RENTABLE SF</v>
      </c>
      <c r="H24" s="116" t="s">
        <v>38</v>
      </c>
      <c r="I24" s="102" t="s">
        <v>22</v>
      </c>
      <c r="J24" s="63"/>
      <c r="K24" s="63" t="s">
        <v>116</v>
      </c>
      <c r="L24" s="269">
        <f>SUM($L$53:L53)/Project_Cost_Total</f>
        <v>6.4103031043628869E-2</v>
      </c>
      <c r="M24" s="62">
        <f>SUM($L$53:M53)/Project_Cost_Total</f>
        <v>7.152615457508657E-2</v>
      </c>
      <c r="N24" s="62">
        <f>SUM($L$53:N53)/Project_Cost_Total</f>
        <v>8.1690574412759814E-2</v>
      </c>
      <c r="O24" s="62">
        <f>SUM($L$53:O53)/Project_Cost_Total</f>
        <v>9.7291376036005781E-2</v>
      </c>
      <c r="P24" s="62">
        <f>SUM($L$53:P53)/Project_Cost_Total</f>
        <v>0.12236139191850044</v>
      </c>
      <c r="Q24" s="62">
        <f>SUM($L$53:Q53)/Project_Cost_Total</f>
        <v>0.16180929216543133</v>
      </c>
      <c r="R24" s="62">
        <f>SUM($L$53:R53)/Project_Cost_Total</f>
        <v>0.22004882206622331</v>
      </c>
      <c r="S24" s="62">
        <f>SUM($L$53:S53)/Project_Cost_Total</f>
        <v>0.29893393018663267</v>
      </c>
      <c r="T24" s="62">
        <f>SUM($L$53:T53)/Project_Cost_Total</f>
        <v>0.39610144167856515</v>
      </c>
      <c r="U24" s="62">
        <f>SUM($L$53:U53)/Project_Cost_Total</f>
        <v>0.50431984954543962</v>
      </c>
      <c r="V24" s="62">
        <f>SUM($L$53:V53)/Project_Cost_Total</f>
        <v>0.6129891674450928</v>
      </c>
      <c r="W24" s="62">
        <f>SUM($L$53:W53)/Project_Cost_Total</f>
        <v>0.71146524242560205</v>
      </c>
      <c r="X24" s="62">
        <f>SUM($L$53:X53)/Project_Cost_Total</f>
        <v>0.79227312247941684</v>
      </c>
      <c r="Y24" s="62">
        <f>SUM($L$53:Y53)/Project_Cost_Total</f>
        <v>0.8528652260295102</v>
      </c>
      <c r="Z24" s="62">
        <f>SUM($L$53:Z53)/Project_Cost_Total</f>
        <v>0.89501581666852414</v>
      </c>
      <c r="AA24" s="62">
        <f>SUM($L$53:AA53)/Project_Cost_Total</f>
        <v>0.92303100950899997</v>
      </c>
      <c r="AB24" s="62">
        <f>SUM($L$53:AB53)/Project_Cost_Total</f>
        <v>0.94173756694837507</v>
      </c>
      <c r="AC24" s="62">
        <f>SUM($L$53:AC53)/Project_Cost_Total</f>
        <v>0.95511511393831405</v>
      </c>
      <c r="AD24" s="62">
        <f>SUM($L$53:AD53)/Project_Cost_Total</f>
        <v>0.96582877476891182</v>
      </c>
      <c r="AE24" s="62">
        <f>SUM($L$53:AE53)/Project_Cost_Total</f>
        <v>0.97150947635107066</v>
      </c>
      <c r="AF24" s="62">
        <f>SUM($L$53:AF53)/Project_Cost_Total</f>
        <v>0.97668250678814916</v>
      </c>
      <c r="AG24" s="62">
        <f>SUM($L$53:AG53)/Project_Cost_Total</f>
        <v>0.981345496948137</v>
      </c>
      <c r="AH24" s="62">
        <f>SUM($L$53:AH53)/Project_Cost_Total</f>
        <v>0.98549606664307443</v>
      </c>
      <c r="AI24" s="62">
        <f>SUM($L$53:AI53)/Project_Cost_Total</f>
        <v>0.98913182457745796</v>
      </c>
      <c r="AJ24" s="62">
        <f>SUM($L$53:AJ53)/Project_Cost_Total</f>
        <v>0.99225036829640489</v>
      </c>
      <c r="AK24" s="62">
        <f>SUM($L$53:AK53)/Project_Cost_Total</f>
        <v>0.99484928413357665</v>
      </c>
      <c r="AL24" s="62">
        <f>SUM($L$53:AL53)/Project_Cost_Total</f>
        <v>0.99692614715885808</v>
      </c>
      <c r="AM24" s="62">
        <f>SUM($L$53:AM53)/Project_Cost_Total</f>
        <v>0.99847852112579383</v>
      </c>
      <c r="AN24" s="62">
        <f>SUM($L$53:AN53)/Project_Cost_Total</f>
        <v>0.99950395841877826</v>
      </c>
      <c r="AO24" s="62">
        <f>SUM($L$53:AO53)/Project_Cost_Total</f>
        <v>0.99999999999999978</v>
      </c>
      <c r="AP24" s="62">
        <f>SUM($L$53:AP53)/Project_Cost_Total</f>
        <v>0.99999999999999978</v>
      </c>
      <c r="AQ24" s="62">
        <f>SUM($L$53:AQ53)/Project_Cost_Total</f>
        <v>0.99999999999999978</v>
      </c>
      <c r="AR24" s="62">
        <f>SUM($L$53:AR53)/Project_Cost_Total</f>
        <v>0.99999999999999978</v>
      </c>
      <c r="AS24" s="62">
        <f>SUM($L$53:AS53)/Project_Cost_Total</f>
        <v>0.99999999999999978</v>
      </c>
      <c r="AT24" s="62">
        <f>SUM($L$53:AT53)/Project_Cost_Total</f>
        <v>0.99999999999999978</v>
      </c>
      <c r="AU24" s="62">
        <f>SUM($L$53:AU53)/Project_Cost_Total</f>
        <v>0.99999999999999978</v>
      </c>
      <c r="AV24" s="62">
        <f>SUM($L$53:AV53)/Project_Cost_Total</f>
        <v>0.99999999999999978</v>
      </c>
      <c r="AW24" s="62">
        <f>SUM($L$53:AW53)/Project_Cost_Total</f>
        <v>0.99999999999999978</v>
      </c>
      <c r="AX24" s="62">
        <f>SUM($L$53:AX53)/Project_Cost_Total</f>
        <v>0.99999999999999978</v>
      </c>
      <c r="AY24" s="62">
        <f>SUM($L$53:AY53)/Project_Cost_Total</f>
        <v>0.99999999999999978</v>
      </c>
      <c r="AZ24" s="62">
        <f>SUM($L$53:AZ53)/Project_Cost_Total</f>
        <v>0.99999999999999978</v>
      </c>
      <c r="BA24" s="62">
        <f>SUM($L$53:BA53)/Project_Cost_Total</f>
        <v>0.99999999999999978</v>
      </c>
      <c r="BB24" s="62">
        <f>SUM($L$53:BB53)/Project_Cost_Total</f>
        <v>0.99999999999999978</v>
      </c>
      <c r="BC24" s="62">
        <f>SUM($L$53:BC53)/Project_Cost_Total</f>
        <v>0.99999999999999978</v>
      </c>
      <c r="BD24" s="62">
        <f>SUM($L$53:BD53)/Project_Cost_Total</f>
        <v>0.99999999999999978</v>
      </c>
      <c r="BE24" s="62">
        <f>SUM($L$53:BE53)/Project_Cost_Total</f>
        <v>0.99999999999999978</v>
      </c>
      <c r="BF24" s="62">
        <f>SUM($L$53:BF53)/Project_Cost_Total</f>
        <v>0.99999999999999978</v>
      </c>
      <c r="BG24" s="62">
        <f>SUM($L$53:BG53)/Project_Cost_Total</f>
        <v>0.99999999999999978</v>
      </c>
      <c r="BH24" s="62">
        <f>SUM($L$53:BH53)/Project_Cost_Total</f>
        <v>0.99999999999999978</v>
      </c>
      <c r="BI24" s="62">
        <f>SUM($L$53:BI53)/Project_Cost_Total</f>
        <v>0.99999999999999978</v>
      </c>
      <c r="BJ24" s="62">
        <f>SUM($L$53:BJ53)/Project_Cost_Total</f>
        <v>0.99999999999999978</v>
      </c>
      <c r="BK24" s="62">
        <f>SUM($L$53:BK53)/Project_Cost_Total</f>
        <v>0.99999999999999978</v>
      </c>
      <c r="BL24" s="62">
        <f>SUM($L$53:BL53)/Project_Cost_Total</f>
        <v>0.99999999999999978</v>
      </c>
      <c r="BM24" s="62">
        <f>SUM($L$53:BM53)/Project_Cost_Total</f>
        <v>0.99999999999999978</v>
      </c>
      <c r="BN24" s="62">
        <f>SUM($L$53:BN53)/Project_Cost_Total</f>
        <v>0.99999999999999978</v>
      </c>
      <c r="BO24" s="62">
        <f>SUM($L$53:BO53)/Project_Cost_Total</f>
        <v>0.99999999999999978</v>
      </c>
      <c r="BP24" s="62">
        <f>SUM($L$53:BP53)/Project_Cost_Total</f>
        <v>0.99999999999999978</v>
      </c>
      <c r="BQ24" s="62">
        <f>SUM($L$53:BQ53)/Project_Cost_Total</f>
        <v>0.99999999999999978</v>
      </c>
      <c r="BR24" s="62">
        <f>SUM($L$53:BR53)/Project_Cost_Total</f>
        <v>0.99999999999999978</v>
      </c>
      <c r="BS24" s="62">
        <f>SUM($L$53:BS53)/Project_Cost_Total</f>
        <v>0.99999999999999978</v>
      </c>
      <c r="BT24" s="62">
        <f>SUM($L$53:BT53)/Project_Cost_Total</f>
        <v>0.99999999999999978</v>
      </c>
      <c r="BU24" s="62">
        <f>SUM($L$53:BU53)/Project_Cost_Total</f>
        <v>0.99999999999999978</v>
      </c>
      <c r="BV24" s="62">
        <f>SUM($L$53:BV53)/Project_Cost_Total</f>
        <v>0.99999999999999978</v>
      </c>
      <c r="BW24" s="62">
        <f>SUM($L$53:BW53)/Project_Cost_Total</f>
        <v>0.99999999999999978</v>
      </c>
      <c r="BX24" s="62">
        <f>SUM($L$53:BX53)/Project_Cost_Total</f>
        <v>0.99999999999999978</v>
      </c>
      <c r="BY24" s="62">
        <f>SUM($L$53:BY53)/Project_Cost_Total</f>
        <v>0.99999999999999978</v>
      </c>
      <c r="BZ24" s="62">
        <f>SUM($L$53:BZ53)/Project_Cost_Total</f>
        <v>0.99999999999999978</v>
      </c>
      <c r="CA24" s="62">
        <f>SUM($L$53:CA53)/Project_Cost_Total</f>
        <v>0.99999999999999978</v>
      </c>
      <c r="CB24" s="62">
        <f>SUM($L$53:CB53)/Project_Cost_Total</f>
        <v>0.99999999999999978</v>
      </c>
      <c r="CC24" s="62">
        <f>SUM($L$53:CC53)/Project_Cost_Total</f>
        <v>0.99999999999999978</v>
      </c>
      <c r="CD24" s="62">
        <f>SUM($L$53:CD53)/Project_Cost_Total</f>
        <v>0.99999999999999978</v>
      </c>
      <c r="CE24" s="62">
        <f>SUM($L$53:CE53)/Project_Cost_Total</f>
        <v>0.99999999999999978</v>
      </c>
      <c r="CF24" s="62">
        <f>SUM($L$53:CF53)/Project_Cost_Total</f>
        <v>0.99999999999999978</v>
      </c>
      <c r="CG24" s="62">
        <f>SUM($L$53:CG53)/Project_Cost_Total</f>
        <v>0.99999999999999978</v>
      </c>
      <c r="CH24" s="62">
        <f>SUM($L$53:CH53)/Project_Cost_Total</f>
        <v>0.99999999999999978</v>
      </c>
      <c r="CI24" s="62">
        <f>SUM($L$53:CI53)/Project_Cost_Total</f>
        <v>0.99999999999999978</v>
      </c>
      <c r="CJ24" s="62">
        <f>SUM($L$53:CJ53)/Project_Cost_Total</f>
        <v>0.99999999999999978</v>
      </c>
      <c r="CK24" s="62">
        <f>SUM($L$53:CK53)/Project_Cost_Total</f>
        <v>0.99999999999999978</v>
      </c>
      <c r="CL24" s="62">
        <f>SUM($L$53:CL53)/Project_Cost_Total</f>
        <v>0.99999999999999978</v>
      </c>
      <c r="CM24" s="62">
        <f>SUM($L$53:CM53)/Project_Cost_Total</f>
        <v>0.99999999999999978</v>
      </c>
      <c r="CN24" s="62">
        <f>SUM($L$53:CN53)/Project_Cost_Total</f>
        <v>0.99999999999999978</v>
      </c>
      <c r="CO24" s="62">
        <f>SUM($L$53:CO53)/Project_Cost_Total</f>
        <v>0.99999999999999978</v>
      </c>
      <c r="CP24" s="62">
        <f>SUM($L$53:CP53)/Project_Cost_Total</f>
        <v>0.99999999999999978</v>
      </c>
      <c r="CQ24" s="62">
        <f>SUM($L$53:CQ53)/Project_Cost_Total</f>
        <v>0.99999999999999978</v>
      </c>
      <c r="CR24" s="62">
        <f>SUM($L$53:CR53)/Project_Cost_Total</f>
        <v>0.99999999999999978</v>
      </c>
      <c r="CS24" s="62">
        <f>SUM($L$53:CS53)/Project_Cost_Total</f>
        <v>0.99999999999999978</v>
      </c>
      <c r="CT24" s="62">
        <f>SUM($L$53:CT53)/Project_Cost_Total</f>
        <v>0.99999999999999978</v>
      </c>
      <c r="CU24" s="62">
        <f>SUM($L$53:CU53)/Project_Cost_Total</f>
        <v>0.99999999999999978</v>
      </c>
      <c r="CV24" s="62">
        <f>SUM($L$53:CV53)/Project_Cost_Total</f>
        <v>0.99999999999999978</v>
      </c>
      <c r="CW24" s="62">
        <f>SUM($L$53:CW53)/Project_Cost_Total</f>
        <v>0.99999999999999978</v>
      </c>
      <c r="CX24" s="62">
        <f>SUM($L$53:CX53)/Project_Cost_Total</f>
        <v>0.99999999999999978</v>
      </c>
      <c r="CY24" s="62">
        <f>SUM($L$53:CY53)/Project_Cost_Total</f>
        <v>0.99999999999999978</v>
      </c>
      <c r="CZ24" s="62">
        <f>SUM($L$53:CZ53)/Project_Cost_Total</f>
        <v>0.99999999999999978</v>
      </c>
      <c r="DA24" s="62">
        <f>SUM($L$53:DA53)/Project_Cost_Total</f>
        <v>0.99999999999999978</v>
      </c>
      <c r="DB24" s="62">
        <f>SUM($L$53:DB53)/Project_Cost_Total</f>
        <v>0.99999999999999978</v>
      </c>
      <c r="DC24" s="62">
        <f>SUM($L$53:DC53)/Project_Cost_Total</f>
        <v>0.99999999999999978</v>
      </c>
      <c r="DD24" s="62">
        <f>SUM($L$53:DD53)/Project_Cost_Total</f>
        <v>0.99999999999999978</v>
      </c>
      <c r="DE24" s="62">
        <f>SUM($L$53:DE53)/Project_Cost_Total</f>
        <v>0.99999999999999978</v>
      </c>
      <c r="DF24" s="62">
        <f>SUM($L$53:DF53)/Project_Cost_Total</f>
        <v>0.99999999999999978</v>
      </c>
      <c r="DG24" s="62">
        <f>SUM($L$53:DG53)/Project_Cost_Total</f>
        <v>0.99999999999999978</v>
      </c>
      <c r="DH24" s="62">
        <f>SUM($L$53:DH53)/Project_Cost_Total</f>
        <v>0.99999999999999978</v>
      </c>
      <c r="DI24" s="62">
        <f>SUM($L$53:DI53)/Project_Cost_Total</f>
        <v>0.99999999999999978</v>
      </c>
      <c r="DJ24" s="62">
        <f>SUM($L$53:DJ53)/Project_Cost_Total</f>
        <v>0.99999999999999978</v>
      </c>
      <c r="DK24" s="62">
        <f>SUM($L$53:DK53)/Project_Cost_Total</f>
        <v>0.99999999999999978</v>
      </c>
      <c r="DL24" s="62">
        <f>SUM($L$53:DL53)/Project_Cost_Total</f>
        <v>0.99999999999999978</v>
      </c>
      <c r="DM24" s="62">
        <f>SUM($L$53:DM53)/Project_Cost_Total</f>
        <v>0.99999999999999978</v>
      </c>
      <c r="DN24" s="62">
        <f>SUM($L$53:DN53)/Project_Cost_Total</f>
        <v>0.99999999999999978</v>
      </c>
      <c r="DO24" s="62">
        <f>SUM($L$53:DO53)/Project_Cost_Total</f>
        <v>0.99999999999999978</v>
      </c>
      <c r="DP24" s="62">
        <f>SUM($L$53:DP53)/Project_Cost_Total</f>
        <v>0.99999999999999978</v>
      </c>
      <c r="DQ24" s="62">
        <f>SUM($L$53:DQ53)/Project_Cost_Total</f>
        <v>0.99999999999999978</v>
      </c>
      <c r="DR24" s="62">
        <f>SUM($L$53:DR53)/Project_Cost_Total</f>
        <v>0.99999999999999978</v>
      </c>
      <c r="DS24" s="62">
        <f>SUM($L$53:DS53)/Project_Cost_Total</f>
        <v>0.99999999999999978</v>
      </c>
      <c r="DT24" s="62">
        <f>SUM($L$53:DT53)/Project_Cost_Total</f>
        <v>0.99999999999999978</v>
      </c>
      <c r="DU24" s="62">
        <f>SUM($L$53:DU53)/Project_Cost_Total</f>
        <v>0.99999999999999978</v>
      </c>
      <c r="DV24" s="62">
        <f>SUM($L$53:DV53)/Project_Cost_Total</f>
        <v>0.99999999999999978</v>
      </c>
      <c r="DW24" s="62">
        <f>SUM($L$53:DW53)/Project_Cost_Total</f>
        <v>0.99999999999999978</v>
      </c>
      <c r="DX24" s="62">
        <f>SUM($L$53:DX53)/Project_Cost_Total</f>
        <v>0.99999999999999978</v>
      </c>
      <c r="DY24" s="62">
        <f>SUM($L$53:DY53)/Project_Cost_Total</f>
        <v>0.99999999999999978</v>
      </c>
      <c r="DZ24" s="62">
        <f>SUM($L$53:DZ53)/Project_Cost_Total</f>
        <v>0.99999999999999978</v>
      </c>
      <c r="EA24" s="62">
        <f>SUM($L$53:EA53)/Project_Cost_Total</f>
        <v>0.99999999999999978</v>
      </c>
      <c r="EB24" s="62">
        <f>SUM($L$53:EB53)/Project_Cost_Total</f>
        <v>0.99999999999999978</v>
      </c>
      <c r="EC24" s="62">
        <f>SUM($L$53:EC53)/Project_Cost_Total</f>
        <v>0.99999999999999978</v>
      </c>
      <c r="ED24" s="62">
        <f>SUM($L$53:ED53)/Project_Cost_Total</f>
        <v>0.99999999999999978</v>
      </c>
      <c r="EE24" s="62">
        <f>SUM($L$53:EE53)/Project_Cost_Total</f>
        <v>0.99999999999999978</v>
      </c>
      <c r="EF24" s="62">
        <f>SUM($L$53:EF53)/Project_Cost_Total</f>
        <v>0.99999999999999978</v>
      </c>
      <c r="EG24" s="62">
        <f>SUM($L$53:EG53)/Project_Cost_Total</f>
        <v>0.99999999999999978</v>
      </c>
      <c r="EH24" s="62">
        <f>SUM($L$53:EH53)/Project_Cost_Total</f>
        <v>0.99999999999999978</v>
      </c>
      <c r="EI24" s="62">
        <f>SUM($L$53:EI53)/Project_Cost_Total</f>
        <v>0.99999999999999978</v>
      </c>
      <c r="EJ24" s="62">
        <f>SUM($L$53:EJ53)/Project_Cost_Total</f>
        <v>0.99999999999999978</v>
      </c>
      <c r="EK24" s="62">
        <f>SUM($L$53:EK53)/Project_Cost_Total</f>
        <v>0.99999999999999978</v>
      </c>
      <c r="EL24" s="62">
        <f>SUM($L$53:EL53)/Project_Cost_Total</f>
        <v>0.99999999999999978</v>
      </c>
      <c r="EM24" s="62">
        <f>SUM($L$53:EM53)/Project_Cost_Total</f>
        <v>0.99999999999999978</v>
      </c>
      <c r="EN24" s="62">
        <f>SUM($L$53:EN53)/Project_Cost_Total</f>
        <v>0.99999999999999978</v>
      </c>
      <c r="EP24" s="24"/>
      <c r="EQ24" s="24"/>
      <c r="ER24" s="24"/>
      <c r="ES24" s="24"/>
      <c r="ET24" s="24"/>
      <c r="EU24" s="33"/>
      <c r="EV24" s="24"/>
      <c r="EW24" s="24"/>
      <c r="EX24" s="24"/>
      <c r="EY24" s="24"/>
      <c r="EZ24" s="24"/>
      <c r="FA24" s="24"/>
      <c r="FB24" s="24"/>
      <c r="FC24" s="24"/>
      <c r="FD24" s="24"/>
      <c r="FE24" s="24"/>
      <c r="FF24" s="24"/>
      <c r="FG24" s="24"/>
      <c r="FH24" s="24"/>
      <c r="FI24" s="24"/>
      <c r="FJ24" s="24"/>
      <c r="FK24" s="24"/>
      <c r="FL24" s="24"/>
      <c r="FM24" s="24"/>
      <c r="FN24" s="24"/>
      <c r="FO24" s="24"/>
      <c r="FP24" s="24"/>
      <c r="FQ24" s="24"/>
      <c r="FR24" s="24"/>
      <c r="FS24" s="24"/>
      <c r="FT24" s="24"/>
      <c r="FU24" s="24"/>
      <c r="FV24" s="24"/>
      <c r="FW24" s="24"/>
      <c r="FX24" s="24"/>
      <c r="FY24" s="24"/>
      <c r="FZ24" s="24"/>
      <c r="GA24" s="24"/>
      <c r="GB24" s="24"/>
      <c r="GC24" s="24"/>
      <c r="GD24" s="24"/>
      <c r="GE24" s="24"/>
      <c r="GF24" s="24"/>
      <c r="GG24" s="24"/>
      <c r="GH24" s="24"/>
      <c r="GI24" s="24"/>
      <c r="GJ24" s="24"/>
      <c r="GK24" s="24"/>
      <c r="GL24" s="24"/>
      <c r="GM24" s="24"/>
      <c r="GN24" s="24"/>
      <c r="GO24" s="24"/>
      <c r="GP24" s="24"/>
      <c r="GQ24" s="24"/>
      <c r="GR24" s="24"/>
      <c r="GS24" s="24"/>
      <c r="GT24" s="24"/>
      <c r="GU24" s="24"/>
      <c r="GV24" s="24"/>
      <c r="GW24" s="24"/>
      <c r="GX24" s="24"/>
      <c r="GY24" s="24"/>
      <c r="GZ24" s="24"/>
      <c r="HA24" s="24"/>
      <c r="HB24" s="24"/>
      <c r="HC24" s="24"/>
      <c r="HD24" s="24"/>
      <c r="HE24" s="24"/>
      <c r="HF24" s="24"/>
      <c r="HG24" s="24"/>
      <c r="HH24" s="24"/>
      <c r="HI24" s="24"/>
      <c r="HJ24" s="24"/>
      <c r="HK24" s="24"/>
      <c r="HL24" s="24"/>
      <c r="HM24" s="24"/>
      <c r="HN24" s="24"/>
      <c r="HO24" s="24"/>
      <c r="HP24" s="24"/>
      <c r="HQ24" s="24"/>
      <c r="HR24" s="24"/>
      <c r="HS24" s="24"/>
      <c r="HT24" s="24"/>
      <c r="HU24" s="24"/>
      <c r="HV24" s="24"/>
      <c r="HW24" s="24"/>
      <c r="HX24" s="24"/>
      <c r="HY24" s="24"/>
      <c r="HZ24" s="24"/>
      <c r="IA24" s="24"/>
      <c r="IB24" s="24"/>
      <c r="IC24" s="24"/>
      <c r="ID24" s="24"/>
      <c r="IE24" s="24"/>
      <c r="IF24" s="24"/>
      <c r="IG24" s="24"/>
      <c r="IH24" s="24"/>
      <c r="II24" s="24"/>
      <c r="IJ24" s="24"/>
      <c r="IK24" s="24"/>
      <c r="IL24" s="24"/>
      <c r="IM24" s="24"/>
      <c r="IN24" s="24"/>
      <c r="IO24" s="24"/>
      <c r="IP24" s="24"/>
      <c r="IQ24" s="24"/>
      <c r="IR24" s="24"/>
      <c r="IS24" s="24"/>
      <c r="IT24" s="24"/>
      <c r="IU24" s="24"/>
      <c r="IV24" s="24"/>
      <c r="IW24" s="24"/>
      <c r="IX24" s="24"/>
      <c r="IY24" s="24"/>
      <c r="IZ24" s="24"/>
      <c r="JA24" s="24"/>
      <c r="JB24" s="24"/>
      <c r="JC24" s="24"/>
      <c r="JD24" s="24"/>
      <c r="JE24" s="24"/>
      <c r="JF24" s="24"/>
      <c r="JG24" s="24"/>
      <c r="JH24" s="24"/>
      <c r="JI24" s="24"/>
      <c r="JJ24" s="24"/>
      <c r="JK24" s="24"/>
      <c r="JL24" s="24"/>
      <c r="JM24" s="24"/>
      <c r="JN24" s="24"/>
      <c r="JO24" s="24"/>
      <c r="JP24" s="24"/>
      <c r="JQ24" s="24"/>
      <c r="JR24" s="24"/>
      <c r="JS24" s="24"/>
      <c r="JT24" s="24"/>
      <c r="JU24" s="24"/>
      <c r="JV24" s="24"/>
      <c r="JW24" s="24"/>
      <c r="JX24" s="24"/>
    </row>
    <row r="25" spans="1:284" s="7" customFormat="1" x14ac:dyDescent="0.2">
      <c r="A25" s="406"/>
      <c r="B25" s="92" t="s">
        <v>30</v>
      </c>
      <c r="C25" s="120"/>
      <c r="D25" s="120"/>
      <c r="E25" s="120"/>
      <c r="F25" s="120"/>
      <c r="G25" s="120"/>
      <c r="H25" s="120"/>
      <c r="I25" s="120"/>
      <c r="J25" s="63"/>
      <c r="K25" s="63" t="s">
        <v>423</v>
      </c>
      <c r="L25" s="269">
        <f>L24</f>
        <v>6.4103031043628869E-2</v>
      </c>
      <c r="M25" s="62">
        <f>M24-L24</f>
        <v>7.423123531457701E-3</v>
      </c>
      <c r="N25" s="62">
        <f t="shared" ref="N25:BY25" si="17">N24-M24</f>
        <v>1.0164419837673244E-2</v>
      </c>
      <c r="O25" s="62">
        <f t="shared" si="17"/>
        <v>1.5600801623245966E-2</v>
      </c>
      <c r="P25" s="62">
        <f t="shared" si="17"/>
        <v>2.5070015882494662E-2</v>
      </c>
      <c r="Q25" s="62">
        <f t="shared" si="17"/>
        <v>3.9447900246930886E-2</v>
      </c>
      <c r="R25" s="62">
        <f t="shared" si="17"/>
        <v>5.8239529900791981E-2</v>
      </c>
      <c r="S25" s="62">
        <f t="shared" si="17"/>
        <v>7.8885108120409358E-2</v>
      </c>
      <c r="T25" s="62">
        <f t="shared" si="17"/>
        <v>9.7167511491932479E-2</v>
      </c>
      <c r="U25" s="62">
        <f t="shared" si="17"/>
        <v>0.10821840786687448</v>
      </c>
      <c r="V25" s="62">
        <f t="shared" si="17"/>
        <v>0.10866931789965317</v>
      </c>
      <c r="W25" s="62">
        <f t="shared" si="17"/>
        <v>9.8476074980509254E-2</v>
      </c>
      <c r="X25" s="62">
        <f t="shared" si="17"/>
        <v>8.0807880053814785E-2</v>
      </c>
      <c r="Y25" s="62">
        <f t="shared" si="17"/>
        <v>6.0592103550093368E-2</v>
      </c>
      <c r="Z25" s="62">
        <f t="shared" si="17"/>
        <v>4.2150590639013941E-2</v>
      </c>
      <c r="AA25" s="62">
        <f t="shared" si="17"/>
        <v>2.8015192840475822E-2</v>
      </c>
      <c r="AB25" s="62">
        <f t="shared" si="17"/>
        <v>1.8706557439375104E-2</v>
      </c>
      <c r="AC25" s="62">
        <f t="shared" si="17"/>
        <v>1.3377546989938982E-2</v>
      </c>
      <c r="AD25" s="62">
        <f t="shared" si="17"/>
        <v>1.0713660830597771E-2</v>
      </c>
      <c r="AE25" s="62">
        <f t="shared" si="17"/>
        <v>5.6807015821588314E-3</v>
      </c>
      <c r="AF25" s="62">
        <f t="shared" si="17"/>
        <v>5.1730304370785074E-3</v>
      </c>
      <c r="AG25" s="62">
        <f t="shared" si="17"/>
        <v>4.6629901599878343E-3</v>
      </c>
      <c r="AH25" s="62">
        <f t="shared" si="17"/>
        <v>4.1505696949374338E-3</v>
      </c>
      <c r="AI25" s="62">
        <f t="shared" si="17"/>
        <v>3.6357579343835322E-3</v>
      </c>
      <c r="AJ25" s="62">
        <f t="shared" si="17"/>
        <v>3.1185437189469312E-3</v>
      </c>
      <c r="AK25" s="62">
        <f t="shared" si="17"/>
        <v>2.5989158371717558E-3</v>
      </c>
      <c r="AL25" s="62">
        <f t="shared" si="17"/>
        <v>2.076863025281428E-3</v>
      </c>
      <c r="AM25" s="62">
        <f t="shared" si="17"/>
        <v>1.5523739669357495E-3</v>
      </c>
      <c r="AN25" s="62">
        <f t="shared" si="17"/>
        <v>1.0254372929844324E-3</v>
      </c>
      <c r="AO25" s="62">
        <f t="shared" si="17"/>
        <v>4.9604158122151798E-4</v>
      </c>
      <c r="AP25" s="62">
        <f t="shared" si="17"/>
        <v>0</v>
      </c>
      <c r="AQ25" s="62">
        <f t="shared" si="17"/>
        <v>0</v>
      </c>
      <c r="AR25" s="62">
        <f t="shared" si="17"/>
        <v>0</v>
      </c>
      <c r="AS25" s="62">
        <f t="shared" si="17"/>
        <v>0</v>
      </c>
      <c r="AT25" s="62">
        <f t="shared" si="17"/>
        <v>0</v>
      </c>
      <c r="AU25" s="62">
        <f t="shared" si="17"/>
        <v>0</v>
      </c>
      <c r="AV25" s="62">
        <f t="shared" si="17"/>
        <v>0</v>
      </c>
      <c r="AW25" s="62">
        <f t="shared" si="17"/>
        <v>0</v>
      </c>
      <c r="AX25" s="62">
        <f t="shared" si="17"/>
        <v>0</v>
      </c>
      <c r="AY25" s="62">
        <f t="shared" si="17"/>
        <v>0</v>
      </c>
      <c r="AZ25" s="62">
        <f t="shared" si="17"/>
        <v>0</v>
      </c>
      <c r="BA25" s="62">
        <f t="shared" si="17"/>
        <v>0</v>
      </c>
      <c r="BB25" s="62">
        <f t="shared" si="17"/>
        <v>0</v>
      </c>
      <c r="BC25" s="62">
        <f t="shared" si="17"/>
        <v>0</v>
      </c>
      <c r="BD25" s="62">
        <f t="shared" si="17"/>
        <v>0</v>
      </c>
      <c r="BE25" s="62">
        <f t="shared" si="17"/>
        <v>0</v>
      </c>
      <c r="BF25" s="62">
        <f t="shared" si="17"/>
        <v>0</v>
      </c>
      <c r="BG25" s="62">
        <f t="shared" si="17"/>
        <v>0</v>
      </c>
      <c r="BH25" s="62">
        <f t="shared" si="17"/>
        <v>0</v>
      </c>
      <c r="BI25" s="62">
        <f t="shared" si="17"/>
        <v>0</v>
      </c>
      <c r="BJ25" s="62">
        <f t="shared" si="17"/>
        <v>0</v>
      </c>
      <c r="BK25" s="62">
        <f t="shared" si="17"/>
        <v>0</v>
      </c>
      <c r="BL25" s="62">
        <f t="shared" si="17"/>
        <v>0</v>
      </c>
      <c r="BM25" s="62">
        <f t="shared" si="17"/>
        <v>0</v>
      </c>
      <c r="BN25" s="62">
        <f t="shared" si="17"/>
        <v>0</v>
      </c>
      <c r="BO25" s="62">
        <f t="shared" si="17"/>
        <v>0</v>
      </c>
      <c r="BP25" s="62">
        <f t="shared" si="17"/>
        <v>0</v>
      </c>
      <c r="BQ25" s="62">
        <f t="shared" si="17"/>
        <v>0</v>
      </c>
      <c r="BR25" s="62">
        <f t="shared" si="17"/>
        <v>0</v>
      </c>
      <c r="BS25" s="62">
        <f t="shared" si="17"/>
        <v>0</v>
      </c>
      <c r="BT25" s="62">
        <f t="shared" si="17"/>
        <v>0</v>
      </c>
      <c r="BU25" s="62">
        <f t="shared" si="17"/>
        <v>0</v>
      </c>
      <c r="BV25" s="62">
        <f t="shared" si="17"/>
        <v>0</v>
      </c>
      <c r="BW25" s="62">
        <f t="shared" si="17"/>
        <v>0</v>
      </c>
      <c r="BX25" s="62">
        <f t="shared" si="17"/>
        <v>0</v>
      </c>
      <c r="BY25" s="62">
        <f t="shared" si="17"/>
        <v>0</v>
      </c>
      <c r="BZ25" s="62">
        <f t="shared" ref="BZ25:EK25" si="18">BZ24-BY24</f>
        <v>0</v>
      </c>
      <c r="CA25" s="62">
        <f t="shared" si="18"/>
        <v>0</v>
      </c>
      <c r="CB25" s="62">
        <f t="shared" si="18"/>
        <v>0</v>
      </c>
      <c r="CC25" s="62">
        <f t="shared" si="18"/>
        <v>0</v>
      </c>
      <c r="CD25" s="62">
        <f t="shared" si="18"/>
        <v>0</v>
      </c>
      <c r="CE25" s="62">
        <f t="shared" si="18"/>
        <v>0</v>
      </c>
      <c r="CF25" s="62">
        <f t="shared" si="18"/>
        <v>0</v>
      </c>
      <c r="CG25" s="62">
        <f t="shared" si="18"/>
        <v>0</v>
      </c>
      <c r="CH25" s="62">
        <f t="shared" si="18"/>
        <v>0</v>
      </c>
      <c r="CI25" s="62">
        <f t="shared" si="18"/>
        <v>0</v>
      </c>
      <c r="CJ25" s="62">
        <f t="shared" si="18"/>
        <v>0</v>
      </c>
      <c r="CK25" s="62">
        <f t="shared" si="18"/>
        <v>0</v>
      </c>
      <c r="CL25" s="62">
        <f t="shared" si="18"/>
        <v>0</v>
      </c>
      <c r="CM25" s="62">
        <f t="shared" si="18"/>
        <v>0</v>
      </c>
      <c r="CN25" s="62">
        <f t="shared" si="18"/>
        <v>0</v>
      </c>
      <c r="CO25" s="62">
        <f t="shared" si="18"/>
        <v>0</v>
      </c>
      <c r="CP25" s="62">
        <f t="shared" si="18"/>
        <v>0</v>
      </c>
      <c r="CQ25" s="62">
        <f t="shared" si="18"/>
        <v>0</v>
      </c>
      <c r="CR25" s="62">
        <f t="shared" si="18"/>
        <v>0</v>
      </c>
      <c r="CS25" s="62">
        <f t="shared" si="18"/>
        <v>0</v>
      </c>
      <c r="CT25" s="62">
        <f t="shared" si="18"/>
        <v>0</v>
      </c>
      <c r="CU25" s="62">
        <f t="shared" si="18"/>
        <v>0</v>
      </c>
      <c r="CV25" s="62">
        <f t="shared" si="18"/>
        <v>0</v>
      </c>
      <c r="CW25" s="62">
        <f t="shared" si="18"/>
        <v>0</v>
      </c>
      <c r="CX25" s="62">
        <f t="shared" si="18"/>
        <v>0</v>
      </c>
      <c r="CY25" s="62">
        <f t="shared" si="18"/>
        <v>0</v>
      </c>
      <c r="CZ25" s="62">
        <f t="shared" si="18"/>
        <v>0</v>
      </c>
      <c r="DA25" s="62">
        <f t="shared" si="18"/>
        <v>0</v>
      </c>
      <c r="DB25" s="62">
        <f t="shared" si="18"/>
        <v>0</v>
      </c>
      <c r="DC25" s="62">
        <f t="shared" si="18"/>
        <v>0</v>
      </c>
      <c r="DD25" s="62">
        <f t="shared" si="18"/>
        <v>0</v>
      </c>
      <c r="DE25" s="62">
        <f t="shared" si="18"/>
        <v>0</v>
      </c>
      <c r="DF25" s="62">
        <f t="shared" si="18"/>
        <v>0</v>
      </c>
      <c r="DG25" s="62">
        <f t="shared" si="18"/>
        <v>0</v>
      </c>
      <c r="DH25" s="62">
        <f t="shared" si="18"/>
        <v>0</v>
      </c>
      <c r="DI25" s="62">
        <f t="shared" si="18"/>
        <v>0</v>
      </c>
      <c r="DJ25" s="62">
        <f t="shared" si="18"/>
        <v>0</v>
      </c>
      <c r="DK25" s="62">
        <f t="shared" si="18"/>
        <v>0</v>
      </c>
      <c r="DL25" s="62">
        <f t="shared" si="18"/>
        <v>0</v>
      </c>
      <c r="DM25" s="62">
        <f t="shared" si="18"/>
        <v>0</v>
      </c>
      <c r="DN25" s="62">
        <f t="shared" si="18"/>
        <v>0</v>
      </c>
      <c r="DO25" s="62">
        <f t="shared" si="18"/>
        <v>0</v>
      </c>
      <c r="DP25" s="62">
        <f t="shared" si="18"/>
        <v>0</v>
      </c>
      <c r="DQ25" s="62">
        <f t="shared" si="18"/>
        <v>0</v>
      </c>
      <c r="DR25" s="62">
        <f t="shared" si="18"/>
        <v>0</v>
      </c>
      <c r="DS25" s="62">
        <f t="shared" si="18"/>
        <v>0</v>
      </c>
      <c r="DT25" s="62">
        <f t="shared" si="18"/>
        <v>0</v>
      </c>
      <c r="DU25" s="62">
        <f t="shared" si="18"/>
        <v>0</v>
      </c>
      <c r="DV25" s="62">
        <f t="shared" si="18"/>
        <v>0</v>
      </c>
      <c r="DW25" s="62">
        <f t="shared" si="18"/>
        <v>0</v>
      </c>
      <c r="DX25" s="62">
        <f t="shared" si="18"/>
        <v>0</v>
      </c>
      <c r="DY25" s="62">
        <f t="shared" si="18"/>
        <v>0</v>
      </c>
      <c r="DZ25" s="62">
        <f t="shared" si="18"/>
        <v>0</v>
      </c>
      <c r="EA25" s="62">
        <f t="shared" si="18"/>
        <v>0</v>
      </c>
      <c r="EB25" s="62">
        <f t="shared" si="18"/>
        <v>0</v>
      </c>
      <c r="EC25" s="62">
        <f t="shared" si="18"/>
        <v>0</v>
      </c>
      <c r="ED25" s="62">
        <f t="shared" si="18"/>
        <v>0</v>
      </c>
      <c r="EE25" s="62">
        <f t="shared" si="18"/>
        <v>0</v>
      </c>
      <c r="EF25" s="62">
        <f t="shared" si="18"/>
        <v>0</v>
      </c>
      <c r="EG25" s="62">
        <f t="shared" si="18"/>
        <v>0</v>
      </c>
      <c r="EH25" s="62">
        <f t="shared" si="18"/>
        <v>0</v>
      </c>
      <c r="EI25" s="62">
        <f t="shared" si="18"/>
        <v>0</v>
      </c>
      <c r="EJ25" s="62">
        <f t="shared" si="18"/>
        <v>0</v>
      </c>
      <c r="EK25" s="62">
        <f t="shared" si="18"/>
        <v>0</v>
      </c>
      <c r="EL25" s="62">
        <f>EL24-EK24</f>
        <v>0</v>
      </c>
      <c r="EM25" s="62">
        <f>EM24-EL24</f>
        <v>0</v>
      </c>
      <c r="EN25" s="62">
        <f>EN24-EM24</f>
        <v>0</v>
      </c>
      <c r="EP25" s="24"/>
      <c r="EQ25" s="24"/>
      <c r="ER25" s="24"/>
      <c r="ES25" s="24"/>
      <c r="ET25" s="24"/>
      <c r="EU25" s="33"/>
      <c r="EV25" s="24"/>
      <c r="EW25" s="24"/>
      <c r="EX25" s="24"/>
      <c r="EY25" s="24"/>
      <c r="EZ25" s="24"/>
      <c r="FA25" s="24"/>
      <c r="FB25" s="24"/>
      <c r="FC25" s="24"/>
      <c r="FD25" s="24"/>
      <c r="FE25" s="24"/>
      <c r="FF25" s="24"/>
      <c r="FG25" s="24"/>
      <c r="FH25" s="24"/>
      <c r="FI25" s="24"/>
      <c r="FJ25" s="24"/>
      <c r="FK25" s="24"/>
      <c r="FL25" s="24"/>
      <c r="FM25" s="24"/>
      <c r="FN25" s="24"/>
      <c r="FO25" s="24"/>
      <c r="FP25" s="24"/>
      <c r="FQ25" s="24"/>
      <c r="FR25" s="24"/>
      <c r="FS25" s="24"/>
      <c r="FT25" s="24"/>
      <c r="FU25" s="24"/>
      <c r="FV25" s="24"/>
      <c r="FW25" s="24"/>
      <c r="FX25" s="24"/>
      <c r="FY25" s="24"/>
      <c r="FZ25" s="24"/>
      <c r="GA25" s="24"/>
      <c r="GB25" s="24"/>
      <c r="GC25" s="24"/>
      <c r="GD25" s="24"/>
      <c r="GE25" s="24"/>
      <c r="GF25" s="24"/>
      <c r="GG25" s="24"/>
      <c r="GH25" s="24"/>
      <c r="GI25" s="24"/>
      <c r="GJ25" s="24"/>
      <c r="GK25" s="24"/>
      <c r="GL25" s="24"/>
      <c r="GM25" s="24"/>
      <c r="GN25" s="24"/>
      <c r="GO25" s="24"/>
      <c r="GP25" s="24"/>
      <c r="GQ25" s="24"/>
      <c r="GR25" s="24"/>
      <c r="GS25" s="24"/>
      <c r="GT25" s="24"/>
      <c r="GU25" s="24"/>
      <c r="GV25" s="24"/>
      <c r="GW25" s="24"/>
      <c r="GX25" s="24"/>
      <c r="GY25" s="24"/>
      <c r="GZ25" s="24"/>
      <c r="HA25" s="24"/>
      <c r="HB25" s="24"/>
      <c r="HC25" s="24"/>
      <c r="HD25" s="24"/>
      <c r="HE25" s="24"/>
      <c r="HF25" s="24"/>
      <c r="HG25" s="24"/>
      <c r="HH25" s="24"/>
      <c r="HI25" s="24"/>
      <c r="HJ25" s="24"/>
      <c r="HK25" s="24"/>
      <c r="HL25" s="24"/>
      <c r="HM25" s="24"/>
      <c r="HN25" s="24"/>
      <c r="HO25" s="24"/>
      <c r="HP25" s="24"/>
      <c r="HQ25" s="24"/>
      <c r="HR25" s="24"/>
      <c r="HS25" s="24"/>
      <c r="HT25" s="24"/>
      <c r="HU25" s="24"/>
      <c r="HV25" s="24"/>
      <c r="HW25" s="24"/>
      <c r="HX25" s="24"/>
      <c r="HY25" s="24"/>
      <c r="HZ25" s="24"/>
      <c r="IA25" s="24"/>
      <c r="IB25" s="24"/>
      <c r="IC25" s="24"/>
      <c r="ID25" s="24"/>
      <c r="IE25" s="24"/>
      <c r="IF25" s="24"/>
      <c r="IG25" s="24"/>
      <c r="IH25" s="24"/>
      <c r="II25" s="24"/>
      <c r="IJ25" s="24"/>
      <c r="IK25" s="24"/>
      <c r="IL25" s="24"/>
      <c r="IM25" s="24"/>
      <c r="IN25" s="24"/>
      <c r="IO25" s="24"/>
      <c r="IP25" s="24"/>
      <c r="IQ25" s="24"/>
      <c r="IR25" s="24"/>
      <c r="IS25" s="24"/>
      <c r="IT25" s="24"/>
      <c r="IU25" s="24"/>
      <c r="IV25" s="24"/>
      <c r="IW25" s="24"/>
      <c r="IX25" s="24"/>
      <c r="IY25" s="24"/>
      <c r="IZ25" s="24"/>
      <c r="JA25" s="24"/>
      <c r="JB25" s="24"/>
      <c r="JC25" s="24"/>
      <c r="JD25" s="24"/>
      <c r="JE25" s="24"/>
      <c r="JF25" s="24"/>
      <c r="JG25" s="24"/>
      <c r="JH25" s="24"/>
      <c r="JI25" s="24"/>
      <c r="JJ25" s="24"/>
      <c r="JK25" s="24"/>
      <c r="JL25" s="24"/>
      <c r="JM25" s="24"/>
      <c r="JN25" s="24"/>
      <c r="JO25" s="24"/>
      <c r="JP25" s="24"/>
      <c r="JQ25" s="24"/>
      <c r="JR25" s="24"/>
      <c r="JS25" s="24"/>
      <c r="JT25" s="24"/>
      <c r="JU25" s="24"/>
      <c r="JV25" s="24"/>
      <c r="JW25" s="24"/>
      <c r="JX25" s="24"/>
    </row>
    <row r="26" spans="1:284" s="7" customFormat="1" x14ac:dyDescent="0.2">
      <c r="A26" s="406"/>
      <c r="B26" s="103" t="s">
        <v>30</v>
      </c>
      <c r="C26" s="120"/>
      <c r="D26" s="132">
        <v>0</v>
      </c>
      <c r="E26" s="132">
        <f t="shared" ref="E26:E28" si="19">D26</f>
        <v>0</v>
      </c>
      <c r="F26" s="133" t="s">
        <v>26</v>
      </c>
      <c r="G26" s="389">
        <f>I26/Units_SF_M2</f>
        <v>11.530588235294118</v>
      </c>
      <c r="H26" s="123">
        <f>I26/Units</f>
        <v>9801</v>
      </c>
      <c r="I26" s="124">
        <f>15*(E15*43560)</f>
        <v>2940300</v>
      </c>
      <c r="K26" s="7" t="str">
        <f>IF(ROUND(SUM(L26:EN26),0)=ROUND(I26,0),"","Incomplete")</f>
        <v/>
      </c>
      <c r="L26" s="38">
        <f t="shared" ref="L26:AQ26" si="20">AND(L$22&gt;=$D26,L$22&lt;=$E26)*IF(OR($F26="Straight-Line",$F26="Detail"),$I26/$ES26,EV26)</f>
        <v>2940300</v>
      </c>
      <c r="M26" s="38">
        <f t="shared" si="20"/>
        <v>0</v>
      </c>
      <c r="N26" s="38">
        <f t="shared" si="20"/>
        <v>0</v>
      </c>
      <c r="O26" s="38">
        <f t="shared" si="20"/>
        <v>0</v>
      </c>
      <c r="P26" s="38">
        <f t="shared" si="20"/>
        <v>0</v>
      </c>
      <c r="Q26" s="38">
        <f t="shared" si="20"/>
        <v>0</v>
      </c>
      <c r="R26" s="38">
        <f t="shared" si="20"/>
        <v>0</v>
      </c>
      <c r="S26" s="38">
        <f t="shared" si="20"/>
        <v>0</v>
      </c>
      <c r="T26" s="38">
        <f t="shared" si="20"/>
        <v>0</v>
      </c>
      <c r="U26" s="38">
        <f t="shared" si="20"/>
        <v>0</v>
      </c>
      <c r="V26" s="38">
        <f t="shared" si="20"/>
        <v>0</v>
      </c>
      <c r="W26" s="38">
        <f t="shared" si="20"/>
        <v>0</v>
      </c>
      <c r="X26" s="38">
        <f t="shared" si="20"/>
        <v>0</v>
      </c>
      <c r="Y26" s="38">
        <f t="shared" si="20"/>
        <v>0</v>
      </c>
      <c r="Z26" s="38">
        <f t="shared" si="20"/>
        <v>0</v>
      </c>
      <c r="AA26" s="38">
        <f t="shared" si="20"/>
        <v>0</v>
      </c>
      <c r="AB26" s="38">
        <f t="shared" si="20"/>
        <v>0</v>
      </c>
      <c r="AC26" s="38">
        <f t="shared" si="20"/>
        <v>0</v>
      </c>
      <c r="AD26" s="38">
        <f t="shared" si="20"/>
        <v>0</v>
      </c>
      <c r="AE26" s="38">
        <f t="shared" si="20"/>
        <v>0</v>
      </c>
      <c r="AF26" s="38">
        <f t="shared" si="20"/>
        <v>0</v>
      </c>
      <c r="AG26" s="38">
        <f t="shared" si="20"/>
        <v>0</v>
      </c>
      <c r="AH26" s="38">
        <f t="shared" si="20"/>
        <v>0</v>
      </c>
      <c r="AI26" s="38">
        <f t="shared" si="20"/>
        <v>0</v>
      </c>
      <c r="AJ26" s="38">
        <f t="shared" si="20"/>
        <v>0</v>
      </c>
      <c r="AK26" s="38">
        <f t="shared" si="20"/>
        <v>0</v>
      </c>
      <c r="AL26" s="38">
        <f t="shared" si="20"/>
        <v>0</v>
      </c>
      <c r="AM26" s="38">
        <f t="shared" si="20"/>
        <v>0</v>
      </c>
      <c r="AN26" s="38">
        <f t="shared" si="20"/>
        <v>0</v>
      </c>
      <c r="AO26" s="38">
        <f t="shared" si="20"/>
        <v>0</v>
      </c>
      <c r="AP26" s="38">
        <f t="shared" si="20"/>
        <v>0</v>
      </c>
      <c r="AQ26" s="38">
        <f t="shared" si="20"/>
        <v>0</v>
      </c>
      <c r="AR26" s="38">
        <f t="shared" ref="AR26:BW26" si="21">AND(AR$22&gt;=$D26,AR$22&lt;=$E26)*IF(OR($F26="Straight-Line",$F26="Detail"),$I26/$ES26,GB26)</f>
        <v>0</v>
      </c>
      <c r="AS26" s="38">
        <f t="shared" si="21"/>
        <v>0</v>
      </c>
      <c r="AT26" s="38">
        <f t="shared" si="21"/>
        <v>0</v>
      </c>
      <c r="AU26" s="38">
        <f t="shared" si="21"/>
        <v>0</v>
      </c>
      <c r="AV26" s="38">
        <f t="shared" si="21"/>
        <v>0</v>
      </c>
      <c r="AW26" s="38">
        <f t="shared" si="21"/>
        <v>0</v>
      </c>
      <c r="AX26" s="38">
        <f t="shared" si="21"/>
        <v>0</v>
      </c>
      <c r="AY26" s="38">
        <f t="shared" si="21"/>
        <v>0</v>
      </c>
      <c r="AZ26" s="38">
        <f t="shared" si="21"/>
        <v>0</v>
      </c>
      <c r="BA26" s="38">
        <f t="shared" si="21"/>
        <v>0</v>
      </c>
      <c r="BB26" s="38">
        <f t="shared" si="21"/>
        <v>0</v>
      </c>
      <c r="BC26" s="38">
        <f t="shared" si="21"/>
        <v>0</v>
      </c>
      <c r="BD26" s="38">
        <f t="shared" si="21"/>
        <v>0</v>
      </c>
      <c r="BE26" s="38">
        <f t="shared" si="21"/>
        <v>0</v>
      </c>
      <c r="BF26" s="38">
        <f t="shared" si="21"/>
        <v>0</v>
      </c>
      <c r="BG26" s="38">
        <f t="shared" si="21"/>
        <v>0</v>
      </c>
      <c r="BH26" s="38">
        <f t="shared" si="21"/>
        <v>0</v>
      </c>
      <c r="BI26" s="38">
        <f t="shared" si="21"/>
        <v>0</v>
      </c>
      <c r="BJ26" s="38">
        <f t="shared" si="21"/>
        <v>0</v>
      </c>
      <c r="BK26" s="38">
        <f t="shared" si="21"/>
        <v>0</v>
      </c>
      <c r="BL26" s="38">
        <f t="shared" si="21"/>
        <v>0</v>
      </c>
      <c r="BM26" s="38">
        <f t="shared" si="21"/>
        <v>0</v>
      </c>
      <c r="BN26" s="38">
        <f t="shared" si="21"/>
        <v>0</v>
      </c>
      <c r="BO26" s="38">
        <f t="shared" si="21"/>
        <v>0</v>
      </c>
      <c r="BP26" s="38">
        <f t="shared" si="21"/>
        <v>0</v>
      </c>
      <c r="BQ26" s="38">
        <f t="shared" si="21"/>
        <v>0</v>
      </c>
      <c r="BR26" s="38">
        <f t="shared" si="21"/>
        <v>0</v>
      </c>
      <c r="BS26" s="38">
        <f t="shared" si="21"/>
        <v>0</v>
      </c>
      <c r="BT26" s="38">
        <f t="shared" si="21"/>
        <v>0</v>
      </c>
      <c r="BU26" s="38">
        <f t="shared" si="21"/>
        <v>0</v>
      </c>
      <c r="BV26" s="38">
        <f t="shared" si="21"/>
        <v>0</v>
      </c>
      <c r="BW26" s="38">
        <f t="shared" si="21"/>
        <v>0</v>
      </c>
      <c r="BX26" s="38">
        <f t="shared" ref="BX26:DC26" si="22">AND(BX$22&gt;=$D26,BX$22&lt;=$E26)*IF(OR($F26="Straight-Line",$F26="Detail"),$I26/$ES26,HH26)</f>
        <v>0</v>
      </c>
      <c r="BY26" s="38">
        <f t="shared" si="22"/>
        <v>0</v>
      </c>
      <c r="BZ26" s="38">
        <f t="shared" si="22"/>
        <v>0</v>
      </c>
      <c r="CA26" s="38">
        <f t="shared" si="22"/>
        <v>0</v>
      </c>
      <c r="CB26" s="38">
        <f t="shared" si="22"/>
        <v>0</v>
      </c>
      <c r="CC26" s="38">
        <f t="shared" si="22"/>
        <v>0</v>
      </c>
      <c r="CD26" s="38">
        <f t="shared" si="22"/>
        <v>0</v>
      </c>
      <c r="CE26" s="38">
        <f t="shared" si="22"/>
        <v>0</v>
      </c>
      <c r="CF26" s="38">
        <f t="shared" si="22"/>
        <v>0</v>
      </c>
      <c r="CG26" s="38">
        <f t="shared" si="22"/>
        <v>0</v>
      </c>
      <c r="CH26" s="38">
        <f t="shared" si="22"/>
        <v>0</v>
      </c>
      <c r="CI26" s="38">
        <f t="shared" si="22"/>
        <v>0</v>
      </c>
      <c r="CJ26" s="38">
        <f t="shared" si="22"/>
        <v>0</v>
      </c>
      <c r="CK26" s="38">
        <f t="shared" si="22"/>
        <v>0</v>
      </c>
      <c r="CL26" s="38">
        <f t="shared" si="22"/>
        <v>0</v>
      </c>
      <c r="CM26" s="38">
        <f t="shared" si="22"/>
        <v>0</v>
      </c>
      <c r="CN26" s="38">
        <f t="shared" si="22"/>
        <v>0</v>
      </c>
      <c r="CO26" s="38">
        <f t="shared" si="22"/>
        <v>0</v>
      </c>
      <c r="CP26" s="38">
        <f t="shared" si="22"/>
        <v>0</v>
      </c>
      <c r="CQ26" s="38">
        <f t="shared" si="22"/>
        <v>0</v>
      </c>
      <c r="CR26" s="38">
        <f t="shared" si="22"/>
        <v>0</v>
      </c>
      <c r="CS26" s="38">
        <f t="shared" si="22"/>
        <v>0</v>
      </c>
      <c r="CT26" s="38">
        <f t="shared" si="22"/>
        <v>0</v>
      </c>
      <c r="CU26" s="38">
        <f t="shared" si="22"/>
        <v>0</v>
      </c>
      <c r="CV26" s="38">
        <f t="shared" si="22"/>
        <v>0</v>
      </c>
      <c r="CW26" s="38">
        <f t="shared" si="22"/>
        <v>0</v>
      </c>
      <c r="CX26" s="38">
        <f t="shared" si="22"/>
        <v>0</v>
      </c>
      <c r="CY26" s="38">
        <f t="shared" si="22"/>
        <v>0</v>
      </c>
      <c r="CZ26" s="38">
        <f t="shared" si="22"/>
        <v>0</v>
      </c>
      <c r="DA26" s="38">
        <f t="shared" si="22"/>
        <v>0</v>
      </c>
      <c r="DB26" s="38">
        <f t="shared" si="22"/>
        <v>0</v>
      </c>
      <c r="DC26" s="38">
        <f t="shared" si="22"/>
        <v>0</v>
      </c>
      <c r="DD26" s="38">
        <f t="shared" ref="DD26:EI26" si="23">AND(DD$22&gt;=$D26,DD$22&lt;=$E26)*IF(OR($F26="Straight-Line",$F26="Detail"),$I26/$ES26,IN26)</f>
        <v>0</v>
      </c>
      <c r="DE26" s="38">
        <f t="shared" si="23"/>
        <v>0</v>
      </c>
      <c r="DF26" s="38">
        <f t="shared" si="23"/>
        <v>0</v>
      </c>
      <c r="DG26" s="38">
        <f t="shared" si="23"/>
        <v>0</v>
      </c>
      <c r="DH26" s="38">
        <f t="shared" si="23"/>
        <v>0</v>
      </c>
      <c r="DI26" s="38">
        <f t="shared" si="23"/>
        <v>0</v>
      </c>
      <c r="DJ26" s="38">
        <f t="shared" si="23"/>
        <v>0</v>
      </c>
      <c r="DK26" s="38">
        <f t="shared" si="23"/>
        <v>0</v>
      </c>
      <c r="DL26" s="38">
        <f t="shared" si="23"/>
        <v>0</v>
      </c>
      <c r="DM26" s="38">
        <f t="shared" si="23"/>
        <v>0</v>
      </c>
      <c r="DN26" s="38">
        <f t="shared" si="23"/>
        <v>0</v>
      </c>
      <c r="DO26" s="38">
        <f t="shared" si="23"/>
        <v>0</v>
      </c>
      <c r="DP26" s="38">
        <f t="shared" si="23"/>
        <v>0</v>
      </c>
      <c r="DQ26" s="38">
        <f t="shared" si="23"/>
        <v>0</v>
      </c>
      <c r="DR26" s="38">
        <f t="shared" si="23"/>
        <v>0</v>
      </c>
      <c r="DS26" s="38">
        <f t="shared" si="23"/>
        <v>0</v>
      </c>
      <c r="DT26" s="38">
        <f t="shared" si="23"/>
        <v>0</v>
      </c>
      <c r="DU26" s="38">
        <f t="shared" si="23"/>
        <v>0</v>
      </c>
      <c r="DV26" s="38">
        <f t="shared" si="23"/>
        <v>0</v>
      </c>
      <c r="DW26" s="38">
        <f t="shared" si="23"/>
        <v>0</v>
      </c>
      <c r="DX26" s="38">
        <f t="shared" si="23"/>
        <v>0</v>
      </c>
      <c r="DY26" s="38">
        <f t="shared" si="23"/>
        <v>0</v>
      </c>
      <c r="DZ26" s="38">
        <f t="shared" si="23"/>
        <v>0</v>
      </c>
      <c r="EA26" s="38">
        <f t="shared" si="23"/>
        <v>0</v>
      </c>
      <c r="EB26" s="38">
        <f t="shared" si="23"/>
        <v>0</v>
      </c>
      <c r="EC26" s="38">
        <f t="shared" si="23"/>
        <v>0</v>
      </c>
      <c r="ED26" s="38">
        <f t="shared" si="23"/>
        <v>0</v>
      </c>
      <c r="EE26" s="38">
        <f t="shared" si="23"/>
        <v>0</v>
      </c>
      <c r="EF26" s="38">
        <f t="shared" si="23"/>
        <v>0</v>
      </c>
      <c r="EG26" s="38">
        <f t="shared" si="23"/>
        <v>0</v>
      </c>
      <c r="EH26" s="38">
        <f t="shared" si="23"/>
        <v>0</v>
      </c>
      <c r="EI26" s="38">
        <f t="shared" si="23"/>
        <v>0</v>
      </c>
      <c r="EJ26" s="38">
        <f t="shared" ref="EJ26:EN28" si="24">AND(EJ$22&gt;=$D26,EJ$22&lt;=$E26)*IF(OR($F26="Straight-Line",$F26="Detail"),$I26/$ES26,JT26)</f>
        <v>0</v>
      </c>
      <c r="EK26" s="38">
        <f t="shared" si="24"/>
        <v>0</v>
      </c>
      <c r="EL26" s="38">
        <f t="shared" si="24"/>
        <v>0</v>
      </c>
      <c r="EM26" s="38">
        <f t="shared" si="24"/>
        <v>0</v>
      </c>
      <c r="EN26" s="38">
        <f t="shared" si="24"/>
        <v>0</v>
      </c>
      <c r="EP26" s="30">
        <f>I26</f>
        <v>2940300</v>
      </c>
      <c r="EQ26" s="31">
        <f>INDEX($L$23:$EN$23,1,$D26+1)</f>
        <v>44561</v>
      </c>
      <c r="ER26" s="31">
        <f>INDEX($L$23:$EN$23,1,$E26+1)</f>
        <v>44561</v>
      </c>
      <c r="ES26" s="30">
        <f>+E26-D26+1</f>
        <v>1</v>
      </c>
      <c r="ET26" s="24" t="str">
        <f>F26</f>
        <v>Straight-Line</v>
      </c>
      <c r="EU26" s="217">
        <f>ES26/Scurve_Dist</f>
        <v>0.16666666666666666</v>
      </c>
      <c r="EV26" s="30">
        <f>AND($ET26="S-Curve",EV$23&gt;=$EQ26,EV$23&lt;=$ER26)*(_xlfn.NORM.DIST((YEAR(EV$23)-YEAR($EQ26))*12+MONTH(EV$23)-MONTH($EQ26)+1,$ES26/2,$EU26,TRUE)-_xlfn.NORM.DIST((YEAR(EV$23)-YEAR($EQ26))*12+MONTH(EV$23)-MONTH($EQ26),$ES26/2,$EU26,TRUE))/(1-2*_xlfn.NORM.DIST(0,$ES26/2,$EU26,TRUE))*$EP26</f>
        <v>0</v>
      </c>
      <c r="EW26" s="30">
        <f t="shared" ref="EW26:HH27" si="25">AND($ET26="S-Curve",EW$23&gt;=$EQ26,EW$23&lt;=$ER26)*(_xlfn.NORM.DIST((YEAR(EW$23)-YEAR($EQ26))*12+MONTH(EW$23)-MONTH($EQ26)+1,$ES26/2,$EU26,TRUE)-_xlfn.NORM.DIST((YEAR(EW$23)-YEAR($EQ26))*12+MONTH(EW$23)-MONTH($EQ26),$ES26/2,$EU26,TRUE))/(1-2*_xlfn.NORM.DIST(0,$ES26/2,$EU26,TRUE))*$EP26</f>
        <v>0</v>
      </c>
      <c r="EX26" s="30">
        <f t="shared" si="25"/>
        <v>0</v>
      </c>
      <c r="EY26" s="30">
        <f t="shared" si="25"/>
        <v>0</v>
      </c>
      <c r="EZ26" s="30">
        <f t="shared" si="25"/>
        <v>0</v>
      </c>
      <c r="FA26" s="30">
        <f t="shared" si="25"/>
        <v>0</v>
      </c>
      <c r="FB26" s="30">
        <f t="shared" si="25"/>
        <v>0</v>
      </c>
      <c r="FC26" s="30">
        <f t="shared" si="25"/>
        <v>0</v>
      </c>
      <c r="FD26" s="30">
        <f t="shared" si="25"/>
        <v>0</v>
      </c>
      <c r="FE26" s="30">
        <f t="shared" si="25"/>
        <v>0</v>
      </c>
      <c r="FF26" s="30">
        <f t="shared" si="25"/>
        <v>0</v>
      </c>
      <c r="FG26" s="30">
        <f t="shared" si="25"/>
        <v>0</v>
      </c>
      <c r="FH26" s="30">
        <f t="shared" si="25"/>
        <v>0</v>
      </c>
      <c r="FI26" s="30">
        <f t="shared" si="25"/>
        <v>0</v>
      </c>
      <c r="FJ26" s="30">
        <f t="shared" si="25"/>
        <v>0</v>
      </c>
      <c r="FK26" s="30">
        <f t="shared" si="25"/>
        <v>0</v>
      </c>
      <c r="FL26" s="30">
        <f t="shared" si="25"/>
        <v>0</v>
      </c>
      <c r="FM26" s="30">
        <f t="shared" si="25"/>
        <v>0</v>
      </c>
      <c r="FN26" s="30">
        <f t="shared" si="25"/>
        <v>0</v>
      </c>
      <c r="FO26" s="30">
        <f t="shared" si="25"/>
        <v>0</v>
      </c>
      <c r="FP26" s="30">
        <f t="shared" si="25"/>
        <v>0</v>
      </c>
      <c r="FQ26" s="30">
        <f t="shared" si="25"/>
        <v>0</v>
      </c>
      <c r="FR26" s="30">
        <f t="shared" si="25"/>
        <v>0</v>
      </c>
      <c r="FS26" s="30">
        <f t="shared" si="25"/>
        <v>0</v>
      </c>
      <c r="FT26" s="30">
        <f t="shared" si="25"/>
        <v>0</v>
      </c>
      <c r="FU26" s="30">
        <f t="shared" si="25"/>
        <v>0</v>
      </c>
      <c r="FV26" s="30">
        <f t="shared" si="25"/>
        <v>0</v>
      </c>
      <c r="FW26" s="30">
        <f t="shared" si="25"/>
        <v>0</v>
      </c>
      <c r="FX26" s="30">
        <f t="shared" si="25"/>
        <v>0</v>
      </c>
      <c r="FY26" s="30">
        <f t="shared" si="25"/>
        <v>0</v>
      </c>
      <c r="FZ26" s="30">
        <f t="shared" si="25"/>
        <v>0</v>
      </c>
      <c r="GA26" s="30">
        <f t="shared" si="25"/>
        <v>0</v>
      </c>
      <c r="GB26" s="30">
        <f t="shared" si="25"/>
        <v>0</v>
      </c>
      <c r="GC26" s="30">
        <f t="shared" si="25"/>
        <v>0</v>
      </c>
      <c r="GD26" s="30">
        <f t="shared" si="25"/>
        <v>0</v>
      </c>
      <c r="GE26" s="30">
        <f t="shared" si="25"/>
        <v>0</v>
      </c>
      <c r="GF26" s="30">
        <f t="shared" si="25"/>
        <v>0</v>
      </c>
      <c r="GG26" s="30">
        <f t="shared" si="25"/>
        <v>0</v>
      </c>
      <c r="GH26" s="30">
        <f t="shared" si="25"/>
        <v>0</v>
      </c>
      <c r="GI26" s="30">
        <f t="shared" si="25"/>
        <v>0</v>
      </c>
      <c r="GJ26" s="30">
        <f t="shared" si="25"/>
        <v>0</v>
      </c>
      <c r="GK26" s="30">
        <f t="shared" si="25"/>
        <v>0</v>
      </c>
      <c r="GL26" s="30">
        <f t="shared" si="25"/>
        <v>0</v>
      </c>
      <c r="GM26" s="30">
        <f t="shared" si="25"/>
        <v>0</v>
      </c>
      <c r="GN26" s="30">
        <f t="shared" si="25"/>
        <v>0</v>
      </c>
      <c r="GO26" s="30">
        <f t="shared" si="25"/>
        <v>0</v>
      </c>
      <c r="GP26" s="30">
        <f t="shared" si="25"/>
        <v>0</v>
      </c>
      <c r="GQ26" s="30">
        <f t="shared" si="25"/>
        <v>0</v>
      </c>
      <c r="GR26" s="30">
        <f t="shared" si="25"/>
        <v>0</v>
      </c>
      <c r="GS26" s="30">
        <f t="shared" si="25"/>
        <v>0</v>
      </c>
      <c r="GT26" s="30">
        <f t="shared" si="25"/>
        <v>0</v>
      </c>
      <c r="GU26" s="30">
        <f t="shared" si="25"/>
        <v>0</v>
      </c>
      <c r="GV26" s="30">
        <f t="shared" si="25"/>
        <v>0</v>
      </c>
      <c r="GW26" s="30">
        <f t="shared" si="25"/>
        <v>0</v>
      </c>
      <c r="GX26" s="30">
        <f t="shared" si="25"/>
        <v>0</v>
      </c>
      <c r="GY26" s="30">
        <f t="shared" si="25"/>
        <v>0</v>
      </c>
      <c r="GZ26" s="30">
        <f t="shared" si="25"/>
        <v>0</v>
      </c>
      <c r="HA26" s="30">
        <f t="shared" si="25"/>
        <v>0</v>
      </c>
      <c r="HB26" s="30">
        <f t="shared" si="25"/>
        <v>0</v>
      </c>
      <c r="HC26" s="30">
        <f t="shared" si="25"/>
        <v>0</v>
      </c>
      <c r="HD26" s="30">
        <f t="shared" si="25"/>
        <v>0</v>
      </c>
      <c r="HE26" s="30">
        <f t="shared" si="25"/>
        <v>0</v>
      </c>
      <c r="HF26" s="30">
        <f t="shared" si="25"/>
        <v>0</v>
      </c>
      <c r="HG26" s="30">
        <f t="shared" si="25"/>
        <v>0</v>
      </c>
      <c r="HH26" s="30">
        <f t="shared" si="25"/>
        <v>0</v>
      </c>
      <c r="HI26" s="30">
        <f t="shared" ref="HI26:JT27" si="26">AND($ET26="S-Curve",HI$23&gt;=$EQ26,HI$23&lt;=$ER26)*(_xlfn.NORM.DIST((YEAR(HI$23)-YEAR($EQ26))*12+MONTH(HI$23)-MONTH($EQ26)+1,$ES26/2,$EU26,TRUE)-_xlfn.NORM.DIST((YEAR(HI$23)-YEAR($EQ26))*12+MONTH(HI$23)-MONTH($EQ26),$ES26/2,$EU26,TRUE))/(1-2*_xlfn.NORM.DIST(0,$ES26/2,$EU26,TRUE))*$EP26</f>
        <v>0</v>
      </c>
      <c r="HJ26" s="30">
        <f t="shared" si="26"/>
        <v>0</v>
      </c>
      <c r="HK26" s="30">
        <f t="shared" si="26"/>
        <v>0</v>
      </c>
      <c r="HL26" s="30">
        <f t="shared" si="26"/>
        <v>0</v>
      </c>
      <c r="HM26" s="30">
        <f t="shared" si="26"/>
        <v>0</v>
      </c>
      <c r="HN26" s="30">
        <f t="shared" si="26"/>
        <v>0</v>
      </c>
      <c r="HO26" s="30">
        <f t="shared" si="26"/>
        <v>0</v>
      </c>
      <c r="HP26" s="30">
        <f t="shared" si="26"/>
        <v>0</v>
      </c>
      <c r="HQ26" s="30">
        <f t="shared" si="26"/>
        <v>0</v>
      </c>
      <c r="HR26" s="30">
        <f t="shared" si="26"/>
        <v>0</v>
      </c>
      <c r="HS26" s="30">
        <f t="shared" si="26"/>
        <v>0</v>
      </c>
      <c r="HT26" s="30">
        <f t="shared" si="26"/>
        <v>0</v>
      </c>
      <c r="HU26" s="30">
        <f t="shared" si="26"/>
        <v>0</v>
      </c>
      <c r="HV26" s="30">
        <f t="shared" si="26"/>
        <v>0</v>
      </c>
      <c r="HW26" s="30">
        <f t="shared" si="26"/>
        <v>0</v>
      </c>
      <c r="HX26" s="30">
        <f t="shared" si="26"/>
        <v>0</v>
      </c>
      <c r="HY26" s="30">
        <f t="shared" si="26"/>
        <v>0</v>
      </c>
      <c r="HZ26" s="30">
        <f t="shared" si="26"/>
        <v>0</v>
      </c>
      <c r="IA26" s="30">
        <f t="shared" si="26"/>
        <v>0</v>
      </c>
      <c r="IB26" s="30">
        <f t="shared" si="26"/>
        <v>0</v>
      </c>
      <c r="IC26" s="30">
        <f t="shared" si="26"/>
        <v>0</v>
      </c>
      <c r="ID26" s="30">
        <f t="shared" si="26"/>
        <v>0</v>
      </c>
      <c r="IE26" s="30">
        <f t="shared" si="26"/>
        <v>0</v>
      </c>
      <c r="IF26" s="30">
        <f t="shared" si="26"/>
        <v>0</v>
      </c>
      <c r="IG26" s="30">
        <f t="shared" si="26"/>
        <v>0</v>
      </c>
      <c r="IH26" s="30">
        <f t="shared" si="26"/>
        <v>0</v>
      </c>
      <c r="II26" s="30">
        <f t="shared" si="26"/>
        <v>0</v>
      </c>
      <c r="IJ26" s="30">
        <f t="shared" si="26"/>
        <v>0</v>
      </c>
      <c r="IK26" s="30">
        <f t="shared" si="26"/>
        <v>0</v>
      </c>
      <c r="IL26" s="30">
        <f t="shared" si="26"/>
        <v>0</v>
      </c>
      <c r="IM26" s="30">
        <f t="shared" si="26"/>
        <v>0</v>
      </c>
      <c r="IN26" s="30">
        <f t="shared" si="26"/>
        <v>0</v>
      </c>
      <c r="IO26" s="30">
        <f t="shared" si="26"/>
        <v>0</v>
      </c>
      <c r="IP26" s="30">
        <f t="shared" si="26"/>
        <v>0</v>
      </c>
      <c r="IQ26" s="30">
        <f t="shared" si="26"/>
        <v>0</v>
      </c>
      <c r="IR26" s="30">
        <f t="shared" si="26"/>
        <v>0</v>
      </c>
      <c r="IS26" s="30">
        <f t="shared" si="26"/>
        <v>0</v>
      </c>
      <c r="IT26" s="30">
        <f t="shared" si="26"/>
        <v>0</v>
      </c>
      <c r="IU26" s="30">
        <f t="shared" si="26"/>
        <v>0</v>
      </c>
      <c r="IV26" s="30">
        <f t="shared" si="26"/>
        <v>0</v>
      </c>
      <c r="IW26" s="30">
        <f t="shared" si="26"/>
        <v>0</v>
      </c>
      <c r="IX26" s="30">
        <f t="shared" si="26"/>
        <v>0</v>
      </c>
      <c r="IY26" s="30">
        <f t="shared" si="26"/>
        <v>0</v>
      </c>
      <c r="IZ26" s="30">
        <f t="shared" si="26"/>
        <v>0</v>
      </c>
      <c r="JA26" s="30">
        <f t="shared" si="26"/>
        <v>0</v>
      </c>
      <c r="JB26" s="30">
        <f t="shared" si="26"/>
        <v>0</v>
      </c>
      <c r="JC26" s="30">
        <f t="shared" si="26"/>
        <v>0</v>
      </c>
      <c r="JD26" s="30">
        <f t="shared" si="26"/>
        <v>0</v>
      </c>
      <c r="JE26" s="30">
        <f t="shared" si="26"/>
        <v>0</v>
      </c>
      <c r="JF26" s="30">
        <f t="shared" si="26"/>
        <v>0</v>
      </c>
      <c r="JG26" s="30">
        <f t="shared" si="26"/>
        <v>0</v>
      </c>
      <c r="JH26" s="30">
        <f t="shared" si="26"/>
        <v>0</v>
      </c>
      <c r="JI26" s="30">
        <f t="shared" si="26"/>
        <v>0</v>
      </c>
      <c r="JJ26" s="30">
        <f t="shared" si="26"/>
        <v>0</v>
      </c>
      <c r="JK26" s="30">
        <f t="shared" si="26"/>
        <v>0</v>
      </c>
      <c r="JL26" s="30">
        <f t="shared" si="26"/>
        <v>0</v>
      </c>
      <c r="JM26" s="30">
        <f t="shared" si="26"/>
        <v>0</v>
      </c>
      <c r="JN26" s="30">
        <f t="shared" si="26"/>
        <v>0</v>
      </c>
      <c r="JO26" s="30">
        <f t="shared" si="26"/>
        <v>0</v>
      </c>
      <c r="JP26" s="30">
        <f t="shared" si="26"/>
        <v>0</v>
      </c>
      <c r="JQ26" s="30">
        <f t="shared" si="26"/>
        <v>0</v>
      </c>
      <c r="JR26" s="30">
        <f t="shared" si="26"/>
        <v>0</v>
      </c>
      <c r="JS26" s="30">
        <f t="shared" si="26"/>
        <v>0</v>
      </c>
      <c r="JT26" s="30">
        <f t="shared" si="26"/>
        <v>0</v>
      </c>
      <c r="JU26" s="30">
        <f t="shared" ref="JU26:JX28" si="27">AND($ET26="S-Curve",JU$23&gt;=$EQ26,JU$23&lt;=$ER26)*(_xlfn.NORM.DIST((YEAR(JU$23)-YEAR($EQ26))*12+MONTH(JU$23)-MONTH($EQ26)+1,$ES26/2,$EU26,TRUE)-_xlfn.NORM.DIST((YEAR(JU$23)-YEAR($EQ26))*12+MONTH(JU$23)-MONTH($EQ26),$ES26/2,$EU26,TRUE))/(1-2*_xlfn.NORM.DIST(0,$ES26/2,$EU26,TRUE))*$EP26</f>
        <v>0</v>
      </c>
      <c r="JV26" s="30">
        <f t="shared" si="27"/>
        <v>0</v>
      </c>
      <c r="JW26" s="30">
        <f t="shared" si="27"/>
        <v>0</v>
      </c>
      <c r="JX26" s="30">
        <f t="shared" si="27"/>
        <v>0</v>
      </c>
    </row>
    <row r="27" spans="1:284" s="7" customFormat="1" x14ac:dyDescent="0.2">
      <c r="A27" s="406"/>
      <c r="B27" s="103" t="s">
        <v>31</v>
      </c>
      <c r="C27" s="120"/>
      <c r="D27" s="132">
        <v>0</v>
      </c>
      <c r="E27" s="132">
        <f t="shared" si="19"/>
        <v>0</v>
      </c>
      <c r="F27" s="133" t="s">
        <v>26</v>
      </c>
      <c r="G27" s="389">
        <f>I27/Units_SF_M2</f>
        <v>0.34591764705882355</v>
      </c>
      <c r="H27" s="123">
        <f>I27/Units</f>
        <v>294.02999999999997</v>
      </c>
      <c r="I27" s="124">
        <f>+I26*0.03</f>
        <v>88209</v>
      </c>
      <c r="K27" s="7" t="str">
        <f>IF(ROUND(SUM(L27:EN27),0)=ROUND(I27,0),"","Incomplete")</f>
        <v/>
      </c>
      <c r="L27" s="38">
        <f t="shared" ref="L27:U28" si="28">AND(L$22&gt;=$D27,L$22&lt;=$E27)*IF(OR($F27="Straight-Line",$F27="Detail"),$I27/$ES27,EV27)</f>
        <v>88209</v>
      </c>
      <c r="M27" s="38">
        <f t="shared" si="28"/>
        <v>0</v>
      </c>
      <c r="N27" s="38">
        <f t="shared" si="28"/>
        <v>0</v>
      </c>
      <c r="O27" s="38">
        <f t="shared" si="28"/>
        <v>0</v>
      </c>
      <c r="P27" s="38">
        <f t="shared" si="28"/>
        <v>0</v>
      </c>
      <c r="Q27" s="38">
        <f t="shared" si="28"/>
        <v>0</v>
      </c>
      <c r="R27" s="38">
        <f t="shared" si="28"/>
        <v>0</v>
      </c>
      <c r="S27" s="38">
        <f t="shared" si="28"/>
        <v>0</v>
      </c>
      <c r="T27" s="38">
        <f t="shared" si="28"/>
        <v>0</v>
      </c>
      <c r="U27" s="38">
        <f t="shared" si="28"/>
        <v>0</v>
      </c>
      <c r="V27" s="38">
        <f t="shared" ref="V27:AE28" si="29">AND(V$22&gt;=$D27,V$22&lt;=$E27)*IF(OR($F27="Straight-Line",$F27="Detail"),$I27/$ES27,FF27)</f>
        <v>0</v>
      </c>
      <c r="W27" s="38">
        <f t="shared" si="29"/>
        <v>0</v>
      </c>
      <c r="X27" s="38">
        <f t="shared" si="29"/>
        <v>0</v>
      </c>
      <c r="Y27" s="38">
        <f t="shared" si="29"/>
        <v>0</v>
      </c>
      <c r="Z27" s="38">
        <f t="shared" si="29"/>
        <v>0</v>
      </c>
      <c r="AA27" s="38">
        <f t="shared" si="29"/>
        <v>0</v>
      </c>
      <c r="AB27" s="38">
        <f t="shared" si="29"/>
        <v>0</v>
      </c>
      <c r="AC27" s="38">
        <f t="shared" si="29"/>
        <v>0</v>
      </c>
      <c r="AD27" s="38">
        <f t="shared" si="29"/>
        <v>0</v>
      </c>
      <c r="AE27" s="38">
        <f t="shared" si="29"/>
        <v>0</v>
      </c>
      <c r="AF27" s="38">
        <f t="shared" ref="AF27:AO28" si="30">AND(AF$22&gt;=$D27,AF$22&lt;=$E27)*IF(OR($F27="Straight-Line",$F27="Detail"),$I27/$ES27,FP27)</f>
        <v>0</v>
      </c>
      <c r="AG27" s="38">
        <f t="shared" si="30"/>
        <v>0</v>
      </c>
      <c r="AH27" s="38">
        <f t="shared" si="30"/>
        <v>0</v>
      </c>
      <c r="AI27" s="38">
        <f t="shared" si="30"/>
        <v>0</v>
      </c>
      <c r="AJ27" s="38">
        <f t="shared" si="30"/>
        <v>0</v>
      </c>
      <c r="AK27" s="38">
        <f t="shared" si="30"/>
        <v>0</v>
      </c>
      <c r="AL27" s="38">
        <f t="shared" si="30"/>
        <v>0</v>
      </c>
      <c r="AM27" s="38">
        <f t="shared" si="30"/>
        <v>0</v>
      </c>
      <c r="AN27" s="38">
        <f t="shared" si="30"/>
        <v>0</v>
      </c>
      <c r="AO27" s="38">
        <f t="shared" si="30"/>
        <v>0</v>
      </c>
      <c r="AP27" s="38">
        <f t="shared" ref="AP27:AY28" si="31">AND(AP$22&gt;=$D27,AP$22&lt;=$E27)*IF(OR($F27="Straight-Line",$F27="Detail"),$I27/$ES27,FZ27)</f>
        <v>0</v>
      </c>
      <c r="AQ27" s="38">
        <f t="shared" si="31"/>
        <v>0</v>
      </c>
      <c r="AR27" s="38">
        <f t="shared" si="31"/>
        <v>0</v>
      </c>
      <c r="AS27" s="38">
        <f t="shared" si="31"/>
        <v>0</v>
      </c>
      <c r="AT27" s="38">
        <f t="shared" si="31"/>
        <v>0</v>
      </c>
      <c r="AU27" s="38">
        <f t="shared" si="31"/>
        <v>0</v>
      </c>
      <c r="AV27" s="38">
        <f t="shared" si="31"/>
        <v>0</v>
      </c>
      <c r="AW27" s="38">
        <f t="shared" si="31"/>
        <v>0</v>
      </c>
      <c r="AX27" s="38">
        <f t="shared" si="31"/>
        <v>0</v>
      </c>
      <c r="AY27" s="38">
        <f t="shared" si="31"/>
        <v>0</v>
      </c>
      <c r="AZ27" s="38">
        <f t="shared" ref="AZ27:BI28" si="32">AND(AZ$22&gt;=$D27,AZ$22&lt;=$E27)*IF(OR($F27="Straight-Line",$F27="Detail"),$I27/$ES27,GJ27)</f>
        <v>0</v>
      </c>
      <c r="BA27" s="38">
        <f t="shared" si="32"/>
        <v>0</v>
      </c>
      <c r="BB27" s="38">
        <f t="shared" si="32"/>
        <v>0</v>
      </c>
      <c r="BC27" s="38">
        <f t="shared" si="32"/>
        <v>0</v>
      </c>
      <c r="BD27" s="38">
        <f t="shared" si="32"/>
        <v>0</v>
      </c>
      <c r="BE27" s="38">
        <f t="shared" si="32"/>
        <v>0</v>
      </c>
      <c r="BF27" s="38">
        <f t="shared" si="32"/>
        <v>0</v>
      </c>
      <c r="BG27" s="38">
        <f t="shared" si="32"/>
        <v>0</v>
      </c>
      <c r="BH27" s="38">
        <f t="shared" si="32"/>
        <v>0</v>
      </c>
      <c r="BI27" s="38">
        <f t="shared" si="32"/>
        <v>0</v>
      </c>
      <c r="BJ27" s="38">
        <f t="shared" ref="BJ27:BS28" si="33">AND(BJ$22&gt;=$D27,BJ$22&lt;=$E27)*IF(OR($F27="Straight-Line",$F27="Detail"),$I27/$ES27,GT27)</f>
        <v>0</v>
      </c>
      <c r="BK27" s="38">
        <f t="shared" si="33"/>
        <v>0</v>
      </c>
      <c r="BL27" s="38">
        <f t="shared" si="33"/>
        <v>0</v>
      </c>
      <c r="BM27" s="38">
        <f t="shared" si="33"/>
        <v>0</v>
      </c>
      <c r="BN27" s="38">
        <f t="shared" si="33"/>
        <v>0</v>
      </c>
      <c r="BO27" s="38">
        <f t="shared" si="33"/>
        <v>0</v>
      </c>
      <c r="BP27" s="38">
        <f t="shared" si="33"/>
        <v>0</v>
      </c>
      <c r="BQ27" s="38">
        <f t="shared" si="33"/>
        <v>0</v>
      </c>
      <c r="BR27" s="38">
        <f t="shared" si="33"/>
        <v>0</v>
      </c>
      <c r="BS27" s="38">
        <f t="shared" si="33"/>
        <v>0</v>
      </c>
      <c r="BT27" s="38">
        <f t="shared" ref="BT27:CC28" si="34">AND(BT$22&gt;=$D27,BT$22&lt;=$E27)*IF(OR($F27="Straight-Line",$F27="Detail"),$I27/$ES27,HD27)</f>
        <v>0</v>
      </c>
      <c r="BU27" s="38">
        <f t="shared" si="34"/>
        <v>0</v>
      </c>
      <c r="BV27" s="38">
        <f t="shared" si="34"/>
        <v>0</v>
      </c>
      <c r="BW27" s="38">
        <f t="shared" si="34"/>
        <v>0</v>
      </c>
      <c r="BX27" s="38">
        <f t="shared" si="34"/>
        <v>0</v>
      </c>
      <c r="BY27" s="38">
        <f t="shared" si="34"/>
        <v>0</v>
      </c>
      <c r="BZ27" s="38">
        <f t="shared" si="34"/>
        <v>0</v>
      </c>
      <c r="CA27" s="38">
        <f t="shared" si="34"/>
        <v>0</v>
      </c>
      <c r="CB27" s="38">
        <f t="shared" si="34"/>
        <v>0</v>
      </c>
      <c r="CC27" s="38">
        <f t="shared" si="34"/>
        <v>0</v>
      </c>
      <c r="CD27" s="38">
        <f t="shared" ref="CD27:CM28" si="35">AND(CD$22&gt;=$D27,CD$22&lt;=$E27)*IF(OR($F27="Straight-Line",$F27="Detail"),$I27/$ES27,HN27)</f>
        <v>0</v>
      </c>
      <c r="CE27" s="38">
        <f t="shared" si="35"/>
        <v>0</v>
      </c>
      <c r="CF27" s="38">
        <f t="shared" si="35"/>
        <v>0</v>
      </c>
      <c r="CG27" s="38">
        <f t="shared" si="35"/>
        <v>0</v>
      </c>
      <c r="CH27" s="38">
        <f t="shared" si="35"/>
        <v>0</v>
      </c>
      <c r="CI27" s="38">
        <f t="shared" si="35"/>
        <v>0</v>
      </c>
      <c r="CJ27" s="38">
        <f t="shared" si="35"/>
        <v>0</v>
      </c>
      <c r="CK27" s="38">
        <f t="shared" si="35"/>
        <v>0</v>
      </c>
      <c r="CL27" s="38">
        <f t="shared" si="35"/>
        <v>0</v>
      </c>
      <c r="CM27" s="38">
        <f t="shared" si="35"/>
        <v>0</v>
      </c>
      <c r="CN27" s="38">
        <f t="shared" ref="CN27:CW28" si="36">AND(CN$22&gt;=$D27,CN$22&lt;=$E27)*IF(OR($F27="Straight-Line",$F27="Detail"),$I27/$ES27,HX27)</f>
        <v>0</v>
      </c>
      <c r="CO27" s="38">
        <f t="shared" si="36"/>
        <v>0</v>
      </c>
      <c r="CP27" s="38">
        <f t="shared" si="36"/>
        <v>0</v>
      </c>
      <c r="CQ27" s="38">
        <f t="shared" si="36"/>
        <v>0</v>
      </c>
      <c r="CR27" s="38">
        <f t="shared" si="36"/>
        <v>0</v>
      </c>
      <c r="CS27" s="38">
        <f t="shared" si="36"/>
        <v>0</v>
      </c>
      <c r="CT27" s="38">
        <f t="shared" si="36"/>
        <v>0</v>
      </c>
      <c r="CU27" s="38">
        <f t="shared" si="36"/>
        <v>0</v>
      </c>
      <c r="CV27" s="38">
        <f t="shared" si="36"/>
        <v>0</v>
      </c>
      <c r="CW27" s="38">
        <f t="shared" si="36"/>
        <v>0</v>
      </c>
      <c r="CX27" s="38">
        <f t="shared" ref="CX27:DG28" si="37">AND(CX$22&gt;=$D27,CX$22&lt;=$E27)*IF(OR($F27="Straight-Line",$F27="Detail"),$I27/$ES27,IH27)</f>
        <v>0</v>
      </c>
      <c r="CY27" s="38">
        <f t="shared" si="37"/>
        <v>0</v>
      </c>
      <c r="CZ27" s="38">
        <f t="shared" si="37"/>
        <v>0</v>
      </c>
      <c r="DA27" s="38">
        <f t="shared" si="37"/>
        <v>0</v>
      </c>
      <c r="DB27" s="38">
        <f t="shared" si="37"/>
        <v>0</v>
      </c>
      <c r="DC27" s="38">
        <f t="shared" si="37"/>
        <v>0</v>
      </c>
      <c r="DD27" s="38">
        <f t="shared" si="37"/>
        <v>0</v>
      </c>
      <c r="DE27" s="38">
        <f t="shared" si="37"/>
        <v>0</v>
      </c>
      <c r="DF27" s="38">
        <f t="shared" si="37"/>
        <v>0</v>
      </c>
      <c r="DG27" s="38">
        <f t="shared" si="37"/>
        <v>0</v>
      </c>
      <c r="DH27" s="38">
        <f t="shared" ref="DH27:DQ28" si="38">AND(DH$22&gt;=$D27,DH$22&lt;=$E27)*IF(OR($F27="Straight-Line",$F27="Detail"),$I27/$ES27,IR27)</f>
        <v>0</v>
      </c>
      <c r="DI27" s="38">
        <f t="shared" si="38"/>
        <v>0</v>
      </c>
      <c r="DJ27" s="38">
        <f t="shared" si="38"/>
        <v>0</v>
      </c>
      <c r="DK27" s="38">
        <f t="shared" si="38"/>
        <v>0</v>
      </c>
      <c r="DL27" s="38">
        <f t="shared" si="38"/>
        <v>0</v>
      </c>
      <c r="DM27" s="38">
        <f t="shared" si="38"/>
        <v>0</v>
      </c>
      <c r="DN27" s="38">
        <f t="shared" si="38"/>
        <v>0</v>
      </c>
      <c r="DO27" s="38">
        <f t="shared" si="38"/>
        <v>0</v>
      </c>
      <c r="DP27" s="38">
        <f t="shared" si="38"/>
        <v>0</v>
      </c>
      <c r="DQ27" s="38">
        <f t="shared" si="38"/>
        <v>0</v>
      </c>
      <c r="DR27" s="38">
        <f t="shared" ref="DR27:EA28" si="39">AND(DR$22&gt;=$D27,DR$22&lt;=$E27)*IF(OR($F27="Straight-Line",$F27="Detail"),$I27/$ES27,JB27)</f>
        <v>0</v>
      </c>
      <c r="DS27" s="38">
        <f t="shared" si="39"/>
        <v>0</v>
      </c>
      <c r="DT27" s="38">
        <f t="shared" si="39"/>
        <v>0</v>
      </c>
      <c r="DU27" s="38">
        <f t="shared" si="39"/>
        <v>0</v>
      </c>
      <c r="DV27" s="38">
        <f t="shared" si="39"/>
        <v>0</v>
      </c>
      <c r="DW27" s="38">
        <f t="shared" si="39"/>
        <v>0</v>
      </c>
      <c r="DX27" s="38">
        <f t="shared" si="39"/>
        <v>0</v>
      </c>
      <c r="DY27" s="38">
        <f t="shared" si="39"/>
        <v>0</v>
      </c>
      <c r="DZ27" s="38">
        <f t="shared" si="39"/>
        <v>0</v>
      </c>
      <c r="EA27" s="38">
        <f t="shared" si="39"/>
        <v>0</v>
      </c>
      <c r="EB27" s="38">
        <f t="shared" ref="EB27:EI28" si="40">AND(EB$22&gt;=$D27,EB$22&lt;=$E27)*IF(OR($F27="Straight-Line",$F27="Detail"),$I27/$ES27,JL27)</f>
        <v>0</v>
      </c>
      <c r="EC27" s="38">
        <f t="shared" si="40"/>
        <v>0</v>
      </c>
      <c r="ED27" s="38">
        <f t="shared" si="40"/>
        <v>0</v>
      </c>
      <c r="EE27" s="38">
        <f t="shared" si="40"/>
        <v>0</v>
      </c>
      <c r="EF27" s="38">
        <f t="shared" si="40"/>
        <v>0</v>
      </c>
      <c r="EG27" s="38">
        <f t="shared" si="40"/>
        <v>0</v>
      </c>
      <c r="EH27" s="38">
        <f t="shared" si="40"/>
        <v>0</v>
      </c>
      <c r="EI27" s="38">
        <f t="shared" si="40"/>
        <v>0</v>
      </c>
      <c r="EJ27" s="38">
        <f t="shared" si="24"/>
        <v>0</v>
      </c>
      <c r="EK27" s="38">
        <f t="shared" si="24"/>
        <v>0</v>
      </c>
      <c r="EL27" s="38">
        <f t="shared" si="24"/>
        <v>0</v>
      </c>
      <c r="EM27" s="38">
        <f t="shared" si="24"/>
        <v>0</v>
      </c>
      <c r="EN27" s="38">
        <f t="shared" si="24"/>
        <v>0</v>
      </c>
      <c r="EP27" s="30">
        <f>I27</f>
        <v>88209</v>
      </c>
      <c r="EQ27" s="31">
        <f>INDEX($L$23:$EN$23,1,$D27+1)</f>
        <v>44561</v>
      </c>
      <c r="ER27" s="31">
        <f>INDEX($L$23:$EN$23,1,$E27+1)</f>
        <v>44561</v>
      </c>
      <c r="ES27" s="30">
        <f>+E27-D27+1</f>
        <v>1</v>
      </c>
      <c r="ET27" s="24" t="str">
        <f>F27</f>
        <v>Straight-Line</v>
      </c>
      <c r="EU27" s="217">
        <f>ES27/Scurve_Dist</f>
        <v>0.16666666666666666</v>
      </c>
      <c r="EV27" s="30">
        <f>AND($ET27="S-Curve",EV$23&gt;=$EQ27,EV$23&lt;=$ER27)*(_xlfn.NORM.DIST((YEAR(EV$23)-YEAR($EQ27))*12+MONTH(EV$23)-MONTH($EQ27)+1,$ES27/2,$EU27,TRUE)-_xlfn.NORM.DIST((YEAR(EV$23)-YEAR($EQ27))*12+MONTH(EV$23)-MONTH($EQ27),$ES27/2,$EU27,TRUE))/(1-2*_xlfn.NORM.DIST(0,$ES27/2,$EU27,TRUE))*$EP27</f>
        <v>0</v>
      </c>
      <c r="EW27" s="30">
        <f t="shared" si="25"/>
        <v>0</v>
      </c>
      <c r="EX27" s="30">
        <f t="shared" si="25"/>
        <v>0</v>
      </c>
      <c r="EY27" s="30">
        <f t="shared" si="25"/>
        <v>0</v>
      </c>
      <c r="EZ27" s="30">
        <f t="shared" si="25"/>
        <v>0</v>
      </c>
      <c r="FA27" s="30">
        <f t="shared" si="25"/>
        <v>0</v>
      </c>
      <c r="FB27" s="30">
        <f t="shared" si="25"/>
        <v>0</v>
      </c>
      <c r="FC27" s="30">
        <f t="shared" si="25"/>
        <v>0</v>
      </c>
      <c r="FD27" s="30">
        <f t="shared" si="25"/>
        <v>0</v>
      </c>
      <c r="FE27" s="30">
        <f t="shared" si="25"/>
        <v>0</v>
      </c>
      <c r="FF27" s="30">
        <f t="shared" si="25"/>
        <v>0</v>
      </c>
      <c r="FG27" s="30">
        <f t="shared" si="25"/>
        <v>0</v>
      </c>
      <c r="FH27" s="30">
        <f t="shared" si="25"/>
        <v>0</v>
      </c>
      <c r="FI27" s="30">
        <f t="shared" si="25"/>
        <v>0</v>
      </c>
      <c r="FJ27" s="30">
        <f t="shared" si="25"/>
        <v>0</v>
      </c>
      <c r="FK27" s="30">
        <f t="shared" si="25"/>
        <v>0</v>
      </c>
      <c r="FL27" s="30">
        <f t="shared" si="25"/>
        <v>0</v>
      </c>
      <c r="FM27" s="30">
        <f t="shared" si="25"/>
        <v>0</v>
      </c>
      <c r="FN27" s="30">
        <f t="shared" si="25"/>
        <v>0</v>
      </c>
      <c r="FO27" s="30">
        <f t="shared" si="25"/>
        <v>0</v>
      </c>
      <c r="FP27" s="30">
        <f t="shared" si="25"/>
        <v>0</v>
      </c>
      <c r="FQ27" s="30">
        <f t="shared" si="25"/>
        <v>0</v>
      </c>
      <c r="FR27" s="30">
        <f t="shared" si="25"/>
        <v>0</v>
      </c>
      <c r="FS27" s="30">
        <f t="shared" si="25"/>
        <v>0</v>
      </c>
      <c r="FT27" s="30">
        <f t="shared" si="25"/>
        <v>0</v>
      </c>
      <c r="FU27" s="30">
        <f t="shared" si="25"/>
        <v>0</v>
      </c>
      <c r="FV27" s="30">
        <f t="shared" si="25"/>
        <v>0</v>
      </c>
      <c r="FW27" s="30">
        <f t="shared" si="25"/>
        <v>0</v>
      </c>
      <c r="FX27" s="30">
        <f t="shared" si="25"/>
        <v>0</v>
      </c>
      <c r="FY27" s="30">
        <f t="shared" si="25"/>
        <v>0</v>
      </c>
      <c r="FZ27" s="30">
        <f t="shared" si="25"/>
        <v>0</v>
      </c>
      <c r="GA27" s="30">
        <f t="shared" si="25"/>
        <v>0</v>
      </c>
      <c r="GB27" s="30">
        <f t="shared" si="25"/>
        <v>0</v>
      </c>
      <c r="GC27" s="30">
        <f t="shared" si="25"/>
        <v>0</v>
      </c>
      <c r="GD27" s="30">
        <f t="shared" si="25"/>
        <v>0</v>
      </c>
      <c r="GE27" s="30">
        <f t="shared" si="25"/>
        <v>0</v>
      </c>
      <c r="GF27" s="30">
        <f t="shared" si="25"/>
        <v>0</v>
      </c>
      <c r="GG27" s="30">
        <f t="shared" si="25"/>
        <v>0</v>
      </c>
      <c r="GH27" s="30">
        <f t="shared" si="25"/>
        <v>0</v>
      </c>
      <c r="GI27" s="30">
        <f t="shared" si="25"/>
        <v>0</v>
      </c>
      <c r="GJ27" s="30">
        <f t="shared" si="25"/>
        <v>0</v>
      </c>
      <c r="GK27" s="30">
        <f t="shared" si="25"/>
        <v>0</v>
      </c>
      <c r="GL27" s="30">
        <f t="shared" si="25"/>
        <v>0</v>
      </c>
      <c r="GM27" s="30">
        <f t="shared" si="25"/>
        <v>0</v>
      </c>
      <c r="GN27" s="30">
        <f t="shared" si="25"/>
        <v>0</v>
      </c>
      <c r="GO27" s="30">
        <f t="shared" si="25"/>
        <v>0</v>
      </c>
      <c r="GP27" s="30">
        <f t="shared" si="25"/>
        <v>0</v>
      </c>
      <c r="GQ27" s="30">
        <f t="shared" si="25"/>
        <v>0</v>
      </c>
      <c r="GR27" s="30">
        <f t="shared" si="25"/>
        <v>0</v>
      </c>
      <c r="GS27" s="30">
        <f t="shared" si="25"/>
        <v>0</v>
      </c>
      <c r="GT27" s="30">
        <f t="shared" si="25"/>
        <v>0</v>
      </c>
      <c r="GU27" s="30">
        <f t="shared" si="25"/>
        <v>0</v>
      </c>
      <c r="GV27" s="30">
        <f t="shared" si="25"/>
        <v>0</v>
      </c>
      <c r="GW27" s="30">
        <f t="shared" si="25"/>
        <v>0</v>
      </c>
      <c r="GX27" s="30">
        <f t="shared" si="25"/>
        <v>0</v>
      </c>
      <c r="GY27" s="30">
        <f t="shared" si="25"/>
        <v>0</v>
      </c>
      <c r="GZ27" s="30">
        <f t="shared" si="25"/>
        <v>0</v>
      </c>
      <c r="HA27" s="30">
        <f t="shared" si="25"/>
        <v>0</v>
      </c>
      <c r="HB27" s="30">
        <f t="shared" si="25"/>
        <v>0</v>
      </c>
      <c r="HC27" s="30">
        <f t="shared" si="25"/>
        <v>0</v>
      </c>
      <c r="HD27" s="30">
        <f t="shared" si="25"/>
        <v>0</v>
      </c>
      <c r="HE27" s="30">
        <f t="shared" si="25"/>
        <v>0</v>
      </c>
      <c r="HF27" s="30">
        <f t="shared" si="25"/>
        <v>0</v>
      </c>
      <c r="HG27" s="30">
        <f t="shared" si="25"/>
        <v>0</v>
      </c>
      <c r="HH27" s="30">
        <f t="shared" ref="EW27:HH28" si="41">AND($ET27="S-Curve",HH$23&gt;=$EQ27,HH$23&lt;=$ER27)*(_xlfn.NORM.DIST((YEAR(HH$23)-YEAR($EQ27))*12+MONTH(HH$23)-MONTH($EQ27)+1,$ES27/2,$EU27,TRUE)-_xlfn.NORM.DIST((YEAR(HH$23)-YEAR($EQ27))*12+MONTH(HH$23)-MONTH($EQ27),$ES27/2,$EU27,TRUE))/(1-2*_xlfn.NORM.DIST(0,$ES27/2,$EU27,TRUE))*$EP27</f>
        <v>0</v>
      </c>
      <c r="HI27" s="30">
        <f t="shared" si="26"/>
        <v>0</v>
      </c>
      <c r="HJ27" s="30">
        <f t="shared" si="26"/>
        <v>0</v>
      </c>
      <c r="HK27" s="30">
        <f t="shared" si="26"/>
        <v>0</v>
      </c>
      <c r="HL27" s="30">
        <f t="shared" si="26"/>
        <v>0</v>
      </c>
      <c r="HM27" s="30">
        <f t="shared" si="26"/>
        <v>0</v>
      </c>
      <c r="HN27" s="30">
        <f t="shared" si="26"/>
        <v>0</v>
      </c>
      <c r="HO27" s="30">
        <f t="shared" si="26"/>
        <v>0</v>
      </c>
      <c r="HP27" s="30">
        <f t="shared" si="26"/>
        <v>0</v>
      </c>
      <c r="HQ27" s="30">
        <f t="shared" si="26"/>
        <v>0</v>
      </c>
      <c r="HR27" s="30">
        <f t="shared" si="26"/>
        <v>0</v>
      </c>
      <c r="HS27" s="30">
        <f t="shared" si="26"/>
        <v>0</v>
      </c>
      <c r="HT27" s="30">
        <f t="shared" si="26"/>
        <v>0</v>
      </c>
      <c r="HU27" s="30">
        <f t="shared" si="26"/>
        <v>0</v>
      </c>
      <c r="HV27" s="30">
        <f t="shared" si="26"/>
        <v>0</v>
      </c>
      <c r="HW27" s="30">
        <f t="shared" si="26"/>
        <v>0</v>
      </c>
      <c r="HX27" s="30">
        <f t="shared" si="26"/>
        <v>0</v>
      </c>
      <c r="HY27" s="30">
        <f t="shared" si="26"/>
        <v>0</v>
      </c>
      <c r="HZ27" s="30">
        <f t="shared" si="26"/>
        <v>0</v>
      </c>
      <c r="IA27" s="30">
        <f t="shared" si="26"/>
        <v>0</v>
      </c>
      <c r="IB27" s="30">
        <f t="shared" si="26"/>
        <v>0</v>
      </c>
      <c r="IC27" s="30">
        <f t="shared" si="26"/>
        <v>0</v>
      </c>
      <c r="ID27" s="30">
        <f t="shared" si="26"/>
        <v>0</v>
      </c>
      <c r="IE27" s="30">
        <f t="shared" si="26"/>
        <v>0</v>
      </c>
      <c r="IF27" s="30">
        <f t="shared" si="26"/>
        <v>0</v>
      </c>
      <c r="IG27" s="30">
        <f t="shared" si="26"/>
        <v>0</v>
      </c>
      <c r="IH27" s="30">
        <f t="shared" si="26"/>
        <v>0</v>
      </c>
      <c r="II27" s="30">
        <f t="shared" si="26"/>
        <v>0</v>
      </c>
      <c r="IJ27" s="30">
        <f t="shared" si="26"/>
        <v>0</v>
      </c>
      <c r="IK27" s="30">
        <f t="shared" si="26"/>
        <v>0</v>
      </c>
      <c r="IL27" s="30">
        <f t="shared" si="26"/>
        <v>0</v>
      </c>
      <c r="IM27" s="30">
        <f t="shared" si="26"/>
        <v>0</v>
      </c>
      <c r="IN27" s="30">
        <f t="shared" si="26"/>
        <v>0</v>
      </c>
      <c r="IO27" s="30">
        <f t="shared" si="26"/>
        <v>0</v>
      </c>
      <c r="IP27" s="30">
        <f t="shared" si="26"/>
        <v>0</v>
      </c>
      <c r="IQ27" s="30">
        <f t="shared" si="26"/>
        <v>0</v>
      </c>
      <c r="IR27" s="30">
        <f t="shared" si="26"/>
        <v>0</v>
      </c>
      <c r="IS27" s="30">
        <f t="shared" si="26"/>
        <v>0</v>
      </c>
      <c r="IT27" s="30">
        <f t="shared" si="26"/>
        <v>0</v>
      </c>
      <c r="IU27" s="30">
        <f t="shared" si="26"/>
        <v>0</v>
      </c>
      <c r="IV27" s="30">
        <f t="shared" si="26"/>
        <v>0</v>
      </c>
      <c r="IW27" s="30">
        <f t="shared" si="26"/>
        <v>0</v>
      </c>
      <c r="IX27" s="30">
        <f t="shared" si="26"/>
        <v>0</v>
      </c>
      <c r="IY27" s="30">
        <f t="shared" si="26"/>
        <v>0</v>
      </c>
      <c r="IZ27" s="30">
        <f t="shared" si="26"/>
        <v>0</v>
      </c>
      <c r="JA27" s="30">
        <f t="shared" si="26"/>
        <v>0</v>
      </c>
      <c r="JB27" s="30">
        <f t="shared" si="26"/>
        <v>0</v>
      </c>
      <c r="JC27" s="30">
        <f t="shared" si="26"/>
        <v>0</v>
      </c>
      <c r="JD27" s="30">
        <f t="shared" si="26"/>
        <v>0</v>
      </c>
      <c r="JE27" s="30">
        <f t="shared" si="26"/>
        <v>0</v>
      </c>
      <c r="JF27" s="30">
        <f t="shared" si="26"/>
        <v>0</v>
      </c>
      <c r="JG27" s="30">
        <f t="shared" si="26"/>
        <v>0</v>
      </c>
      <c r="JH27" s="30">
        <f t="shared" si="26"/>
        <v>0</v>
      </c>
      <c r="JI27" s="30">
        <f t="shared" si="26"/>
        <v>0</v>
      </c>
      <c r="JJ27" s="30">
        <f t="shared" si="26"/>
        <v>0</v>
      </c>
      <c r="JK27" s="30">
        <f t="shared" si="26"/>
        <v>0</v>
      </c>
      <c r="JL27" s="30">
        <f t="shared" si="26"/>
        <v>0</v>
      </c>
      <c r="JM27" s="30">
        <f t="shared" si="26"/>
        <v>0</v>
      </c>
      <c r="JN27" s="30">
        <f t="shared" si="26"/>
        <v>0</v>
      </c>
      <c r="JO27" s="30">
        <f t="shared" si="26"/>
        <v>0</v>
      </c>
      <c r="JP27" s="30">
        <f t="shared" si="26"/>
        <v>0</v>
      </c>
      <c r="JQ27" s="30">
        <f t="shared" si="26"/>
        <v>0</v>
      </c>
      <c r="JR27" s="30">
        <f t="shared" si="26"/>
        <v>0</v>
      </c>
      <c r="JS27" s="30">
        <f t="shared" si="26"/>
        <v>0</v>
      </c>
      <c r="JT27" s="30">
        <f t="shared" ref="HI27:JT28" si="42">AND($ET27="S-Curve",JT$23&gt;=$EQ27,JT$23&lt;=$ER27)*(_xlfn.NORM.DIST((YEAR(JT$23)-YEAR($EQ27))*12+MONTH(JT$23)-MONTH($EQ27)+1,$ES27/2,$EU27,TRUE)-_xlfn.NORM.DIST((YEAR(JT$23)-YEAR($EQ27))*12+MONTH(JT$23)-MONTH($EQ27),$ES27/2,$EU27,TRUE))/(1-2*_xlfn.NORM.DIST(0,$ES27/2,$EU27,TRUE))*$EP27</f>
        <v>0</v>
      </c>
      <c r="JU27" s="30">
        <f t="shared" si="27"/>
        <v>0</v>
      </c>
      <c r="JV27" s="30">
        <f t="shared" si="27"/>
        <v>0</v>
      </c>
      <c r="JW27" s="30">
        <f t="shared" si="27"/>
        <v>0</v>
      </c>
      <c r="JX27" s="30">
        <f t="shared" si="27"/>
        <v>0</v>
      </c>
    </row>
    <row r="28" spans="1:284" s="7" customFormat="1" ht="16.5" x14ac:dyDescent="0.35">
      <c r="A28" s="406"/>
      <c r="B28" s="103" t="s">
        <v>494</v>
      </c>
      <c r="C28" s="120"/>
      <c r="D28" s="132">
        <v>0</v>
      </c>
      <c r="E28" s="132">
        <f t="shared" si="19"/>
        <v>0</v>
      </c>
      <c r="F28" s="133" t="s">
        <v>26</v>
      </c>
      <c r="G28" s="126">
        <f>I28/Units_SF_M2</f>
        <v>0</v>
      </c>
      <c r="H28" s="126">
        <f>I28/Units</f>
        <v>0</v>
      </c>
      <c r="I28" s="127">
        <v>0</v>
      </c>
      <c r="K28" s="7" t="str">
        <f>IF(ROUND(SUM(L28:EN28),0)=ROUND(I28,0),"","Incomplete")</f>
        <v/>
      </c>
      <c r="L28" s="39">
        <f t="shared" si="28"/>
        <v>0</v>
      </c>
      <c r="M28" s="39">
        <f t="shared" si="28"/>
        <v>0</v>
      </c>
      <c r="N28" s="39">
        <f t="shared" si="28"/>
        <v>0</v>
      </c>
      <c r="O28" s="39">
        <f t="shared" si="28"/>
        <v>0</v>
      </c>
      <c r="P28" s="39">
        <f t="shared" si="28"/>
        <v>0</v>
      </c>
      <c r="Q28" s="39">
        <f t="shared" si="28"/>
        <v>0</v>
      </c>
      <c r="R28" s="39">
        <f t="shared" si="28"/>
        <v>0</v>
      </c>
      <c r="S28" s="39">
        <f t="shared" si="28"/>
        <v>0</v>
      </c>
      <c r="T28" s="39">
        <f t="shared" si="28"/>
        <v>0</v>
      </c>
      <c r="U28" s="39">
        <f t="shared" si="28"/>
        <v>0</v>
      </c>
      <c r="V28" s="39">
        <f t="shared" si="29"/>
        <v>0</v>
      </c>
      <c r="W28" s="39">
        <f t="shared" si="29"/>
        <v>0</v>
      </c>
      <c r="X28" s="39">
        <f t="shared" si="29"/>
        <v>0</v>
      </c>
      <c r="Y28" s="39">
        <f t="shared" si="29"/>
        <v>0</v>
      </c>
      <c r="Z28" s="39">
        <f t="shared" si="29"/>
        <v>0</v>
      </c>
      <c r="AA28" s="39">
        <f t="shared" si="29"/>
        <v>0</v>
      </c>
      <c r="AB28" s="39">
        <f t="shared" si="29"/>
        <v>0</v>
      </c>
      <c r="AC28" s="39">
        <f t="shared" si="29"/>
        <v>0</v>
      </c>
      <c r="AD28" s="39">
        <f t="shared" si="29"/>
        <v>0</v>
      </c>
      <c r="AE28" s="39">
        <f t="shared" si="29"/>
        <v>0</v>
      </c>
      <c r="AF28" s="39">
        <f t="shared" si="30"/>
        <v>0</v>
      </c>
      <c r="AG28" s="39">
        <f t="shared" si="30"/>
        <v>0</v>
      </c>
      <c r="AH28" s="39">
        <f t="shared" si="30"/>
        <v>0</v>
      </c>
      <c r="AI28" s="39">
        <f t="shared" si="30"/>
        <v>0</v>
      </c>
      <c r="AJ28" s="39">
        <f t="shared" si="30"/>
        <v>0</v>
      </c>
      <c r="AK28" s="39">
        <f t="shared" si="30"/>
        <v>0</v>
      </c>
      <c r="AL28" s="39">
        <f t="shared" si="30"/>
        <v>0</v>
      </c>
      <c r="AM28" s="39">
        <f t="shared" si="30"/>
        <v>0</v>
      </c>
      <c r="AN28" s="39">
        <f t="shared" si="30"/>
        <v>0</v>
      </c>
      <c r="AO28" s="39">
        <f t="shared" si="30"/>
        <v>0</v>
      </c>
      <c r="AP28" s="39">
        <f t="shared" si="31"/>
        <v>0</v>
      </c>
      <c r="AQ28" s="39">
        <f t="shared" si="31"/>
        <v>0</v>
      </c>
      <c r="AR28" s="39">
        <f t="shared" si="31"/>
        <v>0</v>
      </c>
      <c r="AS28" s="39">
        <f t="shared" si="31"/>
        <v>0</v>
      </c>
      <c r="AT28" s="39">
        <f t="shared" si="31"/>
        <v>0</v>
      </c>
      <c r="AU28" s="39">
        <f t="shared" si="31"/>
        <v>0</v>
      </c>
      <c r="AV28" s="39">
        <f t="shared" si="31"/>
        <v>0</v>
      </c>
      <c r="AW28" s="39">
        <f t="shared" si="31"/>
        <v>0</v>
      </c>
      <c r="AX28" s="39">
        <f t="shared" si="31"/>
        <v>0</v>
      </c>
      <c r="AY28" s="39">
        <f t="shared" si="31"/>
        <v>0</v>
      </c>
      <c r="AZ28" s="39">
        <f t="shared" si="32"/>
        <v>0</v>
      </c>
      <c r="BA28" s="39">
        <f t="shared" si="32"/>
        <v>0</v>
      </c>
      <c r="BB28" s="39">
        <f t="shared" si="32"/>
        <v>0</v>
      </c>
      <c r="BC28" s="39">
        <f t="shared" si="32"/>
        <v>0</v>
      </c>
      <c r="BD28" s="39">
        <f t="shared" si="32"/>
        <v>0</v>
      </c>
      <c r="BE28" s="39">
        <f t="shared" si="32"/>
        <v>0</v>
      </c>
      <c r="BF28" s="39">
        <f t="shared" si="32"/>
        <v>0</v>
      </c>
      <c r="BG28" s="39">
        <f t="shared" si="32"/>
        <v>0</v>
      </c>
      <c r="BH28" s="39">
        <f t="shared" si="32"/>
        <v>0</v>
      </c>
      <c r="BI28" s="39">
        <f t="shared" si="32"/>
        <v>0</v>
      </c>
      <c r="BJ28" s="39">
        <f t="shared" si="33"/>
        <v>0</v>
      </c>
      <c r="BK28" s="39">
        <f t="shared" si="33"/>
        <v>0</v>
      </c>
      <c r="BL28" s="39">
        <f t="shared" si="33"/>
        <v>0</v>
      </c>
      <c r="BM28" s="39">
        <f t="shared" si="33"/>
        <v>0</v>
      </c>
      <c r="BN28" s="39">
        <f t="shared" si="33"/>
        <v>0</v>
      </c>
      <c r="BO28" s="39">
        <f t="shared" si="33"/>
        <v>0</v>
      </c>
      <c r="BP28" s="39">
        <f t="shared" si="33"/>
        <v>0</v>
      </c>
      <c r="BQ28" s="39">
        <f t="shared" si="33"/>
        <v>0</v>
      </c>
      <c r="BR28" s="39">
        <f t="shared" si="33"/>
        <v>0</v>
      </c>
      <c r="BS28" s="39">
        <f t="shared" si="33"/>
        <v>0</v>
      </c>
      <c r="BT28" s="39">
        <f t="shared" si="34"/>
        <v>0</v>
      </c>
      <c r="BU28" s="39">
        <f t="shared" si="34"/>
        <v>0</v>
      </c>
      <c r="BV28" s="39">
        <f t="shared" si="34"/>
        <v>0</v>
      </c>
      <c r="BW28" s="39">
        <f t="shared" si="34"/>
        <v>0</v>
      </c>
      <c r="BX28" s="39">
        <f t="shared" si="34"/>
        <v>0</v>
      </c>
      <c r="BY28" s="39">
        <f t="shared" si="34"/>
        <v>0</v>
      </c>
      <c r="BZ28" s="39">
        <f t="shared" si="34"/>
        <v>0</v>
      </c>
      <c r="CA28" s="39">
        <f t="shared" si="34"/>
        <v>0</v>
      </c>
      <c r="CB28" s="39">
        <f t="shared" si="34"/>
        <v>0</v>
      </c>
      <c r="CC28" s="39">
        <f t="shared" si="34"/>
        <v>0</v>
      </c>
      <c r="CD28" s="39">
        <f t="shared" si="35"/>
        <v>0</v>
      </c>
      <c r="CE28" s="39">
        <f t="shared" si="35"/>
        <v>0</v>
      </c>
      <c r="CF28" s="39">
        <f t="shared" si="35"/>
        <v>0</v>
      </c>
      <c r="CG28" s="39">
        <f t="shared" si="35"/>
        <v>0</v>
      </c>
      <c r="CH28" s="39">
        <f t="shared" si="35"/>
        <v>0</v>
      </c>
      <c r="CI28" s="39">
        <f t="shared" si="35"/>
        <v>0</v>
      </c>
      <c r="CJ28" s="39">
        <f t="shared" si="35"/>
        <v>0</v>
      </c>
      <c r="CK28" s="39">
        <f t="shared" si="35"/>
        <v>0</v>
      </c>
      <c r="CL28" s="39">
        <f t="shared" si="35"/>
        <v>0</v>
      </c>
      <c r="CM28" s="39">
        <f t="shared" si="35"/>
        <v>0</v>
      </c>
      <c r="CN28" s="39">
        <f t="shared" si="36"/>
        <v>0</v>
      </c>
      <c r="CO28" s="39">
        <f t="shared" si="36"/>
        <v>0</v>
      </c>
      <c r="CP28" s="39">
        <f t="shared" si="36"/>
        <v>0</v>
      </c>
      <c r="CQ28" s="39">
        <f t="shared" si="36"/>
        <v>0</v>
      </c>
      <c r="CR28" s="39">
        <f t="shared" si="36"/>
        <v>0</v>
      </c>
      <c r="CS28" s="39">
        <f t="shared" si="36"/>
        <v>0</v>
      </c>
      <c r="CT28" s="39">
        <f t="shared" si="36"/>
        <v>0</v>
      </c>
      <c r="CU28" s="39">
        <f t="shared" si="36"/>
        <v>0</v>
      </c>
      <c r="CV28" s="39">
        <f t="shared" si="36"/>
        <v>0</v>
      </c>
      <c r="CW28" s="39">
        <f t="shared" si="36"/>
        <v>0</v>
      </c>
      <c r="CX28" s="39">
        <f t="shared" si="37"/>
        <v>0</v>
      </c>
      <c r="CY28" s="39">
        <f t="shared" si="37"/>
        <v>0</v>
      </c>
      <c r="CZ28" s="39">
        <f t="shared" si="37"/>
        <v>0</v>
      </c>
      <c r="DA28" s="39">
        <f t="shared" si="37"/>
        <v>0</v>
      </c>
      <c r="DB28" s="39">
        <f t="shared" si="37"/>
        <v>0</v>
      </c>
      <c r="DC28" s="39">
        <f t="shared" si="37"/>
        <v>0</v>
      </c>
      <c r="DD28" s="39">
        <f t="shared" si="37"/>
        <v>0</v>
      </c>
      <c r="DE28" s="39">
        <f t="shared" si="37"/>
        <v>0</v>
      </c>
      <c r="DF28" s="39">
        <f t="shared" si="37"/>
        <v>0</v>
      </c>
      <c r="DG28" s="39">
        <f t="shared" si="37"/>
        <v>0</v>
      </c>
      <c r="DH28" s="39">
        <f t="shared" si="38"/>
        <v>0</v>
      </c>
      <c r="DI28" s="39">
        <f t="shared" si="38"/>
        <v>0</v>
      </c>
      <c r="DJ28" s="39">
        <f t="shared" si="38"/>
        <v>0</v>
      </c>
      <c r="DK28" s="39">
        <f t="shared" si="38"/>
        <v>0</v>
      </c>
      <c r="DL28" s="39">
        <f t="shared" si="38"/>
        <v>0</v>
      </c>
      <c r="DM28" s="39">
        <f t="shared" si="38"/>
        <v>0</v>
      </c>
      <c r="DN28" s="39">
        <f t="shared" si="38"/>
        <v>0</v>
      </c>
      <c r="DO28" s="39">
        <f t="shared" si="38"/>
        <v>0</v>
      </c>
      <c r="DP28" s="39">
        <f t="shared" si="38"/>
        <v>0</v>
      </c>
      <c r="DQ28" s="39">
        <f t="shared" si="38"/>
        <v>0</v>
      </c>
      <c r="DR28" s="39">
        <f t="shared" si="39"/>
        <v>0</v>
      </c>
      <c r="DS28" s="39">
        <f t="shared" si="39"/>
        <v>0</v>
      </c>
      <c r="DT28" s="39">
        <f t="shared" si="39"/>
        <v>0</v>
      </c>
      <c r="DU28" s="39">
        <f t="shared" si="39"/>
        <v>0</v>
      </c>
      <c r="DV28" s="39">
        <f t="shared" si="39"/>
        <v>0</v>
      </c>
      <c r="DW28" s="39">
        <f t="shared" si="39"/>
        <v>0</v>
      </c>
      <c r="DX28" s="39">
        <f t="shared" si="39"/>
        <v>0</v>
      </c>
      <c r="DY28" s="39">
        <f t="shared" si="39"/>
        <v>0</v>
      </c>
      <c r="DZ28" s="39">
        <f t="shared" si="39"/>
        <v>0</v>
      </c>
      <c r="EA28" s="39">
        <f t="shared" si="39"/>
        <v>0</v>
      </c>
      <c r="EB28" s="39">
        <f t="shared" si="40"/>
        <v>0</v>
      </c>
      <c r="EC28" s="39">
        <f t="shared" si="40"/>
        <v>0</v>
      </c>
      <c r="ED28" s="39">
        <f t="shared" si="40"/>
        <v>0</v>
      </c>
      <c r="EE28" s="39">
        <f t="shared" si="40"/>
        <v>0</v>
      </c>
      <c r="EF28" s="39">
        <f t="shared" si="40"/>
        <v>0</v>
      </c>
      <c r="EG28" s="39">
        <f t="shared" si="40"/>
        <v>0</v>
      </c>
      <c r="EH28" s="39">
        <f t="shared" si="40"/>
        <v>0</v>
      </c>
      <c r="EI28" s="39">
        <f t="shared" si="40"/>
        <v>0</v>
      </c>
      <c r="EJ28" s="39">
        <f t="shared" si="24"/>
        <v>0</v>
      </c>
      <c r="EK28" s="39">
        <f t="shared" si="24"/>
        <v>0</v>
      </c>
      <c r="EL28" s="39">
        <f t="shared" si="24"/>
        <v>0</v>
      </c>
      <c r="EM28" s="39">
        <f t="shared" si="24"/>
        <v>0</v>
      </c>
      <c r="EN28" s="39">
        <f t="shared" si="24"/>
        <v>0</v>
      </c>
      <c r="EP28" s="30">
        <f>I28</f>
        <v>0</v>
      </c>
      <c r="EQ28" s="31">
        <f>INDEX($L$23:$EN$23,1,$D28+1)</f>
        <v>44561</v>
      </c>
      <c r="ER28" s="31">
        <f>INDEX($L$23:$EN$23,1,$E28+1)</f>
        <v>44561</v>
      </c>
      <c r="ES28" s="30">
        <f>+E28-D28+1</f>
        <v>1</v>
      </c>
      <c r="ET28" s="24" t="str">
        <f>F28</f>
        <v>Straight-Line</v>
      </c>
      <c r="EU28" s="217">
        <f>ES28/Scurve_Dist</f>
        <v>0.16666666666666666</v>
      </c>
      <c r="EV28" s="30">
        <f>AND($ET28="S-Curve",EV$23&gt;=$EQ28,EV$23&lt;=$ER28)*(_xlfn.NORM.DIST((YEAR(EV$23)-YEAR($EQ28))*12+MONTH(EV$23)-MONTH($EQ28)+1,$ES28/2,$EU28,TRUE)-_xlfn.NORM.DIST((YEAR(EV$23)-YEAR($EQ28))*12+MONTH(EV$23)-MONTH($EQ28),$ES28/2,$EU28,TRUE))/(1-2*_xlfn.NORM.DIST(0,$ES28/2,$EU28,TRUE))*$EP28</f>
        <v>0</v>
      </c>
      <c r="EW28" s="30">
        <f t="shared" si="41"/>
        <v>0</v>
      </c>
      <c r="EX28" s="30">
        <f t="shared" si="41"/>
        <v>0</v>
      </c>
      <c r="EY28" s="30">
        <f t="shared" si="41"/>
        <v>0</v>
      </c>
      <c r="EZ28" s="30">
        <f t="shared" si="41"/>
        <v>0</v>
      </c>
      <c r="FA28" s="30">
        <f t="shared" si="41"/>
        <v>0</v>
      </c>
      <c r="FB28" s="30">
        <f t="shared" si="41"/>
        <v>0</v>
      </c>
      <c r="FC28" s="30">
        <f t="shared" si="41"/>
        <v>0</v>
      </c>
      <c r="FD28" s="30">
        <f t="shared" si="41"/>
        <v>0</v>
      </c>
      <c r="FE28" s="30">
        <f t="shared" si="41"/>
        <v>0</v>
      </c>
      <c r="FF28" s="30">
        <f t="shared" si="41"/>
        <v>0</v>
      </c>
      <c r="FG28" s="30">
        <f t="shared" si="41"/>
        <v>0</v>
      </c>
      <c r="FH28" s="30">
        <f t="shared" si="41"/>
        <v>0</v>
      </c>
      <c r="FI28" s="30">
        <f t="shared" si="41"/>
        <v>0</v>
      </c>
      <c r="FJ28" s="30">
        <f t="shared" si="41"/>
        <v>0</v>
      </c>
      <c r="FK28" s="30">
        <f t="shared" si="41"/>
        <v>0</v>
      </c>
      <c r="FL28" s="30">
        <f t="shared" si="41"/>
        <v>0</v>
      </c>
      <c r="FM28" s="30">
        <f t="shared" si="41"/>
        <v>0</v>
      </c>
      <c r="FN28" s="30">
        <f t="shared" si="41"/>
        <v>0</v>
      </c>
      <c r="FO28" s="30">
        <f t="shared" si="41"/>
        <v>0</v>
      </c>
      <c r="FP28" s="30">
        <f t="shared" si="41"/>
        <v>0</v>
      </c>
      <c r="FQ28" s="30">
        <f t="shared" si="41"/>
        <v>0</v>
      </c>
      <c r="FR28" s="30">
        <f t="shared" si="41"/>
        <v>0</v>
      </c>
      <c r="FS28" s="30">
        <f t="shared" si="41"/>
        <v>0</v>
      </c>
      <c r="FT28" s="30">
        <f t="shared" si="41"/>
        <v>0</v>
      </c>
      <c r="FU28" s="30">
        <f t="shared" si="41"/>
        <v>0</v>
      </c>
      <c r="FV28" s="30">
        <f t="shared" si="41"/>
        <v>0</v>
      </c>
      <c r="FW28" s="30">
        <f t="shared" si="41"/>
        <v>0</v>
      </c>
      <c r="FX28" s="30">
        <f t="shared" si="41"/>
        <v>0</v>
      </c>
      <c r="FY28" s="30">
        <f t="shared" si="41"/>
        <v>0</v>
      </c>
      <c r="FZ28" s="30">
        <f t="shared" si="41"/>
        <v>0</v>
      </c>
      <c r="GA28" s="30">
        <f t="shared" si="41"/>
        <v>0</v>
      </c>
      <c r="GB28" s="30">
        <f t="shared" si="41"/>
        <v>0</v>
      </c>
      <c r="GC28" s="30">
        <f t="shared" si="41"/>
        <v>0</v>
      </c>
      <c r="GD28" s="30">
        <f t="shared" si="41"/>
        <v>0</v>
      </c>
      <c r="GE28" s="30">
        <f t="shared" si="41"/>
        <v>0</v>
      </c>
      <c r="GF28" s="30">
        <f t="shared" si="41"/>
        <v>0</v>
      </c>
      <c r="GG28" s="30">
        <f t="shared" si="41"/>
        <v>0</v>
      </c>
      <c r="GH28" s="30">
        <f t="shared" si="41"/>
        <v>0</v>
      </c>
      <c r="GI28" s="30">
        <f t="shared" si="41"/>
        <v>0</v>
      </c>
      <c r="GJ28" s="30">
        <f t="shared" si="41"/>
        <v>0</v>
      </c>
      <c r="GK28" s="30">
        <f t="shared" si="41"/>
        <v>0</v>
      </c>
      <c r="GL28" s="30">
        <f t="shared" si="41"/>
        <v>0</v>
      </c>
      <c r="GM28" s="30">
        <f t="shared" si="41"/>
        <v>0</v>
      </c>
      <c r="GN28" s="30">
        <f t="shared" si="41"/>
        <v>0</v>
      </c>
      <c r="GO28" s="30">
        <f t="shared" si="41"/>
        <v>0</v>
      </c>
      <c r="GP28" s="30">
        <f t="shared" si="41"/>
        <v>0</v>
      </c>
      <c r="GQ28" s="30">
        <f t="shared" si="41"/>
        <v>0</v>
      </c>
      <c r="GR28" s="30">
        <f t="shared" si="41"/>
        <v>0</v>
      </c>
      <c r="GS28" s="30">
        <f t="shared" si="41"/>
        <v>0</v>
      </c>
      <c r="GT28" s="30">
        <f t="shared" si="41"/>
        <v>0</v>
      </c>
      <c r="GU28" s="30">
        <f t="shared" si="41"/>
        <v>0</v>
      </c>
      <c r="GV28" s="30">
        <f t="shared" si="41"/>
        <v>0</v>
      </c>
      <c r="GW28" s="30">
        <f t="shared" si="41"/>
        <v>0</v>
      </c>
      <c r="GX28" s="30">
        <f t="shared" si="41"/>
        <v>0</v>
      </c>
      <c r="GY28" s="30">
        <f t="shared" si="41"/>
        <v>0</v>
      </c>
      <c r="GZ28" s="30">
        <f t="shared" si="41"/>
        <v>0</v>
      </c>
      <c r="HA28" s="30">
        <f t="shared" si="41"/>
        <v>0</v>
      </c>
      <c r="HB28" s="30">
        <f t="shared" si="41"/>
        <v>0</v>
      </c>
      <c r="HC28" s="30">
        <f t="shared" si="41"/>
        <v>0</v>
      </c>
      <c r="HD28" s="30">
        <f t="shared" si="41"/>
        <v>0</v>
      </c>
      <c r="HE28" s="30">
        <f t="shared" si="41"/>
        <v>0</v>
      </c>
      <c r="HF28" s="30">
        <f t="shared" si="41"/>
        <v>0</v>
      </c>
      <c r="HG28" s="30">
        <f t="shared" si="41"/>
        <v>0</v>
      </c>
      <c r="HH28" s="30">
        <f t="shared" si="41"/>
        <v>0</v>
      </c>
      <c r="HI28" s="30">
        <f t="shared" si="42"/>
        <v>0</v>
      </c>
      <c r="HJ28" s="30">
        <f t="shared" si="42"/>
        <v>0</v>
      </c>
      <c r="HK28" s="30">
        <f t="shared" si="42"/>
        <v>0</v>
      </c>
      <c r="HL28" s="30">
        <f t="shared" si="42"/>
        <v>0</v>
      </c>
      <c r="HM28" s="30">
        <f t="shared" si="42"/>
        <v>0</v>
      </c>
      <c r="HN28" s="30">
        <f t="shared" si="42"/>
        <v>0</v>
      </c>
      <c r="HO28" s="30">
        <f t="shared" si="42"/>
        <v>0</v>
      </c>
      <c r="HP28" s="30">
        <f t="shared" si="42"/>
        <v>0</v>
      </c>
      <c r="HQ28" s="30">
        <f t="shared" si="42"/>
        <v>0</v>
      </c>
      <c r="HR28" s="30">
        <f t="shared" si="42"/>
        <v>0</v>
      </c>
      <c r="HS28" s="30">
        <f t="shared" si="42"/>
        <v>0</v>
      </c>
      <c r="HT28" s="30">
        <f t="shared" si="42"/>
        <v>0</v>
      </c>
      <c r="HU28" s="30">
        <f t="shared" si="42"/>
        <v>0</v>
      </c>
      <c r="HV28" s="30">
        <f t="shared" si="42"/>
        <v>0</v>
      </c>
      <c r="HW28" s="30">
        <f t="shared" si="42"/>
        <v>0</v>
      </c>
      <c r="HX28" s="30">
        <f t="shared" si="42"/>
        <v>0</v>
      </c>
      <c r="HY28" s="30">
        <f t="shared" si="42"/>
        <v>0</v>
      </c>
      <c r="HZ28" s="30">
        <f t="shared" si="42"/>
        <v>0</v>
      </c>
      <c r="IA28" s="30">
        <f t="shared" si="42"/>
        <v>0</v>
      </c>
      <c r="IB28" s="30">
        <f t="shared" si="42"/>
        <v>0</v>
      </c>
      <c r="IC28" s="30">
        <f t="shared" si="42"/>
        <v>0</v>
      </c>
      <c r="ID28" s="30">
        <f t="shared" si="42"/>
        <v>0</v>
      </c>
      <c r="IE28" s="30">
        <f t="shared" si="42"/>
        <v>0</v>
      </c>
      <c r="IF28" s="30">
        <f t="shared" si="42"/>
        <v>0</v>
      </c>
      <c r="IG28" s="30">
        <f t="shared" si="42"/>
        <v>0</v>
      </c>
      <c r="IH28" s="30">
        <f t="shared" si="42"/>
        <v>0</v>
      </c>
      <c r="II28" s="30">
        <f t="shared" si="42"/>
        <v>0</v>
      </c>
      <c r="IJ28" s="30">
        <f t="shared" si="42"/>
        <v>0</v>
      </c>
      <c r="IK28" s="30">
        <f t="shared" si="42"/>
        <v>0</v>
      </c>
      <c r="IL28" s="30">
        <f t="shared" si="42"/>
        <v>0</v>
      </c>
      <c r="IM28" s="30">
        <f t="shared" si="42"/>
        <v>0</v>
      </c>
      <c r="IN28" s="30">
        <f t="shared" si="42"/>
        <v>0</v>
      </c>
      <c r="IO28" s="30">
        <f t="shared" si="42"/>
        <v>0</v>
      </c>
      <c r="IP28" s="30">
        <f t="shared" si="42"/>
        <v>0</v>
      </c>
      <c r="IQ28" s="30">
        <f t="shared" si="42"/>
        <v>0</v>
      </c>
      <c r="IR28" s="30">
        <f t="shared" si="42"/>
        <v>0</v>
      </c>
      <c r="IS28" s="30">
        <f t="shared" si="42"/>
        <v>0</v>
      </c>
      <c r="IT28" s="30">
        <f t="shared" si="42"/>
        <v>0</v>
      </c>
      <c r="IU28" s="30">
        <f t="shared" si="42"/>
        <v>0</v>
      </c>
      <c r="IV28" s="30">
        <f t="shared" si="42"/>
        <v>0</v>
      </c>
      <c r="IW28" s="30">
        <f t="shared" si="42"/>
        <v>0</v>
      </c>
      <c r="IX28" s="30">
        <f t="shared" si="42"/>
        <v>0</v>
      </c>
      <c r="IY28" s="30">
        <f t="shared" si="42"/>
        <v>0</v>
      </c>
      <c r="IZ28" s="30">
        <f t="shared" si="42"/>
        <v>0</v>
      </c>
      <c r="JA28" s="30">
        <f t="shared" si="42"/>
        <v>0</v>
      </c>
      <c r="JB28" s="30">
        <f t="shared" si="42"/>
        <v>0</v>
      </c>
      <c r="JC28" s="30">
        <f t="shared" si="42"/>
        <v>0</v>
      </c>
      <c r="JD28" s="30">
        <f t="shared" si="42"/>
        <v>0</v>
      </c>
      <c r="JE28" s="30">
        <f t="shared" si="42"/>
        <v>0</v>
      </c>
      <c r="JF28" s="30">
        <f t="shared" si="42"/>
        <v>0</v>
      </c>
      <c r="JG28" s="30">
        <f t="shared" si="42"/>
        <v>0</v>
      </c>
      <c r="JH28" s="30">
        <f t="shared" si="42"/>
        <v>0</v>
      </c>
      <c r="JI28" s="30">
        <f t="shared" si="42"/>
        <v>0</v>
      </c>
      <c r="JJ28" s="30">
        <f t="shared" si="42"/>
        <v>0</v>
      </c>
      <c r="JK28" s="30">
        <f t="shared" si="42"/>
        <v>0</v>
      </c>
      <c r="JL28" s="30">
        <f t="shared" si="42"/>
        <v>0</v>
      </c>
      <c r="JM28" s="30">
        <f t="shared" si="42"/>
        <v>0</v>
      </c>
      <c r="JN28" s="30">
        <f t="shared" si="42"/>
        <v>0</v>
      </c>
      <c r="JO28" s="30">
        <f t="shared" si="42"/>
        <v>0</v>
      </c>
      <c r="JP28" s="30">
        <f t="shared" si="42"/>
        <v>0</v>
      </c>
      <c r="JQ28" s="30">
        <f t="shared" si="42"/>
        <v>0</v>
      </c>
      <c r="JR28" s="30">
        <f t="shared" si="42"/>
        <v>0</v>
      </c>
      <c r="JS28" s="30">
        <f t="shared" si="42"/>
        <v>0</v>
      </c>
      <c r="JT28" s="30">
        <f t="shared" si="42"/>
        <v>0</v>
      </c>
      <c r="JU28" s="30">
        <f t="shared" si="27"/>
        <v>0</v>
      </c>
      <c r="JV28" s="30">
        <f t="shared" si="27"/>
        <v>0</v>
      </c>
      <c r="JW28" s="30">
        <f t="shared" si="27"/>
        <v>0</v>
      </c>
      <c r="JX28" s="30">
        <f t="shared" si="27"/>
        <v>0</v>
      </c>
    </row>
    <row r="29" spans="1:284" s="7" customFormat="1" x14ac:dyDescent="0.2">
      <c r="A29" s="406"/>
      <c r="B29" s="134" t="s">
        <v>32</v>
      </c>
      <c r="C29" s="120"/>
      <c r="D29" s="135">
        <f>MIN(D26:D28)</f>
        <v>0</v>
      </c>
      <c r="E29" s="135">
        <f>MAX(E26:E28)</f>
        <v>0</v>
      </c>
      <c r="F29" s="133"/>
      <c r="G29" s="389">
        <f>SUM(G26:G28)</f>
        <v>11.876505882352943</v>
      </c>
      <c r="H29" s="123">
        <f>SUM(H26:H28)</f>
        <v>10095.030000000001</v>
      </c>
      <c r="I29" s="136">
        <f>SUM(I26:I28)</f>
        <v>3028509</v>
      </c>
      <c r="K29" s="7" t="str">
        <f>IF(ROUND(SUM(L29:EN29),0)=ROUND(I29,0),"","Incomplete")</f>
        <v/>
      </c>
      <c r="L29" s="38">
        <f t="shared" ref="L29:AQ29" si="43">SUM(L26:L28)</f>
        <v>3028509</v>
      </c>
      <c r="M29" s="38">
        <f t="shared" si="43"/>
        <v>0</v>
      </c>
      <c r="N29" s="38">
        <f t="shared" si="43"/>
        <v>0</v>
      </c>
      <c r="O29" s="38">
        <f t="shared" si="43"/>
        <v>0</v>
      </c>
      <c r="P29" s="38">
        <f t="shared" si="43"/>
        <v>0</v>
      </c>
      <c r="Q29" s="38">
        <f t="shared" si="43"/>
        <v>0</v>
      </c>
      <c r="R29" s="38">
        <f t="shared" si="43"/>
        <v>0</v>
      </c>
      <c r="S29" s="38">
        <f t="shared" si="43"/>
        <v>0</v>
      </c>
      <c r="T29" s="38">
        <f t="shared" si="43"/>
        <v>0</v>
      </c>
      <c r="U29" s="38">
        <f t="shared" si="43"/>
        <v>0</v>
      </c>
      <c r="V29" s="38">
        <f t="shared" si="43"/>
        <v>0</v>
      </c>
      <c r="W29" s="38">
        <f t="shared" si="43"/>
        <v>0</v>
      </c>
      <c r="X29" s="38">
        <f t="shared" si="43"/>
        <v>0</v>
      </c>
      <c r="Y29" s="38">
        <f t="shared" si="43"/>
        <v>0</v>
      </c>
      <c r="Z29" s="38">
        <f t="shared" si="43"/>
        <v>0</v>
      </c>
      <c r="AA29" s="38">
        <f t="shared" si="43"/>
        <v>0</v>
      </c>
      <c r="AB29" s="38">
        <f t="shared" si="43"/>
        <v>0</v>
      </c>
      <c r="AC29" s="38">
        <f t="shared" si="43"/>
        <v>0</v>
      </c>
      <c r="AD29" s="38">
        <f t="shared" si="43"/>
        <v>0</v>
      </c>
      <c r="AE29" s="38">
        <f t="shared" si="43"/>
        <v>0</v>
      </c>
      <c r="AF29" s="38">
        <f t="shared" si="43"/>
        <v>0</v>
      </c>
      <c r="AG29" s="38">
        <f t="shared" si="43"/>
        <v>0</v>
      </c>
      <c r="AH29" s="38">
        <f t="shared" si="43"/>
        <v>0</v>
      </c>
      <c r="AI29" s="38">
        <f t="shared" si="43"/>
        <v>0</v>
      </c>
      <c r="AJ29" s="38">
        <f t="shared" si="43"/>
        <v>0</v>
      </c>
      <c r="AK29" s="38">
        <f t="shared" si="43"/>
        <v>0</v>
      </c>
      <c r="AL29" s="38">
        <f t="shared" si="43"/>
        <v>0</v>
      </c>
      <c r="AM29" s="38">
        <f t="shared" si="43"/>
        <v>0</v>
      </c>
      <c r="AN29" s="38">
        <f t="shared" si="43"/>
        <v>0</v>
      </c>
      <c r="AO29" s="38">
        <f t="shared" si="43"/>
        <v>0</v>
      </c>
      <c r="AP29" s="38">
        <f t="shared" si="43"/>
        <v>0</v>
      </c>
      <c r="AQ29" s="38">
        <f t="shared" si="43"/>
        <v>0</v>
      </c>
      <c r="AR29" s="38">
        <f t="shared" ref="AR29:BW29" si="44">SUM(AR26:AR28)</f>
        <v>0</v>
      </c>
      <c r="AS29" s="38">
        <f t="shared" si="44"/>
        <v>0</v>
      </c>
      <c r="AT29" s="38">
        <f t="shared" si="44"/>
        <v>0</v>
      </c>
      <c r="AU29" s="38">
        <f t="shared" si="44"/>
        <v>0</v>
      </c>
      <c r="AV29" s="38">
        <f t="shared" si="44"/>
        <v>0</v>
      </c>
      <c r="AW29" s="38">
        <f t="shared" si="44"/>
        <v>0</v>
      </c>
      <c r="AX29" s="38">
        <f t="shared" si="44"/>
        <v>0</v>
      </c>
      <c r="AY29" s="38">
        <f t="shared" si="44"/>
        <v>0</v>
      </c>
      <c r="AZ29" s="38">
        <f t="shared" si="44"/>
        <v>0</v>
      </c>
      <c r="BA29" s="38">
        <f t="shared" si="44"/>
        <v>0</v>
      </c>
      <c r="BB29" s="38">
        <f t="shared" si="44"/>
        <v>0</v>
      </c>
      <c r="BC29" s="38">
        <f t="shared" si="44"/>
        <v>0</v>
      </c>
      <c r="BD29" s="38">
        <f t="shared" si="44"/>
        <v>0</v>
      </c>
      <c r="BE29" s="38">
        <f t="shared" si="44"/>
        <v>0</v>
      </c>
      <c r="BF29" s="38">
        <f t="shared" si="44"/>
        <v>0</v>
      </c>
      <c r="BG29" s="38">
        <f t="shared" si="44"/>
        <v>0</v>
      </c>
      <c r="BH29" s="38">
        <f t="shared" si="44"/>
        <v>0</v>
      </c>
      <c r="BI29" s="38">
        <f t="shared" si="44"/>
        <v>0</v>
      </c>
      <c r="BJ29" s="38">
        <f t="shared" si="44"/>
        <v>0</v>
      </c>
      <c r="BK29" s="38">
        <f t="shared" si="44"/>
        <v>0</v>
      </c>
      <c r="BL29" s="38">
        <f t="shared" si="44"/>
        <v>0</v>
      </c>
      <c r="BM29" s="38">
        <f t="shared" si="44"/>
        <v>0</v>
      </c>
      <c r="BN29" s="38">
        <f t="shared" si="44"/>
        <v>0</v>
      </c>
      <c r="BO29" s="38">
        <f t="shared" si="44"/>
        <v>0</v>
      </c>
      <c r="BP29" s="38">
        <f t="shared" si="44"/>
        <v>0</v>
      </c>
      <c r="BQ29" s="38">
        <f t="shared" si="44"/>
        <v>0</v>
      </c>
      <c r="BR29" s="38">
        <f t="shared" si="44"/>
        <v>0</v>
      </c>
      <c r="BS29" s="38">
        <f t="shared" si="44"/>
        <v>0</v>
      </c>
      <c r="BT29" s="38">
        <f t="shared" si="44"/>
        <v>0</v>
      </c>
      <c r="BU29" s="38">
        <f t="shared" si="44"/>
        <v>0</v>
      </c>
      <c r="BV29" s="38">
        <f t="shared" si="44"/>
        <v>0</v>
      </c>
      <c r="BW29" s="38">
        <f t="shared" si="44"/>
        <v>0</v>
      </c>
      <c r="BX29" s="38">
        <f t="shared" ref="BX29:DC29" si="45">SUM(BX26:BX28)</f>
        <v>0</v>
      </c>
      <c r="BY29" s="38">
        <f t="shared" si="45"/>
        <v>0</v>
      </c>
      <c r="BZ29" s="38">
        <f t="shared" si="45"/>
        <v>0</v>
      </c>
      <c r="CA29" s="38">
        <f t="shared" si="45"/>
        <v>0</v>
      </c>
      <c r="CB29" s="38">
        <f t="shared" si="45"/>
        <v>0</v>
      </c>
      <c r="CC29" s="38">
        <f t="shared" si="45"/>
        <v>0</v>
      </c>
      <c r="CD29" s="38">
        <f t="shared" si="45"/>
        <v>0</v>
      </c>
      <c r="CE29" s="38">
        <f t="shared" si="45"/>
        <v>0</v>
      </c>
      <c r="CF29" s="38">
        <f t="shared" si="45"/>
        <v>0</v>
      </c>
      <c r="CG29" s="38">
        <f t="shared" si="45"/>
        <v>0</v>
      </c>
      <c r="CH29" s="38">
        <f t="shared" si="45"/>
        <v>0</v>
      </c>
      <c r="CI29" s="38">
        <f t="shared" si="45"/>
        <v>0</v>
      </c>
      <c r="CJ29" s="38">
        <f t="shared" si="45"/>
        <v>0</v>
      </c>
      <c r="CK29" s="38">
        <f t="shared" si="45"/>
        <v>0</v>
      </c>
      <c r="CL29" s="38">
        <f t="shared" si="45"/>
        <v>0</v>
      </c>
      <c r="CM29" s="38">
        <f t="shared" si="45"/>
        <v>0</v>
      </c>
      <c r="CN29" s="38">
        <f t="shared" si="45"/>
        <v>0</v>
      </c>
      <c r="CO29" s="38">
        <f t="shared" si="45"/>
        <v>0</v>
      </c>
      <c r="CP29" s="38">
        <f t="shared" si="45"/>
        <v>0</v>
      </c>
      <c r="CQ29" s="38">
        <f t="shared" si="45"/>
        <v>0</v>
      </c>
      <c r="CR29" s="38">
        <f t="shared" si="45"/>
        <v>0</v>
      </c>
      <c r="CS29" s="38">
        <f t="shared" si="45"/>
        <v>0</v>
      </c>
      <c r="CT29" s="38">
        <f t="shared" si="45"/>
        <v>0</v>
      </c>
      <c r="CU29" s="38">
        <f t="shared" si="45"/>
        <v>0</v>
      </c>
      <c r="CV29" s="38">
        <f t="shared" si="45"/>
        <v>0</v>
      </c>
      <c r="CW29" s="38">
        <f t="shared" si="45"/>
        <v>0</v>
      </c>
      <c r="CX29" s="38">
        <f t="shared" si="45"/>
        <v>0</v>
      </c>
      <c r="CY29" s="38">
        <f t="shared" si="45"/>
        <v>0</v>
      </c>
      <c r="CZ29" s="38">
        <f t="shared" si="45"/>
        <v>0</v>
      </c>
      <c r="DA29" s="38">
        <f t="shared" si="45"/>
        <v>0</v>
      </c>
      <c r="DB29" s="38">
        <f t="shared" si="45"/>
        <v>0</v>
      </c>
      <c r="DC29" s="38">
        <f t="shared" si="45"/>
        <v>0</v>
      </c>
      <c r="DD29" s="38">
        <f t="shared" ref="DD29:EI29" si="46">SUM(DD26:DD28)</f>
        <v>0</v>
      </c>
      <c r="DE29" s="38">
        <f t="shared" si="46"/>
        <v>0</v>
      </c>
      <c r="DF29" s="38">
        <f t="shared" si="46"/>
        <v>0</v>
      </c>
      <c r="DG29" s="38">
        <f t="shared" si="46"/>
        <v>0</v>
      </c>
      <c r="DH29" s="38">
        <f t="shared" si="46"/>
        <v>0</v>
      </c>
      <c r="DI29" s="38">
        <f t="shared" si="46"/>
        <v>0</v>
      </c>
      <c r="DJ29" s="38">
        <f t="shared" si="46"/>
        <v>0</v>
      </c>
      <c r="DK29" s="38">
        <f t="shared" si="46"/>
        <v>0</v>
      </c>
      <c r="DL29" s="38">
        <f t="shared" si="46"/>
        <v>0</v>
      </c>
      <c r="DM29" s="38">
        <f t="shared" si="46"/>
        <v>0</v>
      </c>
      <c r="DN29" s="38">
        <f t="shared" si="46"/>
        <v>0</v>
      </c>
      <c r="DO29" s="38">
        <f t="shared" si="46"/>
        <v>0</v>
      </c>
      <c r="DP29" s="38">
        <f t="shared" si="46"/>
        <v>0</v>
      </c>
      <c r="DQ29" s="38">
        <f t="shared" si="46"/>
        <v>0</v>
      </c>
      <c r="DR29" s="38">
        <f t="shared" si="46"/>
        <v>0</v>
      </c>
      <c r="DS29" s="38">
        <f t="shared" si="46"/>
        <v>0</v>
      </c>
      <c r="DT29" s="38">
        <f t="shared" si="46"/>
        <v>0</v>
      </c>
      <c r="DU29" s="38">
        <f t="shared" si="46"/>
        <v>0</v>
      </c>
      <c r="DV29" s="38">
        <f t="shared" si="46"/>
        <v>0</v>
      </c>
      <c r="DW29" s="38">
        <f t="shared" si="46"/>
        <v>0</v>
      </c>
      <c r="DX29" s="38">
        <f t="shared" si="46"/>
        <v>0</v>
      </c>
      <c r="DY29" s="38">
        <f t="shared" si="46"/>
        <v>0</v>
      </c>
      <c r="DZ29" s="38">
        <f t="shared" si="46"/>
        <v>0</v>
      </c>
      <c r="EA29" s="38">
        <f t="shared" si="46"/>
        <v>0</v>
      </c>
      <c r="EB29" s="38">
        <f t="shared" si="46"/>
        <v>0</v>
      </c>
      <c r="EC29" s="38">
        <f t="shared" si="46"/>
        <v>0</v>
      </c>
      <c r="ED29" s="38">
        <f t="shared" si="46"/>
        <v>0</v>
      </c>
      <c r="EE29" s="38">
        <f t="shared" si="46"/>
        <v>0</v>
      </c>
      <c r="EF29" s="38">
        <f t="shared" si="46"/>
        <v>0</v>
      </c>
      <c r="EG29" s="38">
        <f t="shared" si="46"/>
        <v>0</v>
      </c>
      <c r="EH29" s="38">
        <f t="shared" si="46"/>
        <v>0</v>
      </c>
      <c r="EI29" s="38">
        <f t="shared" si="46"/>
        <v>0</v>
      </c>
      <c r="EJ29" s="38">
        <f>SUM(EJ26:EJ28)</f>
        <v>0</v>
      </c>
      <c r="EK29" s="38">
        <f>SUM(EK26:EK28)</f>
        <v>0</v>
      </c>
      <c r="EL29" s="38">
        <f>SUM(EL26:EL28)</f>
        <v>0</v>
      </c>
      <c r="EM29" s="38">
        <f>SUM(EM26:EM28)</f>
        <v>0</v>
      </c>
      <c r="EN29" s="38">
        <f>SUM(EN26:EN28)</f>
        <v>0</v>
      </c>
      <c r="EP29" s="33"/>
      <c r="EQ29" s="33" t="s">
        <v>216</v>
      </c>
      <c r="ER29" s="79">
        <f>COUNTA($B$26:$B$28)</f>
        <v>3</v>
      </c>
      <c r="ES29" s="24"/>
      <c r="ET29" s="24"/>
      <c r="EU29" s="217"/>
      <c r="EV29" s="24"/>
      <c r="EW29" s="24"/>
      <c r="EX29" s="24"/>
      <c r="EY29" s="24"/>
      <c r="EZ29" s="24"/>
      <c r="FA29" s="24"/>
      <c r="FB29" s="24"/>
      <c r="FC29" s="24"/>
      <c r="FD29" s="24"/>
      <c r="FE29" s="24"/>
      <c r="FF29" s="24"/>
      <c r="FG29" s="24"/>
      <c r="FH29" s="24"/>
      <c r="FI29" s="24"/>
      <c r="FJ29" s="24"/>
      <c r="FK29" s="24"/>
      <c r="FL29" s="24"/>
      <c r="FM29" s="24"/>
      <c r="FN29" s="24"/>
      <c r="FO29" s="24"/>
      <c r="FP29" s="24"/>
      <c r="FQ29" s="24"/>
      <c r="FR29" s="24"/>
      <c r="FS29" s="24"/>
      <c r="FT29" s="24"/>
      <c r="FU29" s="24"/>
      <c r="FV29" s="24"/>
      <c r="FW29" s="24"/>
      <c r="FX29" s="24"/>
      <c r="FY29" s="24"/>
      <c r="FZ29" s="24"/>
      <c r="GA29" s="24"/>
      <c r="GB29" s="24"/>
      <c r="GC29" s="24"/>
      <c r="GD29" s="24"/>
      <c r="GE29" s="24"/>
      <c r="GF29" s="24"/>
      <c r="GG29" s="24"/>
      <c r="GH29" s="24"/>
      <c r="GI29" s="24"/>
      <c r="GJ29" s="24"/>
      <c r="GK29" s="24"/>
      <c r="GL29" s="24"/>
      <c r="GM29" s="24"/>
      <c r="GN29" s="24"/>
      <c r="GO29" s="24"/>
      <c r="GP29" s="24"/>
      <c r="GQ29" s="24"/>
      <c r="GR29" s="24"/>
      <c r="GS29" s="24"/>
      <c r="GT29" s="24"/>
      <c r="GU29" s="24"/>
      <c r="GV29" s="24"/>
      <c r="GW29" s="24"/>
      <c r="GX29" s="24"/>
      <c r="GY29" s="24"/>
      <c r="GZ29" s="24"/>
      <c r="HA29" s="24"/>
      <c r="HB29" s="24"/>
      <c r="HC29" s="24"/>
      <c r="HD29" s="24"/>
      <c r="HE29" s="24"/>
      <c r="HF29" s="24"/>
      <c r="HG29" s="24"/>
      <c r="HH29" s="24"/>
      <c r="HI29" s="24"/>
      <c r="HJ29" s="24"/>
      <c r="HK29" s="24"/>
      <c r="HL29" s="24"/>
      <c r="HM29" s="24"/>
      <c r="HN29" s="24"/>
      <c r="HO29" s="24"/>
      <c r="HP29" s="24"/>
      <c r="HQ29" s="24"/>
      <c r="HR29" s="24"/>
      <c r="HS29" s="24"/>
      <c r="HT29" s="24"/>
      <c r="HU29" s="24"/>
      <c r="HV29" s="24"/>
      <c r="HW29" s="24"/>
      <c r="HX29" s="24"/>
      <c r="HY29" s="24"/>
      <c r="HZ29" s="24"/>
      <c r="IA29" s="24"/>
      <c r="IB29" s="24"/>
      <c r="IC29" s="24"/>
      <c r="ID29" s="24"/>
      <c r="IE29" s="24"/>
      <c r="IF29" s="24"/>
      <c r="IG29" s="24"/>
      <c r="IH29" s="24"/>
      <c r="II29" s="24"/>
      <c r="IJ29" s="24"/>
      <c r="IK29" s="24"/>
      <c r="IL29" s="24"/>
      <c r="IM29" s="24"/>
      <c r="IN29" s="24"/>
      <c r="IO29" s="24"/>
      <c r="IP29" s="24"/>
      <c r="IQ29" s="24"/>
      <c r="IR29" s="24"/>
      <c r="IS29" s="24"/>
      <c r="IT29" s="24"/>
      <c r="IU29" s="24"/>
      <c r="IV29" s="24"/>
      <c r="IW29" s="24"/>
      <c r="IX29" s="24"/>
      <c r="IY29" s="24"/>
      <c r="IZ29" s="24"/>
      <c r="JA29" s="24"/>
      <c r="JB29" s="24"/>
      <c r="JC29" s="24"/>
      <c r="JD29" s="24"/>
      <c r="JE29" s="24"/>
      <c r="JF29" s="24"/>
      <c r="JG29" s="24"/>
      <c r="JH29" s="24"/>
      <c r="JI29" s="24"/>
      <c r="JJ29" s="24"/>
      <c r="JK29" s="24"/>
      <c r="JL29" s="24"/>
      <c r="JM29" s="24"/>
      <c r="JN29" s="24"/>
      <c r="JO29" s="24"/>
      <c r="JP29" s="24"/>
      <c r="JQ29" s="24"/>
      <c r="JR29" s="24"/>
      <c r="JS29" s="24"/>
      <c r="JT29" s="24"/>
      <c r="JU29" s="24"/>
      <c r="JV29" s="24"/>
      <c r="JW29" s="24"/>
      <c r="JX29" s="24"/>
    </row>
    <row r="30" spans="1:284" s="7" customFormat="1" ht="4.9000000000000004" customHeight="1" x14ac:dyDescent="0.2">
      <c r="A30" s="406"/>
      <c r="B30" s="137"/>
      <c r="C30" s="120"/>
      <c r="D30" s="132"/>
      <c r="E30" s="132"/>
      <c r="F30" s="133"/>
      <c r="G30" s="389"/>
      <c r="H30" s="118"/>
      <c r="I30" s="138"/>
      <c r="EP30" s="24"/>
      <c r="EQ30" s="24"/>
      <c r="ER30" s="24"/>
      <c r="ES30" s="24"/>
      <c r="ET30" s="24"/>
      <c r="EU30" s="217"/>
      <c r="EV30" s="24"/>
      <c r="EW30" s="24"/>
      <c r="EX30" s="24"/>
      <c r="EY30" s="24"/>
      <c r="EZ30" s="24"/>
      <c r="FA30" s="24"/>
      <c r="FB30" s="24"/>
      <c r="FC30" s="24"/>
      <c r="FD30" s="24"/>
      <c r="FE30" s="24"/>
      <c r="FF30" s="24"/>
      <c r="FG30" s="24"/>
      <c r="FH30" s="24"/>
      <c r="FI30" s="24"/>
      <c r="FJ30" s="24"/>
      <c r="FK30" s="24"/>
      <c r="FL30" s="24"/>
      <c r="FM30" s="24"/>
      <c r="FN30" s="24"/>
      <c r="FO30" s="24"/>
      <c r="FP30" s="24"/>
      <c r="FQ30" s="24"/>
      <c r="FR30" s="24"/>
      <c r="FS30" s="24"/>
      <c r="FT30" s="24"/>
      <c r="FU30" s="24"/>
      <c r="FV30" s="24"/>
      <c r="FW30" s="24"/>
      <c r="FX30" s="24"/>
      <c r="FY30" s="24"/>
      <c r="FZ30" s="24"/>
      <c r="GA30" s="24"/>
      <c r="GB30" s="24"/>
      <c r="GC30" s="24"/>
      <c r="GD30" s="24"/>
      <c r="GE30" s="24"/>
      <c r="GF30" s="24"/>
      <c r="GG30" s="24"/>
      <c r="GH30" s="24"/>
      <c r="GI30" s="24"/>
      <c r="GJ30" s="24"/>
      <c r="GK30" s="24"/>
      <c r="GL30" s="24"/>
      <c r="GM30" s="24"/>
      <c r="GN30" s="24"/>
      <c r="GO30" s="24"/>
      <c r="GP30" s="24"/>
      <c r="GQ30" s="24"/>
      <c r="GR30" s="24"/>
      <c r="GS30" s="24"/>
      <c r="GT30" s="24"/>
      <c r="GU30" s="24"/>
      <c r="GV30" s="24"/>
      <c r="GW30" s="24"/>
      <c r="GX30" s="24"/>
      <c r="GY30" s="24"/>
      <c r="GZ30" s="24"/>
      <c r="HA30" s="24"/>
      <c r="HB30" s="24"/>
      <c r="HC30" s="24"/>
      <c r="HD30" s="24"/>
      <c r="HE30" s="24"/>
      <c r="HF30" s="24"/>
      <c r="HG30" s="24"/>
      <c r="HH30" s="24"/>
      <c r="HI30" s="24"/>
      <c r="HJ30" s="24"/>
      <c r="HK30" s="24"/>
      <c r="HL30" s="24"/>
      <c r="HM30" s="24"/>
      <c r="HN30" s="24"/>
      <c r="HO30" s="24"/>
      <c r="HP30" s="24"/>
      <c r="HQ30" s="24"/>
      <c r="HR30" s="24"/>
      <c r="HS30" s="24"/>
      <c r="HT30" s="24"/>
      <c r="HU30" s="24"/>
      <c r="HV30" s="24"/>
      <c r="HW30" s="24"/>
      <c r="HX30" s="24"/>
      <c r="HY30" s="24"/>
      <c r="HZ30" s="24"/>
      <c r="IA30" s="24"/>
      <c r="IB30" s="24"/>
      <c r="IC30" s="24"/>
      <c r="ID30" s="24"/>
      <c r="IE30" s="24"/>
      <c r="IF30" s="24"/>
      <c r="IG30" s="24"/>
      <c r="IH30" s="24"/>
      <c r="II30" s="24"/>
      <c r="IJ30" s="24"/>
      <c r="IK30" s="24"/>
      <c r="IL30" s="24"/>
      <c r="IM30" s="24"/>
      <c r="IN30" s="24"/>
      <c r="IO30" s="24"/>
      <c r="IP30" s="24"/>
      <c r="IQ30" s="24"/>
      <c r="IR30" s="24"/>
      <c r="IS30" s="24"/>
      <c r="IT30" s="24"/>
      <c r="IU30" s="24"/>
      <c r="IV30" s="24"/>
      <c r="IW30" s="24"/>
      <c r="IX30" s="24"/>
      <c r="IY30" s="24"/>
      <c r="IZ30" s="24"/>
      <c r="JA30" s="24"/>
      <c r="JB30" s="24"/>
      <c r="JC30" s="24"/>
      <c r="JD30" s="24"/>
      <c r="JE30" s="24"/>
      <c r="JF30" s="24"/>
      <c r="JG30" s="24"/>
      <c r="JH30" s="24"/>
      <c r="JI30" s="24"/>
      <c r="JJ30" s="24"/>
      <c r="JK30" s="24"/>
      <c r="JL30" s="24"/>
      <c r="JM30" s="24"/>
      <c r="JN30" s="24"/>
      <c r="JO30" s="24"/>
      <c r="JP30" s="24"/>
      <c r="JQ30" s="24"/>
      <c r="JR30" s="24"/>
      <c r="JS30" s="24"/>
      <c r="JT30" s="24"/>
      <c r="JU30" s="24"/>
      <c r="JV30" s="24"/>
      <c r="JW30" s="24"/>
      <c r="JX30" s="24"/>
    </row>
    <row r="31" spans="1:284" s="7" customFormat="1" x14ac:dyDescent="0.2">
      <c r="A31" s="406"/>
      <c r="B31" s="134" t="s">
        <v>24</v>
      </c>
      <c r="C31" s="120"/>
      <c r="D31" s="132"/>
      <c r="E31" s="132"/>
      <c r="F31" s="133"/>
      <c r="G31" s="389"/>
      <c r="H31" s="118"/>
      <c r="I31" s="138"/>
      <c r="EP31" s="24"/>
      <c r="EQ31" s="24"/>
      <c r="ER31" s="24"/>
      <c r="ES31" s="24"/>
      <c r="ET31" s="24"/>
      <c r="EU31" s="217"/>
      <c r="EV31" s="24"/>
      <c r="EW31" s="24"/>
      <c r="EX31" s="24"/>
      <c r="EY31" s="24"/>
      <c r="EZ31" s="24"/>
      <c r="FA31" s="24"/>
      <c r="FB31" s="24"/>
      <c r="FC31" s="24"/>
      <c r="FD31" s="24"/>
      <c r="FE31" s="24"/>
      <c r="FF31" s="24"/>
      <c r="FG31" s="24"/>
      <c r="FH31" s="24"/>
      <c r="FI31" s="24"/>
      <c r="FJ31" s="24"/>
      <c r="FK31" s="24"/>
      <c r="FL31" s="24"/>
      <c r="FM31" s="24"/>
      <c r="FN31" s="24"/>
      <c r="FO31" s="24"/>
      <c r="FP31" s="24"/>
      <c r="FQ31" s="24"/>
      <c r="FR31" s="24"/>
      <c r="FS31" s="24"/>
      <c r="FT31" s="24"/>
      <c r="FU31" s="24"/>
      <c r="FV31" s="24"/>
      <c r="FW31" s="24"/>
      <c r="FX31" s="24"/>
      <c r="FY31" s="24"/>
      <c r="FZ31" s="24"/>
      <c r="GA31" s="24"/>
      <c r="GB31" s="24"/>
      <c r="GC31" s="24"/>
      <c r="GD31" s="24"/>
      <c r="GE31" s="24"/>
      <c r="GF31" s="24"/>
      <c r="GG31" s="24"/>
      <c r="GH31" s="24"/>
      <c r="GI31" s="24"/>
      <c r="GJ31" s="24"/>
      <c r="GK31" s="24"/>
      <c r="GL31" s="24"/>
      <c r="GM31" s="24"/>
      <c r="GN31" s="24"/>
      <c r="GO31" s="24"/>
      <c r="GP31" s="24"/>
      <c r="GQ31" s="24"/>
      <c r="GR31" s="24"/>
      <c r="GS31" s="24"/>
      <c r="GT31" s="24"/>
      <c r="GU31" s="24"/>
      <c r="GV31" s="24"/>
      <c r="GW31" s="24"/>
      <c r="GX31" s="24"/>
      <c r="GY31" s="24"/>
      <c r="GZ31" s="24"/>
      <c r="HA31" s="24"/>
      <c r="HB31" s="24"/>
      <c r="HC31" s="24"/>
      <c r="HD31" s="24"/>
      <c r="HE31" s="24"/>
      <c r="HF31" s="24"/>
      <c r="HG31" s="24"/>
      <c r="HH31" s="24"/>
      <c r="HI31" s="24"/>
      <c r="HJ31" s="24"/>
      <c r="HK31" s="24"/>
      <c r="HL31" s="24"/>
      <c r="HM31" s="24"/>
      <c r="HN31" s="24"/>
      <c r="HO31" s="24"/>
      <c r="HP31" s="24"/>
      <c r="HQ31" s="24"/>
      <c r="HR31" s="24"/>
      <c r="HS31" s="24"/>
      <c r="HT31" s="24"/>
      <c r="HU31" s="24"/>
      <c r="HV31" s="24"/>
      <c r="HW31" s="24"/>
      <c r="HX31" s="24"/>
      <c r="HY31" s="24"/>
      <c r="HZ31" s="24"/>
      <c r="IA31" s="24"/>
      <c r="IB31" s="24"/>
      <c r="IC31" s="24"/>
      <c r="ID31" s="24"/>
      <c r="IE31" s="24"/>
      <c r="IF31" s="24"/>
      <c r="IG31" s="24"/>
      <c r="IH31" s="24"/>
      <c r="II31" s="24"/>
      <c r="IJ31" s="24"/>
      <c r="IK31" s="24"/>
      <c r="IL31" s="24"/>
      <c r="IM31" s="24"/>
      <c r="IN31" s="24"/>
      <c r="IO31" s="24"/>
      <c r="IP31" s="24"/>
      <c r="IQ31" s="24"/>
      <c r="IR31" s="24"/>
      <c r="IS31" s="24"/>
      <c r="IT31" s="24"/>
      <c r="IU31" s="24"/>
      <c r="IV31" s="24"/>
      <c r="IW31" s="24"/>
      <c r="IX31" s="24"/>
      <c r="IY31" s="24"/>
      <c r="IZ31" s="24"/>
      <c r="JA31" s="24"/>
      <c r="JB31" s="24"/>
      <c r="JC31" s="24"/>
      <c r="JD31" s="24"/>
      <c r="JE31" s="24"/>
      <c r="JF31" s="24"/>
      <c r="JG31" s="24"/>
      <c r="JH31" s="24"/>
      <c r="JI31" s="24"/>
      <c r="JJ31" s="24"/>
      <c r="JK31" s="24"/>
      <c r="JL31" s="24"/>
      <c r="JM31" s="24"/>
      <c r="JN31" s="24"/>
      <c r="JO31" s="24"/>
      <c r="JP31" s="24"/>
      <c r="JQ31" s="24"/>
      <c r="JR31" s="24"/>
      <c r="JS31" s="24"/>
      <c r="JT31" s="24"/>
      <c r="JU31" s="24"/>
      <c r="JV31" s="24"/>
      <c r="JW31" s="24"/>
      <c r="JX31" s="24"/>
    </row>
    <row r="32" spans="1:284" s="7" customFormat="1" x14ac:dyDescent="0.2">
      <c r="A32" s="406"/>
      <c r="B32" s="103" t="s">
        <v>39</v>
      </c>
      <c r="C32" s="120"/>
      <c r="D32" s="132">
        <v>1</v>
      </c>
      <c r="E32" s="132">
        <v>18</v>
      </c>
      <c r="F32" s="133" t="s">
        <v>27</v>
      </c>
      <c r="G32" s="389">
        <f>I32/Units_SF_M2</f>
        <v>176.47058823529412</v>
      </c>
      <c r="H32" s="123">
        <f>I32/Units</f>
        <v>150000</v>
      </c>
      <c r="I32" s="124">
        <f>+Units*150000</f>
        <v>45000000</v>
      </c>
      <c r="K32" s="7" t="str">
        <f>IF(ROUND(SUM(L32:EN32),0)=ROUND(I32,0),"","Incomplete")</f>
        <v/>
      </c>
      <c r="L32" s="38">
        <f t="shared" ref="L32:U34" si="47">AND(L$22&gt;=$D32,L$22&lt;=$E32)*IF(OR($F32="Straight-Line",$F32="Detail"),$I32/$ES32,EV32)</f>
        <v>0</v>
      </c>
      <c r="M32" s="38">
        <f t="shared" si="47"/>
        <v>111923.88578440943</v>
      </c>
      <c r="N32" s="38">
        <f t="shared" si="47"/>
        <v>270051.74739198742</v>
      </c>
      <c r="O32" s="38">
        <f t="shared" si="47"/>
        <v>583641.86338414182</v>
      </c>
      <c r="P32" s="38">
        <f t="shared" si="47"/>
        <v>1129860.307017518</v>
      </c>
      <c r="Q32" s="38">
        <f t="shared" si="47"/>
        <v>1959228.5529215974</v>
      </c>
      <c r="R32" s="38">
        <f t="shared" si="47"/>
        <v>3043197.5520221828</v>
      </c>
      <c r="S32" s="38">
        <f t="shared" si="47"/>
        <v>4234108.9934879998</v>
      </c>
      <c r="T32" s="38">
        <f t="shared" si="47"/>
        <v>5276942.7879327415</v>
      </c>
      <c r="U32" s="38">
        <f t="shared" si="47"/>
        <v>5891044.3100574221</v>
      </c>
      <c r="V32" s="38">
        <f t="shared" ref="V32:AE34" si="48">AND(V$22&gt;=$D32,V$22&lt;=$E32)*IF(OR($F32="Straight-Line",$F32="Detail"),$I32/$ES32,FF32)</f>
        <v>5891044.3100574249</v>
      </c>
      <c r="W32" s="38">
        <f t="shared" si="48"/>
        <v>5276942.7879327387</v>
      </c>
      <c r="X32" s="38">
        <f t="shared" si="48"/>
        <v>4234108.9934880016</v>
      </c>
      <c r="Y32" s="38">
        <f t="shared" si="48"/>
        <v>3043197.5520221815</v>
      </c>
      <c r="Z32" s="38">
        <f t="shared" si="48"/>
        <v>1959228.5529215978</v>
      </c>
      <c r="AA32" s="38">
        <f t="shared" si="48"/>
        <v>1129860.3070175168</v>
      </c>
      <c r="AB32" s="38">
        <f t="shared" si="48"/>
        <v>583641.86338414357</v>
      </c>
      <c r="AC32" s="38">
        <f t="shared" si="48"/>
        <v>270051.74739198468</v>
      </c>
      <c r="AD32" s="38">
        <f t="shared" si="48"/>
        <v>111923.88578441076</v>
      </c>
      <c r="AE32" s="38">
        <f t="shared" si="48"/>
        <v>0</v>
      </c>
      <c r="AF32" s="38">
        <f t="shared" ref="AF32:AO34" si="49">AND(AF$22&gt;=$D32,AF$22&lt;=$E32)*IF(OR($F32="Straight-Line",$F32="Detail"),$I32/$ES32,FP32)</f>
        <v>0</v>
      </c>
      <c r="AG32" s="38">
        <f t="shared" si="49"/>
        <v>0</v>
      </c>
      <c r="AH32" s="38">
        <f t="shared" si="49"/>
        <v>0</v>
      </c>
      <c r="AI32" s="38">
        <f t="shared" si="49"/>
        <v>0</v>
      </c>
      <c r="AJ32" s="38">
        <f t="shared" si="49"/>
        <v>0</v>
      </c>
      <c r="AK32" s="38">
        <f t="shared" si="49"/>
        <v>0</v>
      </c>
      <c r="AL32" s="38">
        <f t="shared" si="49"/>
        <v>0</v>
      </c>
      <c r="AM32" s="38">
        <f t="shared" si="49"/>
        <v>0</v>
      </c>
      <c r="AN32" s="38">
        <f t="shared" si="49"/>
        <v>0</v>
      </c>
      <c r="AO32" s="38">
        <f t="shared" si="49"/>
        <v>0</v>
      </c>
      <c r="AP32" s="38">
        <f t="shared" ref="AP32:AY34" si="50">AND(AP$22&gt;=$D32,AP$22&lt;=$E32)*IF(OR($F32="Straight-Line",$F32="Detail"),$I32/$ES32,FZ32)</f>
        <v>0</v>
      </c>
      <c r="AQ32" s="38">
        <f t="shared" si="50"/>
        <v>0</v>
      </c>
      <c r="AR32" s="38">
        <f t="shared" si="50"/>
        <v>0</v>
      </c>
      <c r="AS32" s="38">
        <f t="shared" si="50"/>
        <v>0</v>
      </c>
      <c r="AT32" s="38">
        <f t="shared" si="50"/>
        <v>0</v>
      </c>
      <c r="AU32" s="38">
        <f t="shared" si="50"/>
        <v>0</v>
      </c>
      <c r="AV32" s="38">
        <f t="shared" si="50"/>
        <v>0</v>
      </c>
      <c r="AW32" s="38">
        <f t="shared" si="50"/>
        <v>0</v>
      </c>
      <c r="AX32" s="38">
        <f t="shared" si="50"/>
        <v>0</v>
      </c>
      <c r="AY32" s="38">
        <f t="shared" si="50"/>
        <v>0</v>
      </c>
      <c r="AZ32" s="38">
        <f t="shared" ref="AZ32:BI34" si="51">AND(AZ$22&gt;=$D32,AZ$22&lt;=$E32)*IF(OR($F32="Straight-Line",$F32="Detail"),$I32/$ES32,GJ32)</f>
        <v>0</v>
      </c>
      <c r="BA32" s="38">
        <f t="shared" si="51"/>
        <v>0</v>
      </c>
      <c r="BB32" s="38">
        <f t="shared" si="51"/>
        <v>0</v>
      </c>
      <c r="BC32" s="38">
        <f t="shared" si="51"/>
        <v>0</v>
      </c>
      <c r="BD32" s="38">
        <f t="shared" si="51"/>
        <v>0</v>
      </c>
      <c r="BE32" s="38">
        <f t="shared" si="51"/>
        <v>0</v>
      </c>
      <c r="BF32" s="38">
        <f t="shared" si="51"/>
        <v>0</v>
      </c>
      <c r="BG32" s="38">
        <f t="shared" si="51"/>
        <v>0</v>
      </c>
      <c r="BH32" s="38">
        <f t="shared" si="51"/>
        <v>0</v>
      </c>
      <c r="BI32" s="38">
        <f t="shared" si="51"/>
        <v>0</v>
      </c>
      <c r="BJ32" s="38">
        <f t="shared" ref="BJ32:BS34" si="52">AND(BJ$22&gt;=$D32,BJ$22&lt;=$E32)*IF(OR($F32="Straight-Line",$F32="Detail"),$I32/$ES32,GT32)</f>
        <v>0</v>
      </c>
      <c r="BK32" s="38">
        <f t="shared" si="52"/>
        <v>0</v>
      </c>
      <c r="BL32" s="38">
        <f t="shared" si="52"/>
        <v>0</v>
      </c>
      <c r="BM32" s="38">
        <f t="shared" si="52"/>
        <v>0</v>
      </c>
      <c r="BN32" s="38">
        <f t="shared" si="52"/>
        <v>0</v>
      </c>
      <c r="BO32" s="38">
        <f t="shared" si="52"/>
        <v>0</v>
      </c>
      <c r="BP32" s="38">
        <f t="shared" si="52"/>
        <v>0</v>
      </c>
      <c r="BQ32" s="38">
        <f t="shared" si="52"/>
        <v>0</v>
      </c>
      <c r="BR32" s="38">
        <f t="shared" si="52"/>
        <v>0</v>
      </c>
      <c r="BS32" s="38">
        <f t="shared" si="52"/>
        <v>0</v>
      </c>
      <c r="BT32" s="38">
        <f t="shared" ref="BT32:CC34" si="53">AND(BT$22&gt;=$D32,BT$22&lt;=$E32)*IF(OR($F32="Straight-Line",$F32="Detail"),$I32/$ES32,HD32)</f>
        <v>0</v>
      </c>
      <c r="BU32" s="38">
        <f t="shared" si="53"/>
        <v>0</v>
      </c>
      <c r="BV32" s="38">
        <f t="shared" si="53"/>
        <v>0</v>
      </c>
      <c r="BW32" s="38">
        <f t="shared" si="53"/>
        <v>0</v>
      </c>
      <c r="BX32" s="38">
        <f t="shared" si="53"/>
        <v>0</v>
      </c>
      <c r="BY32" s="38">
        <f t="shared" si="53"/>
        <v>0</v>
      </c>
      <c r="BZ32" s="38">
        <f t="shared" si="53"/>
        <v>0</v>
      </c>
      <c r="CA32" s="38">
        <f t="shared" si="53"/>
        <v>0</v>
      </c>
      <c r="CB32" s="38">
        <f t="shared" si="53"/>
        <v>0</v>
      </c>
      <c r="CC32" s="38">
        <f t="shared" si="53"/>
        <v>0</v>
      </c>
      <c r="CD32" s="38">
        <f t="shared" ref="CD32:CM34" si="54">AND(CD$22&gt;=$D32,CD$22&lt;=$E32)*IF(OR($F32="Straight-Line",$F32="Detail"),$I32/$ES32,HN32)</f>
        <v>0</v>
      </c>
      <c r="CE32" s="38">
        <f t="shared" si="54"/>
        <v>0</v>
      </c>
      <c r="CF32" s="38">
        <f t="shared" si="54"/>
        <v>0</v>
      </c>
      <c r="CG32" s="38">
        <f t="shared" si="54"/>
        <v>0</v>
      </c>
      <c r="CH32" s="38">
        <f t="shared" si="54"/>
        <v>0</v>
      </c>
      <c r="CI32" s="38">
        <f t="shared" si="54"/>
        <v>0</v>
      </c>
      <c r="CJ32" s="38">
        <f t="shared" si="54"/>
        <v>0</v>
      </c>
      <c r="CK32" s="38">
        <f t="shared" si="54"/>
        <v>0</v>
      </c>
      <c r="CL32" s="38">
        <f t="shared" si="54"/>
        <v>0</v>
      </c>
      <c r="CM32" s="38">
        <f t="shared" si="54"/>
        <v>0</v>
      </c>
      <c r="CN32" s="38">
        <f t="shared" ref="CN32:CW34" si="55">AND(CN$22&gt;=$D32,CN$22&lt;=$E32)*IF(OR($F32="Straight-Line",$F32="Detail"),$I32/$ES32,HX32)</f>
        <v>0</v>
      </c>
      <c r="CO32" s="38">
        <f t="shared" si="55"/>
        <v>0</v>
      </c>
      <c r="CP32" s="38">
        <f t="shared" si="55"/>
        <v>0</v>
      </c>
      <c r="CQ32" s="38">
        <f t="shared" si="55"/>
        <v>0</v>
      </c>
      <c r="CR32" s="38">
        <f t="shared" si="55"/>
        <v>0</v>
      </c>
      <c r="CS32" s="38">
        <f t="shared" si="55"/>
        <v>0</v>
      </c>
      <c r="CT32" s="38">
        <f t="shared" si="55"/>
        <v>0</v>
      </c>
      <c r="CU32" s="38">
        <f t="shared" si="55"/>
        <v>0</v>
      </c>
      <c r="CV32" s="38">
        <f t="shared" si="55"/>
        <v>0</v>
      </c>
      <c r="CW32" s="38">
        <f t="shared" si="55"/>
        <v>0</v>
      </c>
      <c r="CX32" s="38">
        <f t="shared" ref="CX32:DG34" si="56">AND(CX$22&gt;=$D32,CX$22&lt;=$E32)*IF(OR($F32="Straight-Line",$F32="Detail"),$I32/$ES32,IH32)</f>
        <v>0</v>
      </c>
      <c r="CY32" s="38">
        <f t="shared" si="56"/>
        <v>0</v>
      </c>
      <c r="CZ32" s="38">
        <f t="shared" si="56"/>
        <v>0</v>
      </c>
      <c r="DA32" s="38">
        <f t="shared" si="56"/>
        <v>0</v>
      </c>
      <c r="DB32" s="38">
        <f t="shared" si="56"/>
        <v>0</v>
      </c>
      <c r="DC32" s="38">
        <f t="shared" si="56"/>
        <v>0</v>
      </c>
      <c r="DD32" s="38">
        <f t="shared" si="56"/>
        <v>0</v>
      </c>
      <c r="DE32" s="38">
        <f t="shared" si="56"/>
        <v>0</v>
      </c>
      <c r="DF32" s="38">
        <f t="shared" si="56"/>
        <v>0</v>
      </c>
      <c r="DG32" s="38">
        <f t="shared" si="56"/>
        <v>0</v>
      </c>
      <c r="DH32" s="38">
        <f t="shared" ref="DH32:DQ34" si="57">AND(DH$22&gt;=$D32,DH$22&lt;=$E32)*IF(OR($F32="Straight-Line",$F32="Detail"),$I32/$ES32,IR32)</f>
        <v>0</v>
      </c>
      <c r="DI32" s="38">
        <f t="shared" si="57"/>
        <v>0</v>
      </c>
      <c r="DJ32" s="38">
        <f t="shared" si="57"/>
        <v>0</v>
      </c>
      <c r="DK32" s="38">
        <f t="shared" si="57"/>
        <v>0</v>
      </c>
      <c r="DL32" s="38">
        <f t="shared" si="57"/>
        <v>0</v>
      </c>
      <c r="DM32" s="38">
        <f t="shared" si="57"/>
        <v>0</v>
      </c>
      <c r="DN32" s="38">
        <f t="shared" si="57"/>
        <v>0</v>
      </c>
      <c r="DO32" s="38">
        <f t="shared" si="57"/>
        <v>0</v>
      </c>
      <c r="DP32" s="38">
        <f t="shared" si="57"/>
        <v>0</v>
      </c>
      <c r="DQ32" s="38">
        <f t="shared" si="57"/>
        <v>0</v>
      </c>
      <c r="DR32" s="38">
        <f t="shared" ref="DR32:EA34" si="58">AND(DR$22&gt;=$D32,DR$22&lt;=$E32)*IF(OR($F32="Straight-Line",$F32="Detail"),$I32/$ES32,JB32)</f>
        <v>0</v>
      </c>
      <c r="DS32" s="38">
        <f t="shared" si="58"/>
        <v>0</v>
      </c>
      <c r="DT32" s="38">
        <f t="shared" si="58"/>
        <v>0</v>
      </c>
      <c r="DU32" s="38">
        <f t="shared" si="58"/>
        <v>0</v>
      </c>
      <c r="DV32" s="38">
        <f t="shared" si="58"/>
        <v>0</v>
      </c>
      <c r="DW32" s="38">
        <f t="shared" si="58"/>
        <v>0</v>
      </c>
      <c r="DX32" s="38">
        <f t="shared" si="58"/>
        <v>0</v>
      </c>
      <c r="DY32" s="38">
        <f t="shared" si="58"/>
        <v>0</v>
      </c>
      <c r="DZ32" s="38">
        <f t="shared" si="58"/>
        <v>0</v>
      </c>
      <c r="EA32" s="38">
        <f t="shared" si="58"/>
        <v>0</v>
      </c>
      <c r="EB32" s="38">
        <f t="shared" ref="EB32:EK34" si="59">AND(EB$22&gt;=$D32,EB$22&lt;=$E32)*IF(OR($F32="Straight-Line",$F32="Detail"),$I32/$ES32,JL32)</f>
        <v>0</v>
      </c>
      <c r="EC32" s="38">
        <f t="shared" si="59"/>
        <v>0</v>
      </c>
      <c r="ED32" s="38">
        <f t="shared" si="59"/>
        <v>0</v>
      </c>
      <c r="EE32" s="38">
        <f t="shared" si="59"/>
        <v>0</v>
      </c>
      <c r="EF32" s="38">
        <f t="shared" si="59"/>
        <v>0</v>
      </c>
      <c r="EG32" s="38">
        <f t="shared" si="59"/>
        <v>0</v>
      </c>
      <c r="EH32" s="38">
        <f t="shared" si="59"/>
        <v>0</v>
      </c>
      <c r="EI32" s="38">
        <f t="shared" si="59"/>
        <v>0</v>
      </c>
      <c r="EJ32" s="38">
        <f t="shared" si="59"/>
        <v>0</v>
      </c>
      <c r="EK32" s="38">
        <f t="shared" si="59"/>
        <v>0</v>
      </c>
      <c r="EL32" s="38">
        <f t="shared" ref="EL32:EN34" si="60">AND(EL$22&gt;=$D32,EL$22&lt;=$E32)*IF(OR($F32="Straight-Line",$F32="Detail"),$I32/$ES32,JV32)</f>
        <v>0</v>
      </c>
      <c r="EM32" s="38">
        <f t="shared" si="60"/>
        <v>0</v>
      </c>
      <c r="EN32" s="38">
        <f t="shared" si="60"/>
        <v>0</v>
      </c>
      <c r="EP32" s="30">
        <f>I32</f>
        <v>45000000</v>
      </c>
      <c r="EQ32" s="31">
        <f>INDEX($L$23:$EN$23,1,$D32+1)</f>
        <v>44592</v>
      </c>
      <c r="ER32" s="31">
        <f>INDEX($L$23:$EN$23,1,$E32+1)</f>
        <v>45107</v>
      </c>
      <c r="ES32" s="30">
        <f>+E32-D32+1</f>
        <v>18</v>
      </c>
      <c r="ET32" s="24" t="str">
        <f>F32</f>
        <v>S-Curve</v>
      </c>
      <c r="EU32" s="217">
        <f>ES32/Scurve_Dist</f>
        <v>3</v>
      </c>
      <c r="EV32" s="30">
        <f t="shared" ref="EV32:FK34" si="61">AND($ET32="S-Curve",EV$23&gt;=$EQ32,EV$23&lt;=$ER32)*(_xlfn.NORM.DIST((YEAR(EV$23)-YEAR($EQ32))*12+MONTH(EV$23)-MONTH($EQ32)+1,$ES32/2,$EU32,TRUE)-_xlfn.NORM.DIST((YEAR(EV$23)-YEAR($EQ32))*12+MONTH(EV$23)-MONTH($EQ32),$ES32/2,$EU32,TRUE))/(1-2*_xlfn.NORM.DIST(0,$ES32/2,$EU32,TRUE))*$EP32</f>
        <v>0</v>
      </c>
      <c r="EW32" s="30">
        <f t="shared" si="61"/>
        <v>111923.88578440943</v>
      </c>
      <c r="EX32" s="30">
        <f t="shared" si="61"/>
        <v>270051.74739198742</v>
      </c>
      <c r="EY32" s="30">
        <f t="shared" si="61"/>
        <v>583641.86338414182</v>
      </c>
      <c r="EZ32" s="30">
        <f t="shared" si="61"/>
        <v>1129860.307017518</v>
      </c>
      <c r="FA32" s="30">
        <f t="shared" si="61"/>
        <v>1959228.5529215974</v>
      </c>
      <c r="FB32" s="30">
        <f t="shared" si="61"/>
        <v>3043197.5520221828</v>
      </c>
      <c r="FC32" s="30">
        <f t="shared" si="61"/>
        <v>4234108.9934879998</v>
      </c>
      <c r="FD32" s="30">
        <f t="shared" si="61"/>
        <v>5276942.7879327415</v>
      </c>
      <c r="FE32" s="30">
        <f t="shared" si="61"/>
        <v>5891044.3100574221</v>
      </c>
      <c r="FF32" s="30">
        <f t="shared" si="61"/>
        <v>5891044.3100574249</v>
      </c>
      <c r="FG32" s="30">
        <f t="shared" si="61"/>
        <v>5276942.7879327387</v>
      </c>
      <c r="FH32" s="30">
        <f t="shared" si="61"/>
        <v>4234108.9934880016</v>
      </c>
      <c r="FI32" s="30">
        <f t="shared" si="61"/>
        <v>3043197.5520221815</v>
      </c>
      <c r="FJ32" s="30">
        <f t="shared" si="61"/>
        <v>1959228.5529215978</v>
      </c>
      <c r="FK32" s="30">
        <f t="shared" si="61"/>
        <v>1129860.3070175168</v>
      </c>
      <c r="FL32" s="30">
        <f t="shared" ref="FL32:GA34" si="62">AND($ET32="S-Curve",FL$23&gt;=$EQ32,FL$23&lt;=$ER32)*(_xlfn.NORM.DIST((YEAR(FL$23)-YEAR($EQ32))*12+MONTH(FL$23)-MONTH($EQ32)+1,$ES32/2,$EU32,TRUE)-_xlfn.NORM.DIST((YEAR(FL$23)-YEAR($EQ32))*12+MONTH(FL$23)-MONTH($EQ32),$ES32/2,$EU32,TRUE))/(1-2*_xlfn.NORM.DIST(0,$ES32/2,$EU32,TRUE))*$EP32</f>
        <v>583641.86338414357</v>
      </c>
      <c r="FM32" s="30">
        <f t="shared" si="62"/>
        <v>270051.74739198468</v>
      </c>
      <c r="FN32" s="30">
        <f t="shared" si="62"/>
        <v>111923.88578441076</v>
      </c>
      <c r="FO32" s="30">
        <f t="shared" si="62"/>
        <v>0</v>
      </c>
      <c r="FP32" s="30">
        <f t="shared" si="62"/>
        <v>0</v>
      </c>
      <c r="FQ32" s="30">
        <f t="shared" si="62"/>
        <v>0</v>
      </c>
      <c r="FR32" s="30">
        <f t="shared" si="62"/>
        <v>0</v>
      </c>
      <c r="FS32" s="30">
        <f t="shared" si="62"/>
        <v>0</v>
      </c>
      <c r="FT32" s="30">
        <f t="shared" si="62"/>
        <v>0</v>
      </c>
      <c r="FU32" s="30">
        <f t="shared" si="62"/>
        <v>0</v>
      </c>
      <c r="FV32" s="30">
        <f t="shared" si="62"/>
        <v>0</v>
      </c>
      <c r="FW32" s="30">
        <f t="shared" si="62"/>
        <v>0</v>
      </c>
      <c r="FX32" s="30">
        <f t="shared" si="62"/>
        <v>0</v>
      </c>
      <c r="FY32" s="30">
        <f t="shared" si="62"/>
        <v>0</v>
      </c>
      <c r="FZ32" s="30">
        <f t="shared" si="62"/>
        <v>0</v>
      </c>
      <c r="GA32" s="30">
        <f t="shared" si="62"/>
        <v>0</v>
      </c>
      <c r="GB32" s="30">
        <f t="shared" ref="GB32:GQ34" si="63">AND($ET32="S-Curve",GB$23&gt;=$EQ32,GB$23&lt;=$ER32)*(_xlfn.NORM.DIST((YEAR(GB$23)-YEAR($EQ32))*12+MONTH(GB$23)-MONTH($EQ32)+1,$ES32/2,$EU32,TRUE)-_xlfn.NORM.DIST((YEAR(GB$23)-YEAR($EQ32))*12+MONTH(GB$23)-MONTH($EQ32),$ES32/2,$EU32,TRUE))/(1-2*_xlfn.NORM.DIST(0,$ES32/2,$EU32,TRUE))*$EP32</f>
        <v>0</v>
      </c>
      <c r="GC32" s="30">
        <f t="shared" si="63"/>
        <v>0</v>
      </c>
      <c r="GD32" s="30">
        <f t="shared" si="63"/>
        <v>0</v>
      </c>
      <c r="GE32" s="30">
        <f t="shared" si="63"/>
        <v>0</v>
      </c>
      <c r="GF32" s="30">
        <f t="shared" si="63"/>
        <v>0</v>
      </c>
      <c r="GG32" s="30">
        <f t="shared" si="63"/>
        <v>0</v>
      </c>
      <c r="GH32" s="30">
        <f t="shared" si="63"/>
        <v>0</v>
      </c>
      <c r="GI32" s="30">
        <f t="shared" si="63"/>
        <v>0</v>
      </c>
      <c r="GJ32" s="30">
        <f t="shared" si="63"/>
        <v>0</v>
      </c>
      <c r="GK32" s="30">
        <f t="shared" si="63"/>
        <v>0</v>
      </c>
      <c r="GL32" s="30">
        <f t="shared" si="63"/>
        <v>0</v>
      </c>
      <c r="GM32" s="30">
        <f t="shared" si="63"/>
        <v>0</v>
      </c>
      <c r="GN32" s="30">
        <f t="shared" si="63"/>
        <v>0</v>
      </c>
      <c r="GO32" s="30">
        <f t="shared" si="63"/>
        <v>0</v>
      </c>
      <c r="GP32" s="30">
        <f t="shared" si="63"/>
        <v>0</v>
      </c>
      <c r="GQ32" s="30">
        <f t="shared" si="63"/>
        <v>0</v>
      </c>
      <c r="GR32" s="30">
        <f t="shared" ref="GR32:HG34" si="64">AND($ET32="S-Curve",GR$23&gt;=$EQ32,GR$23&lt;=$ER32)*(_xlfn.NORM.DIST((YEAR(GR$23)-YEAR($EQ32))*12+MONTH(GR$23)-MONTH($EQ32)+1,$ES32/2,$EU32,TRUE)-_xlfn.NORM.DIST((YEAR(GR$23)-YEAR($EQ32))*12+MONTH(GR$23)-MONTH($EQ32),$ES32/2,$EU32,TRUE))/(1-2*_xlfn.NORM.DIST(0,$ES32/2,$EU32,TRUE))*$EP32</f>
        <v>0</v>
      </c>
      <c r="GS32" s="30">
        <f t="shared" si="64"/>
        <v>0</v>
      </c>
      <c r="GT32" s="30">
        <f t="shared" si="64"/>
        <v>0</v>
      </c>
      <c r="GU32" s="30">
        <f t="shared" si="64"/>
        <v>0</v>
      </c>
      <c r="GV32" s="30">
        <f t="shared" si="64"/>
        <v>0</v>
      </c>
      <c r="GW32" s="30">
        <f t="shared" si="64"/>
        <v>0</v>
      </c>
      <c r="GX32" s="30">
        <f t="shared" si="64"/>
        <v>0</v>
      </c>
      <c r="GY32" s="30">
        <f t="shared" si="64"/>
        <v>0</v>
      </c>
      <c r="GZ32" s="30">
        <f t="shared" si="64"/>
        <v>0</v>
      </c>
      <c r="HA32" s="30">
        <f t="shared" si="64"/>
        <v>0</v>
      </c>
      <c r="HB32" s="30">
        <f t="shared" si="64"/>
        <v>0</v>
      </c>
      <c r="HC32" s="30">
        <f t="shared" si="64"/>
        <v>0</v>
      </c>
      <c r="HD32" s="30">
        <f t="shared" si="64"/>
        <v>0</v>
      </c>
      <c r="HE32" s="30">
        <f t="shared" si="64"/>
        <v>0</v>
      </c>
      <c r="HF32" s="30">
        <f t="shared" si="64"/>
        <v>0</v>
      </c>
      <c r="HG32" s="30">
        <f t="shared" si="64"/>
        <v>0</v>
      </c>
      <c r="HH32" s="30">
        <f t="shared" ref="HH32:HW34" si="65">AND($ET32="S-Curve",HH$23&gt;=$EQ32,HH$23&lt;=$ER32)*(_xlfn.NORM.DIST((YEAR(HH$23)-YEAR($EQ32))*12+MONTH(HH$23)-MONTH($EQ32)+1,$ES32/2,$EU32,TRUE)-_xlfn.NORM.DIST((YEAR(HH$23)-YEAR($EQ32))*12+MONTH(HH$23)-MONTH($EQ32),$ES32/2,$EU32,TRUE))/(1-2*_xlfn.NORM.DIST(0,$ES32/2,$EU32,TRUE))*$EP32</f>
        <v>0</v>
      </c>
      <c r="HI32" s="30">
        <f t="shared" si="65"/>
        <v>0</v>
      </c>
      <c r="HJ32" s="30">
        <f t="shared" si="65"/>
        <v>0</v>
      </c>
      <c r="HK32" s="30">
        <f t="shared" si="65"/>
        <v>0</v>
      </c>
      <c r="HL32" s="30">
        <f t="shared" si="65"/>
        <v>0</v>
      </c>
      <c r="HM32" s="30">
        <f t="shared" si="65"/>
        <v>0</v>
      </c>
      <c r="HN32" s="30">
        <f t="shared" si="65"/>
        <v>0</v>
      </c>
      <c r="HO32" s="30">
        <f t="shared" si="65"/>
        <v>0</v>
      </c>
      <c r="HP32" s="30">
        <f t="shared" si="65"/>
        <v>0</v>
      </c>
      <c r="HQ32" s="30">
        <f t="shared" si="65"/>
        <v>0</v>
      </c>
      <c r="HR32" s="30">
        <f t="shared" si="65"/>
        <v>0</v>
      </c>
      <c r="HS32" s="30">
        <f t="shared" si="65"/>
        <v>0</v>
      </c>
      <c r="HT32" s="30">
        <f t="shared" si="65"/>
        <v>0</v>
      </c>
      <c r="HU32" s="30">
        <f t="shared" si="65"/>
        <v>0</v>
      </c>
      <c r="HV32" s="30">
        <f t="shared" si="65"/>
        <v>0</v>
      </c>
      <c r="HW32" s="30">
        <f t="shared" si="65"/>
        <v>0</v>
      </c>
      <c r="HX32" s="30">
        <f t="shared" ref="HX32:IM34" si="66">AND($ET32="S-Curve",HX$23&gt;=$EQ32,HX$23&lt;=$ER32)*(_xlfn.NORM.DIST((YEAR(HX$23)-YEAR($EQ32))*12+MONTH(HX$23)-MONTH($EQ32)+1,$ES32/2,$EU32,TRUE)-_xlfn.NORM.DIST((YEAR(HX$23)-YEAR($EQ32))*12+MONTH(HX$23)-MONTH($EQ32),$ES32/2,$EU32,TRUE))/(1-2*_xlfn.NORM.DIST(0,$ES32/2,$EU32,TRUE))*$EP32</f>
        <v>0</v>
      </c>
      <c r="HY32" s="30">
        <f t="shared" si="66"/>
        <v>0</v>
      </c>
      <c r="HZ32" s="30">
        <f t="shared" si="66"/>
        <v>0</v>
      </c>
      <c r="IA32" s="30">
        <f t="shared" si="66"/>
        <v>0</v>
      </c>
      <c r="IB32" s="30">
        <f t="shared" si="66"/>
        <v>0</v>
      </c>
      <c r="IC32" s="30">
        <f t="shared" si="66"/>
        <v>0</v>
      </c>
      <c r="ID32" s="30">
        <f t="shared" si="66"/>
        <v>0</v>
      </c>
      <c r="IE32" s="30">
        <f t="shared" si="66"/>
        <v>0</v>
      </c>
      <c r="IF32" s="30">
        <f t="shared" si="66"/>
        <v>0</v>
      </c>
      <c r="IG32" s="30">
        <f t="shared" si="66"/>
        <v>0</v>
      </c>
      <c r="IH32" s="30">
        <f t="shared" si="66"/>
        <v>0</v>
      </c>
      <c r="II32" s="30">
        <f t="shared" si="66"/>
        <v>0</v>
      </c>
      <c r="IJ32" s="30">
        <f t="shared" si="66"/>
        <v>0</v>
      </c>
      <c r="IK32" s="30">
        <f t="shared" si="66"/>
        <v>0</v>
      </c>
      <c r="IL32" s="30">
        <f t="shared" si="66"/>
        <v>0</v>
      </c>
      <c r="IM32" s="30">
        <f t="shared" si="66"/>
        <v>0</v>
      </c>
      <c r="IN32" s="30">
        <f t="shared" ref="IN32:JC34" si="67">AND($ET32="S-Curve",IN$23&gt;=$EQ32,IN$23&lt;=$ER32)*(_xlfn.NORM.DIST((YEAR(IN$23)-YEAR($EQ32))*12+MONTH(IN$23)-MONTH($EQ32)+1,$ES32/2,$EU32,TRUE)-_xlfn.NORM.DIST((YEAR(IN$23)-YEAR($EQ32))*12+MONTH(IN$23)-MONTH($EQ32),$ES32/2,$EU32,TRUE))/(1-2*_xlfn.NORM.DIST(0,$ES32/2,$EU32,TRUE))*$EP32</f>
        <v>0</v>
      </c>
      <c r="IO32" s="30">
        <f t="shared" si="67"/>
        <v>0</v>
      </c>
      <c r="IP32" s="30">
        <f t="shared" si="67"/>
        <v>0</v>
      </c>
      <c r="IQ32" s="30">
        <f t="shared" si="67"/>
        <v>0</v>
      </c>
      <c r="IR32" s="30">
        <f t="shared" si="67"/>
        <v>0</v>
      </c>
      <c r="IS32" s="30">
        <f t="shared" si="67"/>
        <v>0</v>
      </c>
      <c r="IT32" s="30">
        <f t="shared" si="67"/>
        <v>0</v>
      </c>
      <c r="IU32" s="30">
        <f t="shared" si="67"/>
        <v>0</v>
      </c>
      <c r="IV32" s="30">
        <f t="shared" si="67"/>
        <v>0</v>
      </c>
      <c r="IW32" s="30">
        <f t="shared" si="67"/>
        <v>0</v>
      </c>
      <c r="IX32" s="30">
        <f t="shared" si="67"/>
        <v>0</v>
      </c>
      <c r="IY32" s="30">
        <f t="shared" si="67"/>
        <v>0</v>
      </c>
      <c r="IZ32" s="30">
        <f t="shared" si="67"/>
        <v>0</v>
      </c>
      <c r="JA32" s="30">
        <f t="shared" si="67"/>
        <v>0</v>
      </c>
      <c r="JB32" s="30">
        <f t="shared" si="67"/>
        <v>0</v>
      </c>
      <c r="JC32" s="30">
        <f t="shared" si="67"/>
        <v>0</v>
      </c>
      <c r="JD32" s="30">
        <f t="shared" ref="JD32:JS34" si="68">AND($ET32="S-Curve",JD$23&gt;=$EQ32,JD$23&lt;=$ER32)*(_xlfn.NORM.DIST((YEAR(JD$23)-YEAR($EQ32))*12+MONTH(JD$23)-MONTH($EQ32)+1,$ES32/2,$EU32,TRUE)-_xlfn.NORM.DIST((YEAR(JD$23)-YEAR($EQ32))*12+MONTH(JD$23)-MONTH($EQ32),$ES32/2,$EU32,TRUE))/(1-2*_xlfn.NORM.DIST(0,$ES32/2,$EU32,TRUE))*$EP32</f>
        <v>0</v>
      </c>
      <c r="JE32" s="30">
        <f t="shared" si="68"/>
        <v>0</v>
      </c>
      <c r="JF32" s="30">
        <f t="shared" si="68"/>
        <v>0</v>
      </c>
      <c r="JG32" s="30">
        <f t="shared" si="68"/>
        <v>0</v>
      </c>
      <c r="JH32" s="30">
        <f t="shared" si="68"/>
        <v>0</v>
      </c>
      <c r="JI32" s="30">
        <f t="shared" si="68"/>
        <v>0</v>
      </c>
      <c r="JJ32" s="30">
        <f t="shared" si="68"/>
        <v>0</v>
      </c>
      <c r="JK32" s="30">
        <f t="shared" si="68"/>
        <v>0</v>
      </c>
      <c r="JL32" s="30">
        <f t="shared" si="68"/>
        <v>0</v>
      </c>
      <c r="JM32" s="30">
        <f t="shared" si="68"/>
        <v>0</v>
      </c>
      <c r="JN32" s="30">
        <f t="shared" si="68"/>
        <v>0</v>
      </c>
      <c r="JO32" s="30">
        <f t="shared" si="68"/>
        <v>0</v>
      </c>
      <c r="JP32" s="30">
        <f t="shared" si="68"/>
        <v>0</v>
      </c>
      <c r="JQ32" s="30">
        <f t="shared" si="68"/>
        <v>0</v>
      </c>
      <c r="JR32" s="30">
        <f t="shared" si="68"/>
        <v>0</v>
      </c>
      <c r="JS32" s="30">
        <f t="shared" si="68"/>
        <v>0</v>
      </c>
      <c r="JT32" s="30">
        <f t="shared" ref="JT32:JX34" si="69">AND($ET32="S-Curve",JT$23&gt;=$EQ32,JT$23&lt;=$ER32)*(_xlfn.NORM.DIST((YEAR(JT$23)-YEAR($EQ32))*12+MONTH(JT$23)-MONTH($EQ32)+1,$ES32/2,$EU32,TRUE)-_xlfn.NORM.DIST((YEAR(JT$23)-YEAR($EQ32))*12+MONTH(JT$23)-MONTH($EQ32),$ES32/2,$EU32,TRUE))/(1-2*_xlfn.NORM.DIST(0,$ES32/2,$EU32,TRUE))*$EP32</f>
        <v>0</v>
      </c>
      <c r="JU32" s="30">
        <f t="shared" si="69"/>
        <v>0</v>
      </c>
      <c r="JV32" s="30">
        <f t="shared" si="69"/>
        <v>0</v>
      </c>
      <c r="JW32" s="30">
        <f t="shared" si="69"/>
        <v>0</v>
      </c>
      <c r="JX32" s="30">
        <f t="shared" si="69"/>
        <v>0</v>
      </c>
    </row>
    <row r="33" spans="1:284" s="7" customFormat="1" x14ac:dyDescent="0.2">
      <c r="A33" s="406"/>
      <c r="B33" s="103" t="s">
        <v>40</v>
      </c>
      <c r="C33" s="120"/>
      <c r="D33" s="132">
        <v>1</v>
      </c>
      <c r="E33" s="132">
        <v>18</v>
      </c>
      <c r="F33" s="133" t="s">
        <v>27</v>
      </c>
      <c r="G33" s="389">
        <f>I33/Units_SF_M2</f>
        <v>2.6470588235294117</v>
      </c>
      <c r="H33" s="123">
        <f>I33/Units</f>
        <v>2250</v>
      </c>
      <c r="I33" s="124">
        <f>I32*0.015</f>
        <v>675000</v>
      </c>
      <c r="K33" s="7" t="str">
        <f>IF(ROUND(SUM(L33:EN33),0)=ROUND(I33,0),"","Incomplete")</f>
        <v/>
      </c>
      <c r="L33" s="38">
        <f t="shared" si="47"/>
        <v>0</v>
      </c>
      <c r="M33" s="38">
        <f t="shared" si="47"/>
        <v>1678.8582867661414</v>
      </c>
      <c r="N33" s="38">
        <f t="shared" si="47"/>
        <v>4050.7762108798111</v>
      </c>
      <c r="O33" s="38">
        <f t="shared" si="47"/>
        <v>8754.6279507621275</v>
      </c>
      <c r="P33" s="38">
        <f t="shared" si="47"/>
        <v>16947.904605262767</v>
      </c>
      <c r="Q33" s="38">
        <f t="shared" si="47"/>
        <v>29388.428293823963</v>
      </c>
      <c r="R33" s="38">
        <f t="shared" si="47"/>
        <v>45647.96328033274</v>
      </c>
      <c r="S33" s="38">
        <f t="shared" si="47"/>
        <v>63511.634902320002</v>
      </c>
      <c r="T33" s="38">
        <f t="shared" si="47"/>
        <v>79154.14181899112</v>
      </c>
      <c r="U33" s="38">
        <f t="shared" si="47"/>
        <v>88365.664650861334</v>
      </c>
      <c r="V33" s="38">
        <f t="shared" si="48"/>
        <v>88365.664650861378</v>
      </c>
      <c r="W33" s="38">
        <f t="shared" si="48"/>
        <v>79154.141818991091</v>
      </c>
      <c r="X33" s="38">
        <f t="shared" si="48"/>
        <v>63511.634902320016</v>
      </c>
      <c r="Y33" s="38">
        <f t="shared" si="48"/>
        <v>45647.963280332726</v>
      </c>
      <c r="Z33" s="38">
        <f t="shared" si="48"/>
        <v>29388.428293823967</v>
      </c>
      <c r="AA33" s="38">
        <f t="shared" si="48"/>
        <v>16947.904605262753</v>
      </c>
      <c r="AB33" s="38">
        <f t="shared" si="48"/>
        <v>8754.627950762153</v>
      </c>
      <c r="AC33" s="38">
        <f t="shared" si="48"/>
        <v>4050.7762108797701</v>
      </c>
      <c r="AD33" s="38">
        <f t="shared" si="48"/>
        <v>1678.8582867661614</v>
      </c>
      <c r="AE33" s="38">
        <f t="shared" si="48"/>
        <v>0</v>
      </c>
      <c r="AF33" s="38">
        <f t="shared" si="49"/>
        <v>0</v>
      </c>
      <c r="AG33" s="38">
        <f t="shared" si="49"/>
        <v>0</v>
      </c>
      <c r="AH33" s="38">
        <f t="shared" si="49"/>
        <v>0</v>
      </c>
      <c r="AI33" s="38">
        <f t="shared" si="49"/>
        <v>0</v>
      </c>
      <c r="AJ33" s="38">
        <f t="shared" si="49"/>
        <v>0</v>
      </c>
      <c r="AK33" s="38">
        <f t="shared" si="49"/>
        <v>0</v>
      </c>
      <c r="AL33" s="38">
        <f t="shared" si="49"/>
        <v>0</v>
      </c>
      <c r="AM33" s="38">
        <f t="shared" si="49"/>
        <v>0</v>
      </c>
      <c r="AN33" s="38">
        <f t="shared" si="49"/>
        <v>0</v>
      </c>
      <c r="AO33" s="38">
        <f t="shared" si="49"/>
        <v>0</v>
      </c>
      <c r="AP33" s="38">
        <f t="shared" si="50"/>
        <v>0</v>
      </c>
      <c r="AQ33" s="38">
        <f t="shared" si="50"/>
        <v>0</v>
      </c>
      <c r="AR33" s="38">
        <f t="shared" si="50"/>
        <v>0</v>
      </c>
      <c r="AS33" s="38">
        <f t="shared" si="50"/>
        <v>0</v>
      </c>
      <c r="AT33" s="38">
        <f t="shared" si="50"/>
        <v>0</v>
      </c>
      <c r="AU33" s="38">
        <f t="shared" si="50"/>
        <v>0</v>
      </c>
      <c r="AV33" s="38">
        <f t="shared" si="50"/>
        <v>0</v>
      </c>
      <c r="AW33" s="38">
        <f t="shared" si="50"/>
        <v>0</v>
      </c>
      <c r="AX33" s="38">
        <f t="shared" si="50"/>
        <v>0</v>
      </c>
      <c r="AY33" s="38">
        <f t="shared" si="50"/>
        <v>0</v>
      </c>
      <c r="AZ33" s="38">
        <f t="shared" si="51"/>
        <v>0</v>
      </c>
      <c r="BA33" s="38">
        <f t="shared" si="51"/>
        <v>0</v>
      </c>
      <c r="BB33" s="38">
        <f t="shared" si="51"/>
        <v>0</v>
      </c>
      <c r="BC33" s="38">
        <f t="shared" si="51"/>
        <v>0</v>
      </c>
      <c r="BD33" s="38">
        <f t="shared" si="51"/>
        <v>0</v>
      </c>
      <c r="BE33" s="38">
        <f t="shared" si="51"/>
        <v>0</v>
      </c>
      <c r="BF33" s="38">
        <f t="shared" si="51"/>
        <v>0</v>
      </c>
      <c r="BG33" s="38">
        <f t="shared" si="51"/>
        <v>0</v>
      </c>
      <c r="BH33" s="38">
        <f t="shared" si="51"/>
        <v>0</v>
      </c>
      <c r="BI33" s="38">
        <f t="shared" si="51"/>
        <v>0</v>
      </c>
      <c r="BJ33" s="38">
        <f t="shared" si="52"/>
        <v>0</v>
      </c>
      <c r="BK33" s="38">
        <f t="shared" si="52"/>
        <v>0</v>
      </c>
      <c r="BL33" s="38">
        <f t="shared" si="52"/>
        <v>0</v>
      </c>
      <c r="BM33" s="38">
        <f t="shared" si="52"/>
        <v>0</v>
      </c>
      <c r="BN33" s="38">
        <f t="shared" si="52"/>
        <v>0</v>
      </c>
      <c r="BO33" s="38">
        <f t="shared" si="52"/>
        <v>0</v>
      </c>
      <c r="BP33" s="38">
        <f t="shared" si="52"/>
        <v>0</v>
      </c>
      <c r="BQ33" s="38">
        <f t="shared" si="52"/>
        <v>0</v>
      </c>
      <c r="BR33" s="38">
        <f t="shared" si="52"/>
        <v>0</v>
      </c>
      <c r="BS33" s="38">
        <f t="shared" si="52"/>
        <v>0</v>
      </c>
      <c r="BT33" s="38">
        <f t="shared" si="53"/>
        <v>0</v>
      </c>
      <c r="BU33" s="38">
        <f t="shared" si="53"/>
        <v>0</v>
      </c>
      <c r="BV33" s="38">
        <f t="shared" si="53"/>
        <v>0</v>
      </c>
      <c r="BW33" s="38">
        <f t="shared" si="53"/>
        <v>0</v>
      </c>
      <c r="BX33" s="38">
        <f t="shared" si="53"/>
        <v>0</v>
      </c>
      <c r="BY33" s="38">
        <f t="shared" si="53"/>
        <v>0</v>
      </c>
      <c r="BZ33" s="38">
        <f t="shared" si="53"/>
        <v>0</v>
      </c>
      <c r="CA33" s="38">
        <f t="shared" si="53"/>
        <v>0</v>
      </c>
      <c r="CB33" s="38">
        <f t="shared" si="53"/>
        <v>0</v>
      </c>
      <c r="CC33" s="38">
        <f t="shared" si="53"/>
        <v>0</v>
      </c>
      <c r="CD33" s="38">
        <f t="shared" si="54"/>
        <v>0</v>
      </c>
      <c r="CE33" s="38">
        <f t="shared" si="54"/>
        <v>0</v>
      </c>
      <c r="CF33" s="38">
        <f t="shared" si="54"/>
        <v>0</v>
      </c>
      <c r="CG33" s="38">
        <f t="shared" si="54"/>
        <v>0</v>
      </c>
      <c r="CH33" s="38">
        <f t="shared" si="54"/>
        <v>0</v>
      </c>
      <c r="CI33" s="38">
        <f t="shared" si="54"/>
        <v>0</v>
      </c>
      <c r="CJ33" s="38">
        <f t="shared" si="54"/>
        <v>0</v>
      </c>
      <c r="CK33" s="38">
        <f t="shared" si="54"/>
        <v>0</v>
      </c>
      <c r="CL33" s="38">
        <f t="shared" si="54"/>
        <v>0</v>
      </c>
      <c r="CM33" s="38">
        <f t="shared" si="54"/>
        <v>0</v>
      </c>
      <c r="CN33" s="38">
        <f t="shared" si="55"/>
        <v>0</v>
      </c>
      <c r="CO33" s="38">
        <f t="shared" si="55"/>
        <v>0</v>
      </c>
      <c r="CP33" s="38">
        <f t="shared" si="55"/>
        <v>0</v>
      </c>
      <c r="CQ33" s="38">
        <f t="shared" si="55"/>
        <v>0</v>
      </c>
      <c r="CR33" s="38">
        <f t="shared" si="55"/>
        <v>0</v>
      </c>
      <c r="CS33" s="38">
        <f t="shared" si="55"/>
        <v>0</v>
      </c>
      <c r="CT33" s="38">
        <f t="shared" si="55"/>
        <v>0</v>
      </c>
      <c r="CU33" s="38">
        <f t="shared" si="55"/>
        <v>0</v>
      </c>
      <c r="CV33" s="38">
        <f t="shared" si="55"/>
        <v>0</v>
      </c>
      <c r="CW33" s="38">
        <f t="shared" si="55"/>
        <v>0</v>
      </c>
      <c r="CX33" s="38">
        <f t="shared" si="56"/>
        <v>0</v>
      </c>
      <c r="CY33" s="38">
        <f t="shared" si="56"/>
        <v>0</v>
      </c>
      <c r="CZ33" s="38">
        <f t="shared" si="56"/>
        <v>0</v>
      </c>
      <c r="DA33" s="38">
        <f t="shared" si="56"/>
        <v>0</v>
      </c>
      <c r="DB33" s="38">
        <f t="shared" si="56"/>
        <v>0</v>
      </c>
      <c r="DC33" s="38">
        <f t="shared" si="56"/>
        <v>0</v>
      </c>
      <c r="DD33" s="38">
        <f t="shared" si="56"/>
        <v>0</v>
      </c>
      <c r="DE33" s="38">
        <f t="shared" si="56"/>
        <v>0</v>
      </c>
      <c r="DF33" s="38">
        <f t="shared" si="56"/>
        <v>0</v>
      </c>
      <c r="DG33" s="38">
        <f t="shared" si="56"/>
        <v>0</v>
      </c>
      <c r="DH33" s="38">
        <f t="shared" si="57"/>
        <v>0</v>
      </c>
      <c r="DI33" s="38">
        <f t="shared" si="57"/>
        <v>0</v>
      </c>
      <c r="DJ33" s="38">
        <f t="shared" si="57"/>
        <v>0</v>
      </c>
      <c r="DK33" s="38">
        <f t="shared" si="57"/>
        <v>0</v>
      </c>
      <c r="DL33" s="38">
        <f t="shared" si="57"/>
        <v>0</v>
      </c>
      <c r="DM33" s="38">
        <f t="shared" si="57"/>
        <v>0</v>
      </c>
      <c r="DN33" s="38">
        <f t="shared" si="57"/>
        <v>0</v>
      </c>
      <c r="DO33" s="38">
        <f t="shared" si="57"/>
        <v>0</v>
      </c>
      <c r="DP33" s="38">
        <f t="shared" si="57"/>
        <v>0</v>
      </c>
      <c r="DQ33" s="38">
        <f t="shared" si="57"/>
        <v>0</v>
      </c>
      <c r="DR33" s="38">
        <f t="shared" si="58"/>
        <v>0</v>
      </c>
      <c r="DS33" s="38">
        <f t="shared" si="58"/>
        <v>0</v>
      </c>
      <c r="DT33" s="38">
        <f t="shared" si="58"/>
        <v>0</v>
      </c>
      <c r="DU33" s="38">
        <f t="shared" si="58"/>
        <v>0</v>
      </c>
      <c r="DV33" s="38">
        <f t="shared" si="58"/>
        <v>0</v>
      </c>
      <c r="DW33" s="38">
        <f t="shared" si="58"/>
        <v>0</v>
      </c>
      <c r="DX33" s="38">
        <f t="shared" si="58"/>
        <v>0</v>
      </c>
      <c r="DY33" s="38">
        <f t="shared" si="58"/>
        <v>0</v>
      </c>
      <c r="DZ33" s="38">
        <f t="shared" si="58"/>
        <v>0</v>
      </c>
      <c r="EA33" s="38">
        <f t="shared" si="58"/>
        <v>0</v>
      </c>
      <c r="EB33" s="38">
        <f t="shared" si="59"/>
        <v>0</v>
      </c>
      <c r="EC33" s="38">
        <f t="shared" si="59"/>
        <v>0</v>
      </c>
      <c r="ED33" s="38">
        <f t="shared" si="59"/>
        <v>0</v>
      </c>
      <c r="EE33" s="38">
        <f t="shared" si="59"/>
        <v>0</v>
      </c>
      <c r="EF33" s="38">
        <f t="shared" si="59"/>
        <v>0</v>
      </c>
      <c r="EG33" s="38">
        <f t="shared" si="59"/>
        <v>0</v>
      </c>
      <c r="EH33" s="38">
        <f t="shared" si="59"/>
        <v>0</v>
      </c>
      <c r="EI33" s="38">
        <f t="shared" si="59"/>
        <v>0</v>
      </c>
      <c r="EJ33" s="38">
        <f t="shared" si="59"/>
        <v>0</v>
      </c>
      <c r="EK33" s="38">
        <f t="shared" si="59"/>
        <v>0</v>
      </c>
      <c r="EL33" s="38">
        <f t="shared" si="60"/>
        <v>0</v>
      </c>
      <c r="EM33" s="38">
        <f t="shared" si="60"/>
        <v>0</v>
      </c>
      <c r="EN33" s="38">
        <f t="shared" si="60"/>
        <v>0</v>
      </c>
      <c r="EP33" s="30">
        <f>I33</f>
        <v>675000</v>
      </c>
      <c r="EQ33" s="31">
        <f>INDEX($L$23:$EN$23,1,$D33+1)</f>
        <v>44592</v>
      </c>
      <c r="ER33" s="31">
        <f>INDEX($L$23:$EN$23,1,$E33+1)</f>
        <v>45107</v>
      </c>
      <c r="ES33" s="30">
        <f>+E33-D33+1</f>
        <v>18</v>
      </c>
      <c r="ET33" s="24" t="str">
        <f>F33</f>
        <v>S-Curve</v>
      </c>
      <c r="EU33" s="217">
        <f>ES33/Scurve_Dist</f>
        <v>3</v>
      </c>
      <c r="EV33" s="30">
        <f t="shared" si="61"/>
        <v>0</v>
      </c>
      <c r="EW33" s="30">
        <f t="shared" si="61"/>
        <v>1678.8582867661414</v>
      </c>
      <c r="EX33" s="30">
        <f t="shared" si="61"/>
        <v>4050.7762108798111</v>
      </c>
      <c r="EY33" s="30">
        <f t="shared" si="61"/>
        <v>8754.6279507621275</v>
      </c>
      <c r="EZ33" s="30">
        <f t="shared" si="61"/>
        <v>16947.904605262767</v>
      </c>
      <c r="FA33" s="30">
        <f t="shared" si="61"/>
        <v>29388.428293823963</v>
      </c>
      <c r="FB33" s="30">
        <f t="shared" si="61"/>
        <v>45647.96328033274</v>
      </c>
      <c r="FC33" s="30">
        <f t="shared" si="61"/>
        <v>63511.634902320002</v>
      </c>
      <c r="FD33" s="30">
        <f t="shared" si="61"/>
        <v>79154.14181899112</v>
      </c>
      <c r="FE33" s="30">
        <f t="shared" si="61"/>
        <v>88365.664650861334</v>
      </c>
      <c r="FF33" s="30">
        <f t="shared" si="61"/>
        <v>88365.664650861378</v>
      </c>
      <c r="FG33" s="30">
        <f t="shared" si="61"/>
        <v>79154.141818991091</v>
      </c>
      <c r="FH33" s="30">
        <f t="shared" si="61"/>
        <v>63511.634902320016</v>
      </c>
      <c r="FI33" s="30">
        <f t="shared" si="61"/>
        <v>45647.963280332726</v>
      </c>
      <c r="FJ33" s="30">
        <f t="shared" si="61"/>
        <v>29388.428293823967</v>
      </c>
      <c r="FK33" s="30">
        <f t="shared" si="61"/>
        <v>16947.904605262753</v>
      </c>
      <c r="FL33" s="30">
        <f t="shared" si="62"/>
        <v>8754.627950762153</v>
      </c>
      <c r="FM33" s="30">
        <f t="shared" si="62"/>
        <v>4050.7762108797701</v>
      </c>
      <c r="FN33" s="30">
        <f t="shared" si="62"/>
        <v>1678.8582867661614</v>
      </c>
      <c r="FO33" s="30">
        <f t="shared" si="62"/>
        <v>0</v>
      </c>
      <c r="FP33" s="30">
        <f t="shared" si="62"/>
        <v>0</v>
      </c>
      <c r="FQ33" s="30">
        <f t="shared" si="62"/>
        <v>0</v>
      </c>
      <c r="FR33" s="30">
        <f t="shared" si="62"/>
        <v>0</v>
      </c>
      <c r="FS33" s="30">
        <f t="shared" si="62"/>
        <v>0</v>
      </c>
      <c r="FT33" s="30">
        <f t="shared" si="62"/>
        <v>0</v>
      </c>
      <c r="FU33" s="30">
        <f t="shared" si="62"/>
        <v>0</v>
      </c>
      <c r="FV33" s="30">
        <f t="shared" si="62"/>
        <v>0</v>
      </c>
      <c r="FW33" s="30">
        <f t="shared" si="62"/>
        <v>0</v>
      </c>
      <c r="FX33" s="30">
        <f t="shared" si="62"/>
        <v>0</v>
      </c>
      <c r="FY33" s="30">
        <f t="shared" si="62"/>
        <v>0</v>
      </c>
      <c r="FZ33" s="30">
        <f t="shared" si="62"/>
        <v>0</v>
      </c>
      <c r="GA33" s="30">
        <f t="shared" si="62"/>
        <v>0</v>
      </c>
      <c r="GB33" s="30">
        <f t="shared" si="63"/>
        <v>0</v>
      </c>
      <c r="GC33" s="30">
        <f t="shared" si="63"/>
        <v>0</v>
      </c>
      <c r="GD33" s="30">
        <f t="shared" si="63"/>
        <v>0</v>
      </c>
      <c r="GE33" s="30">
        <f t="shared" si="63"/>
        <v>0</v>
      </c>
      <c r="GF33" s="30">
        <f t="shared" si="63"/>
        <v>0</v>
      </c>
      <c r="GG33" s="30">
        <f t="shared" si="63"/>
        <v>0</v>
      </c>
      <c r="GH33" s="30">
        <f t="shared" si="63"/>
        <v>0</v>
      </c>
      <c r="GI33" s="30">
        <f t="shared" si="63"/>
        <v>0</v>
      </c>
      <c r="GJ33" s="30">
        <f t="shared" si="63"/>
        <v>0</v>
      </c>
      <c r="GK33" s="30">
        <f t="shared" si="63"/>
        <v>0</v>
      </c>
      <c r="GL33" s="30">
        <f t="shared" si="63"/>
        <v>0</v>
      </c>
      <c r="GM33" s="30">
        <f t="shared" si="63"/>
        <v>0</v>
      </c>
      <c r="GN33" s="30">
        <f t="shared" si="63"/>
        <v>0</v>
      </c>
      <c r="GO33" s="30">
        <f t="shared" si="63"/>
        <v>0</v>
      </c>
      <c r="GP33" s="30">
        <f t="shared" si="63"/>
        <v>0</v>
      </c>
      <c r="GQ33" s="30">
        <f t="shared" si="63"/>
        <v>0</v>
      </c>
      <c r="GR33" s="30">
        <f t="shared" si="64"/>
        <v>0</v>
      </c>
      <c r="GS33" s="30">
        <f t="shared" si="64"/>
        <v>0</v>
      </c>
      <c r="GT33" s="30">
        <f t="shared" si="64"/>
        <v>0</v>
      </c>
      <c r="GU33" s="30">
        <f t="shared" si="64"/>
        <v>0</v>
      </c>
      <c r="GV33" s="30">
        <f t="shared" si="64"/>
        <v>0</v>
      </c>
      <c r="GW33" s="30">
        <f t="shared" si="64"/>
        <v>0</v>
      </c>
      <c r="GX33" s="30">
        <f t="shared" si="64"/>
        <v>0</v>
      </c>
      <c r="GY33" s="30">
        <f t="shared" si="64"/>
        <v>0</v>
      </c>
      <c r="GZ33" s="30">
        <f t="shared" si="64"/>
        <v>0</v>
      </c>
      <c r="HA33" s="30">
        <f t="shared" si="64"/>
        <v>0</v>
      </c>
      <c r="HB33" s="30">
        <f t="shared" si="64"/>
        <v>0</v>
      </c>
      <c r="HC33" s="30">
        <f t="shared" si="64"/>
        <v>0</v>
      </c>
      <c r="HD33" s="30">
        <f t="shared" si="64"/>
        <v>0</v>
      </c>
      <c r="HE33" s="30">
        <f t="shared" si="64"/>
        <v>0</v>
      </c>
      <c r="HF33" s="30">
        <f t="shared" si="64"/>
        <v>0</v>
      </c>
      <c r="HG33" s="30">
        <f t="shared" si="64"/>
        <v>0</v>
      </c>
      <c r="HH33" s="30">
        <f t="shared" si="65"/>
        <v>0</v>
      </c>
      <c r="HI33" s="30">
        <f t="shared" si="65"/>
        <v>0</v>
      </c>
      <c r="HJ33" s="30">
        <f t="shared" si="65"/>
        <v>0</v>
      </c>
      <c r="HK33" s="30">
        <f t="shared" si="65"/>
        <v>0</v>
      </c>
      <c r="HL33" s="30">
        <f t="shared" si="65"/>
        <v>0</v>
      </c>
      <c r="HM33" s="30">
        <f t="shared" si="65"/>
        <v>0</v>
      </c>
      <c r="HN33" s="30">
        <f t="shared" si="65"/>
        <v>0</v>
      </c>
      <c r="HO33" s="30">
        <f t="shared" si="65"/>
        <v>0</v>
      </c>
      <c r="HP33" s="30">
        <f t="shared" si="65"/>
        <v>0</v>
      </c>
      <c r="HQ33" s="30">
        <f t="shared" si="65"/>
        <v>0</v>
      </c>
      <c r="HR33" s="30">
        <f t="shared" si="65"/>
        <v>0</v>
      </c>
      <c r="HS33" s="30">
        <f t="shared" si="65"/>
        <v>0</v>
      </c>
      <c r="HT33" s="30">
        <f t="shared" si="65"/>
        <v>0</v>
      </c>
      <c r="HU33" s="30">
        <f t="shared" si="65"/>
        <v>0</v>
      </c>
      <c r="HV33" s="30">
        <f t="shared" si="65"/>
        <v>0</v>
      </c>
      <c r="HW33" s="30">
        <f t="shared" si="65"/>
        <v>0</v>
      </c>
      <c r="HX33" s="30">
        <f t="shared" si="66"/>
        <v>0</v>
      </c>
      <c r="HY33" s="30">
        <f t="shared" si="66"/>
        <v>0</v>
      </c>
      <c r="HZ33" s="30">
        <f t="shared" si="66"/>
        <v>0</v>
      </c>
      <c r="IA33" s="30">
        <f t="shared" si="66"/>
        <v>0</v>
      </c>
      <c r="IB33" s="30">
        <f t="shared" si="66"/>
        <v>0</v>
      </c>
      <c r="IC33" s="30">
        <f t="shared" si="66"/>
        <v>0</v>
      </c>
      <c r="ID33" s="30">
        <f t="shared" si="66"/>
        <v>0</v>
      </c>
      <c r="IE33" s="30">
        <f t="shared" si="66"/>
        <v>0</v>
      </c>
      <c r="IF33" s="30">
        <f t="shared" si="66"/>
        <v>0</v>
      </c>
      <c r="IG33" s="30">
        <f t="shared" si="66"/>
        <v>0</v>
      </c>
      <c r="IH33" s="30">
        <f t="shared" si="66"/>
        <v>0</v>
      </c>
      <c r="II33" s="30">
        <f t="shared" si="66"/>
        <v>0</v>
      </c>
      <c r="IJ33" s="30">
        <f t="shared" si="66"/>
        <v>0</v>
      </c>
      <c r="IK33" s="30">
        <f t="shared" si="66"/>
        <v>0</v>
      </c>
      <c r="IL33" s="30">
        <f t="shared" si="66"/>
        <v>0</v>
      </c>
      <c r="IM33" s="30">
        <f t="shared" si="66"/>
        <v>0</v>
      </c>
      <c r="IN33" s="30">
        <f t="shared" si="67"/>
        <v>0</v>
      </c>
      <c r="IO33" s="30">
        <f t="shared" si="67"/>
        <v>0</v>
      </c>
      <c r="IP33" s="30">
        <f t="shared" si="67"/>
        <v>0</v>
      </c>
      <c r="IQ33" s="30">
        <f t="shared" si="67"/>
        <v>0</v>
      </c>
      <c r="IR33" s="30">
        <f t="shared" si="67"/>
        <v>0</v>
      </c>
      <c r="IS33" s="30">
        <f t="shared" si="67"/>
        <v>0</v>
      </c>
      <c r="IT33" s="30">
        <f t="shared" si="67"/>
        <v>0</v>
      </c>
      <c r="IU33" s="30">
        <f t="shared" si="67"/>
        <v>0</v>
      </c>
      <c r="IV33" s="30">
        <f t="shared" si="67"/>
        <v>0</v>
      </c>
      <c r="IW33" s="30">
        <f t="shared" si="67"/>
        <v>0</v>
      </c>
      <c r="IX33" s="30">
        <f t="shared" si="67"/>
        <v>0</v>
      </c>
      <c r="IY33" s="30">
        <f t="shared" si="67"/>
        <v>0</v>
      </c>
      <c r="IZ33" s="30">
        <f t="shared" si="67"/>
        <v>0</v>
      </c>
      <c r="JA33" s="30">
        <f t="shared" si="67"/>
        <v>0</v>
      </c>
      <c r="JB33" s="30">
        <f t="shared" si="67"/>
        <v>0</v>
      </c>
      <c r="JC33" s="30">
        <f t="shared" si="67"/>
        <v>0</v>
      </c>
      <c r="JD33" s="30">
        <f t="shared" si="68"/>
        <v>0</v>
      </c>
      <c r="JE33" s="30">
        <f t="shared" si="68"/>
        <v>0</v>
      </c>
      <c r="JF33" s="30">
        <f t="shared" si="68"/>
        <v>0</v>
      </c>
      <c r="JG33" s="30">
        <f t="shared" si="68"/>
        <v>0</v>
      </c>
      <c r="JH33" s="30">
        <f t="shared" si="68"/>
        <v>0</v>
      </c>
      <c r="JI33" s="30">
        <f t="shared" si="68"/>
        <v>0</v>
      </c>
      <c r="JJ33" s="30">
        <f t="shared" si="68"/>
        <v>0</v>
      </c>
      <c r="JK33" s="30">
        <f t="shared" si="68"/>
        <v>0</v>
      </c>
      <c r="JL33" s="30">
        <f t="shared" si="68"/>
        <v>0</v>
      </c>
      <c r="JM33" s="30">
        <f t="shared" si="68"/>
        <v>0</v>
      </c>
      <c r="JN33" s="30">
        <f t="shared" si="68"/>
        <v>0</v>
      </c>
      <c r="JO33" s="30">
        <f t="shared" si="68"/>
        <v>0</v>
      </c>
      <c r="JP33" s="30">
        <f t="shared" si="68"/>
        <v>0</v>
      </c>
      <c r="JQ33" s="30">
        <f t="shared" si="68"/>
        <v>0</v>
      </c>
      <c r="JR33" s="30">
        <f t="shared" si="68"/>
        <v>0</v>
      </c>
      <c r="JS33" s="30">
        <f t="shared" si="68"/>
        <v>0</v>
      </c>
      <c r="JT33" s="30">
        <f t="shared" si="69"/>
        <v>0</v>
      </c>
      <c r="JU33" s="30">
        <f t="shared" si="69"/>
        <v>0</v>
      </c>
      <c r="JV33" s="30">
        <f t="shared" si="69"/>
        <v>0</v>
      </c>
      <c r="JW33" s="30">
        <f t="shared" si="69"/>
        <v>0</v>
      </c>
      <c r="JX33" s="30">
        <f t="shared" si="69"/>
        <v>0</v>
      </c>
    </row>
    <row r="34" spans="1:284" s="7" customFormat="1" ht="16.5" x14ac:dyDescent="0.35">
      <c r="A34" s="406"/>
      <c r="B34" s="103" t="s">
        <v>494</v>
      </c>
      <c r="C34" s="120"/>
      <c r="D34" s="132">
        <v>1</v>
      </c>
      <c r="E34" s="132">
        <v>18</v>
      </c>
      <c r="F34" s="133" t="s">
        <v>26</v>
      </c>
      <c r="G34" s="126">
        <f>I34/Units_SF_M2</f>
        <v>0</v>
      </c>
      <c r="H34" s="126">
        <f>I34/Units</f>
        <v>0</v>
      </c>
      <c r="I34" s="127">
        <v>0</v>
      </c>
      <c r="K34" s="7" t="str">
        <f>IF(ROUND(SUM(L34:EN34),0)=ROUND(I34,0),"","Incomplete")</f>
        <v/>
      </c>
      <c r="L34" s="39">
        <f t="shared" si="47"/>
        <v>0</v>
      </c>
      <c r="M34" s="39">
        <f t="shared" si="47"/>
        <v>0</v>
      </c>
      <c r="N34" s="39">
        <f t="shared" si="47"/>
        <v>0</v>
      </c>
      <c r="O34" s="39">
        <f t="shared" si="47"/>
        <v>0</v>
      </c>
      <c r="P34" s="39">
        <f t="shared" si="47"/>
        <v>0</v>
      </c>
      <c r="Q34" s="39">
        <f t="shared" si="47"/>
        <v>0</v>
      </c>
      <c r="R34" s="39">
        <f t="shared" si="47"/>
        <v>0</v>
      </c>
      <c r="S34" s="39">
        <f t="shared" si="47"/>
        <v>0</v>
      </c>
      <c r="T34" s="39">
        <f t="shared" si="47"/>
        <v>0</v>
      </c>
      <c r="U34" s="39">
        <f t="shared" si="47"/>
        <v>0</v>
      </c>
      <c r="V34" s="39">
        <f t="shared" si="48"/>
        <v>0</v>
      </c>
      <c r="W34" s="39">
        <f t="shared" si="48"/>
        <v>0</v>
      </c>
      <c r="X34" s="39">
        <f t="shared" si="48"/>
        <v>0</v>
      </c>
      <c r="Y34" s="39">
        <f t="shared" si="48"/>
        <v>0</v>
      </c>
      <c r="Z34" s="39">
        <f t="shared" si="48"/>
        <v>0</v>
      </c>
      <c r="AA34" s="39">
        <f t="shared" si="48"/>
        <v>0</v>
      </c>
      <c r="AB34" s="39">
        <f t="shared" si="48"/>
        <v>0</v>
      </c>
      <c r="AC34" s="39">
        <f t="shared" si="48"/>
        <v>0</v>
      </c>
      <c r="AD34" s="39">
        <f t="shared" si="48"/>
        <v>0</v>
      </c>
      <c r="AE34" s="39">
        <f t="shared" si="48"/>
        <v>0</v>
      </c>
      <c r="AF34" s="39">
        <f t="shared" si="49"/>
        <v>0</v>
      </c>
      <c r="AG34" s="39">
        <f t="shared" si="49"/>
        <v>0</v>
      </c>
      <c r="AH34" s="39">
        <f t="shared" si="49"/>
        <v>0</v>
      </c>
      <c r="AI34" s="39">
        <f t="shared" si="49"/>
        <v>0</v>
      </c>
      <c r="AJ34" s="39">
        <f t="shared" si="49"/>
        <v>0</v>
      </c>
      <c r="AK34" s="39">
        <f t="shared" si="49"/>
        <v>0</v>
      </c>
      <c r="AL34" s="39">
        <f t="shared" si="49"/>
        <v>0</v>
      </c>
      <c r="AM34" s="39">
        <f t="shared" si="49"/>
        <v>0</v>
      </c>
      <c r="AN34" s="39">
        <f t="shared" si="49"/>
        <v>0</v>
      </c>
      <c r="AO34" s="39">
        <f t="shared" si="49"/>
        <v>0</v>
      </c>
      <c r="AP34" s="39">
        <f t="shared" si="50"/>
        <v>0</v>
      </c>
      <c r="AQ34" s="39">
        <f t="shared" si="50"/>
        <v>0</v>
      </c>
      <c r="AR34" s="39">
        <f t="shared" si="50"/>
        <v>0</v>
      </c>
      <c r="AS34" s="39">
        <f t="shared" si="50"/>
        <v>0</v>
      </c>
      <c r="AT34" s="39">
        <f t="shared" si="50"/>
        <v>0</v>
      </c>
      <c r="AU34" s="39">
        <f t="shared" si="50"/>
        <v>0</v>
      </c>
      <c r="AV34" s="39">
        <f t="shared" si="50"/>
        <v>0</v>
      </c>
      <c r="AW34" s="39">
        <f t="shared" si="50"/>
        <v>0</v>
      </c>
      <c r="AX34" s="39">
        <f t="shared" si="50"/>
        <v>0</v>
      </c>
      <c r="AY34" s="39">
        <f t="shared" si="50"/>
        <v>0</v>
      </c>
      <c r="AZ34" s="39">
        <f t="shared" si="51"/>
        <v>0</v>
      </c>
      <c r="BA34" s="39">
        <f t="shared" si="51"/>
        <v>0</v>
      </c>
      <c r="BB34" s="39">
        <f t="shared" si="51"/>
        <v>0</v>
      </c>
      <c r="BC34" s="39">
        <f t="shared" si="51"/>
        <v>0</v>
      </c>
      <c r="BD34" s="39">
        <f t="shared" si="51"/>
        <v>0</v>
      </c>
      <c r="BE34" s="39">
        <f t="shared" si="51"/>
        <v>0</v>
      </c>
      <c r="BF34" s="39">
        <f t="shared" si="51"/>
        <v>0</v>
      </c>
      <c r="BG34" s="39">
        <f t="shared" si="51"/>
        <v>0</v>
      </c>
      <c r="BH34" s="39">
        <f t="shared" si="51"/>
        <v>0</v>
      </c>
      <c r="BI34" s="39">
        <f t="shared" si="51"/>
        <v>0</v>
      </c>
      <c r="BJ34" s="39">
        <f t="shared" si="52"/>
        <v>0</v>
      </c>
      <c r="BK34" s="39">
        <f t="shared" si="52"/>
        <v>0</v>
      </c>
      <c r="BL34" s="39">
        <f t="shared" si="52"/>
        <v>0</v>
      </c>
      <c r="BM34" s="39">
        <f t="shared" si="52"/>
        <v>0</v>
      </c>
      <c r="BN34" s="39">
        <f t="shared" si="52"/>
        <v>0</v>
      </c>
      <c r="BO34" s="39">
        <f t="shared" si="52"/>
        <v>0</v>
      </c>
      <c r="BP34" s="39">
        <f t="shared" si="52"/>
        <v>0</v>
      </c>
      <c r="BQ34" s="39">
        <f t="shared" si="52"/>
        <v>0</v>
      </c>
      <c r="BR34" s="39">
        <f t="shared" si="52"/>
        <v>0</v>
      </c>
      <c r="BS34" s="39">
        <f t="shared" si="52"/>
        <v>0</v>
      </c>
      <c r="BT34" s="39">
        <f t="shared" si="53"/>
        <v>0</v>
      </c>
      <c r="BU34" s="39">
        <f t="shared" si="53"/>
        <v>0</v>
      </c>
      <c r="BV34" s="39">
        <f t="shared" si="53"/>
        <v>0</v>
      </c>
      <c r="BW34" s="39">
        <f t="shared" si="53"/>
        <v>0</v>
      </c>
      <c r="BX34" s="39">
        <f t="shared" si="53"/>
        <v>0</v>
      </c>
      <c r="BY34" s="39">
        <f t="shared" si="53"/>
        <v>0</v>
      </c>
      <c r="BZ34" s="39">
        <f t="shared" si="53"/>
        <v>0</v>
      </c>
      <c r="CA34" s="39">
        <f t="shared" si="53"/>
        <v>0</v>
      </c>
      <c r="CB34" s="39">
        <f t="shared" si="53"/>
        <v>0</v>
      </c>
      <c r="CC34" s="39">
        <f t="shared" si="53"/>
        <v>0</v>
      </c>
      <c r="CD34" s="39">
        <f t="shared" si="54"/>
        <v>0</v>
      </c>
      <c r="CE34" s="39">
        <f t="shared" si="54"/>
        <v>0</v>
      </c>
      <c r="CF34" s="39">
        <f t="shared" si="54"/>
        <v>0</v>
      </c>
      <c r="CG34" s="39">
        <f t="shared" si="54"/>
        <v>0</v>
      </c>
      <c r="CH34" s="39">
        <f t="shared" si="54"/>
        <v>0</v>
      </c>
      <c r="CI34" s="39">
        <f t="shared" si="54"/>
        <v>0</v>
      </c>
      <c r="CJ34" s="39">
        <f t="shared" si="54"/>
        <v>0</v>
      </c>
      <c r="CK34" s="39">
        <f t="shared" si="54"/>
        <v>0</v>
      </c>
      <c r="CL34" s="39">
        <f t="shared" si="54"/>
        <v>0</v>
      </c>
      <c r="CM34" s="39">
        <f t="shared" si="54"/>
        <v>0</v>
      </c>
      <c r="CN34" s="39">
        <f t="shared" si="55"/>
        <v>0</v>
      </c>
      <c r="CO34" s="39">
        <f t="shared" si="55"/>
        <v>0</v>
      </c>
      <c r="CP34" s="39">
        <f t="shared" si="55"/>
        <v>0</v>
      </c>
      <c r="CQ34" s="39">
        <f t="shared" si="55"/>
        <v>0</v>
      </c>
      <c r="CR34" s="39">
        <f t="shared" si="55"/>
        <v>0</v>
      </c>
      <c r="CS34" s="39">
        <f t="shared" si="55"/>
        <v>0</v>
      </c>
      <c r="CT34" s="39">
        <f t="shared" si="55"/>
        <v>0</v>
      </c>
      <c r="CU34" s="39">
        <f t="shared" si="55"/>
        <v>0</v>
      </c>
      <c r="CV34" s="39">
        <f t="shared" si="55"/>
        <v>0</v>
      </c>
      <c r="CW34" s="39">
        <f t="shared" si="55"/>
        <v>0</v>
      </c>
      <c r="CX34" s="39">
        <f t="shared" si="56"/>
        <v>0</v>
      </c>
      <c r="CY34" s="39">
        <f t="shared" si="56"/>
        <v>0</v>
      </c>
      <c r="CZ34" s="39">
        <f t="shared" si="56"/>
        <v>0</v>
      </c>
      <c r="DA34" s="39">
        <f t="shared" si="56"/>
        <v>0</v>
      </c>
      <c r="DB34" s="39">
        <f t="shared" si="56"/>
        <v>0</v>
      </c>
      <c r="DC34" s="39">
        <f t="shared" si="56"/>
        <v>0</v>
      </c>
      <c r="DD34" s="39">
        <f t="shared" si="56"/>
        <v>0</v>
      </c>
      <c r="DE34" s="39">
        <f t="shared" si="56"/>
        <v>0</v>
      </c>
      <c r="DF34" s="39">
        <f t="shared" si="56"/>
        <v>0</v>
      </c>
      <c r="DG34" s="39">
        <f t="shared" si="56"/>
        <v>0</v>
      </c>
      <c r="DH34" s="39">
        <f t="shared" si="57"/>
        <v>0</v>
      </c>
      <c r="DI34" s="39">
        <f t="shared" si="57"/>
        <v>0</v>
      </c>
      <c r="DJ34" s="39">
        <f t="shared" si="57"/>
        <v>0</v>
      </c>
      <c r="DK34" s="39">
        <f t="shared" si="57"/>
        <v>0</v>
      </c>
      <c r="DL34" s="39">
        <f t="shared" si="57"/>
        <v>0</v>
      </c>
      <c r="DM34" s="39">
        <f t="shared" si="57"/>
        <v>0</v>
      </c>
      <c r="DN34" s="39">
        <f t="shared" si="57"/>
        <v>0</v>
      </c>
      <c r="DO34" s="39">
        <f t="shared" si="57"/>
        <v>0</v>
      </c>
      <c r="DP34" s="39">
        <f t="shared" si="57"/>
        <v>0</v>
      </c>
      <c r="DQ34" s="39">
        <f t="shared" si="57"/>
        <v>0</v>
      </c>
      <c r="DR34" s="39">
        <f t="shared" si="58"/>
        <v>0</v>
      </c>
      <c r="DS34" s="39">
        <f t="shared" si="58"/>
        <v>0</v>
      </c>
      <c r="DT34" s="39">
        <f t="shared" si="58"/>
        <v>0</v>
      </c>
      <c r="DU34" s="39">
        <f t="shared" si="58"/>
        <v>0</v>
      </c>
      <c r="DV34" s="39">
        <f t="shared" si="58"/>
        <v>0</v>
      </c>
      <c r="DW34" s="39">
        <f t="shared" si="58"/>
        <v>0</v>
      </c>
      <c r="DX34" s="39">
        <f t="shared" si="58"/>
        <v>0</v>
      </c>
      <c r="DY34" s="39">
        <f t="shared" si="58"/>
        <v>0</v>
      </c>
      <c r="DZ34" s="39">
        <f t="shared" si="58"/>
        <v>0</v>
      </c>
      <c r="EA34" s="39">
        <f t="shared" si="58"/>
        <v>0</v>
      </c>
      <c r="EB34" s="39">
        <f t="shared" si="59"/>
        <v>0</v>
      </c>
      <c r="EC34" s="39">
        <f t="shared" si="59"/>
        <v>0</v>
      </c>
      <c r="ED34" s="39">
        <f t="shared" si="59"/>
        <v>0</v>
      </c>
      <c r="EE34" s="39">
        <f t="shared" si="59"/>
        <v>0</v>
      </c>
      <c r="EF34" s="39">
        <f t="shared" si="59"/>
        <v>0</v>
      </c>
      <c r="EG34" s="39">
        <f t="shared" si="59"/>
        <v>0</v>
      </c>
      <c r="EH34" s="39">
        <f t="shared" si="59"/>
        <v>0</v>
      </c>
      <c r="EI34" s="39">
        <f t="shared" si="59"/>
        <v>0</v>
      </c>
      <c r="EJ34" s="39">
        <f t="shared" si="59"/>
        <v>0</v>
      </c>
      <c r="EK34" s="39">
        <f t="shared" si="59"/>
        <v>0</v>
      </c>
      <c r="EL34" s="39">
        <f t="shared" si="60"/>
        <v>0</v>
      </c>
      <c r="EM34" s="39">
        <f t="shared" si="60"/>
        <v>0</v>
      </c>
      <c r="EN34" s="39">
        <f t="shared" si="60"/>
        <v>0</v>
      </c>
      <c r="EP34" s="30">
        <f>I34</f>
        <v>0</v>
      </c>
      <c r="EQ34" s="31">
        <f>INDEX($L$23:$EN$23,1,$D34+1)</f>
        <v>44592</v>
      </c>
      <c r="ER34" s="31">
        <f>INDEX($L$23:$EN$23,1,$E34+1)</f>
        <v>45107</v>
      </c>
      <c r="ES34" s="30">
        <f>+E34-D34+1</f>
        <v>18</v>
      </c>
      <c r="ET34" s="24" t="str">
        <f>F34</f>
        <v>Straight-Line</v>
      </c>
      <c r="EU34" s="217">
        <f>ES34/Scurve_Dist</f>
        <v>3</v>
      </c>
      <c r="EV34" s="30">
        <f t="shared" si="61"/>
        <v>0</v>
      </c>
      <c r="EW34" s="30">
        <f t="shared" si="61"/>
        <v>0</v>
      </c>
      <c r="EX34" s="30">
        <f t="shared" si="61"/>
        <v>0</v>
      </c>
      <c r="EY34" s="30">
        <f t="shared" si="61"/>
        <v>0</v>
      </c>
      <c r="EZ34" s="30">
        <f t="shared" si="61"/>
        <v>0</v>
      </c>
      <c r="FA34" s="30">
        <f t="shared" si="61"/>
        <v>0</v>
      </c>
      <c r="FB34" s="30">
        <f t="shared" si="61"/>
        <v>0</v>
      </c>
      <c r="FC34" s="30">
        <f t="shared" si="61"/>
        <v>0</v>
      </c>
      <c r="FD34" s="30">
        <f t="shared" si="61"/>
        <v>0</v>
      </c>
      <c r="FE34" s="30">
        <f t="shared" si="61"/>
        <v>0</v>
      </c>
      <c r="FF34" s="30">
        <f t="shared" si="61"/>
        <v>0</v>
      </c>
      <c r="FG34" s="30">
        <f t="shared" si="61"/>
        <v>0</v>
      </c>
      <c r="FH34" s="30">
        <f t="shared" si="61"/>
        <v>0</v>
      </c>
      <c r="FI34" s="30">
        <f t="shared" si="61"/>
        <v>0</v>
      </c>
      <c r="FJ34" s="30">
        <f t="shared" si="61"/>
        <v>0</v>
      </c>
      <c r="FK34" s="30">
        <f t="shared" si="61"/>
        <v>0</v>
      </c>
      <c r="FL34" s="30">
        <f t="shared" si="62"/>
        <v>0</v>
      </c>
      <c r="FM34" s="30">
        <f t="shared" si="62"/>
        <v>0</v>
      </c>
      <c r="FN34" s="30">
        <f t="shared" si="62"/>
        <v>0</v>
      </c>
      <c r="FO34" s="30">
        <f t="shared" si="62"/>
        <v>0</v>
      </c>
      <c r="FP34" s="30">
        <f t="shared" si="62"/>
        <v>0</v>
      </c>
      <c r="FQ34" s="30">
        <f t="shared" si="62"/>
        <v>0</v>
      </c>
      <c r="FR34" s="30">
        <f t="shared" si="62"/>
        <v>0</v>
      </c>
      <c r="FS34" s="30">
        <f t="shared" si="62"/>
        <v>0</v>
      </c>
      <c r="FT34" s="30">
        <f t="shared" si="62"/>
        <v>0</v>
      </c>
      <c r="FU34" s="30">
        <f t="shared" si="62"/>
        <v>0</v>
      </c>
      <c r="FV34" s="30">
        <f t="shared" si="62"/>
        <v>0</v>
      </c>
      <c r="FW34" s="30">
        <f t="shared" si="62"/>
        <v>0</v>
      </c>
      <c r="FX34" s="30">
        <f t="shared" si="62"/>
        <v>0</v>
      </c>
      <c r="FY34" s="30">
        <f t="shared" si="62"/>
        <v>0</v>
      </c>
      <c r="FZ34" s="30">
        <f t="shared" si="62"/>
        <v>0</v>
      </c>
      <c r="GA34" s="30">
        <f t="shared" si="62"/>
        <v>0</v>
      </c>
      <c r="GB34" s="30">
        <f t="shared" si="63"/>
        <v>0</v>
      </c>
      <c r="GC34" s="30">
        <f t="shared" si="63"/>
        <v>0</v>
      </c>
      <c r="GD34" s="30">
        <f t="shared" si="63"/>
        <v>0</v>
      </c>
      <c r="GE34" s="30">
        <f t="shared" si="63"/>
        <v>0</v>
      </c>
      <c r="GF34" s="30">
        <f t="shared" si="63"/>
        <v>0</v>
      </c>
      <c r="GG34" s="30">
        <f t="shared" si="63"/>
        <v>0</v>
      </c>
      <c r="GH34" s="30">
        <f t="shared" si="63"/>
        <v>0</v>
      </c>
      <c r="GI34" s="30">
        <f t="shared" si="63"/>
        <v>0</v>
      </c>
      <c r="GJ34" s="30">
        <f t="shared" si="63"/>
        <v>0</v>
      </c>
      <c r="GK34" s="30">
        <f t="shared" si="63"/>
        <v>0</v>
      </c>
      <c r="GL34" s="30">
        <f t="shared" si="63"/>
        <v>0</v>
      </c>
      <c r="GM34" s="30">
        <f t="shared" si="63"/>
        <v>0</v>
      </c>
      <c r="GN34" s="30">
        <f t="shared" si="63"/>
        <v>0</v>
      </c>
      <c r="GO34" s="30">
        <f t="shared" si="63"/>
        <v>0</v>
      </c>
      <c r="GP34" s="30">
        <f t="shared" si="63"/>
        <v>0</v>
      </c>
      <c r="GQ34" s="30">
        <f t="shared" si="63"/>
        <v>0</v>
      </c>
      <c r="GR34" s="30">
        <f t="shared" si="64"/>
        <v>0</v>
      </c>
      <c r="GS34" s="30">
        <f t="shared" si="64"/>
        <v>0</v>
      </c>
      <c r="GT34" s="30">
        <f t="shared" si="64"/>
        <v>0</v>
      </c>
      <c r="GU34" s="30">
        <f t="shared" si="64"/>
        <v>0</v>
      </c>
      <c r="GV34" s="30">
        <f t="shared" si="64"/>
        <v>0</v>
      </c>
      <c r="GW34" s="30">
        <f t="shared" si="64"/>
        <v>0</v>
      </c>
      <c r="GX34" s="30">
        <f t="shared" si="64"/>
        <v>0</v>
      </c>
      <c r="GY34" s="30">
        <f t="shared" si="64"/>
        <v>0</v>
      </c>
      <c r="GZ34" s="30">
        <f t="shared" si="64"/>
        <v>0</v>
      </c>
      <c r="HA34" s="30">
        <f t="shared" si="64"/>
        <v>0</v>
      </c>
      <c r="HB34" s="30">
        <f t="shared" si="64"/>
        <v>0</v>
      </c>
      <c r="HC34" s="30">
        <f t="shared" si="64"/>
        <v>0</v>
      </c>
      <c r="HD34" s="30">
        <f t="shared" si="64"/>
        <v>0</v>
      </c>
      <c r="HE34" s="30">
        <f t="shared" si="64"/>
        <v>0</v>
      </c>
      <c r="HF34" s="30">
        <f t="shared" si="64"/>
        <v>0</v>
      </c>
      <c r="HG34" s="30">
        <f t="shared" si="64"/>
        <v>0</v>
      </c>
      <c r="HH34" s="30">
        <f t="shared" si="65"/>
        <v>0</v>
      </c>
      <c r="HI34" s="30">
        <f t="shared" si="65"/>
        <v>0</v>
      </c>
      <c r="HJ34" s="30">
        <f t="shared" si="65"/>
        <v>0</v>
      </c>
      <c r="HK34" s="30">
        <f t="shared" si="65"/>
        <v>0</v>
      </c>
      <c r="HL34" s="30">
        <f t="shared" si="65"/>
        <v>0</v>
      </c>
      <c r="HM34" s="30">
        <f t="shared" si="65"/>
        <v>0</v>
      </c>
      <c r="HN34" s="30">
        <f t="shared" si="65"/>
        <v>0</v>
      </c>
      <c r="HO34" s="30">
        <f t="shared" si="65"/>
        <v>0</v>
      </c>
      <c r="HP34" s="30">
        <f t="shared" si="65"/>
        <v>0</v>
      </c>
      <c r="HQ34" s="30">
        <f t="shared" si="65"/>
        <v>0</v>
      </c>
      <c r="HR34" s="30">
        <f t="shared" si="65"/>
        <v>0</v>
      </c>
      <c r="HS34" s="30">
        <f t="shared" si="65"/>
        <v>0</v>
      </c>
      <c r="HT34" s="30">
        <f t="shared" si="65"/>
        <v>0</v>
      </c>
      <c r="HU34" s="30">
        <f t="shared" si="65"/>
        <v>0</v>
      </c>
      <c r="HV34" s="30">
        <f t="shared" si="65"/>
        <v>0</v>
      </c>
      <c r="HW34" s="30">
        <f t="shared" si="65"/>
        <v>0</v>
      </c>
      <c r="HX34" s="30">
        <f t="shared" si="66"/>
        <v>0</v>
      </c>
      <c r="HY34" s="30">
        <f t="shared" si="66"/>
        <v>0</v>
      </c>
      <c r="HZ34" s="30">
        <f t="shared" si="66"/>
        <v>0</v>
      </c>
      <c r="IA34" s="30">
        <f t="shared" si="66"/>
        <v>0</v>
      </c>
      <c r="IB34" s="30">
        <f t="shared" si="66"/>
        <v>0</v>
      </c>
      <c r="IC34" s="30">
        <f t="shared" si="66"/>
        <v>0</v>
      </c>
      <c r="ID34" s="30">
        <f t="shared" si="66"/>
        <v>0</v>
      </c>
      <c r="IE34" s="30">
        <f t="shared" si="66"/>
        <v>0</v>
      </c>
      <c r="IF34" s="30">
        <f t="shared" si="66"/>
        <v>0</v>
      </c>
      <c r="IG34" s="30">
        <f t="shared" si="66"/>
        <v>0</v>
      </c>
      <c r="IH34" s="30">
        <f t="shared" si="66"/>
        <v>0</v>
      </c>
      <c r="II34" s="30">
        <f t="shared" si="66"/>
        <v>0</v>
      </c>
      <c r="IJ34" s="30">
        <f t="shared" si="66"/>
        <v>0</v>
      </c>
      <c r="IK34" s="30">
        <f t="shared" si="66"/>
        <v>0</v>
      </c>
      <c r="IL34" s="30">
        <f t="shared" si="66"/>
        <v>0</v>
      </c>
      <c r="IM34" s="30">
        <f t="shared" si="66"/>
        <v>0</v>
      </c>
      <c r="IN34" s="30">
        <f t="shared" si="67"/>
        <v>0</v>
      </c>
      <c r="IO34" s="30">
        <f t="shared" si="67"/>
        <v>0</v>
      </c>
      <c r="IP34" s="30">
        <f t="shared" si="67"/>
        <v>0</v>
      </c>
      <c r="IQ34" s="30">
        <f t="shared" si="67"/>
        <v>0</v>
      </c>
      <c r="IR34" s="30">
        <f t="shared" si="67"/>
        <v>0</v>
      </c>
      <c r="IS34" s="30">
        <f t="shared" si="67"/>
        <v>0</v>
      </c>
      <c r="IT34" s="30">
        <f t="shared" si="67"/>
        <v>0</v>
      </c>
      <c r="IU34" s="30">
        <f t="shared" si="67"/>
        <v>0</v>
      </c>
      <c r="IV34" s="30">
        <f t="shared" si="67"/>
        <v>0</v>
      </c>
      <c r="IW34" s="30">
        <f t="shared" si="67"/>
        <v>0</v>
      </c>
      <c r="IX34" s="30">
        <f t="shared" si="67"/>
        <v>0</v>
      </c>
      <c r="IY34" s="30">
        <f t="shared" si="67"/>
        <v>0</v>
      </c>
      <c r="IZ34" s="30">
        <f t="shared" si="67"/>
        <v>0</v>
      </c>
      <c r="JA34" s="30">
        <f t="shared" si="67"/>
        <v>0</v>
      </c>
      <c r="JB34" s="30">
        <f t="shared" si="67"/>
        <v>0</v>
      </c>
      <c r="JC34" s="30">
        <f t="shared" si="67"/>
        <v>0</v>
      </c>
      <c r="JD34" s="30">
        <f t="shared" si="68"/>
        <v>0</v>
      </c>
      <c r="JE34" s="30">
        <f t="shared" si="68"/>
        <v>0</v>
      </c>
      <c r="JF34" s="30">
        <f t="shared" si="68"/>
        <v>0</v>
      </c>
      <c r="JG34" s="30">
        <f t="shared" si="68"/>
        <v>0</v>
      </c>
      <c r="JH34" s="30">
        <f t="shared" si="68"/>
        <v>0</v>
      </c>
      <c r="JI34" s="30">
        <f t="shared" si="68"/>
        <v>0</v>
      </c>
      <c r="JJ34" s="30">
        <f t="shared" si="68"/>
        <v>0</v>
      </c>
      <c r="JK34" s="30">
        <f t="shared" si="68"/>
        <v>0</v>
      </c>
      <c r="JL34" s="30">
        <f t="shared" si="68"/>
        <v>0</v>
      </c>
      <c r="JM34" s="30">
        <f t="shared" si="68"/>
        <v>0</v>
      </c>
      <c r="JN34" s="30">
        <f t="shared" si="68"/>
        <v>0</v>
      </c>
      <c r="JO34" s="30">
        <f t="shared" si="68"/>
        <v>0</v>
      </c>
      <c r="JP34" s="30">
        <f t="shared" si="68"/>
        <v>0</v>
      </c>
      <c r="JQ34" s="30">
        <f t="shared" si="68"/>
        <v>0</v>
      </c>
      <c r="JR34" s="30">
        <f t="shared" si="68"/>
        <v>0</v>
      </c>
      <c r="JS34" s="30">
        <f t="shared" si="68"/>
        <v>0</v>
      </c>
      <c r="JT34" s="30">
        <f t="shared" si="69"/>
        <v>0</v>
      </c>
      <c r="JU34" s="30">
        <f t="shared" si="69"/>
        <v>0</v>
      </c>
      <c r="JV34" s="30">
        <f t="shared" si="69"/>
        <v>0</v>
      </c>
      <c r="JW34" s="30">
        <f t="shared" si="69"/>
        <v>0</v>
      </c>
      <c r="JX34" s="30">
        <f t="shared" si="69"/>
        <v>0</v>
      </c>
    </row>
    <row r="35" spans="1:284" s="7" customFormat="1" x14ac:dyDescent="0.2">
      <c r="A35" s="406"/>
      <c r="B35" s="134" t="s">
        <v>34</v>
      </c>
      <c r="C35" s="120"/>
      <c r="D35" s="135">
        <f>MIN(D32:D34)</f>
        <v>1</v>
      </c>
      <c r="E35" s="135">
        <f>MAX(E32:E34)</f>
        <v>18</v>
      </c>
      <c r="F35" s="133"/>
      <c r="G35" s="389">
        <f>SUM(G32:G34)</f>
        <v>179.11764705882354</v>
      </c>
      <c r="H35" s="123">
        <f>SUM(H32:H34)</f>
        <v>152250</v>
      </c>
      <c r="I35" s="136">
        <f>SUM(I32:I34)</f>
        <v>45675000</v>
      </c>
      <c r="K35" s="7" t="str">
        <f>IF(ROUND(SUM(L35:EN35),0)=ROUND(I35,0),"","Incomplete")</f>
        <v/>
      </c>
      <c r="L35" s="38">
        <f t="shared" ref="L35:AQ35" si="70">SUM(L32:L34)</f>
        <v>0</v>
      </c>
      <c r="M35" s="38">
        <f t="shared" si="70"/>
        <v>113602.74407117558</v>
      </c>
      <c r="N35" s="38">
        <f t="shared" si="70"/>
        <v>274102.52360286721</v>
      </c>
      <c r="O35" s="38">
        <f t="shared" si="70"/>
        <v>592396.49133490399</v>
      </c>
      <c r="P35" s="38">
        <f t="shared" si="70"/>
        <v>1146808.2116227807</v>
      </c>
      <c r="Q35" s="38">
        <f t="shared" si="70"/>
        <v>1988616.9812154213</v>
      </c>
      <c r="R35" s="38">
        <f t="shared" si="70"/>
        <v>3088845.5153025156</v>
      </c>
      <c r="S35" s="38">
        <f t="shared" si="70"/>
        <v>4297620.6283903196</v>
      </c>
      <c r="T35" s="38">
        <f t="shared" si="70"/>
        <v>5356096.9297517324</v>
      </c>
      <c r="U35" s="38">
        <f t="shared" si="70"/>
        <v>5979409.9747082833</v>
      </c>
      <c r="V35" s="38">
        <f t="shared" si="70"/>
        <v>5979409.9747082861</v>
      </c>
      <c r="W35" s="38">
        <f t="shared" si="70"/>
        <v>5356096.9297517296</v>
      </c>
      <c r="X35" s="38">
        <f t="shared" si="70"/>
        <v>4297620.6283903215</v>
      </c>
      <c r="Y35" s="38">
        <f t="shared" si="70"/>
        <v>3088845.5153025142</v>
      </c>
      <c r="Z35" s="38">
        <f t="shared" si="70"/>
        <v>1988616.9812154218</v>
      </c>
      <c r="AA35" s="38">
        <f t="shared" si="70"/>
        <v>1146808.2116227795</v>
      </c>
      <c r="AB35" s="38">
        <f t="shared" si="70"/>
        <v>592396.49133490573</v>
      </c>
      <c r="AC35" s="38">
        <f t="shared" si="70"/>
        <v>274102.52360286447</v>
      </c>
      <c r="AD35" s="38">
        <f t="shared" si="70"/>
        <v>113602.74407117692</v>
      </c>
      <c r="AE35" s="38">
        <f t="shared" si="70"/>
        <v>0</v>
      </c>
      <c r="AF35" s="38">
        <f t="shared" si="70"/>
        <v>0</v>
      </c>
      <c r="AG35" s="38">
        <f t="shared" si="70"/>
        <v>0</v>
      </c>
      <c r="AH35" s="38">
        <f t="shared" si="70"/>
        <v>0</v>
      </c>
      <c r="AI35" s="38">
        <f t="shared" si="70"/>
        <v>0</v>
      </c>
      <c r="AJ35" s="38">
        <f t="shared" si="70"/>
        <v>0</v>
      </c>
      <c r="AK35" s="38">
        <f t="shared" si="70"/>
        <v>0</v>
      </c>
      <c r="AL35" s="38">
        <f t="shared" si="70"/>
        <v>0</v>
      </c>
      <c r="AM35" s="38">
        <f t="shared" si="70"/>
        <v>0</v>
      </c>
      <c r="AN35" s="38">
        <f t="shared" si="70"/>
        <v>0</v>
      </c>
      <c r="AO35" s="38">
        <f t="shared" si="70"/>
        <v>0</v>
      </c>
      <c r="AP35" s="38">
        <f t="shared" si="70"/>
        <v>0</v>
      </c>
      <c r="AQ35" s="38">
        <f t="shared" si="70"/>
        <v>0</v>
      </c>
      <c r="AR35" s="38">
        <f t="shared" ref="AR35:BW35" si="71">SUM(AR32:AR34)</f>
        <v>0</v>
      </c>
      <c r="AS35" s="38">
        <f t="shared" si="71"/>
        <v>0</v>
      </c>
      <c r="AT35" s="38">
        <f t="shared" si="71"/>
        <v>0</v>
      </c>
      <c r="AU35" s="38">
        <f t="shared" si="71"/>
        <v>0</v>
      </c>
      <c r="AV35" s="38">
        <f t="shared" si="71"/>
        <v>0</v>
      </c>
      <c r="AW35" s="38">
        <f t="shared" si="71"/>
        <v>0</v>
      </c>
      <c r="AX35" s="38">
        <f t="shared" si="71"/>
        <v>0</v>
      </c>
      <c r="AY35" s="38">
        <f t="shared" si="71"/>
        <v>0</v>
      </c>
      <c r="AZ35" s="38">
        <f t="shared" si="71"/>
        <v>0</v>
      </c>
      <c r="BA35" s="38">
        <f t="shared" si="71"/>
        <v>0</v>
      </c>
      <c r="BB35" s="38">
        <f t="shared" si="71"/>
        <v>0</v>
      </c>
      <c r="BC35" s="38">
        <f t="shared" si="71"/>
        <v>0</v>
      </c>
      <c r="BD35" s="38">
        <f t="shared" si="71"/>
        <v>0</v>
      </c>
      <c r="BE35" s="38">
        <f t="shared" si="71"/>
        <v>0</v>
      </c>
      <c r="BF35" s="38">
        <f t="shared" si="71"/>
        <v>0</v>
      </c>
      <c r="BG35" s="38">
        <f t="shared" si="71"/>
        <v>0</v>
      </c>
      <c r="BH35" s="38">
        <f t="shared" si="71"/>
        <v>0</v>
      </c>
      <c r="BI35" s="38">
        <f t="shared" si="71"/>
        <v>0</v>
      </c>
      <c r="BJ35" s="38">
        <f t="shared" si="71"/>
        <v>0</v>
      </c>
      <c r="BK35" s="38">
        <f t="shared" si="71"/>
        <v>0</v>
      </c>
      <c r="BL35" s="38">
        <f t="shared" si="71"/>
        <v>0</v>
      </c>
      <c r="BM35" s="38">
        <f t="shared" si="71"/>
        <v>0</v>
      </c>
      <c r="BN35" s="38">
        <f t="shared" si="71"/>
        <v>0</v>
      </c>
      <c r="BO35" s="38">
        <f t="shared" si="71"/>
        <v>0</v>
      </c>
      <c r="BP35" s="38">
        <f t="shared" si="71"/>
        <v>0</v>
      </c>
      <c r="BQ35" s="38">
        <f t="shared" si="71"/>
        <v>0</v>
      </c>
      <c r="BR35" s="38">
        <f t="shared" si="71"/>
        <v>0</v>
      </c>
      <c r="BS35" s="38">
        <f t="shared" si="71"/>
        <v>0</v>
      </c>
      <c r="BT35" s="38">
        <f t="shared" si="71"/>
        <v>0</v>
      </c>
      <c r="BU35" s="38">
        <f t="shared" si="71"/>
        <v>0</v>
      </c>
      <c r="BV35" s="38">
        <f t="shared" si="71"/>
        <v>0</v>
      </c>
      <c r="BW35" s="38">
        <f t="shared" si="71"/>
        <v>0</v>
      </c>
      <c r="BX35" s="38">
        <f t="shared" ref="BX35:DC35" si="72">SUM(BX32:BX34)</f>
        <v>0</v>
      </c>
      <c r="BY35" s="38">
        <f t="shared" si="72"/>
        <v>0</v>
      </c>
      <c r="BZ35" s="38">
        <f t="shared" si="72"/>
        <v>0</v>
      </c>
      <c r="CA35" s="38">
        <f t="shared" si="72"/>
        <v>0</v>
      </c>
      <c r="CB35" s="38">
        <f t="shared" si="72"/>
        <v>0</v>
      </c>
      <c r="CC35" s="38">
        <f t="shared" si="72"/>
        <v>0</v>
      </c>
      <c r="CD35" s="38">
        <f t="shared" si="72"/>
        <v>0</v>
      </c>
      <c r="CE35" s="38">
        <f t="shared" si="72"/>
        <v>0</v>
      </c>
      <c r="CF35" s="38">
        <f t="shared" si="72"/>
        <v>0</v>
      </c>
      <c r="CG35" s="38">
        <f t="shared" si="72"/>
        <v>0</v>
      </c>
      <c r="CH35" s="38">
        <f t="shared" si="72"/>
        <v>0</v>
      </c>
      <c r="CI35" s="38">
        <f t="shared" si="72"/>
        <v>0</v>
      </c>
      <c r="CJ35" s="38">
        <f t="shared" si="72"/>
        <v>0</v>
      </c>
      <c r="CK35" s="38">
        <f t="shared" si="72"/>
        <v>0</v>
      </c>
      <c r="CL35" s="38">
        <f t="shared" si="72"/>
        <v>0</v>
      </c>
      <c r="CM35" s="38">
        <f t="shared" si="72"/>
        <v>0</v>
      </c>
      <c r="CN35" s="38">
        <f t="shared" si="72"/>
        <v>0</v>
      </c>
      <c r="CO35" s="38">
        <f t="shared" si="72"/>
        <v>0</v>
      </c>
      <c r="CP35" s="38">
        <f t="shared" si="72"/>
        <v>0</v>
      </c>
      <c r="CQ35" s="38">
        <f t="shared" si="72"/>
        <v>0</v>
      </c>
      <c r="CR35" s="38">
        <f t="shared" si="72"/>
        <v>0</v>
      </c>
      <c r="CS35" s="38">
        <f t="shared" si="72"/>
        <v>0</v>
      </c>
      <c r="CT35" s="38">
        <f t="shared" si="72"/>
        <v>0</v>
      </c>
      <c r="CU35" s="38">
        <f t="shared" si="72"/>
        <v>0</v>
      </c>
      <c r="CV35" s="38">
        <f t="shared" si="72"/>
        <v>0</v>
      </c>
      <c r="CW35" s="38">
        <f t="shared" si="72"/>
        <v>0</v>
      </c>
      <c r="CX35" s="38">
        <f t="shared" si="72"/>
        <v>0</v>
      </c>
      <c r="CY35" s="38">
        <f t="shared" si="72"/>
        <v>0</v>
      </c>
      <c r="CZ35" s="38">
        <f t="shared" si="72"/>
        <v>0</v>
      </c>
      <c r="DA35" s="38">
        <f t="shared" si="72"/>
        <v>0</v>
      </c>
      <c r="DB35" s="38">
        <f t="shared" si="72"/>
        <v>0</v>
      </c>
      <c r="DC35" s="38">
        <f t="shared" si="72"/>
        <v>0</v>
      </c>
      <c r="DD35" s="38">
        <f t="shared" ref="DD35:EI35" si="73">SUM(DD32:DD34)</f>
        <v>0</v>
      </c>
      <c r="DE35" s="38">
        <f t="shared" si="73"/>
        <v>0</v>
      </c>
      <c r="DF35" s="38">
        <f t="shared" si="73"/>
        <v>0</v>
      </c>
      <c r="DG35" s="38">
        <f t="shared" si="73"/>
        <v>0</v>
      </c>
      <c r="DH35" s="38">
        <f t="shared" si="73"/>
        <v>0</v>
      </c>
      <c r="DI35" s="38">
        <f t="shared" si="73"/>
        <v>0</v>
      </c>
      <c r="DJ35" s="38">
        <f t="shared" si="73"/>
        <v>0</v>
      </c>
      <c r="DK35" s="38">
        <f t="shared" si="73"/>
        <v>0</v>
      </c>
      <c r="DL35" s="38">
        <f t="shared" si="73"/>
        <v>0</v>
      </c>
      <c r="DM35" s="38">
        <f t="shared" si="73"/>
        <v>0</v>
      </c>
      <c r="DN35" s="38">
        <f t="shared" si="73"/>
        <v>0</v>
      </c>
      <c r="DO35" s="38">
        <f t="shared" si="73"/>
        <v>0</v>
      </c>
      <c r="DP35" s="38">
        <f t="shared" si="73"/>
        <v>0</v>
      </c>
      <c r="DQ35" s="38">
        <f t="shared" si="73"/>
        <v>0</v>
      </c>
      <c r="DR35" s="38">
        <f t="shared" si="73"/>
        <v>0</v>
      </c>
      <c r="DS35" s="38">
        <f t="shared" si="73"/>
        <v>0</v>
      </c>
      <c r="DT35" s="38">
        <f t="shared" si="73"/>
        <v>0</v>
      </c>
      <c r="DU35" s="38">
        <f t="shared" si="73"/>
        <v>0</v>
      </c>
      <c r="DV35" s="38">
        <f t="shared" si="73"/>
        <v>0</v>
      </c>
      <c r="DW35" s="38">
        <f t="shared" si="73"/>
        <v>0</v>
      </c>
      <c r="DX35" s="38">
        <f t="shared" si="73"/>
        <v>0</v>
      </c>
      <c r="DY35" s="38">
        <f t="shared" si="73"/>
        <v>0</v>
      </c>
      <c r="DZ35" s="38">
        <f t="shared" si="73"/>
        <v>0</v>
      </c>
      <c r="EA35" s="38">
        <f t="shared" si="73"/>
        <v>0</v>
      </c>
      <c r="EB35" s="38">
        <f t="shared" si="73"/>
        <v>0</v>
      </c>
      <c r="EC35" s="38">
        <f t="shared" si="73"/>
        <v>0</v>
      </c>
      <c r="ED35" s="38">
        <f t="shared" si="73"/>
        <v>0</v>
      </c>
      <c r="EE35" s="38">
        <f t="shared" si="73"/>
        <v>0</v>
      </c>
      <c r="EF35" s="38">
        <f t="shared" si="73"/>
        <v>0</v>
      </c>
      <c r="EG35" s="38">
        <f t="shared" si="73"/>
        <v>0</v>
      </c>
      <c r="EH35" s="38">
        <f t="shared" si="73"/>
        <v>0</v>
      </c>
      <c r="EI35" s="38">
        <f t="shared" si="73"/>
        <v>0</v>
      </c>
      <c r="EJ35" s="38">
        <f>SUM(EJ32:EJ34)</f>
        <v>0</v>
      </c>
      <c r="EK35" s="38">
        <f>SUM(EK32:EK34)</f>
        <v>0</v>
      </c>
      <c r="EL35" s="38">
        <f>SUM(EL32:EL34)</f>
        <v>0</v>
      </c>
      <c r="EM35" s="38">
        <f>SUM(EM32:EM34)</f>
        <v>0</v>
      </c>
      <c r="EN35" s="38">
        <f>SUM(EN32:EN34)</f>
        <v>0</v>
      </c>
      <c r="EP35" s="33"/>
      <c r="EQ35" s="33" t="s">
        <v>217</v>
      </c>
      <c r="ER35" s="79">
        <f>COUNTA($B$32:$B$34)</f>
        <v>3</v>
      </c>
      <c r="ES35" s="24"/>
      <c r="ET35" s="24"/>
      <c r="EU35" s="217"/>
      <c r="EV35" s="24"/>
      <c r="EW35" s="24"/>
      <c r="EX35" s="24"/>
      <c r="EY35" s="24"/>
      <c r="EZ35" s="24"/>
      <c r="FA35" s="24"/>
      <c r="FB35" s="24"/>
      <c r="FC35" s="24"/>
      <c r="FD35" s="24"/>
      <c r="FE35" s="24"/>
      <c r="FF35" s="24"/>
      <c r="FG35" s="24"/>
      <c r="FH35" s="24"/>
      <c r="FI35" s="24"/>
      <c r="FJ35" s="24"/>
      <c r="FK35" s="24"/>
      <c r="FL35" s="24"/>
      <c r="FM35" s="24"/>
      <c r="FN35" s="24"/>
      <c r="FO35" s="24"/>
      <c r="FP35" s="24"/>
      <c r="FQ35" s="24"/>
      <c r="FR35" s="24"/>
      <c r="FS35" s="24"/>
      <c r="FT35" s="24"/>
      <c r="FU35" s="24"/>
      <c r="FV35" s="24"/>
      <c r="FW35" s="24"/>
      <c r="FX35" s="24"/>
      <c r="FY35" s="24"/>
      <c r="FZ35" s="24"/>
      <c r="GA35" s="24"/>
      <c r="GB35" s="24"/>
      <c r="GC35" s="24"/>
      <c r="GD35" s="24"/>
      <c r="GE35" s="24"/>
      <c r="GF35" s="24"/>
      <c r="GG35" s="24"/>
      <c r="GH35" s="24"/>
      <c r="GI35" s="24"/>
      <c r="GJ35" s="24"/>
      <c r="GK35" s="24"/>
      <c r="GL35" s="24"/>
      <c r="GM35" s="24"/>
      <c r="GN35" s="24"/>
      <c r="GO35" s="24"/>
      <c r="GP35" s="24"/>
      <c r="GQ35" s="24"/>
      <c r="GR35" s="24"/>
      <c r="GS35" s="24"/>
      <c r="GT35" s="24"/>
      <c r="GU35" s="24"/>
      <c r="GV35" s="24"/>
      <c r="GW35" s="24"/>
      <c r="GX35" s="24"/>
      <c r="GY35" s="24"/>
      <c r="GZ35" s="24"/>
      <c r="HA35" s="24"/>
      <c r="HB35" s="24"/>
      <c r="HC35" s="24"/>
      <c r="HD35" s="24"/>
      <c r="HE35" s="24"/>
      <c r="HF35" s="24"/>
      <c r="HG35" s="24"/>
      <c r="HH35" s="24"/>
      <c r="HI35" s="24"/>
      <c r="HJ35" s="24"/>
      <c r="HK35" s="24"/>
      <c r="HL35" s="24"/>
      <c r="HM35" s="24"/>
      <c r="HN35" s="24"/>
      <c r="HO35" s="24"/>
      <c r="HP35" s="24"/>
      <c r="HQ35" s="24"/>
      <c r="HR35" s="24"/>
      <c r="HS35" s="24"/>
      <c r="HT35" s="24"/>
      <c r="HU35" s="24"/>
      <c r="HV35" s="24"/>
      <c r="HW35" s="24"/>
      <c r="HX35" s="24"/>
      <c r="HY35" s="24"/>
      <c r="HZ35" s="24"/>
      <c r="IA35" s="24"/>
      <c r="IB35" s="24"/>
      <c r="IC35" s="24"/>
      <c r="ID35" s="24"/>
      <c r="IE35" s="24"/>
      <c r="IF35" s="24"/>
      <c r="IG35" s="24"/>
      <c r="IH35" s="24"/>
      <c r="II35" s="24"/>
      <c r="IJ35" s="24"/>
      <c r="IK35" s="24"/>
      <c r="IL35" s="24"/>
      <c r="IM35" s="24"/>
      <c r="IN35" s="24"/>
      <c r="IO35" s="24"/>
      <c r="IP35" s="24"/>
      <c r="IQ35" s="24"/>
      <c r="IR35" s="24"/>
      <c r="IS35" s="24"/>
      <c r="IT35" s="24"/>
      <c r="IU35" s="24"/>
      <c r="IV35" s="24"/>
      <c r="IW35" s="24"/>
      <c r="IX35" s="24"/>
      <c r="IY35" s="24"/>
      <c r="IZ35" s="24"/>
      <c r="JA35" s="24"/>
      <c r="JB35" s="24"/>
      <c r="JC35" s="24"/>
      <c r="JD35" s="24"/>
      <c r="JE35" s="24"/>
      <c r="JF35" s="24"/>
      <c r="JG35" s="24"/>
      <c r="JH35" s="24"/>
      <c r="JI35" s="24"/>
      <c r="JJ35" s="24"/>
      <c r="JK35" s="24"/>
      <c r="JL35" s="24"/>
      <c r="JM35" s="24"/>
      <c r="JN35" s="24"/>
      <c r="JO35" s="24"/>
      <c r="JP35" s="24"/>
      <c r="JQ35" s="24"/>
      <c r="JR35" s="24"/>
      <c r="JS35" s="24"/>
      <c r="JT35" s="24"/>
      <c r="JU35" s="24"/>
      <c r="JV35" s="24"/>
      <c r="JW35" s="24"/>
      <c r="JX35" s="24"/>
    </row>
    <row r="36" spans="1:284" s="7" customFormat="1" ht="4.9000000000000004" customHeight="1" x14ac:dyDescent="0.2">
      <c r="A36" s="406"/>
      <c r="B36" s="137"/>
      <c r="C36" s="120"/>
      <c r="D36" s="132"/>
      <c r="E36" s="132"/>
      <c r="F36" s="133"/>
      <c r="G36" s="389"/>
      <c r="H36" s="118"/>
      <c r="I36" s="138"/>
      <c r="EP36" s="24"/>
      <c r="EQ36" s="24"/>
      <c r="ER36" s="24"/>
      <c r="ES36" s="24"/>
      <c r="ET36" s="24"/>
      <c r="EU36" s="217"/>
      <c r="EV36" s="24"/>
      <c r="EW36" s="24"/>
      <c r="EX36" s="24"/>
      <c r="EY36" s="24"/>
      <c r="EZ36" s="24"/>
      <c r="FA36" s="24"/>
      <c r="FB36" s="24"/>
      <c r="FC36" s="24"/>
      <c r="FD36" s="24"/>
      <c r="FE36" s="24"/>
      <c r="FF36" s="24"/>
      <c r="FG36" s="24"/>
      <c r="FH36" s="24"/>
      <c r="FI36" s="24"/>
      <c r="FJ36" s="24"/>
      <c r="FK36" s="24"/>
      <c r="FL36" s="24"/>
      <c r="FM36" s="24"/>
      <c r="FN36" s="24"/>
      <c r="FO36" s="24"/>
      <c r="FP36" s="24"/>
      <c r="FQ36" s="24"/>
      <c r="FR36" s="24"/>
      <c r="FS36" s="24"/>
      <c r="FT36" s="24"/>
      <c r="FU36" s="24"/>
      <c r="FV36" s="24"/>
      <c r="FW36" s="24"/>
      <c r="FX36" s="24"/>
      <c r="FY36" s="24"/>
      <c r="FZ36" s="24"/>
      <c r="GA36" s="24"/>
      <c r="GB36" s="24"/>
      <c r="GC36" s="24"/>
      <c r="GD36" s="24"/>
      <c r="GE36" s="24"/>
      <c r="GF36" s="24"/>
      <c r="GG36" s="24"/>
      <c r="GH36" s="24"/>
      <c r="GI36" s="24"/>
      <c r="GJ36" s="24"/>
      <c r="GK36" s="24"/>
      <c r="GL36" s="24"/>
      <c r="GM36" s="24"/>
      <c r="GN36" s="24"/>
      <c r="GO36" s="24"/>
      <c r="GP36" s="24"/>
      <c r="GQ36" s="24"/>
      <c r="GR36" s="24"/>
      <c r="GS36" s="24"/>
      <c r="GT36" s="24"/>
      <c r="GU36" s="24"/>
      <c r="GV36" s="24"/>
      <c r="GW36" s="24"/>
      <c r="GX36" s="24"/>
      <c r="GY36" s="24"/>
      <c r="GZ36" s="24"/>
      <c r="HA36" s="24"/>
      <c r="HB36" s="24"/>
      <c r="HC36" s="24"/>
      <c r="HD36" s="24"/>
      <c r="HE36" s="24"/>
      <c r="HF36" s="24"/>
      <c r="HG36" s="24"/>
      <c r="HH36" s="24"/>
      <c r="HI36" s="24"/>
      <c r="HJ36" s="24"/>
      <c r="HK36" s="24"/>
      <c r="HL36" s="24"/>
      <c r="HM36" s="24"/>
      <c r="HN36" s="24"/>
      <c r="HO36" s="24"/>
      <c r="HP36" s="24"/>
      <c r="HQ36" s="24"/>
      <c r="HR36" s="24"/>
      <c r="HS36" s="24"/>
      <c r="HT36" s="24"/>
      <c r="HU36" s="24"/>
      <c r="HV36" s="24"/>
      <c r="HW36" s="24"/>
      <c r="HX36" s="24"/>
      <c r="HY36" s="24"/>
      <c r="HZ36" s="24"/>
      <c r="IA36" s="24"/>
      <c r="IB36" s="24"/>
      <c r="IC36" s="24"/>
      <c r="ID36" s="24"/>
      <c r="IE36" s="24"/>
      <c r="IF36" s="24"/>
      <c r="IG36" s="24"/>
      <c r="IH36" s="24"/>
      <c r="II36" s="24"/>
      <c r="IJ36" s="24"/>
      <c r="IK36" s="24"/>
      <c r="IL36" s="24"/>
      <c r="IM36" s="24"/>
      <c r="IN36" s="24"/>
      <c r="IO36" s="24"/>
      <c r="IP36" s="24"/>
      <c r="IQ36" s="24"/>
      <c r="IR36" s="24"/>
      <c r="IS36" s="24"/>
      <c r="IT36" s="24"/>
      <c r="IU36" s="24"/>
      <c r="IV36" s="24"/>
      <c r="IW36" s="24"/>
      <c r="IX36" s="24"/>
      <c r="IY36" s="24"/>
      <c r="IZ36" s="24"/>
      <c r="JA36" s="24"/>
      <c r="JB36" s="24"/>
      <c r="JC36" s="24"/>
      <c r="JD36" s="24"/>
      <c r="JE36" s="24"/>
      <c r="JF36" s="24"/>
      <c r="JG36" s="24"/>
      <c r="JH36" s="24"/>
      <c r="JI36" s="24"/>
      <c r="JJ36" s="24"/>
      <c r="JK36" s="24"/>
      <c r="JL36" s="24"/>
      <c r="JM36" s="24"/>
      <c r="JN36" s="24"/>
      <c r="JO36" s="24"/>
      <c r="JP36" s="24"/>
      <c r="JQ36" s="24"/>
      <c r="JR36" s="24"/>
      <c r="JS36" s="24"/>
      <c r="JT36" s="24"/>
      <c r="JU36" s="24"/>
      <c r="JV36" s="24"/>
      <c r="JW36" s="24"/>
      <c r="JX36" s="24"/>
    </row>
    <row r="37" spans="1:284" s="7" customFormat="1" x14ac:dyDescent="0.2">
      <c r="A37" s="406"/>
      <c r="B37" s="134" t="s">
        <v>25</v>
      </c>
      <c r="C37" s="120"/>
      <c r="D37" s="132"/>
      <c r="E37" s="132"/>
      <c r="F37" s="133"/>
      <c r="G37" s="389"/>
      <c r="H37" s="118"/>
      <c r="I37" s="138"/>
      <c r="EP37" s="24"/>
      <c r="EQ37" s="24"/>
      <c r="ER37" s="24"/>
      <c r="ES37" s="24"/>
      <c r="ET37" s="24"/>
      <c r="EU37" s="217"/>
      <c r="EV37" s="24"/>
      <c r="EW37" s="24"/>
      <c r="EX37" s="24"/>
      <c r="EY37" s="24"/>
      <c r="EZ37" s="24"/>
      <c r="FA37" s="24"/>
      <c r="FB37" s="24"/>
      <c r="FC37" s="24"/>
      <c r="FD37" s="24"/>
      <c r="FE37" s="24"/>
      <c r="FF37" s="24"/>
      <c r="FG37" s="24"/>
      <c r="FH37" s="24"/>
      <c r="FI37" s="24"/>
      <c r="FJ37" s="24"/>
      <c r="FK37" s="24"/>
      <c r="FL37" s="24"/>
      <c r="FM37" s="24"/>
      <c r="FN37" s="24"/>
      <c r="FO37" s="24"/>
      <c r="FP37" s="24"/>
      <c r="FQ37" s="24"/>
      <c r="FR37" s="24"/>
      <c r="FS37" s="24"/>
      <c r="FT37" s="24"/>
      <c r="FU37" s="24"/>
      <c r="FV37" s="24"/>
      <c r="FW37" s="24"/>
      <c r="FX37" s="24"/>
      <c r="FY37" s="24"/>
      <c r="FZ37" s="24"/>
      <c r="GA37" s="24"/>
      <c r="GB37" s="24"/>
      <c r="GC37" s="24"/>
      <c r="GD37" s="24"/>
      <c r="GE37" s="24"/>
      <c r="GF37" s="24"/>
      <c r="GG37" s="24"/>
      <c r="GH37" s="24"/>
      <c r="GI37" s="24"/>
      <c r="GJ37" s="24"/>
      <c r="GK37" s="24"/>
      <c r="GL37" s="24"/>
      <c r="GM37" s="24"/>
      <c r="GN37" s="24"/>
      <c r="GO37" s="24"/>
      <c r="GP37" s="24"/>
      <c r="GQ37" s="24"/>
      <c r="GR37" s="24"/>
      <c r="GS37" s="24"/>
      <c r="GT37" s="24"/>
      <c r="GU37" s="24"/>
      <c r="GV37" s="24"/>
      <c r="GW37" s="24"/>
      <c r="GX37" s="24"/>
      <c r="GY37" s="24"/>
      <c r="GZ37" s="24"/>
      <c r="HA37" s="24"/>
      <c r="HB37" s="24"/>
      <c r="HC37" s="24"/>
      <c r="HD37" s="24"/>
      <c r="HE37" s="24"/>
      <c r="HF37" s="24"/>
      <c r="HG37" s="24"/>
      <c r="HH37" s="24"/>
      <c r="HI37" s="24"/>
      <c r="HJ37" s="24"/>
      <c r="HK37" s="24"/>
      <c r="HL37" s="24"/>
      <c r="HM37" s="24"/>
      <c r="HN37" s="24"/>
      <c r="HO37" s="24"/>
      <c r="HP37" s="24"/>
      <c r="HQ37" s="24"/>
      <c r="HR37" s="24"/>
      <c r="HS37" s="24"/>
      <c r="HT37" s="24"/>
      <c r="HU37" s="24"/>
      <c r="HV37" s="24"/>
      <c r="HW37" s="24"/>
      <c r="HX37" s="24"/>
      <c r="HY37" s="24"/>
      <c r="HZ37" s="24"/>
      <c r="IA37" s="24"/>
      <c r="IB37" s="24"/>
      <c r="IC37" s="24"/>
      <c r="ID37" s="24"/>
      <c r="IE37" s="24"/>
      <c r="IF37" s="24"/>
      <c r="IG37" s="24"/>
      <c r="IH37" s="24"/>
      <c r="II37" s="24"/>
      <c r="IJ37" s="24"/>
      <c r="IK37" s="24"/>
      <c r="IL37" s="24"/>
      <c r="IM37" s="24"/>
      <c r="IN37" s="24"/>
      <c r="IO37" s="24"/>
      <c r="IP37" s="24"/>
      <c r="IQ37" s="24"/>
      <c r="IR37" s="24"/>
      <c r="IS37" s="24"/>
      <c r="IT37" s="24"/>
      <c r="IU37" s="24"/>
      <c r="IV37" s="24"/>
      <c r="IW37" s="24"/>
      <c r="IX37" s="24"/>
      <c r="IY37" s="24"/>
      <c r="IZ37" s="24"/>
      <c r="JA37" s="24"/>
      <c r="JB37" s="24"/>
      <c r="JC37" s="24"/>
      <c r="JD37" s="24"/>
      <c r="JE37" s="24"/>
      <c r="JF37" s="24"/>
      <c r="JG37" s="24"/>
      <c r="JH37" s="24"/>
      <c r="JI37" s="24"/>
      <c r="JJ37" s="24"/>
      <c r="JK37" s="24"/>
      <c r="JL37" s="24"/>
      <c r="JM37" s="24"/>
      <c r="JN37" s="24"/>
      <c r="JO37" s="24"/>
      <c r="JP37" s="24"/>
      <c r="JQ37" s="24"/>
      <c r="JR37" s="24"/>
      <c r="JS37" s="24"/>
      <c r="JT37" s="24"/>
      <c r="JU37" s="24"/>
      <c r="JV37" s="24"/>
      <c r="JW37" s="24"/>
      <c r="JX37" s="24"/>
    </row>
    <row r="38" spans="1:284" s="7" customFormat="1" x14ac:dyDescent="0.2">
      <c r="A38" s="406"/>
      <c r="B38" s="103" t="s">
        <v>41</v>
      </c>
      <c r="C38" s="120"/>
      <c r="D38" s="132">
        <v>1</v>
      </c>
      <c r="E38" s="132">
        <v>18</v>
      </c>
      <c r="F38" s="133" t="s">
        <v>26</v>
      </c>
      <c r="G38" s="389">
        <f>I38/Units_SF_M2</f>
        <v>10.747058823529411</v>
      </c>
      <c r="H38" s="123">
        <f>I38/Units</f>
        <v>9135</v>
      </c>
      <c r="I38" s="124">
        <f>+I35*0.06</f>
        <v>2740500</v>
      </c>
      <c r="K38" s="7" t="str">
        <f t="shared" ref="K38:K43" si="74">IF(ROUND(SUM(L38:EN38),0)=ROUND(I38,0),"","Incomplete")</f>
        <v/>
      </c>
      <c r="L38" s="38">
        <f t="shared" ref="L38:U42" si="75">AND(L$22&gt;=$D38,L$22&lt;=$E38)*IF(OR($F38="Straight-Line",$F38="Detail"),$I38/$ES38,EV38)</f>
        <v>0</v>
      </c>
      <c r="M38" s="38">
        <f t="shared" si="75"/>
        <v>152250</v>
      </c>
      <c r="N38" s="38">
        <f t="shared" si="75"/>
        <v>152250</v>
      </c>
      <c r="O38" s="38">
        <f t="shared" si="75"/>
        <v>152250</v>
      </c>
      <c r="P38" s="38">
        <f t="shared" si="75"/>
        <v>152250</v>
      </c>
      <c r="Q38" s="38">
        <f t="shared" si="75"/>
        <v>152250</v>
      </c>
      <c r="R38" s="38">
        <f t="shared" si="75"/>
        <v>152250</v>
      </c>
      <c r="S38" s="38">
        <f t="shared" si="75"/>
        <v>152250</v>
      </c>
      <c r="T38" s="38">
        <f t="shared" si="75"/>
        <v>152250</v>
      </c>
      <c r="U38" s="38">
        <f t="shared" si="75"/>
        <v>152250</v>
      </c>
      <c r="V38" s="38">
        <f t="shared" ref="V38:AE42" si="76">AND(V$22&gt;=$D38,V$22&lt;=$E38)*IF(OR($F38="Straight-Line",$F38="Detail"),$I38/$ES38,FF38)</f>
        <v>152250</v>
      </c>
      <c r="W38" s="38">
        <f t="shared" si="76"/>
        <v>152250</v>
      </c>
      <c r="X38" s="38">
        <f t="shared" si="76"/>
        <v>152250</v>
      </c>
      <c r="Y38" s="38">
        <f t="shared" si="76"/>
        <v>152250</v>
      </c>
      <c r="Z38" s="38">
        <f t="shared" si="76"/>
        <v>152250</v>
      </c>
      <c r="AA38" s="38">
        <f t="shared" si="76"/>
        <v>152250</v>
      </c>
      <c r="AB38" s="38">
        <f t="shared" si="76"/>
        <v>152250</v>
      </c>
      <c r="AC38" s="38">
        <f t="shared" si="76"/>
        <v>152250</v>
      </c>
      <c r="AD38" s="38">
        <f t="shared" si="76"/>
        <v>152250</v>
      </c>
      <c r="AE38" s="38">
        <f t="shared" si="76"/>
        <v>0</v>
      </c>
      <c r="AF38" s="38">
        <f t="shared" ref="AF38:AO42" si="77">AND(AF$22&gt;=$D38,AF$22&lt;=$E38)*IF(OR($F38="Straight-Line",$F38="Detail"),$I38/$ES38,FP38)</f>
        <v>0</v>
      </c>
      <c r="AG38" s="38">
        <f t="shared" si="77"/>
        <v>0</v>
      </c>
      <c r="AH38" s="38">
        <f t="shared" si="77"/>
        <v>0</v>
      </c>
      <c r="AI38" s="38">
        <f t="shared" si="77"/>
        <v>0</v>
      </c>
      <c r="AJ38" s="38">
        <f t="shared" si="77"/>
        <v>0</v>
      </c>
      <c r="AK38" s="38">
        <f t="shared" si="77"/>
        <v>0</v>
      </c>
      <c r="AL38" s="38">
        <f t="shared" si="77"/>
        <v>0</v>
      </c>
      <c r="AM38" s="38">
        <f t="shared" si="77"/>
        <v>0</v>
      </c>
      <c r="AN38" s="38">
        <f t="shared" si="77"/>
        <v>0</v>
      </c>
      <c r="AO38" s="38">
        <f t="shared" si="77"/>
        <v>0</v>
      </c>
      <c r="AP38" s="38">
        <f t="shared" ref="AP38:AY42" si="78">AND(AP$22&gt;=$D38,AP$22&lt;=$E38)*IF(OR($F38="Straight-Line",$F38="Detail"),$I38/$ES38,FZ38)</f>
        <v>0</v>
      </c>
      <c r="AQ38" s="38">
        <f t="shared" si="78"/>
        <v>0</v>
      </c>
      <c r="AR38" s="38">
        <f t="shared" si="78"/>
        <v>0</v>
      </c>
      <c r="AS38" s="38">
        <f t="shared" si="78"/>
        <v>0</v>
      </c>
      <c r="AT38" s="38">
        <f t="shared" si="78"/>
        <v>0</v>
      </c>
      <c r="AU38" s="38">
        <f t="shared" si="78"/>
        <v>0</v>
      </c>
      <c r="AV38" s="38">
        <f t="shared" si="78"/>
        <v>0</v>
      </c>
      <c r="AW38" s="38">
        <f t="shared" si="78"/>
        <v>0</v>
      </c>
      <c r="AX38" s="38">
        <f t="shared" si="78"/>
        <v>0</v>
      </c>
      <c r="AY38" s="38">
        <f t="shared" si="78"/>
        <v>0</v>
      </c>
      <c r="AZ38" s="38">
        <f t="shared" ref="AZ38:BI42" si="79">AND(AZ$22&gt;=$D38,AZ$22&lt;=$E38)*IF(OR($F38="Straight-Line",$F38="Detail"),$I38/$ES38,GJ38)</f>
        <v>0</v>
      </c>
      <c r="BA38" s="38">
        <f t="shared" si="79"/>
        <v>0</v>
      </c>
      <c r="BB38" s="38">
        <f t="shared" si="79"/>
        <v>0</v>
      </c>
      <c r="BC38" s="38">
        <f t="shared" si="79"/>
        <v>0</v>
      </c>
      <c r="BD38" s="38">
        <f t="shared" si="79"/>
        <v>0</v>
      </c>
      <c r="BE38" s="38">
        <f t="shared" si="79"/>
        <v>0</v>
      </c>
      <c r="BF38" s="38">
        <f t="shared" si="79"/>
        <v>0</v>
      </c>
      <c r="BG38" s="38">
        <f t="shared" si="79"/>
        <v>0</v>
      </c>
      <c r="BH38" s="38">
        <f t="shared" si="79"/>
        <v>0</v>
      </c>
      <c r="BI38" s="38">
        <f t="shared" si="79"/>
        <v>0</v>
      </c>
      <c r="BJ38" s="38">
        <f t="shared" ref="BJ38:BS42" si="80">AND(BJ$22&gt;=$D38,BJ$22&lt;=$E38)*IF(OR($F38="Straight-Line",$F38="Detail"),$I38/$ES38,GT38)</f>
        <v>0</v>
      </c>
      <c r="BK38" s="38">
        <f t="shared" si="80"/>
        <v>0</v>
      </c>
      <c r="BL38" s="38">
        <f t="shared" si="80"/>
        <v>0</v>
      </c>
      <c r="BM38" s="38">
        <f t="shared" si="80"/>
        <v>0</v>
      </c>
      <c r="BN38" s="38">
        <f t="shared" si="80"/>
        <v>0</v>
      </c>
      <c r="BO38" s="38">
        <f t="shared" si="80"/>
        <v>0</v>
      </c>
      <c r="BP38" s="38">
        <f t="shared" si="80"/>
        <v>0</v>
      </c>
      <c r="BQ38" s="38">
        <f t="shared" si="80"/>
        <v>0</v>
      </c>
      <c r="BR38" s="38">
        <f t="shared" si="80"/>
        <v>0</v>
      </c>
      <c r="BS38" s="38">
        <f t="shared" si="80"/>
        <v>0</v>
      </c>
      <c r="BT38" s="38">
        <f t="shared" ref="BT38:CC42" si="81">AND(BT$22&gt;=$D38,BT$22&lt;=$E38)*IF(OR($F38="Straight-Line",$F38="Detail"),$I38/$ES38,HD38)</f>
        <v>0</v>
      </c>
      <c r="BU38" s="38">
        <f t="shared" si="81"/>
        <v>0</v>
      </c>
      <c r="BV38" s="38">
        <f t="shared" si="81"/>
        <v>0</v>
      </c>
      <c r="BW38" s="38">
        <f t="shared" si="81"/>
        <v>0</v>
      </c>
      <c r="BX38" s="38">
        <f t="shared" si="81"/>
        <v>0</v>
      </c>
      <c r="BY38" s="38">
        <f t="shared" si="81"/>
        <v>0</v>
      </c>
      <c r="BZ38" s="38">
        <f t="shared" si="81"/>
        <v>0</v>
      </c>
      <c r="CA38" s="38">
        <f t="shared" si="81"/>
        <v>0</v>
      </c>
      <c r="CB38" s="38">
        <f t="shared" si="81"/>
        <v>0</v>
      </c>
      <c r="CC38" s="38">
        <f t="shared" si="81"/>
        <v>0</v>
      </c>
      <c r="CD38" s="38">
        <f t="shared" ref="CD38:CM42" si="82">AND(CD$22&gt;=$D38,CD$22&lt;=$E38)*IF(OR($F38="Straight-Line",$F38="Detail"),$I38/$ES38,HN38)</f>
        <v>0</v>
      </c>
      <c r="CE38" s="38">
        <f t="shared" si="82"/>
        <v>0</v>
      </c>
      <c r="CF38" s="38">
        <f t="shared" si="82"/>
        <v>0</v>
      </c>
      <c r="CG38" s="38">
        <f t="shared" si="82"/>
        <v>0</v>
      </c>
      <c r="CH38" s="38">
        <f t="shared" si="82"/>
        <v>0</v>
      </c>
      <c r="CI38" s="38">
        <f t="shared" si="82"/>
        <v>0</v>
      </c>
      <c r="CJ38" s="38">
        <f t="shared" si="82"/>
        <v>0</v>
      </c>
      <c r="CK38" s="38">
        <f t="shared" si="82"/>
        <v>0</v>
      </c>
      <c r="CL38" s="38">
        <f t="shared" si="82"/>
        <v>0</v>
      </c>
      <c r="CM38" s="38">
        <f t="shared" si="82"/>
        <v>0</v>
      </c>
      <c r="CN38" s="38">
        <f t="shared" ref="CN38:CW42" si="83">AND(CN$22&gt;=$D38,CN$22&lt;=$E38)*IF(OR($F38="Straight-Line",$F38="Detail"),$I38/$ES38,HX38)</f>
        <v>0</v>
      </c>
      <c r="CO38" s="38">
        <f t="shared" si="83"/>
        <v>0</v>
      </c>
      <c r="CP38" s="38">
        <f t="shared" si="83"/>
        <v>0</v>
      </c>
      <c r="CQ38" s="38">
        <f t="shared" si="83"/>
        <v>0</v>
      </c>
      <c r="CR38" s="38">
        <f t="shared" si="83"/>
        <v>0</v>
      </c>
      <c r="CS38" s="38">
        <f t="shared" si="83"/>
        <v>0</v>
      </c>
      <c r="CT38" s="38">
        <f t="shared" si="83"/>
        <v>0</v>
      </c>
      <c r="CU38" s="38">
        <f t="shared" si="83"/>
        <v>0</v>
      </c>
      <c r="CV38" s="38">
        <f t="shared" si="83"/>
        <v>0</v>
      </c>
      <c r="CW38" s="38">
        <f t="shared" si="83"/>
        <v>0</v>
      </c>
      <c r="CX38" s="38">
        <f t="shared" ref="CX38:DG42" si="84">AND(CX$22&gt;=$D38,CX$22&lt;=$E38)*IF(OR($F38="Straight-Line",$F38="Detail"),$I38/$ES38,IH38)</f>
        <v>0</v>
      </c>
      <c r="CY38" s="38">
        <f t="shared" si="84"/>
        <v>0</v>
      </c>
      <c r="CZ38" s="38">
        <f t="shared" si="84"/>
        <v>0</v>
      </c>
      <c r="DA38" s="38">
        <f t="shared" si="84"/>
        <v>0</v>
      </c>
      <c r="DB38" s="38">
        <f t="shared" si="84"/>
        <v>0</v>
      </c>
      <c r="DC38" s="38">
        <f t="shared" si="84"/>
        <v>0</v>
      </c>
      <c r="DD38" s="38">
        <f t="shared" si="84"/>
        <v>0</v>
      </c>
      <c r="DE38" s="38">
        <f t="shared" si="84"/>
        <v>0</v>
      </c>
      <c r="DF38" s="38">
        <f t="shared" si="84"/>
        <v>0</v>
      </c>
      <c r="DG38" s="38">
        <f t="shared" si="84"/>
        <v>0</v>
      </c>
      <c r="DH38" s="38">
        <f t="shared" ref="DH38:DQ42" si="85">AND(DH$22&gt;=$D38,DH$22&lt;=$E38)*IF(OR($F38="Straight-Line",$F38="Detail"),$I38/$ES38,IR38)</f>
        <v>0</v>
      </c>
      <c r="DI38" s="38">
        <f t="shared" si="85"/>
        <v>0</v>
      </c>
      <c r="DJ38" s="38">
        <f t="shared" si="85"/>
        <v>0</v>
      </c>
      <c r="DK38" s="38">
        <f t="shared" si="85"/>
        <v>0</v>
      </c>
      <c r="DL38" s="38">
        <f t="shared" si="85"/>
        <v>0</v>
      </c>
      <c r="DM38" s="38">
        <f t="shared" si="85"/>
        <v>0</v>
      </c>
      <c r="DN38" s="38">
        <f t="shared" si="85"/>
        <v>0</v>
      </c>
      <c r="DO38" s="38">
        <f t="shared" si="85"/>
        <v>0</v>
      </c>
      <c r="DP38" s="38">
        <f t="shared" si="85"/>
        <v>0</v>
      </c>
      <c r="DQ38" s="38">
        <f t="shared" si="85"/>
        <v>0</v>
      </c>
      <c r="DR38" s="38">
        <f t="shared" ref="DR38:EA42" si="86">AND(DR$22&gt;=$D38,DR$22&lt;=$E38)*IF(OR($F38="Straight-Line",$F38="Detail"),$I38/$ES38,JB38)</f>
        <v>0</v>
      </c>
      <c r="DS38" s="38">
        <f t="shared" si="86"/>
        <v>0</v>
      </c>
      <c r="DT38" s="38">
        <f t="shared" si="86"/>
        <v>0</v>
      </c>
      <c r="DU38" s="38">
        <f t="shared" si="86"/>
        <v>0</v>
      </c>
      <c r="DV38" s="38">
        <f t="shared" si="86"/>
        <v>0</v>
      </c>
      <c r="DW38" s="38">
        <f t="shared" si="86"/>
        <v>0</v>
      </c>
      <c r="DX38" s="38">
        <f t="shared" si="86"/>
        <v>0</v>
      </c>
      <c r="DY38" s="38">
        <f t="shared" si="86"/>
        <v>0</v>
      </c>
      <c r="DZ38" s="38">
        <f t="shared" si="86"/>
        <v>0</v>
      </c>
      <c r="EA38" s="38">
        <f t="shared" si="86"/>
        <v>0</v>
      </c>
      <c r="EB38" s="38">
        <f t="shared" ref="EB38:EK42" si="87">AND(EB$22&gt;=$D38,EB$22&lt;=$E38)*IF(OR($F38="Straight-Line",$F38="Detail"),$I38/$ES38,JL38)</f>
        <v>0</v>
      </c>
      <c r="EC38" s="38">
        <f t="shared" si="87"/>
        <v>0</v>
      </c>
      <c r="ED38" s="38">
        <f t="shared" si="87"/>
        <v>0</v>
      </c>
      <c r="EE38" s="38">
        <f t="shared" si="87"/>
        <v>0</v>
      </c>
      <c r="EF38" s="38">
        <f t="shared" si="87"/>
        <v>0</v>
      </c>
      <c r="EG38" s="38">
        <f t="shared" si="87"/>
        <v>0</v>
      </c>
      <c r="EH38" s="38">
        <f t="shared" si="87"/>
        <v>0</v>
      </c>
      <c r="EI38" s="38">
        <f t="shared" si="87"/>
        <v>0</v>
      </c>
      <c r="EJ38" s="38">
        <f t="shared" si="87"/>
        <v>0</v>
      </c>
      <c r="EK38" s="38">
        <f t="shared" si="87"/>
        <v>0</v>
      </c>
      <c r="EL38" s="38">
        <f t="shared" ref="EL38:EN42" si="88">AND(EL$22&gt;=$D38,EL$22&lt;=$E38)*IF(OR($F38="Straight-Line",$F38="Detail"),$I38/$ES38,JV38)</f>
        <v>0</v>
      </c>
      <c r="EM38" s="38">
        <f t="shared" si="88"/>
        <v>0</v>
      </c>
      <c r="EN38" s="38">
        <f t="shared" si="88"/>
        <v>0</v>
      </c>
      <c r="EP38" s="30">
        <f>I38</f>
        <v>2740500</v>
      </c>
      <c r="EQ38" s="31">
        <f>INDEX($L$23:$EN$23,1,$D38+1)</f>
        <v>44592</v>
      </c>
      <c r="ER38" s="31">
        <f>INDEX($L$23:$EN$23,1,$E38+1)</f>
        <v>45107</v>
      </c>
      <c r="ES38" s="30">
        <f>+E38-D38+1</f>
        <v>18</v>
      </c>
      <c r="ET38" s="24" t="str">
        <f>F38</f>
        <v>Straight-Line</v>
      </c>
      <c r="EU38" s="217">
        <f>ES38/Scurve_Dist</f>
        <v>3</v>
      </c>
      <c r="EV38" s="30">
        <f t="shared" ref="EV38:FK42" si="89">AND($ET38="S-Curve",EV$23&gt;=$EQ38,EV$23&lt;=$ER38)*(_xlfn.NORM.DIST((YEAR(EV$23)-YEAR($EQ38))*12+MONTH(EV$23)-MONTH($EQ38)+1,$ES38/2,$EU38,TRUE)-_xlfn.NORM.DIST((YEAR(EV$23)-YEAR($EQ38))*12+MONTH(EV$23)-MONTH($EQ38),$ES38/2,$EU38,TRUE))/(1-2*_xlfn.NORM.DIST(0,$ES38/2,$EU38,TRUE))*$EP38</f>
        <v>0</v>
      </c>
      <c r="EW38" s="30">
        <f t="shared" si="89"/>
        <v>0</v>
      </c>
      <c r="EX38" s="30">
        <f t="shared" si="89"/>
        <v>0</v>
      </c>
      <c r="EY38" s="30">
        <f t="shared" si="89"/>
        <v>0</v>
      </c>
      <c r="EZ38" s="30">
        <f t="shared" si="89"/>
        <v>0</v>
      </c>
      <c r="FA38" s="30">
        <f t="shared" si="89"/>
        <v>0</v>
      </c>
      <c r="FB38" s="30">
        <f t="shared" si="89"/>
        <v>0</v>
      </c>
      <c r="FC38" s="30">
        <f t="shared" si="89"/>
        <v>0</v>
      </c>
      <c r="FD38" s="30">
        <f t="shared" si="89"/>
        <v>0</v>
      </c>
      <c r="FE38" s="30">
        <f t="shared" si="89"/>
        <v>0</v>
      </c>
      <c r="FF38" s="30">
        <f t="shared" si="89"/>
        <v>0</v>
      </c>
      <c r="FG38" s="30">
        <f t="shared" si="89"/>
        <v>0</v>
      </c>
      <c r="FH38" s="30">
        <f t="shared" si="89"/>
        <v>0</v>
      </c>
      <c r="FI38" s="30">
        <f t="shared" si="89"/>
        <v>0</v>
      </c>
      <c r="FJ38" s="30">
        <f t="shared" si="89"/>
        <v>0</v>
      </c>
      <c r="FK38" s="30">
        <f t="shared" si="89"/>
        <v>0</v>
      </c>
      <c r="FL38" s="30">
        <f t="shared" ref="FL38:GA42" si="90">AND($ET38="S-Curve",FL$23&gt;=$EQ38,FL$23&lt;=$ER38)*(_xlfn.NORM.DIST((YEAR(FL$23)-YEAR($EQ38))*12+MONTH(FL$23)-MONTH($EQ38)+1,$ES38/2,$EU38,TRUE)-_xlfn.NORM.DIST((YEAR(FL$23)-YEAR($EQ38))*12+MONTH(FL$23)-MONTH($EQ38),$ES38/2,$EU38,TRUE))/(1-2*_xlfn.NORM.DIST(0,$ES38/2,$EU38,TRUE))*$EP38</f>
        <v>0</v>
      </c>
      <c r="FM38" s="30">
        <f t="shared" si="90"/>
        <v>0</v>
      </c>
      <c r="FN38" s="30">
        <f t="shared" si="90"/>
        <v>0</v>
      </c>
      <c r="FO38" s="30">
        <f t="shared" si="90"/>
        <v>0</v>
      </c>
      <c r="FP38" s="30">
        <f t="shared" si="90"/>
        <v>0</v>
      </c>
      <c r="FQ38" s="30">
        <f t="shared" si="90"/>
        <v>0</v>
      </c>
      <c r="FR38" s="30">
        <f t="shared" si="90"/>
        <v>0</v>
      </c>
      <c r="FS38" s="30">
        <f t="shared" si="90"/>
        <v>0</v>
      </c>
      <c r="FT38" s="30">
        <f t="shared" si="90"/>
        <v>0</v>
      </c>
      <c r="FU38" s="30">
        <f t="shared" si="90"/>
        <v>0</v>
      </c>
      <c r="FV38" s="30">
        <f t="shared" si="90"/>
        <v>0</v>
      </c>
      <c r="FW38" s="30">
        <f t="shared" si="90"/>
        <v>0</v>
      </c>
      <c r="FX38" s="30">
        <f t="shared" si="90"/>
        <v>0</v>
      </c>
      <c r="FY38" s="30">
        <f t="shared" si="90"/>
        <v>0</v>
      </c>
      <c r="FZ38" s="30">
        <f t="shared" si="90"/>
        <v>0</v>
      </c>
      <c r="GA38" s="30">
        <f t="shared" si="90"/>
        <v>0</v>
      </c>
      <c r="GB38" s="30">
        <f t="shared" ref="GB38:GQ42" si="91">AND($ET38="S-Curve",GB$23&gt;=$EQ38,GB$23&lt;=$ER38)*(_xlfn.NORM.DIST((YEAR(GB$23)-YEAR($EQ38))*12+MONTH(GB$23)-MONTH($EQ38)+1,$ES38/2,$EU38,TRUE)-_xlfn.NORM.DIST((YEAR(GB$23)-YEAR($EQ38))*12+MONTH(GB$23)-MONTH($EQ38),$ES38/2,$EU38,TRUE))/(1-2*_xlfn.NORM.DIST(0,$ES38/2,$EU38,TRUE))*$EP38</f>
        <v>0</v>
      </c>
      <c r="GC38" s="30">
        <f t="shared" si="91"/>
        <v>0</v>
      </c>
      <c r="GD38" s="30">
        <f t="shared" si="91"/>
        <v>0</v>
      </c>
      <c r="GE38" s="30">
        <f t="shared" si="91"/>
        <v>0</v>
      </c>
      <c r="GF38" s="30">
        <f t="shared" si="91"/>
        <v>0</v>
      </c>
      <c r="GG38" s="30">
        <f t="shared" si="91"/>
        <v>0</v>
      </c>
      <c r="GH38" s="30">
        <f t="shared" si="91"/>
        <v>0</v>
      </c>
      <c r="GI38" s="30">
        <f t="shared" si="91"/>
        <v>0</v>
      </c>
      <c r="GJ38" s="30">
        <f t="shared" si="91"/>
        <v>0</v>
      </c>
      <c r="GK38" s="30">
        <f t="shared" si="91"/>
        <v>0</v>
      </c>
      <c r="GL38" s="30">
        <f t="shared" si="91"/>
        <v>0</v>
      </c>
      <c r="GM38" s="30">
        <f t="shared" si="91"/>
        <v>0</v>
      </c>
      <c r="GN38" s="30">
        <f t="shared" si="91"/>
        <v>0</v>
      </c>
      <c r="GO38" s="30">
        <f t="shared" si="91"/>
        <v>0</v>
      </c>
      <c r="GP38" s="30">
        <f t="shared" si="91"/>
        <v>0</v>
      </c>
      <c r="GQ38" s="30">
        <f t="shared" si="91"/>
        <v>0</v>
      </c>
      <c r="GR38" s="30">
        <f t="shared" ref="GR38:HG42" si="92">AND($ET38="S-Curve",GR$23&gt;=$EQ38,GR$23&lt;=$ER38)*(_xlfn.NORM.DIST((YEAR(GR$23)-YEAR($EQ38))*12+MONTH(GR$23)-MONTH($EQ38)+1,$ES38/2,$EU38,TRUE)-_xlfn.NORM.DIST((YEAR(GR$23)-YEAR($EQ38))*12+MONTH(GR$23)-MONTH($EQ38),$ES38/2,$EU38,TRUE))/(1-2*_xlfn.NORM.DIST(0,$ES38/2,$EU38,TRUE))*$EP38</f>
        <v>0</v>
      </c>
      <c r="GS38" s="30">
        <f t="shared" si="92"/>
        <v>0</v>
      </c>
      <c r="GT38" s="30">
        <f t="shared" si="92"/>
        <v>0</v>
      </c>
      <c r="GU38" s="30">
        <f t="shared" si="92"/>
        <v>0</v>
      </c>
      <c r="GV38" s="30">
        <f t="shared" si="92"/>
        <v>0</v>
      </c>
      <c r="GW38" s="30">
        <f t="shared" si="92"/>
        <v>0</v>
      </c>
      <c r="GX38" s="30">
        <f t="shared" si="92"/>
        <v>0</v>
      </c>
      <c r="GY38" s="30">
        <f t="shared" si="92"/>
        <v>0</v>
      </c>
      <c r="GZ38" s="30">
        <f t="shared" si="92"/>
        <v>0</v>
      </c>
      <c r="HA38" s="30">
        <f t="shared" si="92"/>
        <v>0</v>
      </c>
      <c r="HB38" s="30">
        <f t="shared" si="92"/>
        <v>0</v>
      </c>
      <c r="HC38" s="30">
        <f t="shared" si="92"/>
        <v>0</v>
      </c>
      <c r="HD38" s="30">
        <f t="shared" si="92"/>
        <v>0</v>
      </c>
      <c r="HE38" s="30">
        <f t="shared" si="92"/>
        <v>0</v>
      </c>
      <c r="HF38" s="30">
        <f t="shared" si="92"/>
        <v>0</v>
      </c>
      <c r="HG38" s="30">
        <f t="shared" si="92"/>
        <v>0</v>
      </c>
      <c r="HH38" s="30">
        <f t="shared" ref="HH38:HW42" si="93">AND($ET38="S-Curve",HH$23&gt;=$EQ38,HH$23&lt;=$ER38)*(_xlfn.NORM.DIST((YEAR(HH$23)-YEAR($EQ38))*12+MONTH(HH$23)-MONTH($EQ38)+1,$ES38/2,$EU38,TRUE)-_xlfn.NORM.DIST((YEAR(HH$23)-YEAR($EQ38))*12+MONTH(HH$23)-MONTH($EQ38),$ES38/2,$EU38,TRUE))/(1-2*_xlfn.NORM.DIST(0,$ES38/2,$EU38,TRUE))*$EP38</f>
        <v>0</v>
      </c>
      <c r="HI38" s="30">
        <f t="shared" si="93"/>
        <v>0</v>
      </c>
      <c r="HJ38" s="30">
        <f t="shared" si="93"/>
        <v>0</v>
      </c>
      <c r="HK38" s="30">
        <f t="shared" si="93"/>
        <v>0</v>
      </c>
      <c r="HL38" s="30">
        <f t="shared" si="93"/>
        <v>0</v>
      </c>
      <c r="HM38" s="30">
        <f t="shared" si="93"/>
        <v>0</v>
      </c>
      <c r="HN38" s="30">
        <f t="shared" si="93"/>
        <v>0</v>
      </c>
      <c r="HO38" s="30">
        <f t="shared" si="93"/>
        <v>0</v>
      </c>
      <c r="HP38" s="30">
        <f t="shared" si="93"/>
        <v>0</v>
      </c>
      <c r="HQ38" s="30">
        <f t="shared" si="93"/>
        <v>0</v>
      </c>
      <c r="HR38" s="30">
        <f t="shared" si="93"/>
        <v>0</v>
      </c>
      <c r="HS38" s="30">
        <f t="shared" si="93"/>
        <v>0</v>
      </c>
      <c r="HT38" s="30">
        <f t="shared" si="93"/>
        <v>0</v>
      </c>
      <c r="HU38" s="30">
        <f t="shared" si="93"/>
        <v>0</v>
      </c>
      <c r="HV38" s="30">
        <f t="shared" si="93"/>
        <v>0</v>
      </c>
      <c r="HW38" s="30">
        <f t="shared" si="93"/>
        <v>0</v>
      </c>
      <c r="HX38" s="30">
        <f t="shared" ref="HX38:IM42" si="94">AND($ET38="S-Curve",HX$23&gt;=$EQ38,HX$23&lt;=$ER38)*(_xlfn.NORM.DIST((YEAR(HX$23)-YEAR($EQ38))*12+MONTH(HX$23)-MONTH($EQ38)+1,$ES38/2,$EU38,TRUE)-_xlfn.NORM.DIST((YEAR(HX$23)-YEAR($EQ38))*12+MONTH(HX$23)-MONTH($EQ38),$ES38/2,$EU38,TRUE))/(1-2*_xlfn.NORM.DIST(0,$ES38/2,$EU38,TRUE))*$EP38</f>
        <v>0</v>
      </c>
      <c r="HY38" s="30">
        <f t="shared" si="94"/>
        <v>0</v>
      </c>
      <c r="HZ38" s="30">
        <f t="shared" si="94"/>
        <v>0</v>
      </c>
      <c r="IA38" s="30">
        <f t="shared" si="94"/>
        <v>0</v>
      </c>
      <c r="IB38" s="30">
        <f t="shared" si="94"/>
        <v>0</v>
      </c>
      <c r="IC38" s="30">
        <f t="shared" si="94"/>
        <v>0</v>
      </c>
      <c r="ID38" s="30">
        <f t="shared" si="94"/>
        <v>0</v>
      </c>
      <c r="IE38" s="30">
        <f t="shared" si="94"/>
        <v>0</v>
      </c>
      <c r="IF38" s="30">
        <f t="shared" si="94"/>
        <v>0</v>
      </c>
      <c r="IG38" s="30">
        <f t="shared" si="94"/>
        <v>0</v>
      </c>
      <c r="IH38" s="30">
        <f t="shared" si="94"/>
        <v>0</v>
      </c>
      <c r="II38" s="30">
        <f t="shared" si="94"/>
        <v>0</v>
      </c>
      <c r="IJ38" s="30">
        <f t="shared" si="94"/>
        <v>0</v>
      </c>
      <c r="IK38" s="30">
        <f t="shared" si="94"/>
        <v>0</v>
      </c>
      <c r="IL38" s="30">
        <f t="shared" si="94"/>
        <v>0</v>
      </c>
      <c r="IM38" s="30">
        <f t="shared" si="94"/>
        <v>0</v>
      </c>
      <c r="IN38" s="30">
        <f t="shared" ref="IN38:JC42" si="95">AND($ET38="S-Curve",IN$23&gt;=$EQ38,IN$23&lt;=$ER38)*(_xlfn.NORM.DIST((YEAR(IN$23)-YEAR($EQ38))*12+MONTH(IN$23)-MONTH($EQ38)+1,$ES38/2,$EU38,TRUE)-_xlfn.NORM.DIST((YEAR(IN$23)-YEAR($EQ38))*12+MONTH(IN$23)-MONTH($EQ38),$ES38/2,$EU38,TRUE))/(1-2*_xlfn.NORM.DIST(0,$ES38/2,$EU38,TRUE))*$EP38</f>
        <v>0</v>
      </c>
      <c r="IO38" s="30">
        <f t="shared" si="95"/>
        <v>0</v>
      </c>
      <c r="IP38" s="30">
        <f t="shared" si="95"/>
        <v>0</v>
      </c>
      <c r="IQ38" s="30">
        <f t="shared" si="95"/>
        <v>0</v>
      </c>
      <c r="IR38" s="30">
        <f t="shared" si="95"/>
        <v>0</v>
      </c>
      <c r="IS38" s="30">
        <f t="shared" si="95"/>
        <v>0</v>
      </c>
      <c r="IT38" s="30">
        <f t="shared" si="95"/>
        <v>0</v>
      </c>
      <c r="IU38" s="30">
        <f t="shared" si="95"/>
        <v>0</v>
      </c>
      <c r="IV38" s="30">
        <f t="shared" si="95"/>
        <v>0</v>
      </c>
      <c r="IW38" s="30">
        <f t="shared" si="95"/>
        <v>0</v>
      </c>
      <c r="IX38" s="30">
        <f t="shared" si="95"/>
        <v>0</v>
      </c>
      <c r="IY38" s="30">
        <f t="shared" si="95"/>
        <v>0</v>
      </c>
      <c r="IZ38" s="30">
        <f t="shared" si="95"/>
        <v>0</v>
      </c>
      <c r="JA38" s="30">
        <f t="shared" si="95"/>
        <v>0</v>
      </c>
      <c r="JB38" s="30">
        <f t="shared" si="95"/>
        <v>0</v>
      </c>
      <c r="JC38" s="30">
        <f t="shared" si="95"/>
        <v>0</v>
      </c>
      <c r="JD38" s="30">
        <f t="shared" ref="JD38:JS42" si="96">AND($ET38="S-Curve",JD$23&gt;=$EQ38,JD$23&lt;=$ER38)*(_xlfn.NORM.DIST((YEAR(JD$23)-YEAR($EQ38))*12+MONTH(JD$23)-MONTH($EQ38)+1,$ES38/2,$EU38,TRUE)-_xlfn.NORM.DIST((YEAR(JD$23)-YEAR($EQ38))*12+MONTH(JD$23)-MONTH($EQ38),$ES38/2,$EU38,TRUE))/(1-2*_xlfn.NORM.DIST(0,$ES38/2,$EU38,TRUE))*$EP38</f>
        <v>0</v>
      </c>
      <c r="JE38" s="30">
        <f t="shared" si="96"/>
        <v>0</v>
      </c>
      <c r="JF38" s="30">
        <f t="shared" si="96"/>
        <v>0</v>
      </c>
      <c r="JG38" s="30">
        <f t="shared" si="96"/>
        <v>0</v>
      </c>
      <c r="JH38" s="30">
        <f t="shared" si="96"/>
        <v>0</v>
      </c>
      <c r="JI38" s="30">
        <f t="shared" si="96"/>
        <v>0</v>
      </c>
      <c r="JJ38" s="30">
        <f t="shared" si="96"/>
        <v>0</v>
      </c>
      <c r="JK38" s="30">
        <f t="shared" si="96"/>
        <v>0</v>
      </c>
      <c r="JL38" s="30">
        <f t="shared" si="96"/>
        <v>0</v>
      </c>
      <c r="JM38" s="30">
        <f t="shared" si="96"/>
        <v>0</v>
      </c>
      <c r="JN38" s="30">
        <f t="shared" si="96"/>
        <v>0</v>
      </c>
      <c r="JO38" s="30">
        <f t="shared" si="96"/>
        <v>0</v>
      </c>
      <c r="JP38" s="30">
        <f t="shared" si="96"/>
        <v>0</v>
      </c>
      <c r="JQ38" s="30">
        <f t="shared" si="96"/>
        <v>0</v>
      </c>
      <c r="JR38" s="30">
        <f t="shared" si="96"/>
        <v>0</v>
      </c>
      <c r="JS38" s="30">
        <f t="shared" si="96"/>
        <v>0</v>
      </c>
      <c r="JT38" s="30">
        <f t="shared" ref="JT38:JX42" si="97">AND($ET38="S-Curve",JT$23&gt;=$EQ38,JT$23&lt;=$ER38)*(_xlfn.NORM.DIST((YEAR(JT$23)-YEAR($EQ38))*12+MONTH(JT$23)-MONTH($EQ38)+1,$ES38/2,$EU38,TRUE)-_xlfn.NORM.DIST((YEAR(JT$23)-YEAR($EQ38))*12+MONTH(JT$23)-MONTH($EQ38),$ES38/2,$EU38,TRUE))/(1-2*_xlfn.NORM.DIST(0,$ES38/2,$EU38,TRUE))*$EP38</f>
        <v>0</v>
      </c>
      <c r="JU38" s="30">
        <f t="shared" si="97"/>
        <v>0</v>
      </c>
      <c r="JV38" s="30">
        <f t="shared" si="97"/>
        <v>0</v>
      </c>
      <c r="JW38" s="30">
        <f t="shared" si="97"/>
        <v>0</v>
      </c>
      <c r="JX38" s="30">
        <f t="shared" si="97"/>
        <v>0</v>
      </c>
    </row>
    <row r="39" spans="1:284" s="7" customFormat="1" x14ac:dyDescent="0.2">
      <c r="A39" s="406"/>
      <c r="B39" s="103" t="s">
        <v>42</v>
      </c>
      <c r="C39" s="120"/>
      <c r="D39" s="132">
        <v>1</v>
      </c>
      <c r="E39" s="132">
        <v>18</v>
      </c>
      <c r="F39" s="133" t="s">
        <v>26</v>
      </c>
      <c r="G39" s="389">
        <f>I39/Units_SF_M2</f>
        <v>3.5823529411764707</v>
      </c>
      <c r="H39" s="123">
        <f>I39/Units</f>
        <v>3045</v>
      </c>
      <c r="I39" s="124">
        <f>+I35*0.02</f>
        <v>913500</v>
      </c>
      <c r="K39" s="7" t="str">
        <f t="shared" si="74"/>
        <v/>
      </c>
      <c r="L39" s="38">
        <f t="shared" si="75"/>
        <v>0</v>
      </c>
      <c r="M39" s="38">
        <f t="shared" si="75"/>
        <v>50750</v>
      </c>
      <c r="N39" s="38">
        <f t="shared" si="75"/>
        <v>50750</v>
      </c>
      <c r="O39" s="38">
        <f t="shared" si="75"/>
        <v>50750</v>
      </c>
      <c r="P39" s="38">
        <f t="shared" si="75"/>
        <v>50750</v>
      </c>
      <c r="Q39" s="38">
        <f t="shared" si="75"/>
        <v>50750</v>
      </c>
      <c r="R39" s="38">
        <f t="shared" si="75"/>
        <v>50750</v>
      </c>
      <c r="S39" s="38">
        <f t="shared" si="75"/>
        <v>50750</v>
      </c>
      <c r="T39" s="38">
        <f t="shared" si="75"/>
        <v>50750</v>
      </c>
      <c r="U39" s="38">
        <f t="shared" si="75"/>
        <v>50750</v>
      </c>
      <c r="V39" s="38">
        <f t="shared" si="76"/>
        <v>50750</v>
      </c>
      <c r="W39" s="38">
        <f t="shared" si="76"/>
        <v>50750</v>
      </c>
      <c r="X39" s="38">
        <f t="shared" si="76"/>
        <v>50750</v>
      </c>
      <c r="Y39" s="38">
        <f t="shared" si="76"/>
        <v>50750</v>
      </c>
      <c r="Z39" s="38">
        <f t="shared" si="76"/>
        <v>50750</v>
      </c>
      <c r="AA39" s="38">
        <f t="shared" si="76"/>
        <v>50750</v>
      </c>
      <c r="AB39" s="38">
        <f t="shared" si="76"/>
        <v>50750</v>
      </c>
      <c r="AC39" s="38">
        <f t="shared" si="76"/>
        <v>50750</v>
      </c>
      <c r="AD39" s="38">
        <f t="shared" si="76"/>
        <v>50750</v>
      </c>
      <c r="AE39" s="38">
        <f t="shared" si="76"/>
        <v>0</v>
      </c>
      <c r="AF39" s="38">
        <f t="shared" si="77"/>
        <v>0</v>
      </c>
      <c r="AG39" s="38">
        <f t="shared" si="77"/>
        <v>0</v>
      </c>
      <c r="AH39" s="38">
        <f t="shared" si="77"/>
        <v>0</v>
      </c>
      <c r="AI39" s="38">
        <f t="shared" si="77"/>
        <v>0</v>
      </c>
      <c r="AJ39" s="38">
        <f t="shared" si="77"/>
        <v>0</v>
      </c>
      <c r="AK39" s="38">
        <f t="shared" si="77"/>
        <v>0</v>
      </c>
      <c r="AL39" s="38">
        <f t="shared" si="77"/>
        <v>0</v>
      </c>
      <c r="AM39" s="38">
        <f t="shared" si="77"/>
        <v>0</v>
      </c>
      <c r="AN39" s="38">
        <f t="shared" si="77"/>
        <v>0</v>
      </c>
      <c r="AO39" s="38">
        <f t="shared" si="77"/>
        <v>0</v>
      </c>
      <c r="AP39" s="38">
        <f t="shared" si="78"/>
        <v>0</v>
      </c>
      <c r="AQ39" s="38">
        <f t="shared" si="78"/>
        <v>0</v>
      </c>
      <c r="AR39" s="38">
        <f t="shared" si="78"/>
        <v>0</v>
      </c>
      <c r="AS39" s="38">
        <f t="shared" si="78"/>
        <v>0</v>
      </c>
      <c r="AT39" s="38">
        <f t="shared" si="78"/>
        <v>0</v>
      </c>
      <c r="AU39" s="38">
        <f t="shared" si="78"/>
        <v>0</v>
      </c>
      <c r="AV39" s="38">
        <f t="shared" si="78"/>
        <v>0</v>
      </c>
      <c r="AW39" s="38">
        <f t="shared" si="78"/>
        <v>0</v>
      </c>
      <c r="AX39" s="38">
        <f t="shared" si="78"/>
        <v>0</v>
      </c>
      <c r="AY39" s="38">
        <f t="shared" si="78"/>
        <v>0</v>
      </c>
      <c r="AZ39" s="38">
        <f t="shared" si="79"/>
        <v>0</v>
      </c>
      <c r="BA39" s="38">
        <f t="shared" si="79"/>
        <v>0</v>
      </c>
      <c r="BB39" s="38">
        <f t="shared" si="79"/>
        <v>0</v>
      </c>
      <c r="BC39" s="38">
        <f t="shared" si="79"/>
        <v>0</v>
      </c>
      <c r="BD39" s="38">
        <f t="shared" si="79"/>
        <v>0</v>
      </c>
      <c r="BE39" s="38">
        <f t="shared" si="79"/>
        <v>0</v>
      </c>
      <c r="BF39" s="38">
        <f t="shared" si="79"/>
        <v>0</v>
      </c>
      <c r="BG39" s="38">
        <f t="shared" si="79"/>
        <v>0</v>
      </c>
      <c r="BH39" s="38">
        <f t="shared" si="79"/>
        <v>0</v>
      </c>
      <c r="BI39" s="38">
        <f t="shared" si="79"/>
        <v>0</v>
      </c>
      <c r="BJ39" s="38">
        <f t="shared" si="80"/>
        <v>0</v>
      </c>
      <c r="BK39" s="38">
        <f t="shared" si="80"/>
        <v>0</v>
      </c>
      <c r="BL39" s="38">
        <f t="shared" si="80"/>
        <v>0</v>
      </c>
      <c r="BM39" s="38">
        <f t="shared" si="80"/>
        <v>0</v>
      </c>
      <c r="BN39" s="38">
        <f t="shared" si="80"/>
        <v>0</v>
      </c>
      <c r="BO39" s="38">
        <f t="shared" si="80"/>
        <v>0</v>
      </c>
      <c r="BP39" s="38">
        <f t="shared" si="80"/>
        <v>0</v>
      </c>
      <c r="BQ39" s="38">
        <f t="shared" si="80"/>
        <v>0</v>
      </c>
      <c r="BR39" s="38">
        <f t="shared" si="80"/>
        <v>0</v>
      </c>
      <c r="BS39" s="38">
        <f t="shared" si="80"/>
        <v>0</v>
      </c>
      <c r="BT39" s="38">
        <f t="shared" si="81"/>
        <v>0</v>
      </c>
      <c r="BU39" s="38">
        <f t="shared" si="81"/>
        <v>0</v>
      </c>
      <c r="BV39" s="38">
        <f t="shared" si="81"/>
        <v>0</v>
      </c>
      <c r="BW39" s="38">
        <f t="shared" si="81"/>
        <v>0</v>
      </c>
      <c r="BX39" s="38">
        <f t="shared" si="81"/>
        <v>0</v>
      </c>
      <c r="BY39" s="38">
        <f t="shared" si="81"/>
        <v>0</v>
      </c>
      <c r="BZ39" s="38">
        <f t="shared" si="81"/>
        <v>0</v>
      </c>
      <c r="CA39" s="38">
        <f t="shared" si="81"/>
        <v>0</v>
      </c>
      <c r="CB39" s="38">
        <f t="shared" si="81"/>
        <v>0</v>
      </c>
      <c r="CC39" s="38">
        <f t="shared" si="81"/>
        <v>0</v>
      </c>
      <c r="CD39" s="38">
        <f t="shared" si="82"/>
        <v>0</v>
      </c>
      <c r="CE39" s="38">
        <f t="shared" si="82"/>
        <v>0</v>
      </c>
      <c r="CF39" s="38">
        <f t="shared" si="82"/>
        <v>0</v>
      </c>
      <c r="CG39" s="38">
        <f t="shared" si="82"/>
        <v>0</v>
      </c>
      <c r="CH39" s="38">
        <f t="shared" si="82"/>
        <v>0</v>
      </c>
      <c r="CI39" s="38">
        <f t="shared" si="82"/>
        <v>0</v>
      </c>
      <c r="CJ39" s="38">
        <f t="shared" si="82"/>
        <v>0</v>
      </c>
      <c r="CK39" s="38">
        <f t="shared" si="82"/>
        <v>0</v>
      </c>
      <c r="CL39" s="38">
        <f t="shared" si="82"/>
        <v>0</v>
      </c>
      <c r="CM39" s="38">
        <f t="shared" si="82"/>
        <v>0</v>
      </c>
      <c r="CN39" s="38">
        <f t="shared" si="83"/>
        <v>0</v>
      </c>
      <c r="CO39" s="38">
        <f t="shared" si="83"/>
        <v>0</v>
      </c>
      <c r="CP39" s="38">
        <f t="shared" si="83"/>
        <v>0</v>
      </c>
      <c r="CQ39" s="38">
        <f t="shared" si="83"/>
        <v>0</v>
      </c>
      <c r="CR39" s="38">
        <f t="shared" si="83"/>
        <v>0</v>
      </c>
      <c r="CS39" s="38">
        <f t="shared" si="83"/>
        <v>0</v>
      </c>
      <c r="CT39" s="38">
        <f t="shared" si="83"/>
        <v>0</v>
      </c>
      <c r="CU39" s="38">
        <f t="shared" si="83"/>
        <v>0</v>
      </c>
      <c r="CV39" s="38">
        <f t="shared" si="83"/>
        <v>0</v>
      </c>
      <c r="CW39" s="38">
        <f t="shared" si="83"/>
        <v>0</v>
      </c>
      <c r="CX39" s="38">
        <f t="shared" si="84"/>
        <v>0</v>
      </c>
      <c r="CY39" s="38">
        <f t="shared" si="84"/>
        <v>0</v>
      </c>
      <c r="CZ39" s="38">
        <f t="shared" si="84"/>
        <v>0</v>
      </c>
      <c r="DA39" s="38">
        <f t="shared" si="84"/>
        <v>0</v>
      </c>
      <c r="DB39" s="38">
        <f t="shared" si="84"/>
        <v>0</v>
      </c>
      <c r="DC39" s="38">
        <f t="shared" si="84"/>
        <v>0</v>
      </c>
      <c r="DD39" s="38">
        <f t="shared" si="84"/>
        <v>0</v>
      </c>
      <c r="DE39" s="38">
        <f t="shared" si="84"/>
        <v>0</v>
      </c>
      <c r="DF39" s="38">
        <f t="shared" si="84"/>
        <v>0</v>
      </c>
      <c r="DG39" s="38">
        <f t="shared" si="84"/>
        <v>0</v>
      </c>
      <c r="DH39" s="38">
        <f t="shared" si="85"/>
        <v>0</v>
      </c>
      <c r="DI39" s="38">
        <f t="shared" si="85"/>
        <v>0</v>
      </c>
      <c r="DJ39" s="38">
        <f t="shared" si="85"/>
        <v>0</v>
      </c>
      <c r="DK39" s="38">
        <f t="shared" si="85"/>
        <v>0</v>
      </c>
      <c r="DL39" s="38">
        <f t="shared" si="85"/>
        <v>0</v>
      </c>
      <c r="DM39" s="38">
        <f t="shared" si="85"/>
        <v>0</v>
      </c>
      <c r="DN39" s="38">
        <f t="shared" si="85"/>
        <v>0</v>
      </c>
      <c r="DO39" s="38">
        <f t="shared" si="85"/>
        <v>0</v>
      </c>
      <c r="DP39" s="38">
        <f t="shared" si="85"/>
        <v>0</v>
      </c>
      <c r="DQ39" s="38">
        <f t="shared" si="85"/>
        <v>0</v>
      </c>
      <c r="DR39" s="38">
        <f t="shared" si="86"/>
        <v>0</v>
      </c>
      <c r="DS39" s="38">
        <f t="shared" si="86"/>
        <v>0</v>
      </c>
      <c r="DT39" s="38">
        <f t="shared" si="86"/>
        <v>0</v>
      </c>
      <c r="DU39" s="38">
        <f t="shared" si="86"/>
        <v>0</v>
      </c>
      <c r="DV39" s="38">
        <f t="shared" si="86"/>
        <v>0</v>
      </c>
      <c r="DW39" s="38">
        <f t="shared" si="86"/>
        <v>0</v>
      </c>
      <c r="DX39" s="38">
        <f t="shared" si="86"/>
        <v>0</v>
      </c>
      <c r="DY39" s="38">
        <f t="shared" si="86"/>
        <v>0</v>
      </c>
      <c r="DZ39" s="38">
        <f t="shared" si="86"/>
        <v>0</v>
      </c>
      <c r="EA39" s="38">
        <f t="shared" si="86"/>
        <v>0</v>
      </c>
      <c r="EB39" s="38">
        <f t="shared" si="87"/>
        <v>0</v>
      </c>
      <c r="EC39" s="38">
        <f t="shared" si="87"/>
        <v>0</v>
      </c>
      <c r="ED39" s="38">
        <f t="shared" si="87"/>
        <v>0</v>
      </c>
      <c r="EE39" s="38">
        <f t="shared" si="87"/>
        <v>0</v>
      </c>
      <c r="EF39" s="38">
        <f t="shared" si="87"/>
        <v>0</v>
      </c>
      <c r="EG39" s="38">
        <f t="shared" si="87"/>
        <v>0</v>
      </c>
      <c r="EH39" s="38">
        <f t="shared" si="87"/>
        <v>0</v>
      </c>
      <c r="EI39" s="38">
        <f t="shared" si="87"/>
        <v>0</v>
      </c>
      <c r="EJ39" s="38">
        <f t="shared" si="87"/>
        <v>0</v>
      </c>
      <c r="EK39" s="38">
        <f t="shared" si="87"/>
        <v>0</v>
      </c>
      <c r="EL39" s="38">
        <f t="shared" si="88"/>
        <v>0</v>
      </c>
      <c r="EM39" s="38">
        <f t="shared" si="88"/>
        <v>0</v>
      </c>
      <c r="EN39" s="38">
        <f t="shared" si="88"/>
        <v>0</v>
      </c>
      <c r="EP39" s="30">
        <f>I39</f>
        <v>913500</v>
      </c>
      <c r="EQ39" s="31">
        <f>INDEX($L$23:$EN$23,1,$D39+1)</f>
        <v>44592</v>
      </c>
      <c r="ER39" s="31">
        <f>INDEX($L$23:$EN$23,1,$E39+1)</f>
        <v>45107</v>
      </c>
      <c r="ES39" s="30">
        <f>+E39-D39+1</f>
        <v>18</v>
      </c>
      <c r="ET39" s="24" t="str">
        <f>F39</f>
        <v>Straight-Line</v>
      </c>
      <c r="EU39" s="217">
        <f>ES39/Scurve_Dist</f>
        <v>3</v>
      </c>
      <c r="EV39" s="30">
        <f t="shared" si="89"/>
        <v>0</v>
      </c>
      <c r="EW39" s="30">
        <f t="shared" si="89"/>
        <v>0</v>
      </c>
      <c r="EX39" s="30">
        <f t="shared" si="89"/>
        <v>0</v>
      </c>
      <c r="EY39" s="30">
        <f t="shared" si="89"/>
        <v>0</v>
      </c>
      <c r="EZ39" s="30">
        <f t="shared" si="89"/>
        <v>0</v>
      </c>
      <c r="FA39" s="30">
        <f t="shared" si="89"/>
        <v>0</v>
      </c>
      <c r="FB39" s="30">
        <f t="shared" si="89"/>
        <v>0</v>
      </c>
      <c r="FC39" s="30">
        <f t="shared" si="89"/>
        <v>0</v>
      </c>
      <c r="FD39" s="30">
        <f t="shared" si="89"/>
        <v>0</v>
      </c>
      <c r="FE39" s="30">
        <f t="shared" si="89"/>
        <v>0</v>
      </c>
      <c r="FF39" s="30">
        <f t="shared" si="89"/>
        <v>0</v>
      </c>
      <c r="FG39" s="30">
        <f t="shared" si="89"/>
        <v>0</v>
      </c>
      <c r="FH39" s="30">
        <f t="shared" si="89"/>
        <v>0</v>
      </c>
      <c r="FI39" s="30">
        <f t="shared" si="89"/>
        <v>0</v>
      </c>
      <c r="FJ39" s="30">
        <f t="shared" si="89"/>
        <v>0</v>
      </c>
      <c r="FK39" s="30">
        <f t="shared" si="89"/>
        <v>0</v>
      </c>
      <c r="FL39" s="30">
        <f t="shared" si="90"/>
        <v>0</v>
      </c>
      <c r="FM39" s="30">
        <f t="shared" si="90"/>
        <v>0</v>
      </c>
      <c r="FN39" s="30">
        <f t="shared" si="90"/>
        <v>0</v>
      </c>
      <c r="FO39" s="30">
        <f t="shared" si="90"/>
        <v>0</v>
      </c>
      <c r="FP39" s="30">
        <f t="shared" si="90"/>
        <v>0</v>
      </c>
      <c r="FQ39" s="30">
        <f t="shared" si="90"/>
        <v>0</v>
      </c>
      <c r="FR39" s="30">
        <f t="shared" si="90"/>
        <v>0</v>
      </c>
      <c r="FS39" s="30">
        <f t="shared" si="90"/>
        <v>0</v>
      </c>
      <c r="FT39" s="30">
        <f t="shared" si="90"/>
        <v>0</v>
      </c>
      <c r="FU39" s="30">
        <f t="shared" si="90"/>
        <v>0</v>
      </c>
      <c r="FV39" s="30">
        <f t="shared" si="90"/>
        <v>0</v>
      </c>
      <c r="FW39" s="30">
        <f t="shared" si="90"/>
        <v>0</v>
      </c>
      <c r="FX39" s="30">
        <f t="shared" si="90"/>
        <v>0</v>
      </c>
      <c r="FY39" s="30">
        <f t="shared" si="90"/>
        <v>0</v>
      </c>
      <c r="FZ39" s="30">
        <f t="shared" si="90"/>
        <v>0</v>
      </c>
      <c r="GA39" s="30">
        <f t="shared" si="90"/>
        <v>0</v>
      </c>
      <c r="GB39" s="30">
        <f t="shared" si="91"/>
        <v>0</v>
      </c>
      <c r="GC39" s="30">
        <f t="shared" si="91"/>
        <v>0</v>
      </c>
      <c r="GD39" s="30">
        <f t="shared" si="91"/>
        <v>0</v>
      </c>
      <c r="GE39" s="30">
        <f t="shared" si="91"/>
        <v>0</v>
      </c>
      <c r="GF39" s="30">
        <f t="shared" si="91"/>
        <v>0</v>
      </c>
      <c r="GG39" s="30">
        <f t="shared" si="91"/>
        <v>0</v>
      </c>
      <c r="GH39" s="30">
        <f t="shared" si="91"/>
        <v>0</v>
      </c>
      <c r="GI39" s="30">
        <f t="shared" si="91"/>
        <v>0</v>
      </c>
      <c r="GJ39" s="30">
        <f t="shared" si="91"/>
        <v>0</v>
      </c>
      <c r="GK39" s="30">
        <f t="shared" si="91"/>
        <v>0</v>
      </c>
      <c r="GL39" s="30">
        <f t="shared" si="91"/>
        <v>0</v>
      </c>
      <c r="GM39" s="30">
        <f t="shared" si="91"/>
        <v>0</v>
      </c>
      <c r="GN39" s="30">
        <f t="shared" si="91"/>
        <v>0</v>
      </c>
      <c r="GO39" s="30">
        <f t="shared" si="91"/>
        <v>0</v>
      </c>
      <c r="GP39" s="30">
        <f t="shared" si="91"/>
        <v>0</v>
      </c>
      <c r="GQ39" s="30">
        <f t="shared" si="91"/>
        <v>0</v>
      </c>
      <c r="GR39" s="30">
        <f t="shared" si="92"/>
        <v>0</v>
      </c>
      <c r="GS39" s="30">
        <f t="shared" si="92"/>
        <v>0</v>
      </c>
      <c r="GT39" s="30">
        <f t="shared" si="92"/>
        <v>0</v>
      </c>
      <c r="GU39" s="30">
        <f t="shared" si="92"/>
        <v>0</v>
      </c>
      <c r="GV39" s="30">
        <f t="shared" si="92"/>
        <v>0</v>
      </c>
      <c r="GW39" s="30">
        <f t="shared" si="92"/>
        <v>0</v>
      </c>
      <c r="GX39" s="30">
        <f t="shared" si="92"/>
        <v>0</v>
      </c>
      <c r="GY39" s="30">
        <f t="shared" si="92"/>
        <v>0</v>
      </c>
      <c r="GZ39" s="30">
        <f t="shared" si="92"/>
        <v>0</v>
      </c>
      <c r="HA39" s="30">
        <f t="shared" si="92"/>
        <v>0</v>
      </c>
      <c r="HB39" s="30">
        <f t="shared" si="92"/>
        <v>0</v>
      </c>
      <c r="HC39" s="30">
        <f t="shared" si="92"/>
        <v>0</v>
      </c>
      <c r="HD39" s="30">
        <f t="shared" si="92"/>
        <v>0</v>
      </c>
      <c r="HE39" s="30">
        <f t="shared" si="92"/>
        <v>0</v>
      </c>
      <c r="HF39" s="30">
        <f t="shared" si="92"/>
        <v>0</v>
      </c>
      <c r="HG39" s="30">
        <f t="shared" si="92"/>
        <v>0</v>
      </c>
      <c r="HH39" s="30">
        <f t="shared" si="93"/>
        <v>0</v>
      </c>
      <c r="HI39" s="30">
        <f t="shared" si="93"/>
        <v>0</v>
      </c>
      <c r="HJ39" s="30">
        <f t="shared" si="93"/>
        <v>0</v>
      </c>
      <c r="HK39" s="30">
        <f t="shared" si="93"/>
        <v>0</v>
      </c>
      <c r="HL39" s="30">
        <f t="shared" si="93"/>
        <v>0</v>
      </c>
      <c r="HM39" s="30">
        <f t="shared" si="93"/>
        <v>0</v>
      </c>
      <c r="HN39" s="30">
        <f t="shared" si="93"/>
        <v>0</v>
      </c>
      <c r="HO39" s="30">
        <f t="shared" si="93"/>
        <v>0</v>
      </c>
      <c r="HP39" s="30">
        <f t="shared" si="93"/>
        <v>0</v>
      </c>
      <c r="HQ39" s="30">
        <f t="shared" si="93"/>
        <v>0</v>
      </c>
      <c r="HR39" s="30">
        <f t="shared" si="93"/>
        <v>0</v>
      </c>
      <c r="HS39" s="30">
        <f t="shared" si="93"/>
        <v>0</v>
      </c>
      <c r="HT39" s="30">
        <f t="shared" si="93"/>
        <v>0</v>
      </c>
      <c r="HU39" s="30">
        <f t="shared" si="93"/>
        <v>0</v>
      </c>
      <c r="HV39" s="30">
        <f t="shared" si="93"/>
        <v>0</v>
      </c>
      <c r="HW39" s="30">
        <f t="shared" si="93"/>
        <v>0</v>
      </c>
      <c r="HX39" s="30">
        <f t="shared" si="94"/>
        <v>0</v>
      </c>
      <c r="HY39" s="30">
        <f t="shared" si="94"/>
        <v>0</v>
      </c>
      <c r="HZ39" s="30">
        <f t="shared" si="94"/>
        <v>0</v>
      </c>
      <c r="IA39" s="30">
        <f t="shared" si="94"/>
        <v>0</v>
      </c>
      <c r="IB39" s="30">
        <f t="shared" si="94"/>
        <v>0</v>
      </c>
      <c r="IC39" s="30">
        <f t="shared" si="94"/>
        <v>0</v>
      </c>
      <c r="ID39" s="30">
        <f t="shared" si="94"/>
        <v>0</v>
      </c>
      <c r="IE39" s="30">
        <f t="shared" si="94"/>
        <v>0</v>
      </c>
      <c r="IF39" s="30">
        <f t="shared" si="94"/>
        <v>0</v>
      </c>
      <c r="IG39" s="30">
        <f t="shared" si="94"/>
        <v>0</v>
      </c>
      <c r="IH39" s="30">
        <f t="shared" si="94"/>
        <v>0</v>
      </c>
      <c r="II39" s="30">
        <f t="shared" si="94"/>
        <v>0</v>
      </c>
      <c r="IJ39" s="30">
        <f t="shared" si="94"/>
        <v>0</v>
      </c>
      <c r="IK39" s="30">
        <f t="shared" si="94"/>
        <v>0</v>
      </c>
      <c r="IL39" s="30">
        <f t="shared" si="94"/>
        <v>0</v>
      </c>
      <c r="IM39" s="30">
        <f t="shared" si="94"/>
        <v>0</v>
      </c>
      <c r="IN39" s="30">
        <f t="shared" si="95"/>
        <v>0</v>
      </c>
      <c r="IO39" s="30">
        <f t="shared" si="95"/>
        <v>0</v>
      </c>
      <c r="IP39" s="30">
        <f t="shared" si="95"/>
        <v>0</v>
      </c>
      <c r="IQ39" s="30">
        <f t="shared" si="95"/>
        <v>0</v>
      </c>
      <c r="IR39" s="30">
        <f t="shared" si="95"/>
        <v>0</v>
      </c>
      <c r="IS39" s="30">
        <f t="shared" si="95"/>
        <v>0</v>
      </c>
      <c r="IT39" s="30">
        <f t="shared" si="95"/>
        <v>0</v>
      </c>
      <c r="IU39" s="30">
        <f t="shared" si="95"/>
        <v>0</v>
      </c>
      <c r="IV39" s="30">
        <f t="shared" si="95"/>
        <v>0</v>
      </c>
      <c r="IW39" s="30">
        <f t="shared" si="95"/>
        <v>0</v>
      </c>
      <c r="IX39" s="30">
        <f t="shared" si="95"/>
        <v>0</v>
      </c>
      <c r="IY39" s="30">
        <f t="shared" si="95"/>
        <v>0</v>
      </c>
      <c r="IZ39" s="30">
        <f t="shared" si="95"/>
        <v>0</v>
      </c>
      <c r="JA39" s="30">
        <f t="shared" si="95"/>
        <v>0</v>
      </c>
      <c r="JB39" s="30">
        <f t="shared" si="95"/>
        <v>0</v>
      </c>
      <c r="JC39" s="30">
        <f t="shared" si="95"/>
        <v>0</v>
      </c>
      <c r="JD39" s="30">
        <f t="shared" si="96"/>
        <v>0</v>
      </c>
      <c r="JE39" s="30">
        <f t="shared" si="96"/>
        <v>0</v>
      </c>
      <c r="JF39" s="30">
        <f t="shared" si="96"/>
        <v>0</v>
      </c>
      <c r="JG39" s="30">
        <f t="shared" si="96"/>
        <v>0</v>
      </c>
      <c r="JH39" s="30">
        <f t="shared" si="96"/>
        <v>0</v>
      </c>
      <c r="JI39" s="30">
        <f t="shared" si="96"/>
        <v>0</v>
      </c>
      <c r="JJ39" s="30">
        <f t="shared" si="96"/>
        <v>0</v>
      </c>
      <c r="JK39" s="30">
        <f t="shared" si="96"/>
        <v>0</v>
      </c>
      <c r="JL39" s="30">
        <f t="shared" si="96"/>
        <v>0</v>
      </c>
      <c r="JM39" s="30">
        <f t="shared" si="96"/>
        <v>0</v>
      </c>
      <c r="JN39" s="30">
        <f t="shared" si="96"/>
        <v>0</v>
      </c>
      <c r="JO39" s="30">
        <f t="shared" si="96"/>
        <v>0</v>
      </c>
      <c r="JP39" s="30">
        <f t="shared" si="96"/>
        <v>0</v>
      </c>
      <c r="JQ39" s="30">
        <f t="shared" si="96"/>
        <v>0</v>
      </c>
      <c r="JR39" s="30">
        <f t="shared" si="96"/>
        <v>0</v>
      </c>
      <c r="JS39" s="30">
        <f t="shared" si="96"/>
        <v>0</v>
      </c>
      <c r="JT39" s="30">
        <f t="shared" si="97"/>
        <v>0</v>
      </c>
      <c r="JU39" s="30">
        <f t="shared" si="97"/>
        <v>0</v>
      </c>
      <c r="JV39" s="30">
        <f t="shared" si="97"/>
        <v>0</v>
      </c>
      <c r="JW39" s="30">
        <f t="shared" si="97"/>
        <v>0</v>
      </c>
      <c r="JX39" s="30">
        <f t="shared" si="97"/>
        <v>0</v>
      </c>
    </row>
    <row r="40" spans="1:284" s="7" customFormat="1" x14ac:dyDescent="0.2">
      <c r="A40" s="406"/>
      <c r="B40" s="103" t="s">
        <v>43</v>
      </c>
      <c r="C40" s="120"/>
      <c r="D40" s="132">
        <v>1</v>
      </c>
      <c r="E40" s="132">
        <v>18</v>
      </c>
      <c r="F40" s="133" t="s">
        <v>26</v>
      </c>
      <c r="G40" s="389">
        <f>I40/Units_SF_M2</f>
        <v>0.29411764705882354</v>
      </c>
      <c r="H40" s="123">
        <f>I40/Units</f>
        <v>250</v>
      </c>
      <c r="I40" s="124">
        <v>75000</v>
      </c>
      <c r="K40" s="7" t="str">
        <f t="shared" si="74"/>
        <v/>
      </c>
      <c r="L40" s="38">
        <f t="shared" si="75"/>
        <v>0</v>
      </c>
      <c r="M40" s="38">
        <f t="shared" si="75"/>
        <v>4166.666666666667</v>
      </c>
      <c r="N40" s="38">
        <f t="shared" si="75"/>
        <v>4166.666666666667</v>
      </c>
      <c r="O40" s="38">
        <f t="shared" si="75"/>
        <v>4166.666666666667</v>
      </c>
      <c r="P40" s="38">
        <f t="shared" si="75"/>
        <v>4166.666666666667</v>
      </c>
      <c r="Q40" s="38">
        <f t="shared" si="75"/>
        <v>4166.666666666667</v>
      </c>
      <c r="R40" s="38">
        <f t="shared" si="75"/>
        <v>4166.666666666667</v>
      </c>
      <c r="S40" s="38">
        <f t="shared" si="75"/>
        <v>4166.666666666667</v>
      </c>
      <c r="T40" s="38">
        <f t="shared" si="75"/>
        <v>4166.666666666667</v>
      </c>
      <c r="U40" s="38">
        <f t="shared" si="75"/>
        <v>4166.666666666667</v>
      </c>
      <c r="V40" s="38">
        <f t="shared" si="76"/>
        <v>4166.666666666667</v>
      </c>
      <c r="W40" s="38">
        <f t="shared" si="76"/>
        <v>4166.666666666667</v>
      </c>
      <c r="X40" s="38">
        <f t="shared" si="76"/>
        <v>4166.666666666667</v>
      </c>
      <c r="Y40" s="38">
        <f t="shared" si="76"/>
        <v>4166.666666666667</v>
      </c>
      <c r="Z40" s="38">
        <f t="shared" si="76"/>
        <v>4166.666666666667</v>
      </c>
      <c r="AA40" s="38">
        <f t="shared" si="76"/>
        <v>4166.666666666667</v>
      </c>
      <c r="AB40" s="38">
        <f t="shared" si="76"/>
        <v>4166.666666666667</v>
      </c>
      <c r="AC40" s="38">
        <f t="shared" si="76"/>
        <v>4166.666666666667</v>
      </c>
      <c r="AD40" s="38">
        <f t="shared" si="76"/>
        <v>4166.666666666667</v>
      </c>
      <c r="AE40" s="38">
        <f t="shared" si="76"/>
        <v>0</v>
      </c>
      <c r="AF40" s="38">
        <f t="shared" si="77"/>
        <v>0</v>
      </c>
      <c r="AG40" s="38">
        <f t="shared" si="77"/>
        <v>0</v>
      </c>
      <c r="AH40" s="38">
        <f t="shared" si="77"/>
        <v>0</v>
      </c>
      <c r="AI40" s="38">
        <f t="shared" si="77"/>
        <v>0</v>
      </c>
      <c r="AJ40" s="38">
        <f t="shared" si="77"/>
        <v>0</v>
      </c>
      <c r="AK40" s="38">
        <f t="shared" si="77"/>
        <v>0</v>
      </c>
      <c r="AL40" s="38">
        <f t="shared" si="77"/>
        <v>0</v>
      </c>
      <c r="AM40" s="38">
        <f t="shared" si="77"/>
        <v>0</v>
      </c>
      <c r="AN40" s="38">
        <f t="shared" si="77"/>
        <v>0</v>
      </c>
      <c r="AO40" s="38">
        <f t="shared" si="77"/>
        <v>0</v>
      </c>
      <c r="AP40" s="38">
        <f t="shared" si="78"/>
        <v>0</v>
      </c>
      <c r="AQ40" s="38">
        <f t="shared" si="78"/>
        <v>0</v>
      </c>
      <c r="AR40" s="38">
        <f t="shared" si="78"/>
        <v>0</v>
      </c>
      <c r="AS40" s="38">
        <f t="shared" si="78"/>
        <v>0</v>
      </c>
      <c r="AT40" s="38">
        <f t="shared" si="78"/>
        <v>0</v>
      </c>
      <c r="AU40" s="38">
        <f t="shared" si="78"/>
        <v>0</v>
      </c>
      <c r="AV40" s="38">
        <f t="shared" si="78"/>
        <v>0</v>
      </c>
      <c r="AW40" s="38">
        <f t="shared" si="78"/>
        <v>0</v>
      </c>
      <c r="AX40" s="38">
        <f t="shared" si="78"/>
        <v>0</v>
      </c>
      <c r="AY40" s="38">
        <f t="shared" si="78"/>
        <v>0</v>
      </c>
      <c r="AZ40" s="38">
        <f t="shared" si="79"/>
        <v>0</v>
      </c>
      <c r="BA40" s="38">
        <f t="shared" si="79"/>
        <v>0</v>
      </c>
      <c r="BB40" s="38">
        <f t="shared" si="79"/>
        <v>0</v>
      </c>
      <c r="BC40" s="38">
        <f t="shared" si="79"/>
        <v>0</v>
      </c>
      <c r="BD40" s="38">
        <f t="shared" si="79"/>
        <v>0</v>
      </c>
      <c r="BE40" s="38">
        <f t="shared" si="79"/>
        <v>0</v>
      </c>
      <c r="BF40" s="38">
        <f t="shared" si="79"/>
        <v>0</v>
      </c>
      <c r="BG40" s="38">
        <f t="shared" si="79"/>
        <v>0</v>
      </c>
      <c r="BH40" s="38">
        <f t="shared" si="79"/>
        <v>0</v>
      </c>
      <c r="BI40" s="38">
        <f t="shared" si="79"/>
        <v>0</v>
      </c>
      <c r="BJ40" s="38">
        <f t="shared" si="80"/>
        <v>0</v>
      </c>
      <c r="BK40" s="38">
        <f t="shared" si="80"/>
        <v>0</v>
      </c>
      <c r="BL40" s="38">
        <f t="shared" si="80"/>
        <v>0</v>
      </c>
      <c r="BM40" s="38">
        <f t="shared" si="80"/>
        <v>0</v>
      </c>
      <c r="BN40" s="38">
        <f t="shared" si="80"/>
        <v>0</v>
      </c>
      <c r="BO40" s="38">
        <f t="shared" si="80"/>
        <v>0</v>
      </c>
      <c r="BP40" s="38">
        <f t="shared" si="80"/>
        <v>0</v>
      </c>
      <c r="BQ40" s="38">
        <f t="shared" si="80"/>
        <v>0</v>
      </c>
      <c r="BR40" s="38">
        <f t="shared" si="80"/>
        <v>0</v>
      </c>
      <c r="BS40" s="38">
        <f t="shared" si="80"/>
        <v>0</v>
      </c>
      <c r="BT40" s="38">
        <f t="shared" si="81"/>
        <v>0</v>
      </c>
      <c r="BU40" s="38">
        <f t="shared" si="81"/>
        <v>0</v>
      </c>
      <c r="BV40" s="38">
        <f t="shared" si="81"/>
        <v>0</v>
      </c>
      <c r="BW40" s="38">
        <f t="shared" si="81"/>
        <v>0</v>
      </c>
      <c r="BX40" s="38">
        <f t="shared" si="81"/>
        <v>0</v>
      </c>
      <c r="BY40" s="38">
        <f t="shared" si="81"/>
        <v>0</v>
      </c>
      <c r="BZ40" s="38">
        <f t="shared" si="81"/>
        <v>0</v>
      </c>
      <c r="CA40" s="38">
        <f t="shared" si="81"/>
        <v>0</v>
      </c>
      <c r="CB40" s="38">
        <f t="shared" si="81"/>
        <v>0</v>
      </c>
      <c r="CC40" s="38">
        <f t="shared" si="81"/>
        <v>0</v>
      </c>
      <c r="CD40" s="38">
        <f t="shared" si="82"/>
        <v>0</v>
      </c>
      <c r="CE40" s="38">
        <f t="shared" si="82"/>
        <v>0</v>
      </c>
      <c r="CF40" s="38">
        <f t="shared" si="82"/>
        <v>0</v>
      </c>
      <c r="CG40" s="38">
        <f t="shared" si="82"/>
        <v>0</v>
      </c>
      <c r="CH40" s="38">
        <f t="shared" si="82"/>
        <v>0</v>
      </c>
      <c r="CI40" s="38">
        <f t="shared" si="82"/>
        <v>0</v>
      </c>
      <c r="CJ40" s="38">
        <f t="shared" si="82"/>
        <v>0</v>
      </c>
      <c r="CK40" s="38">
        <f t="shared" si="82"/>
        <v>0</v>
      </c>
      <c r="CL40" s="38">
        <f t="shared" si="82"/>
        <v>0</v>
      </c>
      <c r="CM40" s="38">
        <f t="shared" si="82"/>
        <v>0</v>
      </c>
      <c r="CN40" s="38">
        <f t="shared" si="83"/>
        <v>0</v>
      </c>
      <c r="CO40" s="38">
        <f t="shared" si="83"/>
        <v>0</v>
      </c>
      <c r="CP40" s="38">
        <f t="shared" si="83"/>
        <v>0</v>
      </c>
      <c r="CQ40" s="38">
        <f t="shared" si="83"/>
        <v>0</v>
      </c>
      <c r="CR40" s="38">
        <f t="shared" si="83"/>
        <v>0</v>
      </c>
      <c r="CS40" s="38">
        <f t="shared" si="83"/>
        <v>0</v>
      </c>
      <c r="CT40" s="38">
        <f t="shared" si="83"/>
        <v>0</v>
      </c>
      <c r="CU40" s="38">
        <f t="shared" si="83"/>
        <v>0</v>
      </c>
      <c r="CV40" s="38">
        <f t="shared" si="83"/>
        <v>0</v>
      </c>
      <c r="CW40" s="38">
        <f t="shared" si="83"/>
        <v>0</v>
      </c>
      <c r="CX40" s="38">
        <f t="shared" si="84"/>
        <v>0</v>
      </c>
      <c r="CY40" s="38">
        <f t="shared" si="84"/>
        <v>0</v>
      </c>
      <c r="CZ40" s="38">
        <f t="shared" si="84"/>
        <v>0</v>
      </c>
      <c r="DA40" s="38">
        <f t="shared" si="84"/>
        <v>0</v>
      </c>
      <c r="DB40" s="38">
        <f t="shared" si="84"/>
        <v>0</v>
      </c>
      <c r="DC40" s="38">
        <f t="shared" si="84"/>
        <v>0</v>
      </c>
      <c r="DD40" s="38">
        <f t="shared" si="84"/>
        <v>0</v>
      </c>
      <c r="DE40" s="38">
        <f t="shared" si="84"/>
        <v>0</v>
      </c>
      <c r="DF40" s="38">
        <f t="shared" si="84"/>
        <v>0</v>
      </c>
      <c r="DG40" s="38">
        <f t="shared" si="84"/>
        <v>0</v>
      </c>
      <c r="DH40" s="38">
        <f t="shared" si="85"/>
        <v>0</v>
      </c>
      <c r="DI40" s="38">
        <f t="shared" si="85"/>
        <v>0</v>
      </c>
      <c r="DJ40" s="38">
        <f t="shared" si="85"/>
        <v>0</v>
      </c>
      <c r="DK40" s="38">
        <f t="shared" si="85"/>
        <v>0</v>
      </c>
      <c r="DL40" s="38">
        <f t="shared" si="85"/>
        <v>0</v>
      </c>
      <c r="DM40" s="38">
        <f t="shared" si="85"/>
        <v>0</v>
      </c>
      <c r="DN40" s="38">
        <f t="shared" si="85"/>
        <v>0</v>
      </c>
      <c r="DO40" s="38">
        <f t="shared" si="85"/>
        <v>0</v>
      </c>
      <c r="DP40" s="38">
        <f t="shared" si="85"/>
        <v>0</v>
      </c>
      <c r="DQ40" s="38">
        <f t="shared" si="85"/>
        <v>0</v>
      </c>
      <c r="DR40" s="38">
        <f t="shared" si="86"/>
        <v>0</v>
      </c>
      <c r="DS40" s="38">
        <f t="shared" si="86"/>
        <v>0</v>
      </c>
      <c r="DT40" s="38">
        <f t="shared" si="86"/>
        <v>0</v>
      </c>
      <c r="DU40" s="38">
        <f t="shared" si="86"/>
        <v>0</v>
      </c>
      <c r="DV40" s="38">
        <f t="shared" si="86"/>
        <v>0</v>
      </c>
      <c r="DW40" s="38">
        <f t="shared" si="86"/>
        <v>0</v>
      </c>
      <c r="DX40" s="38">
        <f t="shared" si="86"/>
        <v>0</v>
      </c>
      <c r="DY40" s="38">
        <f t="shared" si="86"/>
        <v>0</v>
      </c>
      <c r="DZ40" s="38">
        <f t="shared" si="86"/>
        <v>0</v>
      </c>
      <c r="EA40" s="38">
        <f t="shared" si="86"/>
        <v>0</v>
      </c>
      <c r="EB40" s="38">
        <f t="shared" si="87"/>
        <v>0</v>
      </c>
      <c r="EC40" s="38">
        <f t="shared" si="87"/>
        <v>0</v>
      </c>
      <c r="ED40" s="38">
        <f t="shared" si="87"/>
        <v>0</v>
      </c>
      <c r="EE40" s="38">
        <f t="shared" si="87"/>
        <v>0</v>
      </c>
      <c r="EF40" s="38">
        <f t="shared" si="87"/>
        <v>0</v>
      </c>
      <c r="EG40" s="38">
        <f t="shared" si="87"/>
        <v>0</v>
      </c>
      <c r="EH40" s="38">
        <f t="shared" si="87"/>
        <v>0</v>
      </c>
      <c r="EI40" s="38">
        <f t="shared" si="87"/>
        <v>0</v>
      </c>
      <c r="EJ40" s="38">
        <f t="shared" si="87"/>
        <v>0</v>
      </c>
      <c r="EK40" s="38">
        <f t="shared" si="87"/>
        <v>0</v>
      </c>
      <c r="EL40" s="38">
        <f t="shared" si="88"/>
        <v>0</v>
      </c>
      <c r="EM40" s="38">
        <f t="shared" si="88"/>
        <v>0</v>
      </c>
      <c r="EN40" s="38">
        <f t="shared" si="88"/>
        <v>0</v>
      </c>
      <c r="EP40" s="30">
        <f>I40</f>
        <v>75000</v>
      </c>
      <c r="EQ40" s="31">
        <f>INDEX($L$23:$EN$23,1,$D40+1)</f>
        <v>44592</v>
      </c>
      <c r="ER40" s="31">
        <f>INDEX($L$23:$EN$23,1,$E40+1)</f>
        <v>45107</v>
      </c>
      <c r="ES40" s="30">
        <f>+E40-D40+1</f>
        <v>18</v>
      </c>
      <c r="ET40" s="24" t="str">
        <f>F40</f>
        <v>Straight-Line</v>
      </c>
      <c r="EU40" s="217">
        <f>ES40/Scurve_Dist</f>
        <v>3</v>
      </c>
      <c r="EV40" s="30">
        <f t="shared" si="89"/>
        <v>0</v>
      </c>
      <c r="EW40" s="30">
        <f t="shared" si="89"/>
        <v>0</v>
      </c>
      <c r="EX40" s="30">
        <f t="shared" si="89"/>
        <v>0</v>
      </c>
      <c r="EY40" s="30">
        <f t="shared" si="89"/>
        <v>0</v>
      </c>
      <c r="EZ40" s="30">
        <f t="shared" si="89"/>
        <v>0</v>
      </c>
      <c r="FA40" s="30">
        <f t="shared" si="89"/>
        <v>0</v>
      </c>
      <c r="FB40" s="30">
        <f t="shared" si="89"/>
        <v>0</v>
      </c>
      <c r="FC40" s="30">
        <f t="shared" si="89"/>
        <v>0</v>
      </c>
      <c r="FD40" s="30">
        <f t="shared" si="89"/>
        <v>0</v>
      </c>
      <c r="FE40" s="30">
        <f t="shared" si="89"/>
        <v>0</v>
      </c>
      <c r="FF40" s="30">
        <f t="shared" si="89"/>
        <v>0</v>
      </c>
      <c r="FG40" s="30">
        <f t="shared" si="89"/>
        <v>0</v>
      </c>
      <c r="FH40" s="30">
        <f t="shared" si="89"/>
        <v>0</v>
      </c>
      <c r="FI40" s="30">
        <f t="shared" si="89"/>
        <v>0</v>
      </c>
      <c r="FJ40" s="30">
        <f t="shared" si="89"/>
        <v>0</v>
      </c>
      <c r="FK40" s="30">
        <f t="shared" si="89"/>
        <v>0</v>
      </c>
      <c r="FL40" s="30">
        <f t="shared" si="90"/>
        <v>0</v>
      </c>
      <c r="FM40" s="30">
        <f t="shared" si="90"/>
        <v>0</v>
      </c>
      <c r="FN40" s="30">
        <f t="shared" si="90"/>
        <v>0</v>
      </c>
      <c r="FO40" s="30">
        <f t="shared" si="90"/>
        <v>0</v>
      </c>
      <c r="FP40" s="30">
        <f t="shared" si="90"/>
        <v>0</v>
      </c>
      <c r="FQ40" s="30">
        <f t="shared" si="90"/>
        <v>0</v>
      </c>
      <c r="FR40" s="30">
        <f t="shared" si="90"/>
        <v>0</v>
      </c>
      <c r="FS40" s="30">
        <f t="shared" si="90"/>
        <v>0</v>
      </c>
      <c r="FT40" s="30">
        <f t="shared" si="90"/>
        <v>0</v>
      </c>
      <c r="FU40" s="30">
        <f t="shared" si="90"/>
        <v>0</v>
      </c>
      <c r="FV40" s="30">
        <f t="shared" si="90"/>
        <v>0</v>
      </c>
      <c r="FW40" s="30">
        <f t="shared" si="90"/>
        <v>0</v>
      </c>
      <c r="FX40" s="30">
        <f t="shared" si="90"/>
        <v>0</v>
      </c>
      <c r="FY40" s="30">
        <f t="shared" si="90"/>
        <v>0</v>
      </c>
      <c r="FZ40" s="30">
        <f t="shared" si="90"/>
        <v>0</v>
      </c>
      <c r="GA40" s="30">
        <f t="shared" si="90"/>
        <v>0</v>
      </c>
      <c r="GB40" s="30">
        <f t="shared" si="91"/>
        <v>0</v>
      </c>
      <c r="GC40" s="30">
        <f t="shared" si="91"/>
        <v>0</v>
      </c>
      <c r="GD40" s="30">
        <f t="shared" si="91"/>
        <v>0</v>
      </c>
      <c r="GE40" s="30">
        <f t="shared" si="91"/>
        <v>0</v>
      </c>
      <c r="GF40" s="30">
        <f t="shared" si="91"/>
        <v>0</v>
      </c>
      <c r="GG40" s="30">
        <f t="shared" si="91"/>
        <v>0</v>
      </c>
      <c r="GH40" s="30">
        <f t="shared" si="91"/>
        <v>0</v>
      </c>
      <c r="GI40" s="30">
        <f t="shared" si="91"/>
        <v>0</v>
      </c>
      <c r="GJ40" s="30">
        <f t="shared" si="91"/>
        <v>0</v>
      </c>
      <c r="GK40" s="30">
        <f t="shared" si="91"/>
        <v>0</v>
      </c>
      <c r="GL40" s="30">
        <f t="shared" si="91"/>
        <v>0</v>
      </c>
      <c r="GM40" s="30">
        <f t="shared" si="91"/>
        <v>0</v>
      </c>
      <c r="GN40" s="30">
        <f t="shared" si="91"/>
        <v>0</v>
      </c>
      <c r="GO40" s="30">
        <f t="shared" si="91"/>
        <v>0</v>
      </c>
      <c r="GP40" s="30">
        <f t="shared" si="91"/>
        <v>0</v>
      </c>
      <c r="GQ40" s="30">
        <f t="shared" si="91"/>
        <v>0</v>
      </c>
      <c r="GR40" s="30">
        <f t="shared" si="92"/>
        <v>0</v>
      </c>
      <c r="GS40" s="30">
        <f t="shared" si="92"/>
        <v>0</v>
      </c>
      <c r="GT40" s="30">
        <f t="shared" si="92"/>
        <v>0</v>
      </c>
      <c r="GU40" s="30">
        <f t="shared" si="92"/>
        <v>0</v>
      </c>
      <c r="GV40" s="30">
        <f t="shared" si="92"/>
        <v>0</v>
      </c>
      <c r="GW40" s="30">
        <f t="shared" si="92"/>
        <v>0</v>
      </c>
      <c r="GX40" s="30">
        <f t="shared" si="92"/>
        <v>0</v>
      </c>
      <c r="GY40" s="30">
        <f t="shared" si="92"/>
        <v>0</v>
      </c>
      <c r="GZ40" s="30">
        <f t="shared" si="92"/>
        <v>0</v>
      </c>
      <c r="HA40" s="30">
        <f t="shared" si="92"/>
        <v>0</v>
      </c>
      <c r="HB40" s="30">
        <f t="shared" si="92"/>
        <v>0</v>
      </c>
      <c r="HC40" s="30">
        <f t="shared" si="92"/>
        <v>0</v>
      </c>
      <c r="HD40" s="30">
        <f t="shared" si="92"/>
        <v>0</v>
      </c>
      <c r="HE40" s="30">
        <f t="shared" si="92"/>
        <v>0</v>
      </c>
      <c r="HF40" s="30">
        <f t="shared" si="92"/>
        <v>0</v>
      </c>
      <c r="HG40" s="30">
        <f t="shared" si="92"/>
        <v>0</v>
      </c>
      <c r="HH40" s="30">
        <f t="shared" si="93"/>
        <v>0</v>
      </c>
      <c r="HI40" s="30">
        <f t="shared" si="93"/>
        <v>0</v>
      </c>
      <c r="HJ40" s="30">
        <f t="shared" si="93"/>
        <v>0</v>
      </c>
      <c r="HK40" s="30">
        <f t="shared" si="93"/>
        <v>0</v>
      </c>
      <c r="HL40" s="30">
        <f t="shared" si="93"/>
        <v>0</v>
      </c>
      <c r="HM40" s="30">
        <f t="shared" si="93"/>
        <v>0</v>
      </c>
      <c r="HN40" s="30">
        <f t="shared" si="93"/>
        <v>0</v>
      </c>
      <c r="HO40" s="30">
        <f t="shared" si="93"/>
        <v>0</v>
      </c>
      <c r="HP40" s="30">
        <f t="shared" si="93"/>
        <v>0</v>
      </c>
      <c r="HQ40" s="30">
        <f t="shared" si="93"/>
        <v>0</v>
      </c>
      <c r="HR40" s="30">
        <f t="shared" si="93"/>
        <v>0</v>
      </c>
      <c r="HS40" s="30">
        <f t="shared" si="93"/>
        <v>0</v>
      </c>
      <c r="HT40" s="30">
        <f t="shared" si="93"/>
        <v>0</v>
      </c>
      <c r="HU40" s="30">
        <f t="shared" si="93"/>
        <v>0</v>
      </c>
      <c r="HV40" s="30">
        <f t="shared" si="93"/>
        <v>0</v>
      </c>
      <c r="HW40" s="30">
        <f t="shared" si="93"/>
        <v>0</v>
      </c>
      <c r="HX40" s="30">
        <f t="shared" si="94"/>
        <v>0</v>
      </c>
      <c r="HY40" s="30">
        <f t="shared" si="94"/>
        <v>0</v>
      </c>
      <c r="HZ40" s="30">
        <f t="shared" si="94"/>
        <v>0</v>
      </c>
      <c r="IA40" s="30">
        <f t="shared" si="94"/>
        <v>0</v>
      </c>
      <c r="IB40" s="30">
        <f t="shared" si="94"/>
        <v>0</v>
      </c>
      <c r="IC40" s="30">
        <f t="shared" si="94"/>
        <v>0</v>
      </c>
      <c r="ID40" s="30">
        <f t="shared" si="94"/>
        <v>0</v>
      </c>
      <c r="IE40" s="30">
        <f t="shared" si="94"/>
        <v>0</v>
      </c>
      <c r="IF40" s="30">
        <f t="shared" si="94"/>
        <v>0</v>
      </c>
      <c r="IG40" s="30">
        <f t="shared" si="94"/>
        <v>0</v>
      </c>
      <c r="IH40" s="30">
        <f t="shared" si="94"/>
        <v>0</v>
      </c>
      <c r="II40" s="30">
        <f t="shared" si="94"/>
        <v>0</v>
      </c>
      <c r="IJ40" s="30">
        <f t="shared" si="94"/>
        <v>0</v>
      </c>
      <c r="IK40" s="30">
        <f t="shared" si="94"/>
        <v>0</v>
      </c>
      <c r="IL40" s="30">
        <f t="shared" si="94"/>
        <v>0</v>
      </c>
      <c r="IM40" s="30">
        <f t="shared" si="94"/>
        <v>0</v>
      </c>
      <c r="IN40" s="30">
        <f t="shared" si="95"/>
        <v>0</v>
      </c>
      <c r="IO40" s="30">
        <f t="shared" si="95"/>
        <v>0</v>
      </c>
      <c r="IP40" s="30">
        <f t="shared" si="95"/>
        <v>0</v>
      </c>
      <c r="IQ40" s="30">
        <f t="shared" si="95"/>
        <v>0</v>
      </c>
      <c r="IR40" s="30">
        <f t="shared" si="95"/>
        <v>0</v>
      </c>
      <c r="IS40" s="30">
        <f t="shared" si="95"/>
        <v>0</v>
      </c>
      <c r="IT40" s="30">
        <f t="shared" si="95"/>
        <v>0</v>
      </c>
      <c r="IU40" s="30">
        <f t="shared" si="95"/>
        <v>0</v>
      </c>
      <c r="IV40" s="30">
        <f t="shared" si="95"/>
        <v>0</v>
      </c>
      <c r="IW40" s="30">
        <f t="shared" si="95"/>
        <v>0</v>
      </c>
      <c r="IX40" s="30">
        <f t="shared" si="95"/>
        <v>0</v>
      </c>
      <c r="IY40" s="30">
        <f t="shared" si="95"/>
        <v>0</v>
      </c>
      <c r="IZ40" s="30">
        <f t="shared" si="95"/>
        <v>0</v>
      </c>
      <c r="JA40" s="30">
        <f t="shared" si="95"/>
        <v>0</v>
      </c>
      <c r="JB40" s="30">
        <f t="shared" si="95"/>
        <v>0</v>
      </c>
      <c r="JC40" s="30">
        <f t="shared" si="95"/>
        <v>0</v>
      </c>
      <c r="JD40" s="30">
        <f t="shared" si="96"/>
        <v>0</v>
      </c>
      <c r="JE40" s="30">
        <f t="shared" si="96"/>
        <v>0</v>
      </c>
      <c r="JF40" s="30">
        <f t="shared" si="96"/>
        <v>0</v>
      </c>
      <c r="JG40" s="30">
        <f t="shared" si="96"/>
        <v>0</v>
      </c>
      <c r="JH40" s="30">
        <f t="shared" si="96"/>
        <v>0</v>
      </c>
      <c r="JI40" s="30">
        <f t="shared" si="96"/>
        <v>0</v>
      </c>
      <c r="JJ40" s="30">
        <f t="shared" si="96"/>
        <v>0</v>
      </c>
      <c r="JK40" s="30">
        <f t="shared" si="96"/>
        <v>0</v>
      </c>
      <c r="JL40" s="30">
        <f t="shared" si="96"/>
        <v>0</v>
      </c>
      <c r="JM40" s="30">
        <f t="shared" si="96"/>
        <v>0</v>
      </c>
      <c r="JN40" s="30">
        <f t="shared" si="96"/>
        <v>0</v>
      </c>
      <c r="JO40" s="30">
        <f t="shared" si="96"/>
        <v>0</v>
      </c>
      <c r="JP40" s="30">
        <f t="shared" si="96"/>
        <v>0</v>
      </c>
      <c r="JQ40" s="30">
        <f t="shared" si="96"/>
        <v>0</v>
      </c>
      <c r="JR40" s="30">
        <f t="shared" si="96"/>
        <v>0</v>
      </c>
      <c r="JS40" s="30">
        <f t="shared" si="96"/>
        <v>0</v>
      </c>
      <c r="JT40" s="30">
        <f t="shared" si="97"/>
        <v>0</v>
      </c>
      <c r="JU40" s="30">
        <f t="shared" si="97"/>
        <v>0</v>
      </c>
      <c r="JV40" s="30">
        <f t="shared" si="97"/>
        <v>0</v>
      </c>
      <c r="JW40" s="30">
        <f t="shared" si="97"/>
        <v>0</v>
      </c>
      <c r="JX40" s="30">
        <f t="shared" si="97"/>
        <v>0</v>
      </c>
    </row>
    <row r="41" spans="1:284" s="7" customFormat="1" x14ac:dyDescent="0.2">
      <c r="A41" s="406"/>
      <c r="B41" s="103" t="s">
        <v>494</v>
      </c>
      <c r="C41" s="120"/>
      <c r="D41" s="132">
        <v>1</v>
      </c>
      <c r="E41" s="132">
        <v>18</v>
      </c>
      <c r="F41" s="133" t="s">
        <v>26</v>
      </c>
      <c r="G41" s="123">
        <f>I41/Units_SF_M2</f>
        <v>0</v>
      </c>
      <c r="H41" s="123">
        <f>I41/Units</f>
        <v>0</v>
      </c>
      <c r="I41" s="124">
        <v>0</v>
      </c>
      <c r="K41" s="7" t="str">
        <f>IF(ROUND(SUM(L41:EN41),0)=ROUND(I41,0),"","Incomplete")</f>
        <v/>
      </c>
      <c r="L41" s="38">
        <f t="shared" si="75"/>
        <v>0</v>
      </c>
      <c r="M41" s="38">
        <f t="shared" si="75"/>
        <v>0</v>
      </c>
      <c r="N41" s="38">
        <f t="shared" si="75"/>
        <v>0</v>
      </c>
      <c r="O41" s="38">
        <f t="shared" si="75"/>
        <v>0</v>
      </c>
      <c r="P41" s="38">
        <f t="shared" si="75"/>
        <v>0</v>
      </c>
      <c r="Q41" s="38">
        <f t="shared" si="75"/>
        <v>0</v>
      </c>
      <c r="R41" s="38">
        <f t="shared" si="75"/>
        <v>0</v>
      </c>
      <c r="S41" s="38">
        <f t="shared" si="75"/>
        <v>0</v>
      </c>
      <c r="T41" s="38">
        <f t="shared" si="75"/>
        <v>0</v>
      </c>
      <c r="U41" s="38">
        <f t="shared" si="75"/>
        <v>0</v>
      </c>
      <c r="V41" s="38">
        <f t="shared" si="76"/>
        <v>0</v>
      </c>
      <c r="W41" s="38">
        <f t="shared" si="76"/>
        <v>0</v>
      </c>
      <c r="X41" s="38">
        <f t="shared" si="76"/>
        <v>0</v>
      </c>
      <c r="Y41" s="38">
        <f t="shared" si="76"/>
        <v>0</v>
      </c>
      <c r="Z41" s="38">
        <f t="shared" si="76"/>
        <v>0</v>
      </c>
      <c r="AA41" s="38">
        <f t="shared" si="76"/>
        <v>0</v>
      </c>
      <c r="AB41" s="38">
        <f t="shared" si="76"/>
        <v>0</v>
      </c>
      <c r="AC41" s="38">
        <f t="shared" si="76"/>
        <v>0</v>
      </c>
      <c r="AD41" s="38">
        <f t="shared" si="76"/>
        <v>0</v>
      </c>
      <c r="AE41" s="38">
        <f t="shared" si="76"/>
        <v>0</v>
      </c>
      <c r="AF41" s="38">
        <f t="shared" si="77"/>
        <v>0</v>
      </c>
      <c r="AG41" s="38">
        <f t="shared" si="77"/>
        <v>0</v>
      </c>
      <c r="AH41" s="38">
        <f t="shared" si="77"/>
        <v>0</v>
      </c>
      <c r="AI41" s="38">
        <f t="shared" si="77"/>
        <v>0</v>
      </c>
      <c r="AJ41" s="38">
        <f t="shared" si="77"/>
        <v>0</v>
      </c>
      <c r="AK41" s="38">
        <f t="shared" si="77"/>
        <v>0</v>
      </c>
      <c r="AL41" s="38">
        <f t="shared" si="77"/>
        <v>0</v>
      </c>
      <c r="AM41" s="38">
        <f t="shared" si="77"/>
        <v>0</v>
      </c>
      <c r="AN41" s="38">
        <f t="shared" si="77"/>
        <v>0</v>
      </c>
      <c r="AO41" s="38">
        <f t="shared" si="77"/>
        <v>0</v>
      </c>
      <c r="AP41" s="38">
        <f t="shared" si="78"/>
        <v>0</v>
      </c>
      <c r="AQ41" s="38">
        <f t="shared" si="78"/>
        <v>0</v>
      </c>
      <c r="AR41" s="38">
        <f t="shared" si="78"/>
        <v>0</v>
      </c>
      <c r="AS41" s="38">
        <f t="shared" si="78"/>
        <v>0</v>
      </c>
      <c r="AT41" s="38">
        <f t="shared" si="78"/>
        <v>0</v>
      </c>
      <c r="AU41" s="38">
        <f t="shared" si="78"/>
        <v>0</v>
      </c>
      <c r="AV41" s="38">
        <f t="shared" si="78"/>
        <v>0</v>
      </c>
      <c r="AW41" s="38">
        <f t="shared" si="78"/>
        <v>0</v>
      </c>
      <c r="AX41" s="38">
        <f t="shared" si="78"/>
        <v>0</v>
      </c>
      <c r="AY41" s="38">
        <f t="shared" si="78"/>
        <v>0</v>
      </c>
      <c r="AZ41" s="38">
        <f t="shared" si="79"/>
        <v>0</v>
      </c>
      <c r="BA41" s="38">
        <f t="shared" si="79"/>
        <v>0</v>
      </c>
      <c r="BB41" s="38">
        <f t="shared" si="79"/>
        <v>0</v>
      </c>
      <c r="BC41" s="38">
        <f t="shared" si="79"/>
        <v>0</v>
      </c>
      <c r="BD41" s="38">
        <f t="shared" si="79"/>
        <v>0</v>
      </c>
      <c r="BE41" s="38">
        <f t="shared" si="79"/>
        <v>0</v>
      </c>
      <c r="BF41" s="38">
        <f t="shared" si="79"/>
        <v>0</v>
      </c>
      <c r="BG41" s="38">
        <f t="shared" si="79"/>
        <v>0</v>
      </c>
      <c r="BH41" s="38">
        <f t="shared" si="79"/>
        <v>0</v>
      </c>
      <c r="BI41" s="38">
        <f t="shared" si="79"/>
        <v>0</v>
      </c>
      <c r="BJ41" s="38">
        <f t="shared" si="80"/>
        <v>0</v>
      </c>
      <c r="BK41" s="38">
        <f t="shared" si="80"/>
        <v>0</v>
      </c>
      <c r="BL41" s="38">
        <f t="shared" si="80"/>
        <v>0</v>
      </c>
      <c r="BM41" s="38">
        <f t="shared" si="80"/>
        <v>0</v>
      </c>
      <c r="BN41" s="38">
        <f t="shared" si="80"/>
        <v>0</v>
      </c>
      <c r="BO41" s="38">
        <f t="shared" si="80"/>
        <v>0</v>
      </c>
      <c r="BP41" s="38">
        <f t="shared" si="80"/>
        <v>0</v>
      </c>
      <c r="BQ41" s="38">
        <f t="shared" si="80"/>
        <v>0</v>
      </c>
      <c r="BR41" s="38">
        <f t="shared" si="80"/>
        <v>0</v>
      </c>
      <c r="BS41" s="38">
        <f t="shared" si="80"/>
        <v>0</v>
      </c>
      <c r="BT41" s="38">
        <f t="shared" si="81"/>
        <v>0</v>
      </c>
      <c r="BU41" s="38">
        <f t="shared" si="81"/>
        <v>0</v>
      </c>
      <c r="BV41" s="38">
        <f t="shared" si="81"/>
        <v>0</v>
      </c>
      <c r="BW41" s="38">
        <f t="shared" si="81"/>
        <v>0</v>
      </c>
      <c r="BX41" s="38">
        <f t="shared" si="81"/>
        <v>0</v>
      </c>
      <c r="BY41" s="38">
        <f t="shared" si="81"/>
        <v>0</v>
      </c>
      <c r="BZ41" s="38">
        <f t="shared" si="81"/>
        <v>0</v>
      </c>
      <c r="CA41" s="38">
        <f t="shared" si="81"/>
        <v>0</v>
      </c>
      <c r="CB41" s="38">
        <f t="shared" si="81"/>
        <v>0</v>
      </c>
      <c r="CC41" s="38">
        <f t="shared" si="81"/>
        <v>0</v>
      </c>
      <c r="CD41" s="38">
        <f t="shared" si="82"/>
        <v>0</v>
      </c>
      <c r="CE41" s="38">
        <f t="shared" si="82"/>
        <v>0</v>
      </c>
      <c r="CF41" s="38">
        <f t="shared" si="82"/>
        <v>0</v>
      </c>
      <c r="CG41" s="38">
        <f t="shared" si="82"/>
        <v>0</v>
      </c>
      <c r="CH41" s="38">
        <f t="shared" si="82"/>
        <v>0</v>
      </c>
      <c r="CI41" s="38">
        <f t="shared" si="82"/>
        <v>0</v>
      </c>
      <c r="CJ41" s="38">
        <f t="shared" si="82"/>
        <v>0</v>
      </c>
      <c r="CK41" s="38">
        <f t="shared" si="82"/>
        <v>0</v>
      </c>
      <c r="CL41" s="38">
        <f t="shared" si="82"/>
        <v>0</v>
      </c>
      <c r="CM41" s="38">
        <f t="shared" si="82"/>
        <v>0</v>
      </c>
      <c r="CN41" s="38">
        <f t="shared" si="83"/>
        <v>0</v>
      </c>
      <c r="CO41" s="38">
        <f t="shared" si="83"/>
        <v>0</v>
      </c>
      <c r="CP41" s="38">
        <f t="shared" si="83"/>
        <v>0</v>
      </c>
      <c r="CQ41" s="38">
        <f t="shared" si="83"/>
        <v>0</v>
      </c>
      <c r="CR41" s="38">
        <f t="shared" si="83"/>
        <v>0</v>
      </c>
      <c r="CS41" s="38">
        <f t="shared" si="83"/>
        <v>0</v>
      </c>
      <c r="CT41" s="38">
        <f t="shared" si="83"/>
        <v>0</v>
      </c>
      <c r="CU41" s="38">
        <f t="shared" si="83"/>
        <v>0</v>
      </c>
      <c r="CV41" s="38">
        <f t="shared" si="83"/>
        <v>0</v>
      </c>
      <c r="CW41" s="38">
        <f t="shared" si="83"/>
        <v>0</v>
      </c>
      <c r="CX41" s="38">
        <f t="shared" si="84"/>
        <v>0</v>
      </c>
      <c r="CY41" s="38">
        <f t="shared" si="84"/>
        <v>0</v>
      </c>
      <c r="CZ41" s="38">
        <f t="shared" si="84"/>
        <v>0</v>
      </c>
      <c r="DA41" s="38">
        <f t="shared" si="84"/>
        <v>0</v>
      </c>
      <c r="DB41" s="38">
        <f t="shared" si="84"/>
        <v>0</v>
      </c>
      <c r="DC41" s="38">
        <f t="shared" si="84"/>
        <v>0</v>
      </c>
      <c r="DD41" s="38">
        <f t="shared" si="84"/>
        <v>0</v>
      </c>
      <c r="DE41" s="38">
        <f t="shared" si="84"/>
        <v>0</v>
      </c>
      <c r="DF41" s="38">
        <f t="shared" si="84"/>
        <v>0</v>
      </c>
      <c r="DG41" s="38">
        <f t="shared" si="84"/>
        <v>0</v>
      </c>
      <c r="DH41" s="38">
        <f t="shared" si="85"/>
        <v>0</v>
      </c>
      <c r="DI41" s="38">
        <f t="shared" si="85"/>
        <v>0</v>
      </c>
      <c r="DJ41" s="38">
        <f t="shared" si="85"/>
        <v>0</v>
      </c>
      <c r="DK41" s="38">
        <f t="shared" si="85"/>
        <v>0</v>
      </c>
      <c r="DL41" s="38">
        <f t="shared" si="85"/>
        <v>0</v>
      </c>
      <c r="DM41" s="38">
        <f t="shared" si="85"/>
        <v>0</v>
      </c>
      <c r="DN41" s="38">
        <f t="shared" si="85"/>
        <v>0</v>
      </c>
      <c r="DO41" s="38">
        <f t="shared" si="85"/>
        <v>0</v>
      </c>
      <c r="DP41" s="38">
        <f t="shared" si="85"/>
        <v>0</v>
      </c>
      <c r="DQ41" s="38">
        <f t="shared" si="85"/>
        <v>0</v>
      </c>
      <c r="DR41" s="38">
        <f t="shared" si="86"/>
        <v>0</v>
      </c>
      <c r="DS41" s="38">
        <f t="shared" si="86"/>
        <v>0</v>
      </c>
      <c r="DT41" s="38">
        <f t="shared" si="86"/>
        <v>0</v>
      </c>
      <c r="DU41" s="38">
        <f t="shared" si="86"/>
        <v>0</v>
      </c>
      <c r="DV41" s="38">
        <f t="shared" si="86"/>
        <v>0</v>
      </c>
      <c r="DW41" s="38">
        <f t="shared" si="86"/>
        <v>0</v>
      </c>
      <c r="DX41" s="38">
        <f t="shared" si="86"/>
        <v>0</v>
      </c>
      <c r="DY41" s="38">
        <f t="shared" si="86"/>
        <v>0</v>
      </c>
      <c r="DZ41" s="38">
        <f t="shared" si="86"/>
        <v>0</v>
      </c>
      <c r="EA41" s="38">
        <f t="shared" si="86"/>
        <v>0</v>
      </c>
      <c r="EB41" s="38">
        <f t="shared" si="87"/>
        <v>0</v>
      </c>
      <c r="EC41" s="38">
        <f t="shared" si="87"/>
        <v>0</v>
      </c>
      <c r="ED41" s="38">
        <f t="shared" si="87"/>
        <v>0</v>
      </c>
      <c r="EE41" s="38">
        <f t="shared" si="87"/>
        <v>0</v>
      </c>
      <c r="EF41" s="38">
        <f t="shared" si="87"/>
        <v>0</v>
      </c>
      <c r="EG41" s="38">
        <f t="shared" si="87"/>
        <v>0</v>
      </c>
      <c r="EH41" s="38">
        <f t="shared" si="87"/>
        <v>0</v>
      </c>
      <c r="EI41" s="38">
        <f t="shared" si="87"/>
        <v>0</v>
      </c>
      <c r="EJ41" s="38">
        <f t="shared" si="87"/>
        <v>0</v>
      </c>
      <c r="EK41" s="38">
        <f t="shared" si="87"/>
        <v>0</v>
      </c>
      <c r="EL41" s="38">
        <f t="shared" si="88"/>
        <v>0</v>
      </c>
      <c r="EM41" s="38">
        <f t="shared" si="88"/>
        <v>0</v>
      </c>
      <c r="EN41" s="38">
        <f t="shared" si="88"/>
        <v>0</v>
      </c>
      <c r="EP41" s="30">
        <f>I41</f>
        <v>0</v>
      </c>
      <c r="EQ41" s="31">
        <f>INDEX($L$23:$EN$23,1,$D41+1)</f>
        <v>44592</v>
      </c>
      <c r="ER41" s="31">
        <f>INDEX($L$23:$EN$23,1,$E41+1)</f>
        <v>45107</v>
      </c>
      <c r="ES41" s="30">
        <f>+E41-D41+1</f>
        <v>18</v>
      </c>
      <c r="ET41" s="24" t="str">
        <f>F41</f>
        <v>Straight-Line</v>
      </c>
      <c r="EU41" s="217">
        <f>ES41/Scurve_Dist</f>
        <v>3</v>
      </c>
      <c r="EV41" s="30">
        <f t="shared" si="89"/>
        <v>0</v>
      </c>
      <c r="EW41" s="30">
        <f t="shared" si="89"/>
        <v>0</v>
      </c>
      <c r="EX41" s="30">
        <f t="shared" si="89"/>
        <v>0</v>
      </c>
      <c r="EY41" s="30">
        <f t="shared" si="89"/>
        <v>0</v>
      </c>
      <c r="EZ41" s="30">
        <f t="shared" si="89"/>
        <v>0</v>
      </c>
      <c r="FA41" s="30">
        <f t="shared" si="89"/>
        <v>0</v>
      </c>
      <c r="FB41" s="30">
        <f t="shared" si="89"/>
        <v>0</v>
      </c>
      <c r="FC41" s="30">
        <f t="shared" si="89"/>
        <v>0</v>
      </c>
      <c r="FD41" s="30">
        <f t="shared" si="89"/>
        <v>0</v>
      </c>
      <c r="FE41" s="30">
        <f t="shared" si="89"/>
        <v>0</v>
      </c>
      <c r="FF41" s="30">
        <f t="shared" si="89"/>
        <v>0</v>
      </c>
      <c r="FG41" s="30">
        <f t="shared" si="89"/>
        <v>0</v>
      </c>
      <c r="FH41" s="30">
        <f t="shared" si="89"/>
        <v>0</v>
      </c>
      <c r="FI41" s="30">
        <f t="shared" si="89"/>
        <v>0</v>
      </c>
      <c r="FJ41" s="30">
        <f t="shared" si="89"/>
        <v>0</v>
      </c>
      <c r="FK41" s="30">
        <f t="shared" si="89"/>
        <v>0</v>
      </c>
      <c r="FL41" s="30">
        <f t="shared" si="90"/>
        <v>0</v>
      </c>
      <c r="FM41" s="30">
        <f t="shared" si="90"/>
        <v>0</v>
      </c>
      <c r="FN41" s="30">
        <f t="shared" si="90"/>
        <v>0</v>
      </c>
      <c r="FO41" s="30">
        <f t="shared" si="90"/>
        <v>0</v>
      </c>
      <c r="FP41" s="30">
        <f t="shared" si="90"/>
        <v>0</v>
      </c>
      <c r="FQ41" s="30">
        <f t="shared" si="90"/>
        <v>0</v>
      </c>
      <c r="FR41" s="30">
        <f t="shared" si="90"/>
        <v>0</v>
      </c>
      <c r="FS41" s="30">
        <f t="shared" si="90"/>
        <v>0</v>
      </c>
      <c r="FT41" s="30">
        <f t="shared" si="90"/>
        <v>0</v>
      </c>
      <c r="FU41" s="30">
        <f t="shared" si="90"/>
        <v>0</v>
      </c>
      <c r="FV41" s="30">
        <f t="shared" si="90"/>
        <v>0</v>
      </c>
      <c r="FW41" s="30">
        <f t="shared" si="90"/>
        <v>0</v>
      </c>
      <c r="FX41" s="30">
        <f t="shared" si="90"/>
        <v>0</v>
      </c>
      <c r="FY41" s="30">
        <f t="shared" si="90"/>
        <v>0</v>
      </c>
      <c r="FZ41" s="30">
        <f t="shared" si="90"/>
        <v>0</v>
      </c>
      <c r="GA41" s="30">
        <f t="shared" si="90"/>
        <v>0</v>
      </c>
      <c r="GB41" s="30">
        <f t="shared" si="91"/>
        <v>0</v>
      </c>
      <c r="GC41" s="30">
        <f t="shared" si="91"/>
        <v>0</v>
      </c>
      <c r="GD41" s="30">
        <f t="shared" si="91"/>
        <v>0</v>
      </c>
      <c r="GE41" s="30">
        <f t="shared" si="91"/>
        <v>0</v>
      </c>
      <c r="GF41" s="30">
        <f t="shared" si="91"/>
        <v>0</v>
      </c>
      <c r="GG41" s="30">
        <f t="shared" si="91"/>
        <v>0</v>
      </c>
      <c r="GH41" s="30">
        <f t="shared" si="91"/>
        <v>0</v>
      </c>
      <c r="GI41" s="30">
        <f t="shared" si="91"/>
        <v>0</v>
      </c>
      <c r="GJ41" s="30">
        <f t="shared" si="91"/>
        <v>0</v>
      </c>
      <c r="GK41" s="30">
        <f t="shared" si="91"/>
        <v>0</v>
      </c>
      <c r="GL41" s="30">
        <f t="shared" si="91"/>
        <v>0</v>
      </c>
      <c r="GM41" s="30">
        <f t="shared" si="91"/>
        <v>0</v>
      </c>
      <c r="GN41" s="30">
        <f t="shared" si="91"/>
        <v>0</v>
      </c>
      <c r="GO41" s="30">
        <f t="shared" si="91"/>
        <v>0</v>
      </c>
      <c r="GP41" s="30">
        <f t="shared" si="91"/>
        <v>0</v>
      </c>
      <c r="GQ41" s="30">
        <f t="shared" si="91"/>
        <v>0</v>
      </c>
      <c r="GR41" s="30">
        <f t="shared" si="92"/>
        <v>0</v>
      </c>
      <c r="GS41" s="30">
        <f t="shared" si="92"/>
        <v>0</v>
      </c>
      <c r="GT41" s="30">
        <f t="shared" si="92"/>
        <v>0</v>
      </c>
      <c r="GU41" s="30">
        <f t="shared" si="92"/>
        <v>0</v>
      </c>
      <c r="GV41" s="30">
        <f t="shared" si="92"/>
        <v>0</v>
      </c>
      <c r="GW41" s="30">
        <f t="shared" si="92"/>
        <v>0</v>
      </c>
      <c r="GX41" s="30">
        <f t="shared" si="92"/>
        <v>0</v>
      </c>
      <c r="GY41" s="30">
        <f t="shared" si="92"/>
        <v>0</v>
      </c>
      <c r="GZ41" s="30">
        <f t="shared" si="92"/>
        <v>0</v>
      </c>
      <c r="HA41" s="30">
        <f t="shared" si="92"/>
        <v>0</v>
      </c>
      <c r="HB41" s="30">
        <f t="shared" si="92"/>
        <v>0</v>
      </c>
      <c r="HC41" s="30">
        <f t="shared" si="92"/>
        <v>0</v>
      </c>
      <c r="HD41" s="30">
        <f t="shared" si="92"/>
        <v>0</v>
      </c>
      <c r="HE41" s="30">
        <f t="shared" si="92"/>
        <v>0</v>
      </c>
      <c r="HF41" s="30">
        <f t="shared" si="92"/>
        <v>0</v>
      </c>
      <c r="HG41" s="30">
        <f t="shared" si="92"/>
        <v>0</v>
      </c>
      <c r="HH41" s="30">
        <f t="shared" si="93"/>
        <v>0</v>
      </c>
      <c r="HI41" s="30">
        <f t="shared" si="93"/>
        <v>0</v>
      </c>
      <c r="HJ41" s="30">
        <f t="shared" si="93"/>
        <v>0</v>
      </c>
      <c r="HK41" s="30">
        <f t="shared" si="93"/>
        <v>0</v>
      </c>
      <c r="HL41" s="30">
        <f t="shared" si="93"/>
        <v>0</v>
      </c>
      <c r="HM41" s="30">
        <f t="shared" si="93"/>
        <v>0</v>
      </c>
      <c r="HN41" s="30">
        <f t="shared" si="93"/>
        <v>0</v>
      </c>
      <c r="HO41" s="30">
        <f t="shared" si="93"/>
        <v>0</v>
      </c>
      <c r="HP41" s="30">
        <f t="shared" si="93"/>
        <v>0</v>
      </c>
      <c r="HQ41" s="30">
        <f t="shared" si="93"/>
        <v>0</v>
      </c>
      <c r="HR41" s="30">
        <f t="shared" si="93"/>
        <v>0</v>
      </c>
      <c r="HS41" s="30">
        <f t="shared" si="93"/>
        <v>0</v>
      </c>
      <c r="HT41" s="30">
        <f t="shared" si="93"/>
        <v>0</v>
      </c>
      <c r="HU41" s="30">
        <f t="shared" si="93"/>
        <v>0</v>
      </c>
      <c r="HV41" s="30">
        <f t="shared" si="93"/>
        <v>0</v>
      </c>
      <c r="HW41" s="30">
        <f t="shared" si="93"/>
        <v>0</v>
      </c>
      <c r="HX41" s="30">
        <f t="shared" si="94"/>
        <v>0</v>
      </c>
      <c r="HY41" s="30">
        <f t="shared" si="94"/>
        <v>0</v>
      </c>
      <c r="HZ41" s="30">
        <f t="shared" si="94"/>
        <v>0</v>
      </c>
      <c r="IA41" s="30">
        <f t="shared" si="94"/>
        <v>0</v>
      </c>
      <c r="IB41" s="30">
        <f t="shared" si="94"/>
        <v>0</v>
      </c>
      <c r="IC41" s="30">
        <f t="shared" si="94"/>
        <v>0</v>
      </c>
      <c r="ID41" s="30">
        <f t="shared" si="94"/>
        <v>0</v>
      </c>
      <c r="IE41" s="30">
        <f t="shared" si="94"/>
        <v>0</v>
      </c>
      <c r="IF41" s="30">
        <f t="shared" si="94"/>
        <v>0</v>
      </c>
      <c r="IG41" s="30">
        <f t="shared" si="94"/>
        <v>0</v>
      </c>
      <c r="IH41" s="30">
        <f t="shared" si="94"/>
        <v>0</v>
      </c>
      <c r="II41" s="30">
        <f t="shared" si="94"/>
        <v>0</v>
      </c>
      <c r="IJ41" s="30">
        <f t="shared" si="94"/>
        <v>0</v>
      </c>
      <c r="IK41" s="30">
        <f t="shared" si="94"/>
        <v>0</v>
      </c>
      <c r="IL41" s="30">
        <f t="shared" si="94"/>
        <v>0</v>
      </c>
      <c r="IM41" s="30">
        <f t="shared" si="94"/>
        <v>0</v>
      </c>
      <c r="IN41" s="30">
        <f t="shared" si="95"/>
        <v>0</v>
      </c>
      <c r="IO41" s="30">
        <f t="shared" si="95"/>
        <v>0</v>
      </c>
      <c r="IP41" s="30">
        <f t="shared" si="95"/>
        <v>0</v>
      </c>
      <c r="IQ41" s="30">
        <f t="shared" si="95"/>
        <v>0</v>
      </c>
      <c r="IR41" s="30">
        <f t="shared" si="95"/>
        <v>0</v>
      </c>
      <c r="IS41" s="30">
        <f t="shared" si="95"/>
        <v>0</v>
      </c>
      <c r="IT41" s="30">
        <f t="shared" si="95"/>
        <v>0</v>
      </c>
      <c r="IU41" s="30">
        <f t="shared" si="95"/>
        <v>0</v>
      </c>
      <c r="IV41" s="30">
        <f t="shared" si="95"/>
        <v>0</v>
      </c>
      <c r="IW41" s="30">
        <f t="shared" si="95"/>
        <v>0</v>
      </c>
      <c r="IX41" s="30">
        <f t="shared" si="95"/>
        <v>0</v>
      </c>
      <c r="IY41" s="30">
        <f t="shared" si="95"/>
        <v>0</v>
      </c>
      <c r="IZ41" s="30">
        <f t="shared" si="95"/>
        <v>0</v>
      </c>
      <c r="JA41" s="30">
        <f t="shared" si="95"/>
        <v>0</v>
      </c>
      <c r="JB41" s="30">
        <f t="shared" si="95"/>
        <v>0</v>
      </c>
      <c r="JC41" s="30">
        <f t="shared" si="95"/>
        <v>0</v>
      </c>
      <c r="JD41" s="30">
        <f t="shared" si="96"/>
        <v>0</v>
      </c>
      <c r="JE41" s="30">
        <f t="shared" si="96"/>
        <v>0</v>
      </c>
      <c r="JF41" s="30">
        <f t="shared" si="96"/>
        <v>0</v>
      </c>
      <c r="JG41" s="30">
        <f t="shared" si="96"/>
        <v>0</v>
      </c>
      <c r="JH41" s="30">
        <f t="shared" si="96"/>
        <v>0</v>
      </c>
      <c r="JI41" s="30">
        <f t="shared" si="96"/>
        <v>0</v>
      </c>
      <c r="JJ41" s="30">
        <f t="shared" si="96"/>
        <v>0</v>
      </c>
      <c r="JK41" s="30">
        <f t="shared" si="96"/>
        <v>0</v>
      </c>
      <c r="JL41" s="30">
        <f t="shared" si="96"/>
        <v>0</v>
      </c>
      <c r="JM41" s="30">
        <f t="shared" si="96"/>
        <v>0</v>
      </c>
      <c r="JN41" s="30">
        <f t="shared" si="96"/>
        <v>0</v>
      </c>
      <c r="JO41" s="30">
        <f t="shared" si="96"/>
        <v>0</v>
      </c>
      <c r="JP41" s="30">
        <f t="shared" si="96"/>
        <v>0</v>
      </c>
      <c r="JQ41" s="30">
        <f t="shared" si="96"/>
        <v>0</v>
      </c>
      <c r="JR41" s="30">
        <f t="shared" si="96"/>
        <v>0</v>
      </c>
      <c r="JS41" s="30">
        <f t="shared" si="96"/>
        <v>0</v>
      </c>
      <c r="JT41" s="30">
        <f t="shared" si="97"/>
        <v>0</v>
      </c>
      <c r="JU41" s="30">
        <f t="shared" si="97"/>
        <v>0</v>
      </c>
      <c r="JV41" s="30">
        <f t="shared" si="97"/>
        <v>0</v>
      </c>
      <c r="JW41" s="30">
        <f t="shared" si="97"/>
        <v>0</v>
      </c>
      <c r="JX41" s="30">
        <f t="shared" si="97"/>
        <v>0</v>
      </c>
    </row>
    <row r="42" spans="1:284" s="7" customFormat="1" ht="16.5" x14ac:dyDescent="0.35">
      <c r="A42" s="406"/>
      <c r="B42" s="141" t="s">
        <v>530</v>
      </c>
      <c r="C42" s="607">
        <v>3.5000000000000003E-2</v>
      </c>
      <c r="D42" s="132">
        <v>1</v>
      </c>
      <c r="E42" s="132">
        <v>18</v>
      </c>
      <c r="F42" s="133" t="s">
        <v>26</v>
      </c>
      <c r="G42" s="126">
        <f>I42/Units_SF_M2</f>
        <v>8.0361900417937626</v>
      </c>
      <c r="H42" s="126">
        <f>I42/Units</f>
        <v>6830.761535524699</v>
      </c>
      <c r="I42" s="608">
        <v>2049228.4606574096</v>
      </c>
      <c r="K42" s="7" t="str">
        <f t="shared" si="74"/>
        <v/>
      </c>
      <c r="L42" s="39">
        <f t="shared" si="75"/>
        <v>0</v>
      </c>
      <c r="M42" s="39">
        <f t="shared" si="75"/>
        <v>113846.02559207831</v>
      </c>
      <c r="N42" s="39">
        <f t="shared" si="75"/>
        <v>113846.02559207831</v>
      </c>
      <c r="O42" s="39">
        <f t="shared" si="75"/>
        <v>113846.02559207831</v>
      </c>
      <c r="P42" s="39">
        <f t="shared" si="75"/>
        <v>113846.02559207831</v>
      </c>
      <c r="Q42" s="39">
        <f t="shared" si="75"/>
        <v>113846.02559207831</v>
      </c>
      <c r="R42" s="39">
        <f t="shared" si="75"/>
        <v>113846.02559207831</v>
      </c>
      <c r="S42" s="39">
        <f t="shared" si="75"/>
        <v>113846.02559207831</v>
      </c>
      <c r="T42" s="39">
        <f t="shared" si="75"/>
        <v>113846.02559207831</v>
      </c>
      <c r="U42" s="39">
        <f t="shared" si="75"/>
        <v>113846.02559207831</v>
      </c>
      <c r="V42" s="39">
        <f t="shared" si="76"/>
        <v>113846.02559207831</v>
      </c>
      <c r="W42" s="39">
        <f t="shared" si="76"/>
        <v>113846.02559207831</v>
      </c>
      <c r="X42" s="39">
        <f t="shared" si="76"/>
        <v>113846.02559207831</v>
      </c>
      <c r="Y42" s="39">
        <f t="shared" si="76"/>
        <v>113846.02559207831</v>
      </c>
      <c r="Z42" s="39">
        <f t="shared" si="76"/>
        <v>113846.02559207831</v>
      </c>
      <c r="AA42" s="39">
        <f t="shared" si="76"/>
        <v>113846.02559207831</v>
      </c>
      <c r="AB42" s="39">
        <f t="shared" si="76"/>
        <v>113846.02559207831</v>
      </c>
      <c r="AC42" s="39">
        <f t="shared" si="76"/>
        <v>113846.02559207831</v>
      </c>
      <c r="AD42" s="39">
        <f t="shared" si="76"/>
        <v>113846.02559207831</v>
      </c>
      <c r="AE42" s="39">
        <f t="shared" si="76"/>
        <v>0</v>
      </c>
      <c r="AF42" s="39">
        <f t="shared" si="77"/>
        <v>0</v>
      </c>
      <c r="AG42" s="39">
        <f t="shared" si="77"/>
        <v>0</v>
      </c>
      <c r="AH42" s="39">
        <f t="shared" si="77"/>
        <v>0</v>
      </c>
      <c r="AI42" s="39">
        <f t="shared" si="77"/>
        <v>0</v>
      </c>
      <c r="AJ42" s="39">
        <f t="shared" si="77"/>
        <v>0</v>
      </c>
      <c r="AK42" s="39">
        <f t="shared" si="77"/>
        <v>0</v>
      </c>
      <c r="AL42" s="39">
        <f t="shared" si="77"/>
        <v>0</v>
      </c>
      <c r="AM42" s="39">
        <f t="shared" si="77"/>
        <v>0</v>
      </c>
      <c r="AN42" s="39">
        <f t="shared" si="77"/>
        <v>0</v>
      </c>
      <c r="AO42" s="39">
        <f t="shared" si="77"/>
        <v>0</v>
      </c>
      <c r="AP42" s="39">
        <f t="shared" si="78"/>
        <v>0</v>
      </c>
      <c r="AQ42" s="39">
        <f t="shared" si="78"/>
        <v>0</v>
      </c>
      <c r="AR42" s="39">
        <f t="shared" si="78"/>
        <v>0</v>
      </c>
      <c r="AS42" s="39">
        <f t="shared" si="78"/>
        <v>0</v>
      </c>
      <c r="AT42" s="39">
        <f t="shared" si="78"/>
        <v>0</v>
      </c>
      <c r="AU42" s="39">
        <f t="shared" si="78"/>
        <v>0</v>
      </c>
      <c r="AV42" s="39">
        <f t="shared" si="78"/>
        <v>0</v>
      </c>
      <c r="AW42" s="39">
        <f t="shared" si="78"/>
        <v>0</v>
      </c>
      <c r="AX42" s="39">
        <f t="shared" si="78"/>
        <v>0</v>
      </c>
      <c r="AY42" s="39">
        <f t="shared" si="78"/>
        <v>0</v>
      </c>
      <c r="AZ42" s="39">
        <f t="shared" si="79"/>
        <v>0</v>
      </c>
      <c r="BA42" s="39">
        <f t="shared" si="79"/>
        <v>0</v>
      </c>
      <c r="BB42" s="39">
        <f t="shared" si="79"/>
        <v>0</v>
      </c>
      <c r="BC42" s="39">
        <f t="shared" si="79"/>
        <v>0</v>
      </c>
      <c r="BD42" s="39">
        <f t="shared" si="79"/>
        <v>0</v>
      </c>
      <c r="BE42" s="39">
        <f t="shared" si="79"/>
        <v>0</v>
      </c>
      <c r="BF42" s="39">
        <f t="shared" si="79"/>
        <v>0</v>
      </c>
      <c r="BG42" s="39">
        <f t="shared" si="79"/>
        <v>0</v>
      </c>
      <c r="BH42" s="39">
        <f t="shared" si="79"/>
        <v>0</v>
      </c>
      <c r="BI42" s="39">
        <f t="shared" si="79"/>
        <v>0</v>
      </c>
      <c r="BJ42" s="39">
        <f t="shared" si="80"/>
        <v>0</v>
      </c>
      <c r="BK42" s="39">
        <f t="shared" si="80"/>
        <v>0</v>
      </c>
      <c r="BL42" s="39">
        <f t="shared" si="80"/>
        <v>0</v>
      </c>
      <c r="BM42" s="39">
        <f t="shared" si="80"/>
        <v>0</v>
      </c>
      <c r="BN42" s="39">
        <f t="shared" si="80"/>
        <v>0</v>
      </c>
      <c r="BO42" s="39">
        <f t="shared" si="80"/>
        <v>0</v>
      </c>
      <c r="BP42" s="39">
        <f t="shared" si="80"/>
        <v>0</v>
      </c>
      <c r="BQ42" s="39">
        <f t="shared" si="80"/>
        <v>0</v>
      </c>
      <c r="BR42" s="39">
        <f t="shared" si="80"/>
        <v>0</v>
      </c>
      <c r="BS42" s="39">
        <f t="shared" si="80"/>
        <v>0</v>
      </c>
      <c r="BT42" s="39">
        <f t="shared" si="81"/>
        <v>0</v>
      </c>
      <c r="BU42" s="39">
        <f t="shared" si="81"/>
        <v>0</v>
      </c>
      <c r="BV42" s="39">
        <f t="shared" si="81"/>
        <v>0</v>
      </c>
      <c r="BW42" s="39">
        <f t="shared" si="81"/>
        <v>0</v>
      </c>
      <c r="BX42" s="39">
        <f t="shared" si="81"/>
        <v>0</v>
      </c>
      <c r="BY42" s="39">
        <f t="shared" si="81"/>
        <v>0</v>
      </c>
      <c r="BZ42" s="39">
        <f t="shared" si="81"/>
        <v>0</v>
      </c>
      <c r="CA42" s="39">
        <f t="shared" si="81"/>
        <v>0</v>
      </c>
      <c r="CB42" s="39">
        <f t="shared" si="81"/>
        <v>0</v>
      </c>
      <c r="CC42" s="39">
        <f t="shared" si="81"/>
        <v>0</v>
      </c>
      <c r="CD42" s="39">
        <f t="shared" si="82"/>
        <v>0</v>
      </c>
      <c r="CE42" s="39">
        <f t="shared" si="82"/>
        <v>0</v>
      </c>
      <c r="CF42" s="39">
        <f t="shared" si="82"/>
        <v>0</v>
      </c>
      <c r="CG42" s="39">
        <f t="shared" si="82"/>
        <v>0</v>
      </c>
      <c r="CH42" s="39">
        <f t="shared" si="82"/>
        <v>0</v>
      </c>
      <c r="CI42" s="39">
        <f t="shared" si="82"/>
        <v>0</v>
      </c>
      <c r="CJ42" s="39">
        <f t="shared" si="82"/>
        <v>0</v>
      </c>
      <c r="CK42" s="39">
        <f t="shared" si="82"/>
        <v>0</v>
      </c>
      <c r="CL42" s="39">
        <f t="shared" si="82"/>
        <v>0</v>
      </c>
      <c r="CM42" s="39">
        <f t="shared" si="82"/>
        <v>0</v>
      </c>
      <c r="CN42" s="39">
        <f t="shared" si="83"/>
        <v>0</v>
      </c>
      <c r="CO42" s="39">
        <f t="shared" si="83"/>
        <v>0</v>
      </c>
      <c r="CP42" s="39">
        <f t="shared" si="83"/>
        <v>0</v>
      </c>
      <c r="CQ42" s="39">
        <f t="shared" si="83"/>
        <v>0</v>
      </c>
      <c r="CR42" s="39">
        <f t="shared" si="83"/>
        <v>0</v>
      </c>
      <c r="CS42" s="39">
        <f t="shared" si="83"/>
        <v>0</v>
      </c>
      <c r="CT42" s="39">
        <f t="shared" si="83"/>
        <v>0</v>
      </c>
      <c r="CU42" s="39">
        <f t="shared" si="83"/>
        <v>0</v>
      </c>
      <c r="CV42" s="39">
        <f t="shared" si="83"/>
        <v>0</v>
      </c>
      <c r="CW42" s="39">
        <f t="shared" si="83"/>
        <v>0</v>
      </c>
      <c r="CX42" s="39">
        <f t="shared" si="84"/>
        <v>0</v>
      </c>
      <c r="CY42" s="39">
        <f t="shared" si="84"/>
        <v>0</v>
      </c>
      <c r="CZ42" s="39">
        <f t="shared" si="84"/>
        <v>0</v>
      </c>
      <c r="DA42" s="39">
        <f t="shared" si="84"/>
        <v>0</v>
      </c>
      <c r="DB42" s="39">
        <f t="shared" si="84"/>
        <v>0</v>
      </c>
      <c r="DC42" s="39">
        <f t="shared" si="84"/>
        <v>0</v>
      </c>
      <c r="DD42" s="39">
        <f t="shared" si="84"/>
        <v>0</v>
      </c>
      <c r="DE42" s="39">
        <f t="shared" si="84"/>
        <v>0</v>
      </c>
      <c r="DF42" s="39">
        <f t="shared" si="84"/>
        <v>0</v>
      </c>
      <c r="DG42" s="39">
        <f t="shared" si="84"/>
        <v>0</v>
      </c>
      <c r="DH42" s="39">
        <f t="shared" si="85"/>
        <v>0</v>
      </c>
      <c r="DI42" s="39">
        <f t="shared" si="85"/>
        <v>0</v>
      </c>
      <c r="DJ42" s="39">
        <f t="shared" si="85"/>
        <v>0</v>
      </c>
      <c r="DK42" s="39">
        <f t="shared" si="85"/>
        <v>0</v>
      </c>
      <c r="DL42" s="39">
        <f t="shared" si="85"/>
        <v>0</v>
      </c>
      <c r="DM42" s="39">
        <f t="shared" si="85"/>
        <v>0</v>
      </c>
      <c r="DN42" s="39">
        <f t="shared" si="85"/>
        <v>0</v>
      </c>
      <c r="DO42" s="39">
        <f t="shared" si="85"/>
        <v>0</v>
      </c>
      <c r="DP42" s="39">
        <f t="shared" si="85"/>
        <v>0</v>
      </c>
      <c r="DQ42" s="39">
        <f t="shared" si="85"/>
        <v>0</v>
      </c>
      <c r="DR42" s="39">
        <f t="shared" si="86"/>
        <v>0</v>
      </c>
      <c r="DS42" s="39">
        <f t="shared" si="86"/>
        <v>0</v>
      </c>
      <c r="DT42" s="39">
        <f t="shared" si="86"/>
        <v>0</v>
      </c>
      <c r="DU42" s="39">
        <f t="shared" si="86"/>
        <v>0</v>
      </c>
      <c r="DV42" s="39">
        <f t="shared" si="86"/>
        <v>0</v>
      </c>
      <c r="DW42" s="39">
        <f t="shared" si="86"/>
        <v>0</v>
      </c>
      <c r="DX42" s="39">
        <f t="shared" si="86"/>
        <v>0</v>
      </c>
      <c r="DY42" s="39">
        <f t="shared" si="86"/>
        <v>0</v>
      </c>
      <c r="DZ42" s="39">
        <f t="shared" si="86"/>
        <v>0</v>
      </c>
      <c r="EA42" s="39">
        <f t="shared" si="86"/>
        <v>0</v>
      </c>
      <c r="EB42" s="39">
        <f t="shared" si="87"/>
        <v>0</v>
      </c>
      <c r="EC42" s="39">
        <f t="shared" si="87"/>
        <v>0</v>
      </c>
      <c r="ED42" s="39">
        <f t="shared" si="87"/>
        <v>0</v>
      </c>
      <c r="EE42" s="39">
        <f t="shared" si="87"/>
        <v>0</v>
      </c>
      <c r="EF42" s="39">
        <f t="shared" si="87"/>
        <v>0</v>
      </c>
      <c r="EG42" s="39">
        <f t="shared" si="87"/>
        <v>0</v>
      </c>
      <c r="EH42" s="39">
        <f t="shared" si="87"/>
        <v>0</v>
      </c>
      <c r="EI42" s="39">
        <f t="shared" si="87"/>
        <v>0</v>
      </c>
      <c r="EJ42" s="39">
        <f t="shared" si="87"/>
        <v>0</v>
      </c>
      <c r="EK42" s="39">
        <f t="shared" si="87"/>
        <v>0</v>
      </c>
      <c r="EL42" s="39">
        <f t="shared" si="88"/>
        <v>0</v>
      </c>
      <c r="EM42" s="39">
        <f t="shared" si="88"/>
        <v>0</v>
      </c>
      <c r="EN42" s="39">
        <f t="shared" si="88"/>
        <v>0</v>
      </c>
      <c r="EP42" s="30">
        <f>I42</f>
        <v>2049228.4606574096</v>
      </c>
      <c r="EQ42" s="31">
        <f>INDEX($L$23:$EN$23,1,$D42+1)</f>
        <v>44592</v>
      </c>
      <c r="ER42" s="31">
        <f>INDEX($L$23:$EN$23,1,$E42+1)</f>
        <v>45107</v>
      </c>
      <c r="ES42" s="30">
        <f>+E42-D42+1</f>
        <v>18</v>
      </c>
      <c r="ET42" s="24" t="str">
        <f>F42</f>
        <v>Straight-Line</v>
      </c>
      <c r="EU42" s="217">
        <f>ES42/Scurve_Dist</f>
        <v>3</v>
      </c>
      <c r="EV42" s="30">
        <f t="shared" si="89"/>
        <v>0</v>
      </c>
      <c r="EW42" s="30">
        <f t="shared" si="89"/>
        <v>0</v>
      </c>
      <c r="EX42" s="30">
        <f t="shared" si="89"/>
        <v>0</v>
      </c>
      <c r="EY42" s="30">
        <f t="shared" si="89"/>
        <v>0</v>
      </c>
      <c r="EZ42" s="30">
        <f t="shared" si="89"/>
        <v>0</v>
      </c>
      <c r="FA42" s="30">
        <f t="shared" si="89"/>
        <v>0</v>
      </c>
      <c r="FB42" s="30">
        <f t="shared" si="89"/>
        <v>0</v>
      </c>
      <c r="FC42" s="30">
        <f t="shared" si="89"/>
        <v>0</v>
      </c>
      <c r="FD42" s="30">
        <f t="shared" si="89"/>
        <v>0</v>
      </c>
      <c r="FE42" s="30">
        <f t="shared" si="89"/>
        <v>0</v>
      </c>
      <c r="FF42" s="30">
        <f t="shared" si="89"/>
        <v>0</v>
      </c>
      <c r="FG42" s="30">
        <f t="shared" si="89"/>
        <v>0</v>
      </c>
      <c r="FH42" s="30">
        <f t="shared" si="89"/>
        <v>0</v>
      </c>
      <c r="FI42" s="30">
        <f t="shared" si="89"/>
        <v>0</v>
      </c>
      <c r="FJ42" s="30">
        <f t="shared" si="89"/>
        <v>0</v>
      </c>
      <c r="FK42" s="30">
        <f t="shared" si="89"/>
        <v>0</v>
      </c>
      <c r="FL42" s="30">
        <f t="shared" si="90"/>
        <v>0</v>
      </c>
      <c r="FM42" s="30">
        <f t="shared" si="90"/>
        <v>0</v>
      </c>
      <c r="FN42" s="30">
        <f t="shared" si="90"/>
        <v>0</v>
      </c>
      <c r="FO42" s="30">
        <f t="shared" si="90"/>
        <v>0</v>
      </c>
      <c r="FP42" s="30">
        <f t="shared" si="90"/>
        <v>0</v>
      </c>
      <c r="FQ42" s="30">
        <f t="shared" si="90"/>
        <v>0</v>
      </c>
      <c r="FR42" s="30">
        <f t="shared" si="90"/>
        <v>0</v>
      </c>
      <c r="FS42" s="30">
        <f t="shared" si="90"/>
        <v>0</v>
      </c>
      <c r="FT42" s="30">
        <f t="shared" si="90"/>
        <v>0</v>
      </c>
      <c r="FU42" s="30">
        <f t="shared" si="90"/>
        <v>0</v>
      </c>
      <c r="FV42" s="30">
        <f t="shared" si="90"/>
        <v>0</v>
      </c>
      <c r="FW42" s="30">
        <f t="shared" si="90"/>
        <v>0</v>
      </c>
      <c r="FX42" s="30">
        <f t="shared" si="90"/>
        <v>0</v>
      </c>
      <c r="FY42" s="30">
        <f t="shared" si="90"/>
        <v>0</v>
      </c>
      <c r="FZ42" s="30">
        <f t="shared" si="90"/>
        <v>0</v>
      </c>
      <c r="GA42" s="30">
        <f t="shared" si="90"/>
        <v>0</v>
      </c>
      <c r="GB42" s="30">
        <f t="shared" si="91"/>
        <v>0</v>
      </c>
      <c r="GC42" s="30">
        <f t="shared" si="91"/>
        <v>0</v>
      </c>
      <c r="GD42" s="30">
        <f t="shared" si="91"/>
        <v>0</v>
      </c>
      <c r="GE42" s="30">
        <f t="shared" si="91"/>
        <v>0</v>
      </c>
      <c r="GF42" s="30">
        <f t="shared" si="91"/>
        <v>0</v>
      </c>
      <c r="GG42" s="30">
        <f t="shared" si="91"/>
        <v>0</v>
      </c>
      <c r="GH42" s="30">
        <f t="shared" si="91"/>
        <v>0</v>
      </c>
      <c r="GI42" s="30">
        <f t="shared" si="91"/>
        <v>0</v>
      </c>
      <c r="GJ42" s="30">
        <f t="shared" si="91"/>
        <v>0</v>
      </c>
      <c r="GK42" s="30">
        <f t="shared" si="91"/>
        <v>0</v>
      </c>
      <c r="GL42" s="30">
        <f t="shared" si="91"/>
        <v>0</v>
      </c>
      <c r="GM42" s="30">
        <f t="shared" si="91"/>
        <v>0</v>
      </c>
      <c r="GN42" s="30">
        <f t="shared" si="91"/>
        <v>0</v>
      </c>
      <c r="GO42" s="30">
        <f t="shared" si="91"/>
        <v>0</v>
      </c>
      <c r="GP42" s="30">
        <f t="shared" si="91"/>
        <v>0</v>
      </c>
      <c r="GQ42" s="30">
        <f t="shared" si="91"/>
        <v>0</v>
      </c>
      <c r="GR42" s="30">
        <f t="shared" si="92"/>
        <v>0</v>
      </c>
      <c r="GS42" s="30">
        <f t="shared" si="92"/>
        <v>0</v>
      </c>
      <c r="GT42" s="30">
        <f t="shared" si="92"/>
        <v>0</v>
      </c>
      <c r="GU42" s="30">
        <f t="shared" si="92"/>
        <v>0</v>
      </c>
      <c r="GV42" s="30">
        <f t="shared" si="92"/>
        <v>0</v>
      </c>
      <c r="GW42" s="30">
        <f t="shared" si="92"/>
        <v>0</v>
      </c>
      <c r="GX42" s="30">
        <f t="shared" si="92"/>
        <v>0</v>
      </c>
      <c r="GY42" s="30">
        <f t="shared" si="92"/>
        <v>0</v>
      </c>
      <c r="GZ42" s="30">
        <f t="shared" si="92"/>
        <v>0</v>
      </c>
      <c r="HA42" s="30">
        <f t="shared" si="92"/>
        <v>0</v>
      </c>
      <c r="HB42" s="30">
        <f t="shared" si="92"/>
        <v>0</v>
      </c>
      <c r="HC42" s="30">
        <f t="shared" si="92"/>
        <v>0</v>
      </c>
      <c r="HD42" s="30">
        <f t="shared" si="92"/>
        <v>0</v>
      </c>
      <c r="HE42" s="30">
        <f t="shared" si="92"/>
        <v>0</v>
      </c>
      <c r="HF42" s="30">
        <f t="shared" si="92"/>
        <v>0</v>
      </c>
      <c r="HG42" s="30">
        <f t="shared" si="92"/>
        <v>0</v>
      </c>
      <c r="HH42" s="30">
        <f t="shared" si="93"/>
        <v>0</v>
      </c>
      <c r="HI42" s="30">
        <f t="shared" si="93"/>
        <v>0</v>
      </c>
      <c r="HJ42" s="30">
        <f t="shared" si="93"/>
        <v>0</v>
      </c>
      <c r="HK42" s="30">
        <f t="shared" si="93"/>
        <v>0</v>
      </c>
      <c r="HL42" s="30">
        <f t="shared" si="93"/>
        <v>0</v>
      </c>
      <c r="HM42" s="30">
        <f t="shared" si="93"/>
        <v>0</v>
      </c>
      <c r="HN42" s="30">
        <f t="shared" si="93"/>
        <v>0</v>
      </c>
      <c r="HO42" s="30">
        <f t="shared" si="93"/>
        <v>0</v>
      </c>
      <c r="HP42" s="30">
        <f t="shared" si="93"/>
        <v>0</v>
      </c>
      <c r="HQ42" s="30">
        <f t="shared" si="93"/>
        <v>0</v>
      </c>
      <c r="HR42" s="30">
        <f t="shared" si="93"/>
        <v>0</v>
      </c>
      <c r="HS42" s="30">
        <f t="shared" si="93"/>
        <v>0</v>
      </c>
      <c r="HT42" s="30">
        <f t="shared" si="93"/>
        <v>0</v>
      </c>
      <c r="HU42" s="30">
        <f t="shared" si="93"/>
        <v>0</v>
      </c>
      <c r="HV42" s="30">
        <f t="shared" si="93"/>
        <v>0</v>
      </c>
      <c r="HW42" s="30">
        <f t="shared" si="93"/>
        <v>0</v>
      </c>
      <c r="HX42" s="30">
        <f t="shared" si="94"/>
        <v>0</v>
      </c>
      <c r="HY42" s="30">
        <f t="shared" si="94"/>
        <v>0</v>
      </c>
      <c r="HZ42" s="30">
        <f t="shared" si="94"/>
        <v>0</v>
      </c>
      <c r="IA42" s="30">
        <f t="shared" si="94"/>
        <v>0</v>
      </c>
      <c r="IB42" s="30">
        <f t="shared" si="94"/>
        <v>0</v>
      </c>
      <c r="IC42" s="30">
        <f t="shared" si="94"/>
        <v>0</v>
      </c>
      <c r="ID42" s="30">
        <f t="shared" si="94"/>
        <v>0</v>
      </c>
      <c r="IE42" s="30">
        <f t="shared" si="94"/>
        <v>0</v>
      </c>
      <c r="IF42" s="30">
        <f t="shared" si="94"/>
        <v>0</v>
      </c>
      <c r="IG42" s="30">
        <f t="shared" si="94"/>
        <v>0</v>
      </c>
      <c r="IH42" s="30">
        <f t="shared" si="94"/>
        <v>0</v>
      </c>
      <c r="II42" s="30">
        <f t="shared" si="94"/>
        <v>0</v>
      </c>
      <c r="IJ42" s="30">
        <f t="shared" si="94"/>
        <v>0</v>
      </c>
      <c r="IK42" s="30">
        <f t="shared" si="94"/>
        <v>0</v>
      </c>
      <c r="IL42" s="30">
        <f t="shared" si="94"/>
        <v>0</v>
      </c>
      <c r="IM42" s="30">
        <f t="shared" si="94"/>
        <v>0</v>
      </c>
      <c r="IN42" s="30">
        <f t="shared" si="95"/>
        <v>0</v>
      </c>
      <c r="IO42" s="30">
        <f t="shared" si="95"/>
        <v>0</v>
      </c>
      <c r="IP42" s="30">
        <f t="shared" si="95"/>
        <v>0</v>
      </c>
      <c r="IQ42" s="30">
        <f t="shared" si="95"/>
        <v>0</v>
      </c>
      <c r="IR42" s="30">
        <f t="shared" si="95"/>
        <v>0</v>
      </c>
      <c r="IS42" s="30">
        <f t="shared" si="95"/>
        <v>0</v>
      </c>
      <c r="IT42" s="30">
        <f t="shared" si="95"/>
        <v>0</v>
      </c>
      <c r="IU42" s="30">
        <f t="shared" si="95"/>
        <v>0</v>
      </c>
      <c r="IV42" s="30">
        <f t="shared" si="95"/>
        <v>0</v>
      </c>
      <c r="IW42" s="30">
        <f t="shared" si="95"/>
        <v>0</v>
      </c>
      <c r="IX42" s="30">
        <f t="shared" si="95"/>
        <v>0</v>
      </c>
      <c r="IY42" s="30">
        <f t="shared" si="95"/>
        <v>0</v>
      </c>
      <c r="IZ42" s="30">
        <f t="shared" si="95"/>
        <v>0</v>
      </c>
      <c r="JA42" s="30">
        <f t="shared" si="95"/>
        <v>0</v>
      </c>
      <c r="JB42" s="30">
        <f t="shared" si="95"/>
        <v>0</v>
      </c>
      <c r="JC42" s="30">
        <f t="shared" si="95"/>
        <v>0</v>
      </c>
      <c r="JD42" s="30">
        <f t="shared" si="96"/>
        <v>0</v>
      </c>
      <c r="JE42" s="30">
        <f t="shared" si="96"/>
        <v>0</v>
      </c>
      <c r="JF42" s="30">
        <f t="shared" si="96"/>
        <v>0</v>
      </c>
      <c r="JG42" s="30">
        <f t="shared" si="96"/>
        <v>0</v>
      </c>
      <c r="JH42" s="30">
        <f t="shared" si="96"/>
        <v>0</v>
      </c>
      <c r="JI42" s="30">
        <f t="shared" si="96"/>
        <v>0</v>
      </c>
      <c r="JJ42" s="30">
        <f t="shared" si="96"/>
        <v>0</v>
      </c>
      <c r="JK42" s="30">
        <f t="shared" si="96"/>
        <v>0</v>
      </c>
      <c r="JL42" s="30">
        <f t="shared" si="96"/>
        <v>0</v>
      </c>
      <c r="JM42" s="30">
        <f t="shared" si="96"/>
        <v>0</v>
      </c>
      <c r="JN42" s="30">
        <f t="shared" si="96"/>
        <v>0</v>
      </c>
      <c r="JO42" s="30">
        <f t="shared" si="96"/>
        <v>0</v>
      </c>
      <c r="JP42" s="30">
        <f t="shared" si="96"/>
        <v>0</v>
      </c>
      <c r="JQ42" s="30">
        <f t="shared" si="96"/>
        <v>0</v>
      </c>
      <c r="JR42" s="30">
        <f t="shared" si="96"/>
        <v>0</v>
      </c>
      <c r="JS42" s="30">
        <f t="shared" si="96"/>
        <v>0</v>
      </c>
      <c r="JT42" s="30">
        <f t="shared" si="97"/>
        <v>0</v>
      </c>
      <c r="JU42" s="30">
        <f t="shared" si="97"/>
        <v>0</v>
      </c>
      <c r="JV42" s="30">
        <f t="shared" si="97"/>
        <v>0</v>
      </c>
      <c r="JW42" s="30">
        <f t="shared" si="97"/>
        <v>0</v>
      </c>
      <c r="JX42" s="30">
        <f t="shared" si="97"/>
        <v>0</v>
      </c>
    </row>
    <row r="43" spans="1:284" s="7" customFormat="1" x14ac:dyDescent="0.2">
      <c r="A43" s="406"/>
      <c r="B43" s="134" t="s">
        <v>35</v>
      </c>
      <c r="C43" s="120"/>
      <c r="D43" s="135">
        <f>MIN(D38:D42)</f>
        <v>1</v>
      </c>
      <c r="E43" s="135">
        <f>MAX(E38:E42)</f>
        <v>18</v>
      </c>
      <c r="F43" s="133"/>
      <c r="G43" s="389">
        <f>SUM(G38:G42)</f>
        <v>22.659719453558466</v>
      </c>
      <c r="H43" s="123">
        <f>SUM(H38:H42)</f>
        <v>19260.7615355247</v>
      </c>
      <c r="I43" s="136">
        <f>SUM(I38:I42)</f>
        <v>5778228.4606574094</v>
      </c>
      <c r="K43" s="7" t="str">
        <f t="shared" si="74"/>
        <v/>
      </c>
      <c r="L43" s="38">
        <f t="shared" ref="L43:AQ43" si="98">SUM(L38:L42)</f>
        <v>0</v>
      </c>
      <c r="M43" s="38">
        <f t="shared" si="98"/>
        <v>321012.69225874497</v>
      </c>
      <c r="N43" s="38">
        <f t="shared" si="98"/>
        <v>321012.69225874497</v>
      </c>
      <c r="O43" s="38">
        <f t="shared" si="98"/>
        <v>321012.69225874497</v>
      </c>
      <c r="P43" s="38">
        <f t="shared" si="98"/>
        <v>321012.69225874497</v>
      </c>
      <c r="Q43" s="38">
        <f t="shared" si="98"/>
        <v>321012.69225874497</v>
      </c>
      <c r="R43" s="38">
        <f t="shared" si="98"/>
        <v>321012.69225874497</v>
      </c>
      <c r="S43" s="38">
        <f t="shared" si="98"/>
        <v>321012.69225874497</v>
      </c>
      <c r="T43" s="38">
        <f t="shared" si="98"/>
        <v>321012.69225874497</v>
      </c>
      <c r="U43" s="38">
        <f t="shared" si="98"/>
        <v>321012.69225874497</v>
      </c>
      <c r="V43" s="38">
        <f t="shared" si="98"/>
        <v>321012.69225874497</v>
      </c>
      <c r="W43" s="38">
        <f t="shared" si="98"/>
        <v>321012.69225874497</v>
      </c>
      <c r="X43" s="38">
        <f t="shared" si="98"/>
        <v>321012.69225874497</v>
      </c>
      <c r="Y43" s="38">
        <f t="shared" si="98"/>
        <v>321012.69225874497</v>
      </c>
      <c r="Z43" s="38">
        <f t="shared" si="98"/>
        <v>321012.69225874497</v>
      </c>
      <c r="AA43" s="38">
        <f t="shared" si="98"/>
        <v>321012.69225874497</v>
      </c>
      <c r="AB43" s="38">
        <f t="shared" si="98"/>
        <v>321012.69225874497</v>
      </c>
      <c r="AC43" s="38">
        <f t="shared" si="98"/>
        <v>321012.69225874497</v>
      </c>
      <c r="AD43" s="38">
        <f t="shared" si="98"/>
        <v>321012.69225874497</v>
      </c>
      <c r="AE43" s="38">
        <f t="shared" si="98"/>
        <v>0</v>
      </c>
      <c r="AF43" s="38">
        <f t="shared" si="98"/>
        <v>0</v>
      </c>
      <c r="AG43" s="38">
        <f t="shared" si="98"/>
        <v>0</v>
      </c>
      <c r="AH43" s="38">
        <f t="shared" si="98"/>
        <v>0</v>
      </c>
      <c r="AI43" s="38">
        <f t="shared" si="98"/>
        <v>0</v>
      </c>
      <c r="AJ43" s="38">
        <f t="shared" si="98"/>
        <v>0</v>
      </c>
      <c r="AK43" s="38">
        <f t="shared" si="98"/>
        <v>0</v>
      </c>
      <c r="AL43" s="38">
        <f t="shared" si="98"/>
        <v>0</v>
      </c>
      <c r="AM43" s="38">
        <f t="shared" si="98"/>
        <v>0</v>
      </c>
      <c r="AN43" s="38">
        <f t="shared" si="98"/>
        <v>0</v>
      </c>
      <c r="AO43" s="38">
        <f t="shared" si="98"/>
        <v>0</v>
      </c>
      <c r="AP43" s="38">
        <f t="shared" si="98"/>
        <v>0</v>
      </c>
      <c r="AQ43" s="38">
        <f t="shared" si="98"/>
        <v>0</v>
      </c>
      <c r="AR43" s="38">
        <f t="shared" ref="AR43:BW43" si="99">SUM(AR38:AR42)</f>
        <v>0</v>
      </c>
      <c r="AS43" s="38">
        <f t="shared" si="99"/>
        <v>0</v>
      </c>
      <c r="AT43" s="38">
        <f t="shared" si="99"/>
        <v>0</v>
      </c>
      <c r="AU43" s="38">
        <f t="shared" si="99"/>
        <v>0</v>
      </c>
      <c r="AV43" s="38">
        <f t="shared" si="99"/>
        <v>0</v>
      </c>
      <c r="AW43" s="38">
        <f t="shared" si="99"/>
        <v>0</v>
      </c>
      <c r="AX43" s="38">
        <f t="shared" si="99"/>
        <v>0</v>
      </c>
      <c r="AY43" s="38">
        <f t="shared" si="99"/>
        <v>0</v>
      </c>
      <c r="AZ43" s="38">
        <f t="shared" si="99"/>
        <v>0</v>
      </c>
      <c r="BA43" s="38">
        <f t="shared" si="99"/>
        <v>0</v>
      </c>
      <c r="BB43" s="38">
        <f t="shared" si="99"/>
        <v>0</v>
      </c>
      <c r="BC43" s="38">
        <f t="shared" si="99"/>
        <v>0</v>
      </c>
      <c r="BD43" s="38">
        <f t="shared" si="99"/>
        <v>0</v>
      </c>
      <c r="BE43" s="38">
        <f t="shared" si="99"/>
        <v>0</v>
      </c>
      <c r="BF43" s="38">
        <f t="shared" si="99"/>
        <v>0</v>
      </c>
      <c r="BG43" s="38">
        <f t="shared" si="99"/>
        <v>0</v>
      </c>
      <c r="BH43" s="38">
        <f t="shared" si="99"/>
        <v>0</v>
      </c>
      <c r="BI43" s="38">
        <f t="shared" si="99"/>
        <v>0</v>
      </c>
      <c r="BJ43" s="38">
        <f t="shared" si="99"/>
        <v>0</v>
      </c>
      <c r="BK43" s="38">
        <f t="shared" si="99"/>
        <v>0</v>
      </c>
      <c r="BL43" s="38">
        <f t="shared" si="99"/>
        <v>0</v>
      </c>
      <c r="BM43" s="38">
        <f t="shared" si="99"/>
        <v>0</v>
      </c>
      <c r="BN43" s="38">
        <f t="shared" si="99"/>
        <v>0</v>
      </c>
      <c r="BO43" s="38">
        <f t="shared" si="99"/>
        <v>0</v>
      </c>
      <c r="BP43" s="38">
        <f t="shared" si="99"/>
        <v>0</v>
      </c>
      <c r="BQ43" s="38">
        <f t="shared" si="99"/>
        <v>0</v>
      </c>
      <c r="BR43" s="38">
        <f t="shared" si="99"/>
        <v>0</v>
      </c>
      <c r="BS43" s="38">
        <f t="shared" si="99"/>
        <v>0</v>
      </c>
      <c r="BT43" s="38">
        <f t="shared" si="99"/>
        <v>0</v>
      </c>
      <c r="BU43" s="38">
        <f t="shared" si="99"/>
        <v>0</v>
      </c>
      <c r="BV43" s="38">
        <f t="shared" si="99"/>
        <v>0</v>
      </c>
      <c r="BW43" s="38">
        <f t="shared" si="99"/>
        <v>0</v>
      </c>
      <c r="BX43" s="38">
        <f t="shared" ref="BX43:DC43" si="100">SUM(BX38:BX42)</f>
        <v>0</v>
      </c>
      <c r="BY43" s="38">
        <f t="shared" si="100"/>
        <v>0</v>
      </c>
      <c r="BZ43" s="38">
        <f t="shared" si="100"/>
        <v>0</v>
      </c>
      <c r="CA43" s="38">
        <f t="shared" si="100"/>
        <v>0</v>
      </c>
      <c r="CB43" s="38">
        <f t="shared" si="100"/>
        <v>0</v>
      </c>
      <c r="CC43" s="38">
        <f t="shared" si="100"/>
        <v>0</v>
      </c>
      <c r="CD43" s="38">
        <f t="shared" si="100"/>
        <v>0</v>
      </c>
      <c r="CE43" s="38">
        <f t="shared" si="100"/>
        <v>0</v>
      </c>
      <c r="CF43" s="38">
        <f t="shared" si="100"/>
        <v>0</v>
      </c>
      <c r="CG43" s="38">
        <f t="shared" si="100"/>
        <v>0</v>
      </c>
      <c r="CH43" s="38">
        <f t="shared" si="100"/>
        <v>0</v>
      </c>
      <c r="CI43" s="38">
        <f t="shared" si="100"/>
        <v>0</v>
      </c>
      <c r="CJ43" s="38">
        <f t="shared" si="100"/>
        <v>0</v>
      </c>
      <c r="CK43" s="38">
        <f t="shared" si="100"/>
        <v>0</v>
      </c>
      <c r="CL43" s="38">
        <f t="shared" si="100"/>
        <v>0</v>
      </c>
      <c r="CM43" s="38">
        <f t="shared" si="100"/>
        <v>0</v>
      </c>
      <c r="CN43" s="38">
        <f t="shared" si="100"/>
        <v>0</v>
      </c>
      <c r="CO43" s="38">
        <f t="shared" si="100"/>
        <v>0</v>
      </c>
      <c r="CP43" s="38">
        <f t="shared" si="100"/>
        <v>0</v>
      </c>
      <c r="CQ43" s="38">
        <f t="shared" si="100"/>
        <v>0</v>
      </c>
      <c r="CR43" s="38">
        <f t="shared" si="100"/>
        <v>0</v>
      </c>
      <c r="CS43" s="38">
        <f t="shared" si="100"/>
        <v>0</v>
      </c>
      <c r="CT43" s="38">
        <f t="shared" si="100"/>
        <v>0</v>
      </c>
      <c r="CU43" s="38">
        <f t="shared" si="100"/>
        <v>0</v>
      </c>
      <c r="CV43" s="38">
        <f t="shared" si="100"/>
        <v>0</v>
      </c>
      <c r="CW43" s="38">
        <f t="shared" si="100"/>
        <v>0</v>
      </c>
      <c r="CX43" s="38">
        <f t="shared" si="100"/>
        <v>0</v>
      </c>
      <c r="CY43" s="38">
        <f t="shared" si="100"/>
        <v>0</v>
      </c>
      <c r="CZ43" s="38">
        <f t="shared" si="100"/>
        <v>0</v>
      </c>
      <c r="DA43" s="38">
        <f t="shared" si="100"/>
        <v>0</v>
      </c>
      <c r="DB43" s="38">
        <f t="shared" si="100"/>
        <v>0</v>
      </c>
      <c r="DC43" s="38">
        <f t="shared" si="100"/>
        <v>0</v>
      </c>
      <c r="DD43" s="38">
        <f t="shared" ref="DD43:EI43" si="101">SUM(DD38:DD42)</f>
        <v>0</v>
      </c>
      <c r="DE43" s="38">
        <f t="shared" si="101"/>
        <v>0</v>
      </c>
      <c r="DF43" s="38">
        <f t="shared" si="101"/>
        <v>0</v>
      </c>
      <c r="DG43" s="38">
        <f t="shared" si="101"/>
        <v>0</v>
      </c>
      <c r="DH43" s="38">
        <f t="shared" si="101"/>
        <v>0</v>
      </c>
      <c r="DI43" s="38">
        <f t="shared" si="101"/>
        <v>0</v>
      </c>
      <c r="DJ43" s="38">
        <f t="shared" si="101"/>
        <v>0</v>
      </c>
      <c r="DK43" s="38">
        <f t="shared" si="101"/>
        <v>0</v>
      </c>
      <c r="DL43" s="38">
        <f t="shared" si="101"/>
        <v>0</v>
      </c>
      <c r="DM43" s="38">
        <f t="shared" si="101"/>
        <v>0</v>
      </c>
      <c r="DN43" s="38">
        <f t="shared" si="101"/>
        <v>0</v>
      </c>
      <c r="DO43" s="38">
        <f t="shared" si="101"/>
        <v>0</v>
      </c>
      <c r="DP43" s="38">
        <f t="shared" si="101"/>
        <v>0</v>
      </c>
      <c r="DQ43" s="38">
        <f t="shared" si="101"/>
        <v>0</v>
      </c>
      <c r="DR43" s="38">
        <f t="shared" si="101"/>
        <v>0</v>
      </c>
      <c r="DS43" s="38">
        <f t="shared" si="101"/>
        <v>0</v>
      </c>
      <c r="DT43" s="38">
        <f t="shared" si="101"/>
        <v>0</v>
      </c>
      <c r="DU43" s="38">
        <f t="shared" si="101"/>
        <v>0</v>
      </c>
      <c r="DV43" s="38">
        <f t="shared" si="101"/>
        <v>0</v>
      </c>
      <c r="DW43" s="38">
        <f t="shared" si="101"/>
        <v>0</v>
      </c>
      <c r="DX43" s="38">
        <f t="shared" si="101"/>
        <v>0</v>
      </c>
      <c r="DY43" s="38">
        <f t="shared" si="101"/>
        <v>0</v>
      </c>
      <c r="DZ43" s="38">
        <f t="shared" si="101"/>
        <v>0</v>
      </c>
      <c r="EA43" s="38">
        <f t="shared" si="101"/>
        <v>0</v>
      </c>
      <c r="EB43" s="38">
        <f t="shared" si="101"/>
        <v>0</v>
      </c>
      <c r="EC43" s="38">
        <f t="shared" si="101"/>
        <v>0</v>
      </c>
      <c r="ED43" s="38">
        <f t="shared" si="101"/>
        <v>0</v>
      </c>
      <c r="EE43" s="38">
        <f t="shared" si="101"/>
        <v>0</v>
      </c>
      <c r="EF43" s="38">
        <f t="shared" si="101"/>
        <v>0</v>
      </c>
      <c r="EG43" s="38">
        <f t="shared" si="101"/>
        <v>0</v>
      </c>
      <c r="EH43" s="38">
        <f t="shared" si="101"/>
        <v>0</v>
      </c>
      <c r="EI43" s="38">
        <f t="shared" si="101"/>
        <v>0</v>
      </c>
      <c r="EJ43" s="38">
        <f>SUM(EJ38:EJ42)</f>
        <v>0</v>
      </c>
      <c r="EK43" s="38">
        <f>SUM(EK38:EK42)</f>
        <v>0</v>
      </c>
      <c r="EL43" s="38">
        <f>SUM(EL38:EL42)</f>
        <v>0</v>
      </c>
      <c r="EM43" s="38">
        <f>SUM(EM38:EM42)</f>
        <v>0</v>
      </c>
      <c r="EN43" s="38">
        <f>SUM(EN38:EN42)</f>
        <v>0</v>
      </c>
      <c r="EP43" s="24"/>
      <c r="EQ43" s="33" t="s">
        <v>218</v>
      </c>
      <c r="ER43" s="79">
        <f>COUNTA($B$38:$B$42)</f>
        <v>5</v>
      </c>
      <c r="ES43" s="24"/>
      <c r="ET43" s="24"/>
      <c r="EU43" s="33"/>
      <c r="EV43" s="24"/>
      <c r="EW43" s="24"/>
      <c r="EX43" s="24"/>
      <c r="EY43" s="24"/>
      <c r="EZ43" s="24"/>
      <c r="FA43" s="24"/>
      <c r="FB43" s="24"/>
      <c r="FC43" s="24"/>
      <c r="FD43" s="24"/>
      <c r="FE43" s="24"/>
      <c r="FF43" s="24"/>
      <c r="FG43" s="24"/>
      <c r="FH43" s="24"/>
      <c r="FI43" s="24"/>
      <c r="FJ43" s="24"/>
      <c r="FK43" s="24"/>
      <c r="FL43" s="24"/>
      <c r="FM43" s="24"/>
      <c r="FN43" s="24"/>
      <c r="FO43" s="24"/>
      <c r="FP43" s="24"/>
      <c r="FQ43" s="24"/>
      <c r="FR43" s="24"/>
      <c r="FS43" s="24"/>
      <c r="FT43" s="24"/>
      <c r="FU43" s="24"/>
      <c r="FV43" s="24"/>
      <c r="FW43" s="24"/>
      <c r="FX43" s="24"/>
      <c r="FY43" s="24"/>
      <c r="FZ43" s="24"/>
      <c r="GA43" s="24"/>
      <c r="GB43" s="24"/>
      <c r="GC43" s="24"/>
      <c r="GD43" s="24"/>
      <c r="GE43" s="24"/>
      <c r="GF43" s="24"/>
      <c r="GG43" s="24"/>
      <c r="GH43" s="24"/>
      <c r="GI43" s="24"/>
      <c r="GJ43" s="24"/>
      <c r="GK43" s="24"/>
      <c r="GL43" s="24"/>
      <c r="GM43" s="24"/>
      <c r="GN43" s="24"/>
      <c r="GO43" s="24"/>
      <c r="GP43" s="24"/>
      <c r="GQ43" s="24"/>
      <c r="GR43" s="24"/>
      <c r="GS43" s="24"/>
      <c r="GT43" s="24"/>
      <c r="GU43" s="24"/>
      <c r="GV43" s="24"/>
      <c r="GW43" s="24"/>
      <c r="GX43" s="24"/>
      <c r="GY43" s="24"/>
      <c r="GZ43" s="24"/>
      <c r="HA43" s="24"/>
      <c r="HB43" s="24"/>
      <c r="HC43" s="24"/>
      <c r="HD43" s="24"/>
      <c r="HE43" s="24"/>
      <c r="HF43" s="24"/>
      <c r="HG43" s="24"/>
      <c r="HH43" s="24"/>
      <c r="HI43" s="24"/>
      <c r="HJ43" s="24"/>
      <c r="HK43" s="24"/>
      <c r="HL43" s="24"/>
      <c r="HM43" s="24"/>
      <c r="HN43" s="24"/>
      <c r="HO43" s="24"/>
      <c r="HP43" s="24"/>
      <c r="HQ43" s="24"/>
      <c r="HR43" s="24"/>
      <c r="HS43" s="24"/>
      <c r="HT43" s="24"/>
      <c r="HU43" s="24"/>
      <c r="HV43" s="24"/>
      <c r="HW43" s="24"/>
      <c r="HX43" s="24"/>
      <c r="HY43" s="24"/>
      <c r="HZ43" s="24"/>
      <c r="IA43" s="24"/>
      <c r="IB43" s="24"/>
      <c r="IC43" s="24"/>
      <c r="ID43" s="24"/>
      <c r="IE43" s="24"/>
      <c r="IF43" s="24"/>
      <c r="IG43" s="24"/>
      <c r="IH43" s="24"/>
      <c r="II43" s="24"/>
      <c r="IJ43" s="24"/>
      <c r="IK43" s="24"/>
      <c r="IL43" s="24"/>
      <c r="IM43" s="24"/>
      <c r="IN43" s="24"/>
      <c r="IO43" s="24"/>
      <c r="IP43" s="24"/>
      <c r="IQ43" s="24"/>
      <c r="IR43" s="24"/>
      <c r="IS43" s="24"/>
      <c r="IT43" s="24"/>
      <c r="IU43" s="24"/>
      <c r="IV43" s="24"/>
      <c r="IW43" s="24"/>
      <c r="IX43" s="24"/>
      <c r="IY43" s="24"/>
      <c r="IZ43" s="24"/>
      <c r="JA43" s="24"/>
      <c r="JB43" s="24"/>
      <c r="JC43" s="24"/>
      <c r="JD43" s="24"/>
      <c r="JE43" s="24"/>
      <c r="JF43" s="24"/>
      <c r="JG43" s="24"/>
      <c r="JH43" s="24"/>
      <c r="JI43" s="24"/>
      <c r="JJ43" s="24"/>
      <c r="JK43" s="24"/>
      <c r="JL43" s="24"/>
      <c r="JM43" s="24"/>
      <c r="JN43" s="24"/>
      <c r="JO43" s="24"/>
      <c r="JP43" s="24"/>
      <c r="JQ43" s="24"/>
      <c r="JR43" s="24"/>
      <c r="JS43" s="24"/>
      <c r="JT43" s="24"/>
      <c r="JU43" s="24"/>
      <c r="JV43" s="24"/>
      <c r="JW43" s="24"/>
      <c r="JX43" s="24"/>
    </row>
    <row r="44" spans="1:284" s="7" customFormat="1" ht="4.9000000000000004" customHeight="1" x14ac:dyDescent="0.2">
      <c r="A44" s="406"/>
      <c r="B44" s="137"/>
      <c r="C44" s="120"/>
      <c r="D44" s="132"/>
      <c r="E44" s="120"/>
      <c r="F44" s="132"/>
      <c r="G44" s="397"/>
      <c r="H44" s="138"/>
      <c r="I44" s="138"/>
      <c r="EP44" s="24"/>
      <c r="EQ44" s="24"/>
      <c r="ER44" s="24"/>
      <c r="ES44" s="24"/>
      <c r="ET44" s="24"/>
      <c r="EU44" s="33"/>
      <c r="EV44" s="24"/>
      <c r="EW44" s="24"/>
      <c r="EX44" s="24"/>
      <c r="EY44" s="24"/>
      <c r="EZ44" s="24"/>
      <c r="FA44" s="24"/>
      <c r="FB44" s="24"/>
      <c r="FC44" s="24"/>
      <c r="FD44" s="24"/>
      <c r="FE44" s="24"/>
      <c r="FF44" s="24"/>
      <c r="FG44" s="24"/>
      <c r="FH44" s="24"/>
      <c r="FI44" s="24"/>
      <c r="FJ44" s="24"/>
      <c r="FK44" s="24"/>
      <c r="FL44" s="24"/>
      <c r="FM44" s="24"/>
      <c r="FN44" s="24"/>
      <c r="FO44" s="24"/>
      <c r="FP44" s="24"/>
      <c r="FQ44" s="24"/>
      <c r="FR44" s="24"/>
      <c r="FS44" s="24"/>
      <c r="FT44" s="24"/>
      <c r="FU44" s="24"/>
      <c r="FV44" s="24"/>
      <c r="FW44" s="24"/>
      <c r="FX44" s="24"/>
      <c r="FY44" s="24"/>
      <c r="FZ44" s="24"/>
      <c r="GA44" s="24"/>
      <c r="GB44" s="24"/>
      <c r="GC44" s="24"/>
      <c r="GD44" s="24"/>
      <c r="GE44" s="24"/>
      <c r="GF44" s="24"/>
      <c r="GG44" s="24"/>
      <c r="GH44" s="24"/>
      <c r="GI44" s="24"/>
      <c r="GJ44" s="24"/>
      <c r="GK44" s="24"/>
      <c r="GL44" s="24"/>
      <c r="GM44" s="24"/>
      <c r="GN44" s="24"/>
      <c r="GO44" s="24"/>
      <c r="GP44" s="24"/>
      <c r="GQ44" s="24"/>
      <c r="GR44" s="24"/>
      <c r="GS44" s="24"/>
      <c r="GT44" s="24"/>
      <c r="GU44" s="24"/>
      <c r="GV44" s="24"/>
      <c r="GW44" s="24"/>
      <c r="GX44" s="24"/>
      <c r="GY44" s="24"/>
      <c r="GZ44" s="24"/>
      <c r="HA44" s="24"/>
      <c r="HB44" s="24"/>
      <c r="HC44" s="24"/>
      <c r="HD44" s="24"/>
      <c r="HE44" s="24"/>
      <c r="HF44" s="24"/>
      <c r="HG44" s="24"/>
      <c r="HH44" s="24"/>
      <c r="HI44" s="24"/>
      <c r="HJ44" s="24"/>
      <c r="HK44" s="24"/>
      <c r="HL44" s="24"/>
      <c r="HM44" s="24"/>
      <c r="HN44" s="24"/>
      <c r="HO44" s="24"/>
      <c r="HP44" s="24"/>
      <c r="HQ44" s="24"/>
      <c r="HR44" s="24"/>
      <c r="HS44" s="24"/>
      <c r="HT44" s="24"/>
      <c r="HU44" s="24"/>
      <c r="HV44" s="24"/>
      <c r="HW44" s="24"/>
      <c r="HX44" s="24"/>
      <c r="HY44" s="24"/>
      <c r="HZ44" s="24"/>
      <c r="IA44" s="24"/>
      <c r="IB44" s="24"/>
      <c r="IC44" s="24"/>
      <c r="ID44" s="24"/>
      <c r="IE44" s="24"/>
      <c r="IF44" s="24"/>
      <c r="IG44" s="24"/>
      <c r="IH44" s="24"/>
      <c r="II44" s="24"/>
      <c r="IJ44" s="24"/>
      <c r="IK44" s="24"/>
      <c r="IL44" s="24"/>
      <c r="IM44" s="24"/>
      <c r="IN44" s="24"/>
      <c r="IO44" s="24"/>
      <c r="IP44" s="24"/>
      <c r="IQ44" s="24"/>
      <c r="IR44" s="24"/>
      <c r="IS44" s="24"/>
      <c r="IT44" s="24"/>
      <c r="IU44" s="24"/>
      <c r="IV44" s="24"/>
      <c r="IW44" s="24"/>
      <c r="IX44" s="24"/>
      <c r="IY44" s="24"/>
      <c r="IZ44" s="24"/>
      <c r="JA44" s="24"/>
      <c r="JB44" s="24"/>
      <c r="JC44" s="24"/>
      <c r="JD44" s="24"/>
      <c r="JE44" s="24"/>
      <c r="JF44" s="24"/>
      <c r="JG44" s="24"/>
      <c r="JH44" s="24"/>
      <c r="JI44" s="24"/>
      <c r="JJ44" s="24"/>
      <c r="JK44" s="24"/>
      <c r="JL44" s="24"/>
      <c r="JM44" s="24"/>
      <c r="JN44" s="24"/>
      <c r="JO44" s="24"/>
      <c r="JP44" s="24"/>
      <c r="JQ44" s="24"/>
      <c r="JR44" s="24"/>
      <c r="JS44" s="24"/>
      <c r="JT44" s="24"/>
      <c r="JU44" s="24"/>
      <c r="JV44" s="24"/>
      <c r="JW44" s="24"/>
      <c r="JX44" s="24"/>
    </row>
    <row r="45" spans="1:284" s="76" customFormat="1" x14ac:dyDescent="0.2">
      <c r="A45" s="406"/>
      <c r="B45" s="134" t="s">
        <v>520</v>
      </c>
      <c r="C45" s="139"/>
      <c r="D45" s="135"/>
      <c r="E45" s="139"/>
      <c r="F45" s="135"/>
      <c r="G45" s="398">
        <f>+G43+G35+G29</f>
        <v>213.65387239473495</v>
      </c>
      <c r="H45" s="140">
        <f>+H43+H35+H29</f>
        <v>181605.79153552471</v>
      </c>
      <c r="I45" s="140">
        <f>+I43+I35+I29</f>
        <v>54481737.46065741</v>
      </c>
      <c r="L45" s="78">
        <f t="shared" ref="L45:AQ45" si="102">+L43+L35+L29</f>
        <v>3028509</v>
      </c>
      <c r="M45" s="78">
        <f t="shared" si="102"/>
        <v>434615.43632992054</v>
      </c>
      <c r="N45" s="78">
        <f t="shared" si="102"/>
        <v>595115.21586161223</v>
      </c>
      <c r="O45" s="78">
        <f t="shared" si="102"/>
        <v>913409.18359364895</v>
      </c>
      <c r="P45" s="78">
        <f t="shared" si="102"/>
        <v>1467820.9038815256</v>
      </c>
      <c r="Q45" s="78">
        <f t="shared" si="102"/>
        <v>2309629.6734741665</v>
      </c>
      <c r="R45" s="78">
        <f t="shared" si="102"/>
        <v>3409858.2075612606</v>
      </c>
      <c r="S45" s="78">
        <f t="shared" si="102"/>
        <v>4618633.3206490651</v>
      </c>
      <c r="T45" s="78">
        <f t="shared" si="102"/>
        <v>5677109.6220104769</v>
      </c>
      <c r="U45" s="78">
        <f t="shared" si="102"/>
        <v>6300422.6669670288</v>
      </c>
      <c r="V45" s="78">
        <f t="shared" si="102"/>
        <v>6300422.6669670306</v>
      </c>
      <c r="W45" s="78">
        <f t="shared" si="102"/>
        <v>5677109.622010475</v>
      </c>
      <c r="X45" s="78">
        <f t="shared" si="102"/>
        <v>4618633.3206490669</v>
      </c>
      <c r="Y45" s="78">
        <f t="shared" si="102"/>
        <v>3409858.2075612592</v>
      </c>
      <c r="Z45" s="78">
        <f t="shared" si="102"/>
        <v>2309629.6734741665</v>
      </c>
      <c r="AA45" s="78">
        <f t="shared" si="102"/>
        <v>1467820.9038815245</v>
      </c>
      <c r="AB45" s="78">
        <f t="shared" si="102"/>
        <v>913409.1835936507</v>
      </c>
      <c r="AC45" s="78">
        <f t="shared" si="102"/>
        <v>595115.21586160944</v>
      </c>
      <c r="AD45" s="78">
        <f t="shared" si="102"/>
        <v>434615.43632992188</v>
      </c>
      <c r="AE45" s="78">
        <f t="shared" si="102"/>
        <v>0</v>
      </c>
      <c r="AF45" s="78">
        <f t="shared" si="102"/>
        <v>0</v>
      </c>
      <c r="AG45" s="78">
        <f t="shared" si="102"/>
        <v>0</v>
      </c>
      <c r="AH45" s="78">
        <f t="shared" si="102"/>
        <v>0</v>
      </c>
      <c r="AI45" s="78">
        <f t="shared" si="102"/>
        <v>0</v>
      </c>
      <c r="AJ45" s="78">
        <f t="shared" si="102"/>
        <v>0</v>
      </c>
      <c r="AK45" s="78">
        <f t="shared" si="102"/>
        <v>0</v>
      </c>
      <c r="AL45" s="78">
        <f t="shared" si="102"/>
        <v>0</v>
      </c>
      <c r="AM45" s="78">
        <f t="shared" si="102"/>
        <v>0</v>
      </c>
      <c r="AN45" s="78">
        <f t="shared" si="102"/>
        <v>0</v>
      </c>
      <c r="AO45" s="78">
        <f t="shared" si="102"/>
        <v>0</v>
      </c>
      <c r="AP45" s="78">
        <f t="shared" si="102"/>
        <v>0</v>
      </c>
      <c r="AQ45" s="78">
        <f t="shared" si="102"/>
        <v>0</v>
      </c>
      <c r="AR45" s="78">
        <f t="shared" ref="AR45:BW45" si="103">+AR43+AR35+AR29</f>
        <v>0</v>
      </c>
      <c r="AS45" s="78">
        <f t="shared" si="103"/>
        <v>0</v>
      </c>
      <c r="AT45" s="78">
        <f t="shared" si="103"/>
        <v>0</v>
      </c>
      <c r="AU45" s="78">
        <f t="shared" si="103"/>
        <v>0</v>
      </c>
      <c r="AV45" s="78">
        <f t="shared" si="103"/>
        <v>0</v>
      </c>
      <c r="AW45" s="78">
        <f t="shared" si="103"/>
        <v>0</v>
      </c>
      <c r="AX45" s="78">
        <f t="shared" si="103"/>
        <v>0</v>
      </c>
      <c r="AY45" s="78">
        <f t="shared" si="103"/>
        <v>0</v>
      </c>
      <c r="AZ45" s="78">
        <f t="shared" si="103"/>
        <v>0</v>
      </c>
      <c r="BA45" s="78">
        <f t="shared" si="103"/>
        <v>0</v>
      </c>
      <c r="BB45" s="78">
        <f t="shared" si="103"/>
        <v>0</v>
      </c>
      <c r="BC45" s="78">
        <f t="shared" si="103"/>
        <v>0</v>
      </c>
      <c r="BD45" s="78">
        <f t="shared" si="103"/>
        <v>0</v>
      </c>
      <c r="BE45" s="78">
        <f t="shared" si="103"/>
        <v>0</v>
      </c>
      <c r="BF45" s="78">
        <f t="shared" si="103"/>
        <v>0</v>
      </c>
      <c r="BG45" s="78">
        <f t="shared" si="103"/>
        <v>0</v>
      </c>
      <c r="BH45" s="78">
        <f t="shared" si="103"/>
        <v>0</v>
      </c>
      <c r="BI45" s="78">
        <f t="shared" si="103"/>
        <v>0</v>
      </c>
      <c r="BJ45" s="78">
        <f t="shared" si="103"/>
        <v>0</v>
      </c>
      <c r="BK45" s="78">
        <f t="shared" si="103"/>
        <v>0</v>
      </c>
      <c r="BL45" s="78">
        <f t="shared" si="103"/>
        <v>0</v>
      </c>
      <c r="BM45" s="78">
        <f t="shared" si="103"/>
        <v>0</v>
      </c>
      <c r="BN45" s="78">
        <f t="shared" si="103"/>
        <v>0</v>
      </c>
      <c r="BO45" s="78">
        <f t="shared" si="103"/>
        <v>0</v>
      </c>
      <c r="BP45" s="78">
        <f t="shared" si="103"/>
        <v>0</v>
      </c>
      <c r="BQ45" s="78">
        <f t="shared" si="103"/>
        <v>0</v>
      </c>
      <c r="BR45" s="78">
        <f t="shared" si="103"/>
        <v>0</v>
      </c>
      <c r="BS45" s="78">
        <f t="shared" si="103"/>
        <v>0</v>
      </c>
      <c r="BT45" s="78">
        <f t="shared" si="103"/>
        <v>0</v>
      </c>
      <c r="BU45" s="78">
        <f t="shared" si="103"/>
        <v>0</v>
      </c>
      <c r="BV45" s="78">
        <f t="shared" si="103"/>
        <v>0</v>
      </c>
      <c r="BW45" s="78">
        <f t="shared" si="103"/>
        <v>0</v>
      </c>
      <c r="BX45" s="78">
        <f t="shared" ref="BX45:DC45" si="104">+BX43+BX35+BX29</f>
        <v>0</v>
      </c>
      <c r="BY45" s="78">
        <f t="shared" si="104"/>
        <v>0</v>
      </c>
      <c r="BZ45" s="78">
        <f t="shared" si="104"/>
        <v>0</v>
      </c>
      <c r="CA45" s="78">
        <f t="shared" si="104"/>
        <v>0</v>
      </c>
      <c r="CB45" s="78">
        <f t="shared" si="104"/>
        <v>0</v>
      </c>
      <c r="CC45" s="78">
        <f t="shared" si="104"/>
        <v>0</v>
      </c>
      <c r="CD45" s="78">
        <f t="shared" si="104"/>
        <v>0</v>
      </c>
      <c r="CE45" s="78">
        <f t="shared" si="104"/>
        <v>0</v>
      </c>
      <c r="CF45" s="78">
        <f t="shared" si="104"/>
        <v>0</v>
      </c>
      <c r="CG45" s="78">
        <f t="shared" si="104"/>
        <v>0</v>
      </c>
      <c r="CH45" s="78">
        <f t="shared" si="104"/>
        <v>0</v>
      </c>
      <c r="CI45" s="78">
        <f t="shared" si="104"/>
        <v>0</v>
      </c>
      <c r="CJ45" s="78">
        <f t="shared" si="104"/>
        <v>0</v>
      </c>
      <c r="CK45" s="78">
        <f t="shared" si="104"/>
        <v>0</v>
      </c>
      <c r="CL45" s="78">
        <f t="shared" si="104"/>
        <v>0</v>
      </c>
      <c r="CM45" s="78">
        <f t="shared" si="104"/>
        <v>0</v>
      </c>
      <c r="CN45" s="78">
        <f t="shared" si="104"/>
        <v>0</v>
      </c>
      <c r="CO45" s="78">
        <f t="shared" si="104"/>
        <v>0</v>
      </c>
      <c r="CP45" s="78">
        <f t="shared" si="104"/>
        <v>0</v>
      </c>
      <c r="CQ45" s="78">
        <f t="shared" si="104"/>
        <v>0</v>
      </c>
      <c r="CR45" s="78">
        <f t="shared" si="104"/>
        <v>0</v>
      </c>
      <c r="CS45" s="78">
        <f t="shared" si="104"/>
        <v>0</v>
      </c>
      <c r="CT45" s="78">
        <f t="shared" si="104"/>
        <v>0</v>
      </c>
      <c r="CU45" s="78">
        <f t="shared" si="104"/>
        <v>0</v>
      </c>
      <c r="CV45" s="78">
        <f t="shared" si="104"/>
        <v>0</v>
      </c>
      <c r="CW45" s="78">
        <f t="shared" si="104"/>
        <v>0</v>
      </c>
      <c r="CX45" s="78">
        <f t="shared" si="104"/>
        <v>0</v>
      </c>
      <c r="CY45" s="78">
        <f t="shared" si="104"/>
        <v>0</v>
      </c>
      <c r="CZ45" s="78">
        <f t="shared" si="104"/>
        <v>0</v>
      </c>
      <c r="DA45" s="78">
        <f t="shared" si="104"/>
        <v>0</v>
      </c>
      <c r="DB45" s="78">
        <f t="shared" si="104"/>
        <v>0</v>
      </c>
      <c r="DC45" s="78">
        <f t="shared" si="104"/>
        <v>0</v>
      </c>
      <c r="DD45" s="78">
        <f t="shared" ref="DD45:EN45" si="105">+DD43+DD35+DD29</f>
        <v>0</v>
      </c>
      <c r="DE45" s="78">
        <f t="shared" si="105"/>
        <v>0</v>
      </c>
      <c r="DF45" s="78">
        <f t="shared" si="105"/>
        <v>0</v>
      </c>
      <c r="DG45" s="78">
        <f t="shared" si="105"/>
        <v>0</v>
      </c>
      <c r="DH45" s="78">
        <f t="shared" si="105"/>
        <v>0</v>
      </c>
      <c r="DI45" s="78">
        <f t="shared" si="105"/>
        <v>0</v>
      </c>
      <c r="DJ45" s="78">
        <f t="shared" si="105"/>
        <v>0</v>
      </c>
      <c r="DK45" s="78">
        <f t="shared" si="105"/>
        <v>0</v>
      </c>
      <c r="DL45" s="78">
        <f t="shared" si="105"/>
        <v>0</v>
      </c>
      <c r="DM45" s="78">
        <f t="shared" si="105"/>
        <v>0</v>
      </c>
      <c r="DN45" s="78">
        <f t="shared" si="105"/>
        <v>0</v>
      </c>
      <c r="DO45" s="78">
        <f t="shared" si="105"/>
        <v>0</v>
      </c>
      <c r="DP45" s="78">
        <f t="shared" si="105"/>
        <v>0</v>
      </c>
      <c r="DQ45" s="78">
        <f t="shared" si="105"/>
        <v>0</v>
      </c>
      <c r="DR45" s="78">
        <f t="shared" si="105"/>
        <v>0</v>
      </c>
      <c r="DS45" s="78">
        <f t="shared" si="105"/>
        <v>0</v>
      </c>
      <c r="DT45" s="78">
        <f t="shared" si="105"/>
        <v>0</v>
      </c>
      <c r="DU45" s="78">
        <f t="shared" si="105"/>
        <v>0</v>
      </c>
      <c r="DV45" s="78">
        <f t="shared" si="105"/>
        <v>0</v>
      </c>
      <c r="DW45" s="78">
        <f t="shared" si="105"/>
        <v>0</v>
      </c>
      <c r="DX45" s="78">
        <f t="shared" si="105"/>
        <v>0</v>
      </c>
      <c r="DY45" s="78">
        <f t="shared" si="105"/>
        <v>0</v>
      </c>
      <c r="DZ45" s="78">
        <f t="shared" si="105"/>
        <v>0</v>
      </c>
      <c r="EA45" s="78">
        <f t="shared" si="105"/>
        <v>0</v>
      </c>
      <c r="EB45" s="78">
        <f t="shared" si="105"/>
        <v>0</v>
      </c>
      <c r="EC45" s="78">
        <f t="shared" si="105"/>
        <v>0</v>
      </c>
      <c r="ED45" s="78">
        <f t="shared" si="105"/>
        <v>0</v>
      </c>
      <c r="EE45" s="78">
        <f t="shared" si="105"/>
        <v>0</v>
      </c>
      <c r="EF45" s="78">
        <f t="shared" si="105"/>
        <v>0</v>
      </c>
      <c r="EG45" s="78">
        <f t="shared" si="105"/>
        <v>0</v>
      </c>
      <c r="EH45" s="78">
        <f t="shared" si="105"/>
        <v>0</v>
      </c>
      <c r="EI45" s="78">
        <f t="shared" si="105"/>
        <v>0</v>
      </c>
      <c r="EJ45" s="78">
        <f t="shared" si="105"/>
        <v>0</v>
      </c>
      <c r="EK45" s="78">
        <f t="shared" si="105"/>
        <v>0</v>
      </c>
      <c r="EL45" s="78">
        <f t="shared" si="105"/>
        <v>0</v>
      </c>
      <c r="EM45" s="78">
        <f t="shared" si="105"/>
        <v>0</v>
      </c>
      <c r="EN45" s="78">
        <f t="shared" si="105"/>
        <v>0</v>
      </c>
      <c r="EP45" s="77"/>
      <c r="EQ45" s="77"/>
      <c r="ER45" s="77"/>
      <c r="ES45" s="77"/>
      <c r="ET45" s="77"/>
      <c r="EU45" s="218"/>
      <c r="EV45" s="77"/>
      <c r="EW45" s="77"/>
      <c r="EX45" s="77"/>
      <c r="EY45" s="77"/>
      <c r="EZ45" s="77"/>
      <c r="FA45" s="77"/>
      <c r="FB45" s="77"/>
      <c r="FC45" s="77"/>
      <c r="FD45" s="77"/>
      <c r="FE45" s="77"/>
      <c r="FF45" s="77"/>
      <c r="FG45" s="77"/>
      <c r="FH45" s="77"/>
      <c r="FI45" s="77"/>
      <c r="FJ45" s="77"/>
      <c r="FK45" s="77"/>
      <c r="FL45" s="77"/>
      <c r="FM45" s="77"/>
      <c r="FN45" s="77"/>
      <c r="FO45" s="77"/>
      <c r="FP45" s="77"/>
      <c r="FQ45" s="77"/>
      <c r="FR45" s="77"/>
      <c r="FS45" s="77"/>
      <c r="FT45" s="77"/>
      <c r="FU45" s="77"/>
      <c r="FV45" s="77"/>
      <c r="FW45" s="77"/>
      <c r="FX45" s="77"/>
      <c r="FY45" s="77"/>
      <c r="FZ45" s="77"/>
      <c r="GA45" s="77"/>
      <c r="GB45" s="77"/>
      <c r="GC45" s="77"/>
      <c r="GD45" s="77"/>
      <c r="GE45" s="77"/>
      <c r="GF45" s="77"/>
      <c r="GG45" s="77"/>
      <c r="GH45" s="77"/>
      <c r="GI45" s="77"/>
      <c r="GJ45" s="77"/>
      <c r="GK45" s="77"/>
      <c r="GL45" s="77"/>
      <c r="GM45" s="77"/>
      <c r="GN45" s="77"/>
      <c r="GO45" s="77"/>
      <c r="GP45" s="77"/>
      <c r="GQ45" s="77"/>
      <c r="GR45" s="77"/>
      <c r="GS45" s="77"/>
      <c r="GT45" s="77"/>
      <c r="GU45" s="77"/>
      <c r="GV45" s="77"/>
      <c r="GW45" s="77"/>
      <c r="GX45" s="77"/>
      <c r="GY45" s="77"/>
      <c r="GZ45" s="77"/>
      <c r="HA45" s="77"/>
      <c r="HB45" s="77"/>
      <c r="HC45" s="77"/>
      <c r="HD45" s="77"/>
      <c r="HE45" s="77"/>
      <c r="HF45" s="77"/>
      <c r="HG45" s="77"/>
      <c r="HH45" s="77"/>
      <c r="HI45" s="77"/>
      <c r="HJ45" s="77"/>
      <c r="HK45" s="77"/>
      <c r="HL45" s="77"/>
      <c r="HM45" s="77"/>
      <c r="HN45" s="77"/>
      <c r="HO45" s="77"/>
      <c r="HP45" s="77"/>
      <c r="HQ45" s="77"/>
      <c r="HR45" s="77"/>
      <c r="HS45" s="77"/>
      <c r="HT45" s="77"/>
      <c r="HU45" s="77"/>
      <c r="HV45" s="77"/>
      <c r="HW45" s="77"/>
      <c r="HX45" s="77"/>
      <c r="HY45" s="77"/>
      <c r="HZ45" s="77"/>
      <c r="IA45" s="77"/>
      <c r="IB45" s="77"/>
      <c r="IC45" s="77"/>
      <c r="ID45" s="77"/>
      <c r="IE45" s="77"/>
      <c r="IF45" s="77"/>
      <c r="IG45" s="77"/>
      <c r="IH45" s="77"/>
      <c r="II45" s="77"/>
      <c r="IJ45" s="77"/>
      <c r="IK45" s="77"/>
      <c r="IL45" s="77"/>
      <c r="IM45" s="77"/>
      <c r="IN45" s="77"/>
      <c r="IO45" s="77"/>
      <c r="IP45" s="77"/>
      <c r="IQ45" s="77"/>
      <c r="IR45" s="77"/>
      <c r="IS45" s="77"/>
      <c r="IT45" s="77"/>
      <c r="IU45" s="77"/>
      <c r="IV45" s="77"/>
      <c r="IW45" s="77"/>
      <c r="IX45" s="77"/>
      <c r="IY45" s="77"/>
      <c r="IZ45" s="77"/>
      <c r="JA45" s="77"/>
      <c r="JB45" s="77"/>
      <c r="JC45" s="77"/>
      <c r="JD45" s="77"/>
      <c r="JE45" s="77"/>
      <c r="JF45" s="77"/>
      <c r="JG45" s="77"/>
      <c r="JH45" s="77"/>
      <c r="JI45" s="77"/>
      <c r="JJ45" s="77"/>
      <c r="JK45" s="77"/>
      <c r="JL45" s="77"/>
      <c r="JM45" s="77"/>
      <c r="JN45" s="77"/>
      <c r="JO45" s="77"/>
      <c r="JP45" s="77"/>
      <c r="JQ45" s="77"/>
      <c r="JR45" s="77"/>
      <c r="JS45" s="77"/>
      <c r="JT45" s="77"/>
      <c r="JU45" s="77"/>
      <c r="JV45" s="77"/>
      <c r="JW45" s="77"/>
      <c r="JX45" s="77"/>
    </row>
    <row r="46" spans="1:284" s="7" customFormat="1" ht="5.0999999999999996" customHeight="1" x14ac:dyDescent="0.2">
      <c r="A46" s="406"/>
      <c r="B46" s="137"/>
      <c r="C46" s="120"/>
      <c r="D46" s="132"/>
      <c r="E46" s="120"/>
      <c r="F46" s="132"/>
      <c r="G46" s="397"/>
      <c r="H46" s="138"/>
      <c r="I46" s="138"/>
      <c r="EP46" s="24"/>
      <c r="EQ46" s="24"/>
      <c r="ER46" s="24"/>
      <c r="ES46" s="24"/>
      <c r="ET46" s="24"/>
      <c r="EU46" s="33"/>
      <c r="EV46" s="24"/>
      <c r="EW46" s="24"/>
      <c r="EX46" s="24"/>
      <c r="EY46" s="24"/>
      <c r="EZ46" s="24"/>
      <c r="FA46" s="24"/>
      <c r="FB46" s="24"/>
      <c r="FC46" s="24"/>
      <c r="FD46" s="24"/>
      <c r="FE46" s="24"/>
      <c r="FF46" s="24"/>
      <c r="FG46" s="24"/>
      <c r="FH46" s="24"/>
      <c r="FI46" s="24"/>
      <c r="FJ46" s="24"/>
      <c r="FK46" s="24"/>
      <c r="FL46" s="24"/>
      <c r="FM46" s="24"/>
      <c r="FN46" s="24"/>
      <c r="FO46" s="24"/>
      <c r="FP46" s="24"/>
      <c r="FQ46" s="24"/>
      <c r="FR46" s="24"/>
      <c r="FS46" s="24"/>
      <c r="FT46" s="24"/>
      <c r="FU46" s="24"/>
      <c r="FV46" s="24"/>
      <c r="FW46" s="24"/>
      <c r="FX46" s="24"/>
      <c r="FY46" s="24"/>
      <c r="FZ46" s="24"/>
      <c r="GA46" s="24"/>
      <c r="GB46" s="24"/>
      <c r="GC46" s="24"/>
      <c r="GD46" s="24"/>
      <c r="GE46" s="24"/>
      <c r="GF46" s="24"/>
      <c r="GG46" s="24"/>
      <c r="GH46" s="24"/>
      <c r="GI46" s="24"/>
      <c r="GJ46" s="24"/>
      <c r="GK46" s="24"/>
      <c r="GL46" s="24"/>
      <c r="GM46" s="24"/>
      <c r="GN46" s="24"/>
      <c r="GO46" s="24"/>
      <c r="GP46" s="24"/>
      <c r="GQ46" s="24"/>
      <c r="GR46" s="24"/>
      <c r="GS46" s="24"/>
      <c r="GT46" s="24"/>
      <c r="GU46" s="24"/>
      <c r="GV46" s="24"/>
      <c r="GW46" s="24"/>
      <c r="GX46" s="24"/>
      <c r="GY46" s="24"/>
      <c r="GZ46" s="24"/>
      <c r="HA46" s="24"/>
      <c r="HB46" s="24"/>
      <c r="HC46" s="24"/>
      <c r="HD46" s="24"/>
      <c r="HE46" s="24"/>
      <c r="HF46" s="24"/>
      <c r="HG46" s="24"/>
      <c r="HH46" s="24"/>
      <c r="HI46" s="24"/>
      <c r="HJ46" s="24"/>
      <c r="HK46" s="24"/>
      <c r="HL46" s="24"/>
      <c r="HM46" s="24"/>
      <c r="HN46" s="24"/>
      <c r="HO46" s="24"/>
      <c r="HP46" s="24"/>
      <c r="HQ46" s="24"/>
      <c r="HR46" s="24"/>
      <c r="HS46" s="24"/>
      <c r="HT46" s="24"/>
      <c r="HU46" s="24"/>
      <c r="HV46" s="24"/>
      <c r="HW46" s="24"/>
      <c r="HX46" s="24"/>
      <c r="HY46" s="24"/>
      <c r="HZ46" s="24"/>
      <c r="IA46" s="24"/>
      <c r="IB46" s="24"/>
      <c r="IC46" s="24"/>
      <c r="ID46" s="24"/>
      <c r="IE46" s="24"/>
      <c r="IF46" s="24"/>
      <c r="IG46" s="24"/>
      <c r="IH46" s="24"/>
      <c r="II46" s="24"/>
      <c r="IJ46" s="24"/>
      <c r="IK46" s="24"/>
      <c r="IL46" s="24"/>
      <c r="IM46" s="24"/>
      <c r="IN46" s="24"/>
      <c r="IO46" s="24"/>
      <c r="IP46" s="24"/>
      <c r="IQ46" s="24"/>
      <c r="IR46" s="24"/>
      <c r="IS46" s="24"/>
      <c r="IT46" s="24"/>
      <c r="IU46" s="24"/>
      <c r="IV46" s="24"/>
      <c r="IW46" s="24"/>
      <c r="IX46" s="24"/>
      <c r="IY46" s="24"/>
      <c r="IZ46" s="24"/>
      <c r="JA46" s="24"/>
      <c r="JB46" s="24"/>
      <c r="JC46" s="24"/>
      <c r="JD46" s="24"/>
      <c r="JE46" s="24"/>
      <c r="JF46" s="24"/>
      <c r="JG46" s="24"/>
      <c r="JH46" s="24"/>
      <c r="JI46" s="24"/>
      <c r="JJ46" s="24"/>
      <c r="JK46" s="24"/>
      <c r="JL46" s="24"/>
      <c r="JM46" s="24"/>
      <c r="JN46" s="24"/>
      <c r="JO46" s="24"/>
      <c r="JP46" s="24"/>
      <c r="JQ46" s="24"/>
      <c r="JR46" s="24"/>
      <c r="JS46" s="24"/>
      <c r="JT46" s="24"/>
      <c r="JU46" s="24"/>
      <c r="JV46" s="24"/>
      <c r="JW46" s="24"/>
      <c r="JX46" s="24"/>
    </row>
    <row r="47" spans="1:284" s="7" customFormat="1" x14ac:dyDescent="0.2">
      <c r="A47" s="406"/>
      <c r="B47" s="134" t="s">
        <v>36</v>
      </c>
      <c r="C47" s="120"/>
      <c r="D47" s="132"/>
      <c r="E47" s="120"/>
      <c r="F47" s="573" t="s">
        <v>642</v>
      </c>
      <c r="G47" s="397"/>
      <c r="H47" s="138"/>
      <c r="I47" s="138"/>
      <c r="EP47" s="55" t="s">
        <v>87</v>
      </c>
      <c r="EQ47" s="24"/>
      <c r="ER47" s="24"/>
      <c r="ES47" s="24"/>
      <c r="ET47" s="24"/>
      <c r="EU47" s="34" t="s">
        <v>70</v>
      </c>
      <c r="EV47" s="44">
        <f t="shared" ref="EV47:GA47" si="106">EV3</f>
        <v>0</v>
      </c>
      <c r="EW47" s="44">
        <f t="shared" si="106"/>
        <v>1</v>
      </c>
      <c r="EX47" s="44">
        <f t="shared" si="106"/>
        <v>2</v>
      </c>
      <c r="EY47" s="44">
        <f t="shared" si="106"/>
        <v>3</v>
      </c>
      <c r="EZ47" s="44">
        <f t="shared" si="106"/>
        <v>4</v>
      </c>
      <c r="FA47" s="44">
        <f t="shared" si="106"/>
        <v>5</v>
      </c>
      <c r="FB47" s="44">
        <f t="shared" si="106"/>
        <v>6</v>
      </c>
      <c r="FC47" s="44">
        <f t="shared" si="106"/>
        <v>7</v>
      </c>
      <c r="FD47" s="44">
        <f t="shared" si="106"/>
        <v>8</v>
      </c>
      <c r="FE47" s="44">
        <f t="shared" si="106"/>
        <v>9</v>
      </c>
      <c r="FF47" s="44">
        <f t="shared" si="106"/>
        <v>10</v>
      </c>
      <c r="FG47" s="44">
        <f t="shared" si="106"/>
        <v>11</v>
      </c>
      <c r="FH47" s="44">
        <f t="shared" si="106"/>
        <v>12</v>
      </c>
      <c r="FI47" s="44">
        <f t="shared" si="106"/>
        <v>13</v>
      </c>
      <c r="FJ47" s="44">
        <f t="shared" si="106"/>
        <v>14</v>
      </c>
      <c r="FK47" s="44">
        <f t="shared" si="106"/>
        <v>15</v>
      </c>
      <c r="FL47" s="44">
        <f t="shared" si="106"/>
        <v>16</v>
      </c>
      <c r="FM47" s="44">
        <f t="shared" si="106"/>
        <v>17</v>
      </c>
      <c r="FN47" s="44">
        <f t="shared" si="106"/>
        <v>18</v>
      </c>
      <c r="FO47" s="44">
        <f t="shared" si="106"/>
        <v>19</v>
      </c>
      <c r="FP47" s="44">
        <f t="shared" si="106"/>
        <v>20</v>
      </c>
      <c r="FQ47" s="44">
        <f t="shared" si="106"/>
        <v>21</v>
      </c>
      <c r="FR47" s="44">
        <f t="shared" si="106"/>
        <v>22</v>
      </c>
      <c r="FS47" s="44">
        <f t="shared" si="106"/>
        <v>23</v>
      </c>
      <c r="FT47" s="44">
        <f t="shared" si="106"/>
        <v>24</v>
      </c>
      <c r="FU47" s="44">
        <f t="shared" si="106"/>
        <v>25</v>
      </c>
      <c r="FV47" s="44">
        <f t="shared" si="106"/>
        <v>26</v>
      </c>
      <c r="FW47" s="44">
        <f t="shared" si="106"/>
        <v>27</v>
      </c>
      <c r="FX47" s="44">
        <f t="shared" si="106"/>
        <v>28</v>
      </c>
      <c r="FY47" s="44">
        <f t="shared" si="106"/>
        <v>29</v>
      </c>
      <c r="FZ47" s="44">
        <f t="shared" si="106"/>
        <v>30</v>
      </c>
      <c r="GA47" s="44">
        <f t="shared" si="106"/>
        <v>31</v>
      </c>
      <c r="GB47" s="44">
        <f t="shared" ref="GB47:HG47" si="107">GB3</f>
        <v>32</v>
      </c>
      <c r="GC47" s="44">
        <f t="shared" si="107"/>
        <v>33</v>
      </c>
      <c r="GD47" s="44">
        <f t="shared" si="107"/>
        <v>34</v>
      </c>
      <c r="GE47" s="44">
        <f t="shared" si="107"/>
        <v>35</v>
      </c>
      <c r="GF47" s="44">
        <f t="shared" si="107"/>
        <v>36</v>
      </c>
      <c r="GG47" s="44">
        <f t="shared" si="107"/>
        <v>37</v>
      </c>
      <c r="GH47" s="44">
        <f t="shared" si="107"/>
        <v>38</v>
      </c>
      <c r="GI47" s="44">
        <f t="shared" si="107"/>
        <v>39</v>
      </c>
      <c r="GJ47" s="44">
        <f t="shared" si="107"/>
        <v>40</v>
      </c>
      <c r="GK47" s="44">
        <f t="shared" si="107"/>
        <v>41</v>
      </c>
      <c r="GL47" s="44">
        <f t="shared" si="107"/>
        <v>42</v>
      </c>
      <c r="GM47" s="44">
        <f t="shared" si="107"/>
        <v>43</v>
      </c>
      <c r="GN47" s="44">
        <f t="shared" si="107"/>
        <v>44</v>
      </c>
      <c r="GO47" s="44">
        <f t="shared" si="107"/>
        <v>45</v>
      </c>
      <c r="GP47" s="44">
        <f t="shared" si="107"/>
        <v>46</v>
      </c>
      <c r="GQ47" s="44">
        <f t="shared" si="107"/>
        <v>47</v>
      </c>
      <c r="GR47" s="44">
        <f t="shared" si="107"/>
        <v>48</v>
      </c>
      <c r="GS47" s="44">
        <f t="shared" si="107"/>
        <v>49</v>
      </c>
      <c r="GT47" s="44">
        <f t="shared" si="107"/>
        <v>50</v>
      </c>
      <c r="GU47" s="44">
        <f t="shared" si="107"/>
        <v>51</v>
      </c>
      <c r="GV47" s="44">
        <f t="shared" si="107"/>
        <v>52</v>
      </c>
      <c r="GW47" s="44">
        <f t="shared" si="107"/>
        <v>53</v>
      </c>
      <c r="GX47" s="44">
        <f t="shared" si="107"/>
        <v>54</v>
      </c>
      <c r="GY47" s="44">
        <f t="shared" si="107"/>
        <v>55</v>
      </c>
      <c r="GZ47" s="44">
        <f t="shared" si="107"/>
        <v>56</v>
      </c>
      <c r="HA47" s="44">
        <f t="shared" si="107"/>
        <v>57</v>
      </c>
      <c r="HB47" s="44">
        <f t="shared" si="107"/>
        <v>58</v>
      </c>
      <c r="HC47" s="44">
        <f t="shared" si="107"/>
        <v>59</v>
      </c>
      <c r="HD47" s="44">
        <f t="shared" si="107"/>
        <v>60</v>
      </c>
      <c r="HE47" s="44">
        <f t="shared" si="107"/>
        <v>61</v>
      </c>
      <c r="HF47" s="44">
        <f t="shared" si="107"/>
        <v>62</v>
      </c>
      <c r="HG47" s="44">
        <f t="shared" si="107"/>
        <v>63</v>
      </c>
      <c r="HH47" s="44">
        <f t="shared" ref="HH47:IM47" si="108">HH3</f>
        <v>64</v>
      </c>
      <c r="HI47" s="44">
        <f t="shared" si="108"/>
        <v>65</v>
      </c>
      <c r="HJ47" s="44">
        <f t="shared" si="108"/>
        <v>66</v>
      </c>
      <c r="HK47" s="44">
        <f t="shared" si="108"/>
        <v>67</v>
      </c>
      <c r="HL47" s="44">
        <f t="shared" si="108"/>
        <v>68</v>
      </c>
      <c r="HM47" s="44">
        <f t="shared" si="108"/>
        <v>69</v>
      </c>
      <c r="HN47" s="44">
        <f t="shared" si="108"/>
        <v>70</v>
      </c>
      <c r="HO47" s="44">
        <f t="shared" si="108"/>
        <v>71</v>
      </c>
      <c r="HP47" s="44">
        <f t="shared" si="108"/>
        <v>72</v>
      </c>
      <c r="HQ47" s="44">
        <f t="shared" si="108"/>
        <v>73</v>
      </c>
      <c r="HR47" s="44">
        <f t="shared" si="108"/>
        <v>74</v>
      </c>
      <c r="HS47" s="44">
        <f t="shared" si="108"/>
        <v>75</v>
      </c>
      <c r="HT47" s="44">
        <f t="shared" si="108"/>
        <v>76</v>
      </c>
      <c r="HU47" s="44">
        <f t="shared" si="108"/>
        <v>77</v>
      </c>
      <c r="HV47" s="44">
        <f t="shared" si="108"/>
        <v>78</v>
      </c>
      <c r="HW47" s="44">
        <f t="shared" si="108"/>
        <v>79</v>
      </c>
      <c r="HX47" s="44">
        <f t="shared" si="108"/>
        <v>80</v>
      </c>
      <c r="HY47" s="44">
        <f t="shared" si="108"/>
        <v>81</v>
      </c>
      <c r="HZ47" s="44">
        <f t="shared" si="108"/>
        <v>82</v>
      </c>
      <c r="IA47" s="44">
        <f t="shared" si="108"/>
        <v>83</v>
      </c>
      <c r="IB47" s="44">
        <f t="shared" si="108"/>
        <v>84</v>
      </c>
      <c r="IC47" s="44">
        <f t="shared" si="108"/>
        <v>85</v>
      </c>
      <c r="ID47" s="44">
        <f t="shared" si="108"/>
        <v>86</v>
      </c>
      <c r="IE47" s="44">
        <f t="shared" si="108"/>
        <v>87</v>
      </c>
      <c r="IF47" s="44">
        <f t="shared" si="108"/>
        <v>88</v>
      </c>
      <c r="IG47" s="44">
        <f t="shared" si="108"/>
        <v>89</v>
      </c>
      <c r="IH47" s="44">
        <f t="shared" si="108"/>
        <v>90</v>
      </c>
      <c r="II47" s="44">
        <f t="shared" si="108"/>
        <v>91</v>
      </c>
      <c r="IJ47" s="44">
        <f t="shared" si="108"/>
        <v>92</v>
      </c>
      <c r="IK47" s="44">
        <f t="shared" si="108"/>
        <v>93</v>
      </c>
      <c r="IL47" s="44">
        <f t="shared" si="108"/>
        <v>94</v>
      </c>
      <c r="IM47" s="44">
        <f t="shared" si="108"/>
        <v>95</v>
      </c>
      <c r="IN47" s="44">
        <f t="shared" ref="IN47:JX47" si="109">IN3</f>
        <v>96</v>
      </c>
      <c r="IO47" s="44">
        <f t="shared" si="109"/>
        <v>97</v>
      </c>
      <c r="IP47" s="44">
        <f t="shared" si="109"/>
        <v>98</v>
      </c>
      <c r="IQ47" s="44">
        <f t="shared" si="109"/>
        <v>99</v>
      </c>
      <c r="IR47" s="44">
        <f t="shared" si="109"/>
        <v>100</v>
      </c>
      <c r="IS47" s="44">
        <f t="shared" si="109"/>
        <v>101</v>
      </c>
      <c r="IT47" s="44">
        <f t="shared" si="109"/>
        <v>102</v>
      </c>
      <c r="IU47" s="44">
        <f t="shared" si="109"/>
        <v>103</v>
      </c>
      <c r="IV47" s="44">
        <f t="shared" si="109"/>
        <v>104</v>
      </c>
      <c r="IW47" s="44">
        <f t="shared" si="109"/>
        <v>105</v>
      </c>
      <c r="IX47" s="44">
        <f t="shared" si="109"/>
        <v>106</v>
      </c>
      <c r="IY47" s="44">
        <f t="shared" si="109"/>
        <v>107</v>
      </c>
      <c r="IZ47" s="44">
        <f t="shared" si="109"/>
        <v>108</v>
      </c>
      <c r="JA47" s="44">
        <f t="shared" si="109"/>
        <v>109</v>
      </c>
      <c r="JB47" s="44">
        <f t="shared" si="109"/>
        <v>110</v>
      </c>
      <c r="JC47" s="44">
        <f t="shared" si="109"/>
        <v>111</v>
      </c>
      <c r="JD47" s="44">
        <f t="shared" si="109"/>
        <v>112</v>
      </c>
      <c r="JE47" s="44">
        <f t="shared" si="109"/>
        <v>113</v>
      </c>
      <c r="JF47" s="44">
        <f t="shared" si="109"/>
        <v>114</v>
      </c>
      <c r="JG47" s="44">
        <f t="shared" si="109"/>
        <v>115</v>
      </c>
      <c r="JH47" s="44">
        <f t="shared" si="109"/>
        <v>116</v>
      </c>
      <c r="JI47" s="44">
        <f t="shared" si="109"/>
        <v>117</v>
      </c>
      <c r="JJ47" s="44">
        <f t="shared" si="109"/>
        <v>118</v>
      </c>
      <c r="JK47" s="44">
        <f t="shared" si="109"/>
        <v>119</v>
      </c>
      <c r="JL47" s="44">
        <f t="shared" si="109"/>
        <v>120</v>
      </c>
      <c r="JM47" s="44">
        <f t="shared" si="109"/>
        <v>121</v>
      </c>
      <c r="JN47" s="44">
        <f t="shared" si="109"/>
        <v>122</v>
      </c>
      <c r="JO47" s="44">
        <f t="shared" si="109"/>
        <v>123</v>
      </c>
      <c r="JP47" s="44">
        <f t="shared" si="109"/>
        <v>124</v>
      </c>
      <c r="JQ47" s="44">
        <f t="shared" si="109"/>
        <v>125</v>
      </c>
      <c r="JR47" s="44">
        <f t="shared" si="109"/>
        <v>126</v>
      </c>
      <c r="JS47" s="44">
        <f t="shared" si="109"/>
        <v>127</v>
      </c>
      <c r="JT47" s="44">
        <f t="shared" si="109"/>
        <v>128</v>
      </c>
      <c r="JU47" s="44">
        <f t="shared" si="109"/>
        <v>129</v>
      </c>
      <c r="JV47" s="44">
        <f t="shared" si="109"/>
        <v>130</v>
      </c>
      <c r="JW47" s="44">
        <f t="shared" si="109"/>
        <v>131</v>
      </c>
      <c r="JX47" s="44">
        <f t="shared" si="109"/>
        <v>132</v>
      </c>
    </row>
    <row r="48" spans="1:284" s="7" customFormat="1" x14ac:dyDescent="0.2">
      <c r="A48" s="406"/>
      <c r="B48" s="141" t="s">
        <v>203</v>
      </c>
      <c r="C48" s="120"/>
      <c r="D48" s="132"/>
      <c r="E48" s="120"/>
      <c r="F48" s="149">
        <v>1</v>
      </c>
      <c r="G48" s="398">
        <f>I48/Units_SF_M2</f>
        <v>11.647688120348217</v>
      </c>
      <c r="H48" s="136">
        <f>I48/Units</f>
        <v>9900.5349022959836</v>
      </c>
      <c r="I48" s="136">
        <f>SUM(L48:EN48)</f>
        <v>2970160.4706887952</v>
      </c>
      <c r="J48" s="43"/>
      <c r="K48" s="43"/>
      <c r="L48" s="49">
        <f>EV54</f>
        <v>0</v>
      </c>
      <c r="M48" s="49">
        <f t="shared" ref="M48:BX48" si="110">EW54</f>
        <v>0</v>
      </c>
      <c r="N48" s="49">
        <f t="shared" si="110"/>
        <v>0</v>
      </c>
      <c r="O48" s="49">
        <f t="shared" si="110"/>
        <v>0</v>
      </c>
      <c r="P48" s="49">
        <f t="shared" si="110"/>
        <v>0</v>
      </c>
      <c r="Q48" s="49">
        <f t="shared" si="110"/>
        <v>0</v>
      </c>
      <c r="R48" s="49">
        <f t="shared" si="110"/>
        <v>0</v>
      </c>
      <c r="S48" s="49">
        <f t="shared" si="110"/>
        <v>0</v>
      </c>
      <c r="T48" s="49">
        <f t="shared" si="110"/>
        <v>11937.613320370649</v>
      </c>
      <c r="U48" s="49">
        <f t="shared" si="110"/>
        <v>35641.976800915851</v>
      </c>
      <c r="V48" s="49">
        <f t="shared" si="110"/>
        <v>62042.246149948951</v>
      </c>
      <c r="W48" s="49">
        <f t="shared" si="110"/>
        <v>88552.516621269693</v>
      </c>
      <c r="X48" s="49">
        <f t="shared" si="110"/>
        <v>112576.10886556865</v>
      </c>
      <c r="Y48" s="49">
        <f t="shared" si="110"/>
        <v>137740.51027931506</v>
      </c>
      <c r="Z48" s="49">
        <f t="shared" si="110"/>
        <v>158239.44718716296</v>
      </c>
      <c r="AA48" s="49">
        <f t="shared" si="110"/>
        <v>172436.75970598898</v>
      </c>
      <c r="AB48" s="49">
        <f t="shared" si="110"/>
        <v>181838.46913511437</v>
      </c>
      <c r="AC48" s="49">
        <f t="shared" si="110"/>
        <v>188124.93869292663</v>
      </c>
      <c r="AD48" s="49">
        <f t="shared" si="110"/>
        <v>192657.21471091127</v>
      </c>
      <c r="AE48" s="49">
        <f t="shared" si="110"/>
        <v>195584.4870824352</v>
      </c>
      <c r="AF48" s="49">
        <f t="shared" si="110"/>
        <v>197136.61394693644</v>
      </c>
      <c r="AG48" s="49">
        <f t="shared" si="110"/>
        <v>198550.03082795852</v>
      </c>
      <c r="AH48" s="49">
        <f t="shared" si="110"/>
        <v>199824.09041224525</v>
      </c>
      <c r="AI48" s="49">
        <f t="shared" si="110"/>
        <v>200958.14236574515</v>
      </c>
      <c r="AJ48" s="49">
        <f t="shared" si="110"/>
        <v>182587.1862943265</v>
      </c>
      <c r="AK48" s="49">
        <f t="shared" si="110"/>
        <v>152163.5650774778</v>
      </c>
      <c r="AL48" s="49">
        <f t="shared" si="110"/>
        <v>121597.96696161716</v>
      </c>
      <c r="AM48" s="49">
        <f t="shared" si="110"/>
        <v>90889.7293878825</v>
      </c>
      <c r="AN48" s="49">
        <f t="shared" si="110"/>
        <v>60038.186705470376</v>
      </c>
      <c r="AO48" s="49">
        <f t="shared" si="110"/>
        <v>29042.670157206972</v>
      </c>
      <c r="AP48" s="49">
        <f t="shared" si="110"/>
        <v>0</v>
      </c>
      <c r="AQ48" s="49">
        <f t="shared" si="110"/>
        <v>0</v>
      </c>
      <c r="AR48" s="49">
        <f t="shared" si="110"/>
        <v>0</v>
      </c>
      <c r="AS48" s="49">
        <f t="shared" si="110"/>
        <v>0</v>
      </c>
      <c r="AT48" s="49">
        <f t="shared" si="110"/>
        <v>0</v>
      </c>
      <c r="AU48" s="49">
        <f t="shared" si="110"/>
        <v>0</v>
      </c>
      <c r="AV48" s="49">
        <f t="shared" si="110"/>
        <v>0</v>
      </c>
      <c r="AW48" s="49">
        <f t="shared" si="110"/>
        <v>0</v>
      </c>
      <c r="AX48" s="49">
        <f t="shared" si="110"/>
        <v>0</v>
      </c>
      <c r="AY48" s="49">
        <f t="shared" si="110"/>
        <v>0</v>
      </c>
      <c r="AZ48" s="49">
        <f t="shared" si="110"/>
        <v>0</v>
      </c>
      <c r="BA48" s="49">
        <f t="shared" si="110"/>
        <v>0</v>
      </c>
      <c r="BB48" s="49">
        <f t="shared" si="110"/>
        <v>0</v>
      </c>
      <c r="BC48" s="49">
        <f t="shared" si="110"/>
        <v>0</v>
      </c>
      <c r="BD48" s="49">
        <f t="shared" si="110"/>
        <v>0</v>
      </c>
      <c r="BE48" s="49">
        <f t="shared" si="110"/>
        <v>0</v>
      </c>
      <c r="BF48" s="49">
        <f t="shared" si="110"/>
        <v>0</v>
      </c>
      <c r="BG48" s="49">
        <f t="shared" si="110"/>
        <v>0</v>
      </c>
      <c r="BH48" s="49">
        <f t="shared" si="110"/>
        <v>0</v>
      </c>
      <c r="BI48" s="49">
        <f t="shared" si="110"/>
        <v>0</v>
      </c>
      <c r="BJ48" s="49">
        <f t="shared" si="110"/>
        <v>0</v>
      </c>
      <c r="BK48" s="49">
        <f t="shared" si="110"/>
        <v>0</v>
      </c>
      <c r="BL48" s="49">
        <f t="shared" si="110"/>
        <v>0</v>
      </c>
      <c r="BM48" s="49">
        <f t="shared" si="110"/>
        <v>0</v>
      </c>
      <c r="BN48" s="49">
        <f t="shared" si="110"/>
        <v>0</v>
      </c>
      <c r="BO48" s="49">
        <f t="shared" si="110"/>
        <v>0</v>
      </c>
      <c r="BP48" s="49">
        <f t="shared" si="110"/>
        <v>0</v>
      </c>
      <c r="BQ48" s="49">
        <f t="shared" si="110"/>
        <v>0</v>
      </c>
      <c r="BR48" s="49">
        <f t="shared" si="110"/>
        <v>0</v>
      </c>
      <c r="BS48" s="49">
        <f t="shared" si="110"/>
        <v>0</v>
      </c>
      <c r="BT48" s="49">
        <f t="shared" si="110"/>
        <v>0</v>
      </c>
      <c r="BU48" s="49">
        <f t="shared" si="110"/>
        <v>0</v>
      </c>
      <c r="BV48" s="49">
        <f t="shared" si="110"/>
        <v>0</v>
      </c>
      <c r="BW48" s="49">
        <f t="shared" si="110"/>
        <v>0</v>
      </c>
      <c r="BX48" s="49">
        <f t="shared" si="110"/>
        <v>0</v>
      </c>
      <c r="BY48" s="49">
        <f t="shared" ref="BY48:EJ48" si="111">HI54</f>
        <v>0</v>
      </c>
      <c r="BZ48" s="49">
        <f t="shared" si="111"/>
        <v>0</v>
      </c>
      <c r="CA48" s="49">
        <f t="shared" si="111"/>
        <v>0</v>
      </c>
      <c r="CB48" s="49">
        <f t="shared" si="111"/>
        <v>0</v>
      </c>
      <c r="CC48" s="49">
        <f t="shared" si="111"/>
        <v>0</v>
      </c>
      <c r="CD48" s="49">
        <f t="shared" si="111"/>
        <v>0</v>
      </c>
      <c r="CE48" s="49">
        <f t="shared" si="111"/>
        <v>0</v>
      </c>
      <c r="CF48" s="49">
        <f t="shared" si="111"/>
        <v>0</v>
      </c>
      <c r="CG48" s="49">
        <f t="shared" si="111"/>
        <v>0</v>
      </c>
      <c r="CH48" s="49">
        <f t="shared" si="111"/>
        <v>0</v>
      </c>
      <c r="CI48" s="49">
        <f t="shared" si="111"/>
        <v>0</v>
      </c>
      <c r="CJ48" s="49">
        <f t="shared" si="111"/>
        <v>0</v>
      </c>
      <c r="CK48" s="49">
        <f t="shared" si="111"/>
        <v>0</v>
      </c>
      <c r="CL48" s="49">
        <f t="shared" si="111"/>
        <v>0</v>
      </c>
      <c r="CM48" s="49">
        <f t="shared" si="111"/>
        <v>0</v>
      </c>
      <c r="CN48" s="49">
        <f t="shared" si="111"/>
        <v>0</v>
      </c>
      <c r="CO48" s="49">
        <f t="shared" si="111"/>
        <v>0</v>
      </c>
      <c r="CP48" s="49">
        <f t="shared" si="111"/>
        <v>0</v>
      </c>
      <c r="CQ48" s="49">
        <f t="shared" si="111"/>
        <v>0</v>
      </c>
      <c r="CR48" s="49">
        <f t="shared" si="111"/>
        <v>0</v>
      </c>
      <c r="CS48" s="49">
        <f t="shared" si="111"/>
        <v>0</v>
      </c>
      <c r="CT48" s="49">
        <f t="shared" si="111"/>
        <v>0</v>
      </c>
      <c r="CU48" s="49">
        <f t="shared" si="111"/>
        <v>0</v>
      </c>
      <c r="CV48" s="49">
        <f t="shared" si="111"/>
        <v>0</v>
      </c>
      <c r="CW48" s="49">
        <f t="shared" si="111"/>
        <v>0</v>
      </c>
      <c r="CX48" s="49">
        <f t="shared" si="111"/>
        <v>0</v>
      </c>
      <c r="CY48" s="49">
        <f t="shared" si="111"/>
        <v>0</v>
      </c>
      <c r="CZ48" s="49">
        <f t="shared" si="111"/>
        <v>0</v>
      </c>
      <c r="DA48" s="49">
        <f t="shared" si="111"/>
        <v>0</v>
      </c>
      <c r="DB48" s="49">
        <f t="shared" si="111"/>
        <v>0</v>
      </c>
      <c r="DC48" s="49">
        <f t="shared" si="111"/>
        <v>0</v>
      </c>
      <c r="DD48" s="49">
        <f t="shared" si="111"/>
        <v>0</v>
      </c>
      <c r="DE48" s="49">
        <f t="shared" si="111"/>
        <v>0</v>
      </c>
      <c r="DF48" s="49">
        <f t="shared" si="111"/>
        <v>0</v>
      </c>
      <c r="DG48" s="49">
        <f t="shared" si="111"/>
        <v>0</v>
      </c>
      <c r="DH48" s="49">
        <f t="shared" si="111"/>
        <v>0</v>
      </c>
      <c r="DI48" s="49">
        <f t="shared" si="111"/>
        <v>0</v>
      </c>
      <c r="DJ48" s="49">
        <f t="shared" si="111"/>
        <v>0</v>
      </c>
      <c r="DK48" s="49">
        <f t="shared" si="111"/>
        <v>0</v>
      </c>
      <c r="DL48" s="49">
        <f t="shared" si="111"/>
        <v>0</v>
      </c>
      <c r="DM48" s="49">
        <f t="shared" si="111"/>
        <v>0</v>
      </c>
      <c r="DN48" s="49">
        <f t="shared" si="111"/>
        <v>0</v>
      </c>
      <c r="DO48" s="49">
        <f t="shared" si="111"/>
        <v>0</v>
      </c>
      <c r="DP48" s="49">
        <f t="shared" si="111"/>
        <v>0</v>
      </c>
      <c r="DQ48" s="49">
        <f t="shared" si="111"/>
        <v>0</v>
      </c>
      <c r="DR48" s="49">
        <f t="shared" si="111"/>
        <v>0</v>
      </c>
      <c r="DS48" s="49">
        <f t="shared" si="111"/>
        <v>0</v>
      </c>
      <c r="DT48" s="49">
        <f t="shared" si="111"/>
        <v>0</v>
      </c>
      <c r="DU48" s="49">
        <f t="shared" si="111"/>
        <v>0</v>
      </c>
      <c r="DV48" s="49">
        <f t="shared" si="111"/>
        <v>0</v>
      </c>
      <c r="DW48" s="49">
        <f t="shared" si="111"/>
        <v>0</v>
      </c>
      <c r="DX48" s="49">
        <f t="shared" si="111"/>
        <v>0</v>
      </c>
      <c r="DY48" s="49">
        <f t="shared" si="111"/>
        <v>0</v>
      </c>
      <c r="DZ48" s="49">
        <f t="shared" si="111"/>
        <v>0</v>
      </c>
      <c r="EA48" s="49">
        <f t="shared" si="111"/>
        <v>0</v>
      </c>
      <c r="EB48" s="49">
        <f t="shared" si="111"/>
        <v>0</v>
      </c>
      <c r="EC48" s="49">
        <f t="shared" si="111"/>
        <v>0</v>
      </c>
      <c r="ED48" s="49">
        <f t="shared" si="111"/>
        <v>0</v>
      </c>
      <c r="EE48" s="49">
        <f t="shared" si="111"/>
        <v>0</v>
      </c>
      <c r="EF48" s="49">
        <f t="shared" si="111"/>
        <v>0</v>
      </c>
      <c r="EG48" s="49">
        <f t="shared" si="111"/>
        <v>0</v>
      </c>
      <c r="EH48" s="49">
        <f t="shared" si="111"/>
        <v>0</v>
      </c>
      <c r="EI48" s="49">
        <f t="shared" si="111"/>
        <v>0</v>
      </c>
      <c r="EJ48" s="49">
        <f t="shared" si="111"/>
        <v>0</v>
      </c>
      <c r="EK48" s="49">
        <f>JU54</f>
        <v>0</v>
      </c>
      <c r="EL48" s="49">
        <f>JV54</f>
        <v>0</v>
      </c>
      <c r="EM48" s="49">
        <f>JW54</f>
        <v>0</v>
      </c>
      <c r="EN48" s="49">
        <f>JX54</f>
        <v>0</v>
      </c>
      <c r="EP48" s="24" t="s">
        <v>74</v>
      </c>
      <c r="EQ48" s="24"/>
      <c r="ER48" s="24"/>
      <c r="ES48" s="24"/>
      <c r="ET48" s="24"/>
      <c r="EU48" s="47">
        <f>SUM(EV48:JX48)</f>
        <v>54481737.460657418</v>
      </c>
      <c r="EV48" s="30">
        <f t="shared" ref="EV48:GA48" si="112">L43+L35+L29</f>
        <v>3028509</v>
      </c>
      <c r="EW48" s="30">
        <f t="shared" si="112"/>
        <v>434615.43632992054</v>
      </c>
      <c r="EX48" s="30">
        <f t="shared" si="112"/>
        <v>595115.21586161223</v>
      </c>
      <c r="EY48" s="30">
        <f t="shared" si="112"/>
        <v>913409.18359364895</v>
      </c>
      <c r="EZ48" s="30">
        <f t="shared" si="112"/>
        <v>1467820.9038815256</v>
      </c>
      <c r="FA48" s="30">
        <f t="shared" si="112"/>
        <v>2309629.6734741665</v>
      </c>
      <c r="FB48" s="30">
        <f t="shared" si="112"/>
        <v>3409858.2075612606</v>
      </c>
      <c r="FC48" s="30">
        <f t="shared" si="112"/>
        <v>4618633.3206490651</v>
      </c>
      <c r="FD48" s="30">
        <f t="shared" si="112"/>
        <v>5677109.6220104769</v>
      </c>
      <c r="FE48" s="30">
        <f t="shared" si="112"/>
        <v>6300422.6669670288</v>
      </c>
      <c r="FF48" s="30">
        <f t="shared" si="112"/>
        <v>6300422.6669670306</v>
      </c>
      <c r="FG48" s="30">
        <f t="shared" si="112"/>
        <v>5677109.622010475</v>
      </c>
      <c r="FH48" s="30">
        <f t="shared" si="112"/>
        <v>4618633.3206490669</v>
      </c>
      <c r="FI48" s="30">
        <f t="shared" si="112"/>
        <v>3409858.2075612592</v>
      </c>
      <c r="FJ48" s="30">
        <f t="shared" si="112"/>
        <v>2309629.6734741665</v>
      </c>
      <c r="FK48" s="30">
        <f t="shared" si="112"/>
        <v>1467820.9038815245</v>
      </c>
      <c r="FL48" s="30">
        <f t="shared" si="112"/>
        <v>913409.1835936507</v>
      </c>
      <c r="FM48" s="30">
        <f t="shared" si="112"/>
        <v>595115.21586160944</v>
      </c>
      <c r="FN48" s="30">
        <f t="shared" si="112"/>
        <v>434615.43632992188</v>
      </c>
      <c r="FO48" s="30">
        <f t="shared" si="112"/>
        <v>0</v>
      </c>
      <c r="FP48" s="30">
        <f t="shared" si="112"/>
        <v>0</v>
      </c>
      <c r="FQ48" s="30">
        <f t="shared" si="112"/>
        <v>0</v>
      </c>
      <c r="FR48" s="30">
        <f t="shared" si="112"/>
        <v>0</v>
      </c>
      <c r="FS48" s="30">
        <f t="shared" si="112"/>
        <v>0</v>
      </c>
      <c r="FT48" s="30">
        <f t="shared" si="112"/>
        <v>0</v>
      </c>
      <c r="FU48" s="30">
        <f t="shared" si="112"/>
        <v>0</v>
      </c>
      <c r="FV48" s="30">
        <f t="shared" si="112"/>
        <v>0</v>
      </c>
      <c r="FW48" s="30">
        <f t="shared" si="112"/>
        <v>0</v>
      </c>
      <c r="FX48" s="30">
        <f t="shared" si="112"/>
        <v>0</v>
      </c>
      <c r="FY48" s="30">
        <f t="shared" si="112"/>
        <v>0</v>
      </c>
      <c r="FZ48" s="30">
        <f t="shared" si="112"/>
        <v>0</v>
      </c>
      <c r="GA48" s="30">
        <f t="shared" si="112"/>
        <v>0</v>
      </c>
      <c r="GB48" s="30">
        <f t="shared" ref="GB48:HG48" si="113">AR43+AR35+AR29</f>
        <v>0</v>
      </c>
      <c r="GC48" s="30">
        <f t="shared" si="113"/>
        <v>0</v>
      </c>
      <c r="GD48" s="30">
        <f t="shared" si="113"/>
        <v>0</v>
      </c>
      <c r="GE48" s="30">
        <f t="shared" si="113"/>
        <v>0</v>
      </c>
      <c r="GF48" s="30">
        <f t="shared" si="113"/>
        <v>0</v>
      </c>
      <c r="GG48" s="30">
        <f t="shared" si="113"/>
        <v>0</v>
      </c>
      <c r="GH48" s="30">
        <f t="shared" si="113"/>
        <v>0</v>
      </c>
      <c r="GI48" s="30">
        <f t="shared" si="113"/>
        <v>0</v>
      </c>
      <c r="GJ48" s="30">
        <f t="shared" si="113"/>
        <v>0</v>
      </c>
      <c r="GK48" s="30">
        <f t="shared" si="113"/>
        <v>0</v>
      </c>
      <c r="GL48" s="30">
        <f t="shared" si="113"/>
        <v>0</v>
      </c>
      <c r="GM48" s="30">
        <f t="shared" si="113"/>
        <v>0</v>
      </c>
      <c r="GN48" s="30">
        <f t="shared" si="113"/>
        <v>0</v>
      </c>
      <c r="GO48" s="30">
        <f t="shared" si="113"/>
        <v>0</v>
      </c>
      <c r="GP48" s="30">
        <f t="shared" si="113"/>
        <v>0</v>
      </c>
      <c r="GQ48" s="30">
        <f t="shared" si="113"/>
        <v>0</v>
      </c>
      <c r="GR48" s="30">
        <f t="shared" si="113"/>
        <v>0</v>
      </c>
      <c r="GS48" s="30">
        <f t="shared" si="113"/>
        <v>0</v>
      </c>
      <c r="GT48" s="30">
        <f t="shared" si="113"/>
        <v>0</v>
      </c>
      <c r="GU48" s="30">
        <f t="shared" si="113"/>
        <v>0</v>
      </c>
      <c r="GV48" s="30">
        <f t="shared" si="113"/>
        <v>0</v>
      </c>
      <c r="GW48" s="30">
        <f t="shared" si="113"/>
        <v>0</v>
      </c>
      <c r="GX48" s="30">
        <f t="shared" si="113"/>
        <v>0</v>
      </c>
      <c r="GY48" s="30">
        <f t="shared" si="113"/>
        <v>0</v>
      </c>
      <c r="GZ48" s="30">
        <f t="shared" si="113"/>
        <v>0</v>
      </c>
      <c r="HA48" s="30">
        <f t="shared" si="113"/>
        <v>0</v>
      </c>
      <c r="HB48" s="30">
        <f t="shared" si="113"/>
        <v>0</v>
      </c>
      <c r="HC48" s="30">
        <f t="shared" si="113"/>
        <v>0</v>
      </c>
      <c r="HD48" s="30">
        <f t="shared" si="113"/>
        <v>0</v>
      </c>
      <c r="HE48" s="30">
        <f t="shared" si="113"/>
        <v>0</v>
      </c>
      <c r="HF48" s="30">
        <f t="shared" si="113"/>
        <v>0</v>
      </c>
      <c r="HG48" s="30">
        <f t="shared" si="113"/>
        <v>0</v>
      </c>
      <c r="HH48" s="30">
        <f t="shared" ref="HH48:IM48" si="114">BX43+BX35+BX29</f>
        <v>0</v>
      </c>
      <c r="HI48" s="30">
        <f t="shared" si="114"/>
        <v>0</v>
      </c>
      <c r="HJ48" s="30">
        <f t="shared" si="114"/>
        <v>0</v>
      </c>
      <c r="HK48" s="30">
        <f t="shared" si="114"/>
        <v>0</v>
      </c>
      <c r="HL48" s="30">
        <f t="shared" si="114"/>
        <v>0</v>
      </c>
      <c r="HM48" s="30">
        <f t="shared" si="114"/>
        <v>0</v>
      </c>
      <c r="HN48" s="30">
        <f t="shared" si="114"/>
        <v>0</v>
      </c>
      <c r="HO48" s="30">
        <f t="shared" si="114"/>
        <v>0</v>
      </c>
      <c r="HP48" s="30">
        <f t="shared" si="114"/>
        <v>0</v>
      </c>
      <c r="HQ48" s="30">
        <f t="shared" si="114"/>
        <v>0</v>
      </c>
      <c r="HR48" s="30">
        <f t="shared" si="114"/>
        <v>0</v>
      </c>
      <c r="HS48" s="30">
        <f t="shared" si="114"/>
        <v>0</v>
      </c>
      <c r="HT48" s="30">
        <f t="shared" si="114"/>
        <v>0</v>
      </c>
      <c r="HU48" s="30">
        <f t="shared" si="114"/>
        <v>0</v>
      </c>
      <c r="HV48" s="30">
        <f t="shared" si="114"/>
        <v>0</v>
      </c>
      <c r="HW48" s="30">
        <f t="shared" si="114"/>
        <v>0</v>
      </c>
      <c r="HX48" s="30">
        <f t="shared" si="114"/>
        <v>0</v>
      </c>
      <c r="HY48" s="30">
        <f t="shared" si="114"/>
        <v>0</v>
      </c>
      <c r="HZ48" s="30">
        <f t="shared" si="114"/>
        <v>0</v>
      </c>
      <c r="IA48" s="30">
        <f t="shared" si="114"/>
        <v>0</v>
      </c>
      <c r="IB48" s="30">
        <f t="shared" si="114"/>
        <v>0</v>
      </c>
      <c r="IC48" s="30">
        <f t="shared" si="114"/>
        <v>0</v>
      </c>
      <c r="ID48" s="30">
        <f t="shared" si="114"/>
        <v>0</v>
      </c>
      <c r="IE48" s="30">
        <f t="shared" si="114"/>
        <v>0</v>
      </c>
      <c r="IF48" s="30">
        <f t="shared" si="114"/>
        <v>0</v>
      </c>
      <c r="IG48" s="30">
        <f t="shared" si="114"/>
        <v>0</v>
      </c>
      <c r="IH48" s="30">
        <f t="shared" si="114"/>
        <v>0</v>
      </c>
      <c r="II48" s="30">
        <f t="shared" si="114"/>
        <v>0</v>
      </c>
      <c r="IJ48" s="30">
        <f t="shared" si="114"/>
        <v>0</v>
      </c>
      <c r="IK48" s="30">
        <f t="shared" si="114"/>
        <v>0</v>
      </c>
      <c r="IL48" s="30">
        <f t="shared" si="114"/>
        <v>0</v>
      </c>
      <c r="IM48" s="30">
        <f t="shared" si="114"/>
        <v>0</v>
      </c>
      <c r="IN48" s="30">
        <f t="shared" ref="IN48:JS48" si="115">DD43+DD35+DD29</f>
        <v>0</v>
      </c>
      <c r="IO48" s="30">
        <f t="shared" si="115"/>
        <v>0</v>
      </c>
      <c r="IP48" s="30">
        <f t="shared" si="115"/>
        <v>0</v>
      </c>
      <c r="IQ48" s="30">
        <f t="shared" si="115"/>
        <v>0</v>
      </c>
      <c r="IR48" s="30">
        <f t="shared" si="115"/>
        <v>0</v>
      </c>
      <c r="IS48" s="30">
        <f t="shared" si="115"/>
        <v>0</v>
      </c>
      <c r="IT48" s="30">
        <f t="shared" si="115"/>
        <v>0</v>
      </c>
      <c r="IU48" s="30">
        <f t="shared" si="115"/>
        <v>0</v>
      </c>
      <c r="IV48" s="30">
        <f t="shared" si="115"/>
        <v>0</v>
      </c>
      <c r="IW48" s="30">
        <f t="shared" si="115"/>
        <v>0</v>
      </c>
      <c r="IX48" s="30">
        <f t="shared" si="115"/>
        <v>0</v>
      </c>
      <c r="IY48" s="30">
        <f t="shared" si="115"/>
        <v>0</v>
      </c>
      <c r="IZ48" s="30">
        <f t="shared" si="115"/>
        <v>0</v>
      </c>
      <c r="JA48" s="30">
        <f t="shared" si="115"/>
        <v>0</v>
      </c>
      <c r="JB48" s="30">
        <f t="shared" si="115"/>
        <v>0</v>
      </c>
      <c r="JC48" s="30">
        <f t="shared" si="115"/>
        <v>0</v>
      </c>
      <c r="JD48" s="30">
        <f t="shared" si="115"/>
        <v>0</v>
      </c>
      <c r="JE48" s="30">
        <f t="shared" si="115"/>
        <v>0</v>
      </c>
      <c r="JF48" s="30">
        <f t="shared" si="115"/>
        <v>0</v>
      </c>
      <c r="JG48" s="30">
        <f t="shared" si="115"/>
        <v>0</v>
      </c>
      <c r="JH48" s="30">
        <f t="shared" si="115"/>
        <v>0</v>
      </c>
      <c r="JI48" s="30">
        <f t="shared" si="115"/>
        <v>0</v>
      </c>
      <c r="JJ48" s="30">
        <f t="shared" si="115"/>
        <v>0</v>
      </c>
      <c r="JK48" s="30">
        <f t="shared" si="115"/>
        <v>0</v>
      </c>
      <c r="JL48" s="30">
        <f t="shared" si="115"/>
        <v>0</v>
      </c>
      <c r="JM48" s="30">
        <f t="shared" si="115"/>
        <v>0</v>
      </c>
      <c r="JN48" s="30">
        <f t="shared" si="115"/>
        <v>0</v>
      </c>
      <c r="JO48" s="30">
        <f t="shared" si="115"/>
        <v>0</v>
      </c>
      <c r="JP48" s="30">
        <f t="shared" si="115"/>
        <v>0</v>
      </c>
      <c r="JQ48" s="30">
        <f t="shared" si="115"/>
        <v>0</v>
      </c>
      <c r="JR48" s="30">
        <f t="shared" si="115"/>
        <v>0</v>
      </c>
      <c r="JS48" s="30">
        <f t="shared" si="115"/>
        <v>0</v>
      </c>
      <c r="JT48" s="30">
        <f>EJ43+EJ35+EJ29</f>
        <v>0</v>
      </c>
      <c r="JU48" s="30">
        <f>EK43+EK35+EK29</f>
        <v>0</v>
      </c>
      <c r="JV48" s="30">
        <f>EL43+EL35+EL29</f>
        <v>0</v>
      </c>
      <c r="JW48" s="30">
        <f>EM43+EM35+EM29</f>
        <v>0</v>
      </c>
      <c r="JX48" s="30">
        <f>EN43+EN35+EN29</f>
        <v>0</v>
      </c>
    </row>
    <row r="49" spans="1:284" s="7" customFormat="1" x14ac:dyDescent="0.2">
      <c r="A49" s="406"/>
      <c r="B49" s="103" t="s">
        <v>201</v>
      </c>
      <c r="C49" s="120"/>
      <c r="D49" s="132">
        <v>0</v>
      </c>
      <c r="E49" s="132">
        <f>D49</f>
        <v>0</v>
      </c>
      <c r="F49" s="139" t="s">
        <v>26</v>
      </c>
      <c r="G49" s="389">
        <f>I49/Units_SF_M2</f>
        <v>2.8417667751423257</v>
      </c>
      <c r="H49" s="123">
        <f>I49/Units</f>
        <v>2415.501758870977</v>
      </c>
      <c r="I49" s="124">
        <v>724650.52766129305</v>
      </c>
      <c r="K49" s="7" t="str">
        <f>IF(ROUND(SUM(L49:EN49),0)=ROUND(I49,0),"","Incomplete")</f>
        <v/>
      </c>
      <c r="L49" s="49">
        <f t="shared" ref="L49:AQ49" si="116">AND(L$22&gt;=$D49,L$22&lt;=$E49)*$I49/($E$49-$D$49+1)</f>
        <v>724650.52766129305</v>
      </c>
      <c r="M49" s="49">
        <f t="shared" si="116"/>
        <v>0</v>
      </c>
      <c r="N49" s="49">
        <f t="shared" si="116"/>
        <v>0</v>
      </c>
      <c r="O49" s="49">
        <f t="shared" si="116"/>
        <v>0</v>
      </c>
      <c r="P49" s="49">
        <f t="shared" si="116"/>
        <v>0</v>
      </c>
      <c r="Q49" s="49">
        <f t="shared" si="116"/>
        <v>0</v>
      </c>
      <c r="R49" s="49">
        <f t="shared" si="116"/>
        <v>0</v>
      </c>
      <c r="S49" s="49">
        <f t="shared" si="116"/>
        <v>0</v>
      </c>
      <c r="T49" s="49">
        <f t="shared" si="116"/>
        <v>0</v>
      </c>
      <c r="U49" s="49">
        <f t="shared" si="116"/>
        <v>0</v>
      </c>
      <c r="V49" s="49">
        <f t="shared" si="116"/>
        <v>0</v>
      </c>
      <c r="W49" s="49">
        <f t="shared" si="116"/>
        <v>0</v>
      </c>
      <c r="X49" s="49">
        <f t="shared" si="116"/>
        <v>0</v>
      </c>
      <c r="Y49" s="49">
        <f t="shared" si="116"/>
        <v>0</v>
      </c>
      <c r="Z49" s="49">
        <f t="shared" si="116"/>
        <v>0</v>
      </c>
      <c r="AA49" s="49">
        <f t="shared" si="116"/>
        <v>0</v>
      </c>
      <c r="AB49" s="49">
        <f t="shared" si="116"/>
        <v>0</v>
      </c>
      <c r="AC49" s="49">
        <f t="shared" si="116"/>
        <v>0</v>
      </c>
      <c r="AD49" s="49">
        <f t="shared" si="116"/>
        <v>0</v>
      </c>
      <c r="AE49" s="49">
        <f t="shared" si="116"/>
        <v>0</v>
      </c>
      <c r="AF49" s="49">
        <f t="shared" si="116"/>
        <v>0</v>
      </c>
      <c r="AG49" s="49">
        <f t="shared" si="116"/>
        <v>0</v>
      </c>
      <c r="AH49" s="49">
        <f t="shared" si="116"/>
        <v>0</v>
      </c>
      <c r="AI49" s="49">
        <f t="shared" si="116"/>
        <v>0</v>
      </c>
      <c r="AJ49" s="49">
        <f t="shared" si="116"/>
        <v>0</v>
      </c>
      <c r="AK49" s="49">
        <f t="shared" si="116"/>
        <v>0</v>
      </c>
      <c r="AL49" s="49">
        <f t="shared" si="116"/>
        <v>0</v>
      </c>
      <c r="AM49" s="49">
        <f t="shared" si="116"/>
        <v>0</v>
      </c>
      <c r="AN49" s="49">
        <f t="shared" si="116"/>
        <v>0</v>
      </c>
      <c r="AO49" s="49">
        <f t="shared" si="116"/>
        <v>0</v>
      </c>
      <c r="AP49" s="49">
        <f t="shared" si="116"/>
        <v>0</v>
      </c>
      <c r="AQ49" s="49">
        <f t="shared" si="116"/>
        <v>0</v>
      </c>
      <c r="AR49" s="49">
        <f t="shared" ref="AR49:BW49" si="117">AND(AR$22&gt;=$D49,AR$22&lt;=$E49)*$I49/($E$49-$D$49+1)</f>
        <v>0</v>
      </c>
      <c r="AS49" s="49">
        <f t="shared" si="117"/>
        <v>0</v>
      </c>
      <c r="AT49" s="49">
        <f t="shared" si="117"/>
        <v>0</v>
      </c>
      <c r="AU49" s="49">
        <f t="shared" si="117"/>
        <v>0</v>
      </c>
      <c r="AV49" s="49">
        <f t="shared" si="117"/>
        <v>0</v>
      </c>
      <c r="AW49" s="49">
        <f t="shared" si="117"/>
        <v>0</v>
      </c>
      <c r="AX49" s="49">
        <f t="shared" si="117"/>
        <v>0</v>
      </c>
      <c r="AY49" s="49">
        <f t="shared" si="117"/>
        <v>0</v>
      </c>
      <c r="AZ49" s="49">
        <f t="shared" si="117"/>
        <v>0</v>
      </c>
      <c r="BA49" s="49">
        <f t="shared" si="117"/>
        <v>0</v>
      </c>
      <c r="BB49" s="49">
        <f t="shared" si="117"/>
        <v>0</v>
      </c>
      <c r="BC49" s="49">
        <f t="shared" si="117"/>
        <v>0</v>
      </c>
      <c r="BD49" s="49">
        <f t="shared" si="117"/>
        <v>0</v>
      </c>
      <c r="BE49" s="49">
        <f t="shared" si="117"/>
        <v>0</v>
      </c>
      <c r="BF49" s="49">
        <f t="shared" si="117"/>
        <v>0</v>
      </c>
      <c r="BG49" s="49">
        <f t="shared" si="117"/>
        <v>0</v>
      </c>
      <c r="BH49" s="49">
        <f t="shared" si="117"/>
        <v>0</v>
      </c>
      <c r="BI49" s="49">
        <f t="shared" si="117"/>
        <v>0</v>
      </c>
      <c r="BJ49" s="49">
        <f t="shared" si="117"/>
        <v>0</v>
      </c>
      <c r="BK49" s="49">
        <f t="shared" si="117"/>
        <v>0</v>
      </c>
      <c r="BL49" s="49">
        <f t="shared" si="117"/>
        <v>0</v>
      </c>
      <c r="BM49" s="49">
        <f t="shared" si="117"/>
        <v>0</v>
      </c>
      <c r="BN49" s="49">
        <f t="shared" si="117"/>
        <v>0</v>
      </c>
      <c r="BO49" s="49">
        <f t="shared" si="117"/>
        <v>0</v>
      </c>
      <c r="BP49" s="49">
        <f t="shared" si="117"/>
        <v>0</v>
      </c>
      <c r="BQ49" s="49">
        <f t="shared" si="117"/>
        <v>0</v>
      </c>
      <c r="BR49" s="49">
        <f t="shared" si="117"/>
        <v>0</v>
      </c>
      <c r="BS49" s="49">
        <f t="shared" si="117"/>
        <v>0</v>
      </c>
      <c r="BT49" s="49">
        <f t="shared" si="117"/>
        <v>0</v>
      </c>
      <c r="BU49" s="49">
        <f t="shared" si="117"/>
        <v>0</v>
      </c>
      <c r="BV49" s="49">
        <f t="shared" si="117"/>
        <v>0</v>
      </c>
      <c r="BW49" s="49">
        <f t="shared" si="117"/>
        <v>0</v>
      </c>
      <c r="BX49" s="49">
        <f t="shared" ref="BX49:DC49" si="118">AND(BX$22&gt;=$D49,BX$22&lt;=$E49)*$I49/($E$49-$D$49+1)</f>
        <v>0</v>
      </c>
      <c r="BY49" s="49">
        <f t="shared" si="118"/>
        <v>0</v>
      </c>
      <c r="BZ49" s="49">
        <f t="shared" si="118"/>
        <v>0</v>
      </c>
      <c r="CA49" s="49">
        <f t="shared" si="118"/>
        <v>0</v>
      </c>
      <c r="CB49" s="49">
        <f t="shared" si="118"/>
        <v>0</v>
      </c>
      <c r="CC49" s="49">
        <f t="shared" si="118"/>
        <v>0</v>
      </c>
      <c r="CD49" s="49">
        <f t="shared" si="118"/>
        <v>0</v>
      </c>
      <c r="CE49" s="49">
        <f t="shared" si="118"/>
        <v>0</v>
      </c>
      <c r="CF49" s="49">
        <f t="shared" si="118"/>
        <v>0</v>
      </c>
      <c r="CG49" s="49">
        <f t="shared" si="118"/>
        <v>0</v>
      </c>
      <c r="CH49" s="49">
        <f t="shared" si="118"/>
        <v>0</v>
      </c>
      <c r="CI49" s="49">
        <f t="shared" si="118"/>
        <v>0</v>
      </c>
      <c r="CJ49" s="49">
        <f t="shared" si="118"/>
        <v>0</v>
      </c>
      <c r="CK49" s="49">
        <f t="shared" si="118"/>
        <v>0</v>
      </c>
      <c r="CL49" s="49">
        <f t="shared" si="118"/>
        <v>0</v>
      </c>
      <c r="CM49" s="49">
        <f t="shared" si="118"/>
        <v>0</v>
      </c>
      <c r="CN49" s="49">
        <f t="shared" si="118"/>
        <v>0</v>
      </c>
      <c r="CO49" s="49">
        <f t="shared" si="118"/>
        <v>0</v>
      </c>
      <c r="CP49" s="49">
        <f t="shared" si="118"/>
        <v>0</v>
      </c>
      <c r="CQ49" s="49">
        <f t="shared" si="118"/>
        <v>0</v>
      </c>
      <c r="CR49" s="49">
        <f t="shared" si="118"/>
        <v>0</v>
      </c>
      <c r="CS49" s="49">
        <f t="shared" si="118"/>
        <v>0</v>
      </c>
      <c r="CT49" s="49">
        <f t="shared" si="118"/>
        <v>0</v>
      </c>
      <c r="CU49" s="49">
        <f t="shared" si="118"/>
        <v>0</v>
      </c>
      <c r="CV49" s="49">
        <f t="shared" si="118"/>
        <v>0</v>
      </c>
      <c r="CW49" s="49">
        <f t="shared" si="118"/>
        <v>0</v>
      </c>
      <c r="CX49" s="49">
        <f t="shared" si="118"/>
        <v>0</v>
      </c>
      <c r="CY49" s="49">
        <f t="shared" si="118"/>
        <v>0</v>
      </c>
      <c r="CZ49" s="49">
        <f t="shared" si="118"/>
        <v>0</v>
      </c>
      <c r="DA49" s="49">
        <f t="shared" si="118"/>
        <v>0</v>
      </c>
      <c r="DB49" s="49">
        <f t="shared" si="118"/>
        <v>0</v>
      </c>
      <c r="DC49" s="49">
        <f t="shared" si="118"/>
        <v>0</v>
      </c>
      <c r="DD49" s="49">
        <f t="shared" ref="DD49:EN49" si="119">AND(DD$22&gt;=$D49,DD$22&lt;=$E49)*$I49/($E$49-$D$49+1)</f>
        <v>0</v>
      </c>
      <c r="DE49" s="49">
        <f t="shared" si="119"/>
        <v>0</v>
      </c>
      <c r="DF49" s="49">
        <f t="shared" si="119"/>
        <v>0</v>
      </c>
      <c r="DG49" s="49">
        <f t="shared" si="119"/>
        <v>0</v>
      </c>
      <c r="DH49" s="49">
        <f t="shared" si="119"/>
        <v>0</v>
      </c>
      <c r="DI49" s="49">
        <f t="shared" si="119"/>
        <v>0</v>
      </c>
      <c r="DJ49" s="49">
        <f t="shared" si="119"/>
        <v>0</v>
      </c>
      <c r="DK49" s="49">
        <f t="shared" si="119"/>
        <v>0</v>
      </c>
      <c r="DL49" s="49">
        <f t="shared" si="119"/>
        <v>0</v>
      </c>
      <c r="DM49" s="49">
        <f t="shared" si="119"/>
        <v>0</v>
      </c>
      <c r="DN49" s="49">
        <f t="shared" si="119"/>
        <v>0</v>
      </c>
      <c r="DO49" s="49">
        <f t="shared" si="119"/>
        <v>0</v>
      </c>
      <c r="DP49" s="49">
        <f t="shared" si="119"/>
        <v>0</v>
      </c>
      <c r="DQ49" s="49">
        <f t="shared" si="119"/>
        <v>0</v>
      </c>
      <c r="DR49" s="49">
        <f t="shared" si="119"/>
        <v>0</v>
      </c>
      <c r="DS49" s="49">
        <f t="shared" si="119"/>
        <v>0</v>
      </c>
      <c r="DT49" s="49">
        <f t="shared" si="119"/>
        <v>0</v>
      </c>
      <c r="DU49" s="49">
        <f t="shared" si="119"/>
        <v>0</v>
      </c>
      <c r="DV49" s="49">
        <f t="shared" si="119"/>
        <v>0</v>
      </c>
      <c r="DW49" s="49">
        <f t="shared" si="119"/>
        <v>0</v>
      </c>
      <c r="DX49" s="49">
        <f t="shared" si="119"/>
        <v>0</v>
      </c>
      <c r="DY49" s="49">
        <f t="shared" si="119"/>
        <v>0</v>
      </c>
      <c r="DZ49" s="49">
        <f t="shared" si="119"/>
        <v>0</v>
      </c>
      <c r="EA49" s="49">
        <f t="shared" si="119"/>
        <v>0</v>
      </c>
      <c r="EB49" s="49">
        <f t="shared" si="119"/>
        <v>0</v>
      </c>
      <c r="EC49" s="49">
        <f t="shared" si="119"/>
        <v>0</v>
      </c>
      <c r="ED49" s="49">
        <f t="shared" si="119"/>
        <v>0</v>
      </c>
      <c r="EE49" s="49">
        <f t="shared" si="119"/>
        <v>0</v>
      </c>
      <c r="EF49" s="49">
        <f t="shared" si="119"/>
        <v>0</v>
      </c>
      <c r="EG49" s="49">
        <f t="shared" si="119"/>
        <v>0</v>
      </c>
      <c r="EH49" s="49">
        <f t="shared" si="119"/>
        <v>0</v>
      </c>
      <c r="EI49" s="49">
        <f t="shared" si="119"/>
        <v>0</v>
      </c>
      <c r="EJ49" s="49">
        <f t="shared" si="119"/>
        <v>0</v>
      </c>
      <c r="EK49" s="49">
        <f t="shared" si="119"/>
        <v>0</v>
      </c>
      <c r="EL49" s="49">
        <f t="shared" si="119"/>
        <v>0</v>
      </c>
      <c r="EM49" s="49">
        <f t="shared" si="119"/>
        <v>0</v>
      </c>
      <c r="EN49" s="49">
        <f t="shared" si="119"/>
        <v>0</v>
      </c>
      <c r="EP49" s="30" t="s">
        <v>36</v>
      </c>
      <c r="EQ49" s="31"/>
      <c r="ER49" s="31"/>
      <c r="ES49" s="30"/>
      <c r="ET49" s="24"/>
      <c r="EU49" s="71">
        <f>SUM(EV49:JX49)</f>
        <v>4067124.6845174814</v>
      </c>
      <c r="EV49" s="46">
        <f>SUM(L48:L50)</f>
        <v>724650.52766129305</v>
      </c>
      <c r="EW49" s="46">
        <f t="shared" ref="EW49:HH49" si="120">SUM(M48:M50)</f>
        <v>0</v>
      </c>
      <c r="EX49" s="46">
        <f t="shared" si="120"/>
        <v>0</v>
      </c>
      <c r="EY49" s="46">
        <f t="shared" si="120"/>
        <v>0</v>
      </c>
      <c r="EZ49" s="46">
        <f t="shared" si="120"/>
        <v>0</v>
      </c>
      <c r="FA49" s="46">
        <f t="shared" si="120"/>
        <v>0</v>
      </c>
      <c r="FB49" s="46">
        <f t="shared" si="120"/>
        <v>0</v>
      </c>
      <c r="FC49" s="46">
        <f t="shared" si="120"/>
        <v>0</v>
      </c>
      <c r="FD49" s="46">
        <f t="shared" si="120"/>
        <v>11937.613320370649</v>
      </c>
      <c r="FE49" s="46">
        <f t="shared" si="120"/>
        <v>35641.976800915851</v>
      </c>
      <c r="FF49" s="46">
        <f t="shared" si="120"/>
        <v>62042.246149948951</v>
      </c>
      <c r="FG49" s="46">
        <f t="shared" si="120"/>
        <v>88552.516621269693</v>
      </c>
      <c r="FH49" s="46">
        <f t="shared" si="120"/>
        <v>112576.10886556865</v>
      </c>
      <c r="FI49" s="46">
        <f t="shared" si="120"/>
        <v>137740.51027931506</v>
      </c>
      <c r="FJ49" s="46">
        <f t="shared" si="120"/>
        <v>158239.44718716296</v>
      </c>
      <c r="FK49" s="46">
        <f t="shared" si="120"/>
        <v>172436.75970598898</v>
      </c>
      <c r="FL49" s="46">
        <f t="shared" si="120"/>
        <v>181838.46913511437</v>
      </c>
      <c r="FM49" s="46">
        <f t="shared" si="120"/>
        <v>188124.93869292663</v>
      </c>
      <c r="FN49" s="46">
        <f t="shared" si="120"/>
        <v>192657.21471091127</v>
      </c>
      <c r="FO49" s="46">
        <f t="shared" si="120"/>
        <v>332598.6138216916</v>
      </c>
      <c r="FP49" s="46">
        <f t="shared" si="120"/>
        <v>302875.04593330395</v>
      </c>
      <c r="FQ49" s="46">
        <f t="shared" si="120"/>
        <v>273012.76806143718</v>
      </c>
      <c r="FR49" s="46">
        <f t="shared" si="120"/>
        <v>243011.13289283498</v>
      </c>
      <c r="FS49" s="46">
        <f t="shared" si="120"/>
        <v>212869.49009344599</v>
      </c>
      <c r="FT49" s="46">
        <f t="shared" si="120"/>
        <v>182587.1862943265</v>
      </c>
      <c r="FU49" s="46">
        <f t="shared" si="120"/>
        <v>152163.5650774778</v>
      </c>
      <c r="FV49" s="46">
        <f t="shared" si="120"/>
        <v>121597.96696161716</v>
      </c>
      <c r="FW49" s="46">
        <f t="shared" si="120"/>
        <v>90889.7293878825</v>
      </c>
      <c r="FX49" s="46">
        <f t="shared" si="120"/>
        <v>60038.186705470376</v>
      </c>
      <c r="FY49" s="46">
        <f t="shared" si="120"/>
        <v>29042.670157206972</v>
      </c>
      <c r="FZ49" s="46">
        <f t="shared" si="120"/>
        <v>0</v>
      </c>
      <c r="GA49" s="46">
        <f t="shared" si="120"/>
        <v>0</v>
      </c>
      <c r="GB49" s="46">
        <f t="shared" si="120"/>
        <v>0</v>
      </c>
      <c r="GC49" s="46">
        <f t="shared" si="120"/>
        <v>0</v>
      </c>
      <c r="GD49" s="46">
        <f t="shared" si="120"/>
        <v>0</v>
      </c>
      <c r="GE49" s="46">
        <f t="shared" si="120"/>
        <v>0</v>
      </c>
      <c r="GF49" s="46">
        <f t="shared" si="120"/>
        <v>0</v>
      </c>
      <c r="GG49" s="46">
        <f t="shared" si="120"/>
        <v>0</v>
      </c>
      <c r="GH49" s="46">
        <f t="shared" si="120"/>
        <v>0</v>
      </c>
      <c r="GI49" s="46">
        <f t="shared" si="120"/>
        <v>0</v>
      </c>
      <c r="GJ49" s="46">
        <f t="shared" si="120"/>
        <v>0</v>
      </c>
      <c r="GK49" s="46">
        <f t="shared" si="120"/>
        <v>0</v>
      </c>
      <c r="GL49" s="46">
        <f t="shared" si="120"/>
        <v>0</v>
      </c>
      <c r="GM49" s="46">
        <f t="shared" si="120"/>
        <v>0</v>
      </c>
      <c r="GN49" s="46">
        <f t="shared" si="120"/>
        <v>0</v>
      </c>
      <c r="GO49" s="46">
        <f t="shared" si="120"/>
        <v>0</v>
      </c>
      <c r="GP49" s="46">
        <f t="shared" si="120"/>
        <v>0</v>
      </c>
      <c r="GQ49" s="46">
        <f t="shared" si="120"/>
        <v>0</v>
      </c>
      <c r="GR49" s="46">
        <f t="shared" si="120"/>
        <v>0</v>
      </c>
      <c r="GS49" s="46">
        <f t="shared" si="120"/>
        <v>0</v>
      </c>
      <c r="GT49" s="46">
        <f t="shared" si="120"/>
        <v>0</v>
      </c>
      <c r="GU49" s="46">
        <f t="shared" si="120"/>
        <v>0</v>
      </c>
      <c r="GV49" s="46">
        <f t="shared" si="120"/>
        <v>0</v>
      </c>
      <c r="GW49" s="46">
        <f t="shared" si="120"/>
        <v>0</v>
      </c>
      <c r="GX49" s="46">
        <f t="shared" si="120"/>
        <v>0</v>
      </c>
      <c r="GY49" s="46">
        <f t="shared" si="120"/>
        <v>0</v>
      </c>
      <c r="GZ49" s="46">
        <f t="shared" si="120"/>
        <v>0</v>
      </c>
      <c r="HA49" s="46">
        <f t="shared" si="120"/>
        <v>0</v>
      </c>
      <c r="HB49" s="46">
        <f t="shared" si="120"/>
        <v>0</v>
      </c>
      <c r="HC49" s="46">
        <f t="shared" si="120"/>
        <v>0</v>
      </c>
      <c r="HD49" s="46">
        <f t="shared" si="120"/>
        <v>0</v>
      </c>
      <c r="HE49" s="46">
        <f t="shared" si="120"/>
        <v>0</v>
      </c>
      <c r="HF49" s="46">
        <f t="shared" si="120"/>
        <v>0</v>
      </c>
      <c r="HG49" s="46">
        <f t="shared" si="120"/>
        <v>0</v>
      </c>
      <c r="HH49" s="46">
        <f t="shared" si="120"/>
        <v>0</v>
      </c>
      <c r="HI49" s="46">
        <f t="shared" ref="HI49:JT49" si="121">SUM(BY48:BY50)</f>
        <v>0</v>
      </c>
      <c r="HJ49" s="46">
        <f t="shared" si="121"/>
        <v>0</v>
      </c>
      <c r="HK49" s="46">
        <f t="shared" si="121"/>
        <v>0</v>
      </c>
      <c r="HL49" s="46">
        <f t="shared" si="121"/>
        <v>0</v>
      </c>
      <c r="HM49" s="46">
        <f t="shared" si="121"/>
        <v>0</v>
      </c>
      <c r="HN49" s="46">
        <f t="shared" si="121"/>
        <v>0</v>
      </c>
      <c r="HO49" s="46">
        <f t="shared" si="121"/>
        <v>0</v>
      </c>
      <c r="HP49" s="46">
        <f t="shared" si="121"/>
        <v>0</v>
      </c>
      <c r="HQ49" s="46">
        <f t="shared" si="121"/>
        <v>0</v>
      </c>
      <c r="HR49" s="46">
        <f t="shared" si="121"/>
        <v>0</v>
      </c>
      <c r="HS49" s="46">
        <f t="shared" si="121"/>
        <v>0</v>
      </c>
      <c r="HT49" s="46">
        <f t="shared" si="121"/>
        <v>0</v>
      </c>
      <c r="HU49" s="46">
        <f t="shared" si="121"/>
        <v>0</v>
      </c>
      <c r="HV49" s="46">
        <f t="shared" si="121"/>
        <v>0</v>
      </c>
      <c r="HW49" s="46">
        <f t="shared" si="121"/>
        <v>0</v>
      </c>
      <c r="HX49" s="46">
        <f t="shared" si="121"/>
        <v>0</v>
      </c>
      <c r="HY49" s="46">
        <f t="shared" si="121"/>
        <v>0</v>
      </c>
      <c r="HZ49" s="46">
        <f t="shared" si="121"/>
        <v>0</v>
      </c>
      <c r="IA49" s="46">
        <f t="shared" si="121"/>
        <v>0</v>
      </c>
      <c r="IB49" s="46">
        <f t="shared" si="121"/>
        <v>0</v>
      </c>
      <c r="IC49" s="46">
        <f t="shared" si="121"/>
        <v>0</v>
      </c>
      <c r="ID49" s="46">
        <f t="shared" si="121"/>
        <v>0</v>
      </c>
      <c r="IE49" s="46">
        <f t="shared" si="121"/>
        <v>0</v>
      </c>
      <c r="IF49" s="46">
        <f t="shared" si="121"/>
        <v>0</v>
      </c>
      <c r="IG49" s="46">
        <f t="shared" si="121"/>
        <v>0</v>
      </c>
      <c r="IH49" s="46">
        <f t="shared" si="121"/>
        <v>0</v>
      </c>
      <c r="II49" s="46">
        <f t="shared" si="121"/>
        <v>0</v>
      </c>
      <c r="IJ49" s="46">
        <f t="shared" si="121"/>
        <v>0</v>
      </c>
      <c r="IK49" s="46">
        <f t="shared" si="121"/>
        <v>0</v>
      </c>
      <c r="IL49" s="46">
        <f t="shared" si="121"/>
        <v>0</v>
      </c>
      <c r="IM49" s="46">
        <f t="shared" si="121"/>
        <v>0</v>
      </c>
      <c r="IN49" s="46">
        <f t="shared" si="121"/>
        <v>0</v>
      </c>
      <c r="IO49" s="46">
        <f t="shared" si="121"/>
        <v>0</v>
      </c>
      <c r="IP49" s="46">
        <f t="shared" si="121"/>
        <v>0</v>
      </c>
      <c r="IQ49" s="46">
        <f t="shared" si="121"/>
        <v>0</v>
      </c>
      <c r="IR49" s="46">
        <f t="shared" si="121"/>
        <v>0</v>
      </c>
      <c r="IS49" s="46">
        <f t="shared" si="121"/>
        <v>0</v>
      </c>
      <c r="IT49" s="46">
        <f t="shared" si="121"/>
        <v>0</v>
      </c>
      <c r="IU49" s="46">
        <f t="shared" si="121"/>
        <v>0</v>
      </c>
      <c r="IV49" s="46">
        <f t="shared" si="121"/>
        <v>0</v>
      </c>
      <c r="IW49" s="46">
        <f t="shared" si="121"/>
        <v>0</v>
      </c>
      <c r="IX49" s="46">
        <f t="shared" si="121"/>
        <v>0</v>
      </c>
      <c r="IY49" s="46">
        <f t="shared" si="121"/>
        <v>0</v>
      </c>
      <c r="IZ49" s="46">
        <f t="shared" si="121"/>
        <v>0</v>
      </c>
      <c r="JA49" s="46">
        <f t="shared" si="121"/>
        <v>0</v>
      </c>
      <c r="JB49" s="46">
        <f t="shared" si="121"/>
        <v>0</v>
      </c>
      <c r="JC49" s="46">
        <f t="shared" si="121"/>
        <v>0</v>
      </c>
      <c r="JD49" s="46">
        <f t="shared" si="121"/>
        <v>0</v>
      </c>
      <c r="JE49" s="46">
        <f t="shared" si="121"/>
        <v>0</v>
      </c>
      <c r="JF49" s="46">
        <f t="shared" si="121"/>
        <v>0</v>
      </c>
      <c r="JG49" s="46">
        <f t="shared" si="121"/>
        <v>0</v>
      </c>
      <c r="JH49" s="46">
        <f t="shared" si="121"/>
        <v>0</v>
      </c>
      <c r="JI49" s="46">
        <f t="shared" si="121"/>
        <v>0</v>
      </c>
      <c r="JJ49" s="46">
        <f t="shared" si="121"/>
        <v>0</v>
      </c>
      <c r="JK49" s="46">
        <f t="shared" si="121"/>
        <v>0</v>
      </c>
      <c r="JL49" s="46">
        <f t="shared" si="121"/>
        <v>0</v>
      </c>
      <c r="JM49" s="46">
        <f t="shared" si="121"/>
        <v>0</v>
      </c>
      <c r="JN49" s="46">
        <f t="shared" si="121"/>
        <v>0</v>
      </c>
      <c r="JO49" s="46">
        <f t="shared" si="121"/>
        <v>0</v>
      </c>
      <c r="JP49" s="46">
        <f t="shared" si="121"/>
        <v>0</v>
      </c>
      <c r="JQ49" s="46">
        <f t="shared" si="121"/>
        <v>0</v>
      </c>
      <c r="JR49" s="46">
        <f t="shared" si="121"/>
        <v>0</v>
      </c>
      <c r="JS49" s="46">
        <f t="shared" si="121"/>
        <v>0</v>
      </c>
      <c r="JT49" s="46">
        <f t="shared" si="121"/>
        <v>0</v>
      </c>
      <c r="JU49" s="46">
        <f>SUM(EK48:EK50)</f>
        <v>0</v>
      </c>
      <c r="JV49" s="46">
        <f>SUM(EL48:EL50)</f>
        <v>0</v>
      </c>
      <c r="JW49" s="46">
        <f>SUM(EM48:EM50)</f>
        <v>0</v>
      </c>
      <c r="JX49" s="46">
        <f>SUM(EN48:EN50)</f>
        <v>0</v>
      </c>
    </row>
    <row r="50" spans="1:284" s="7" customFormat="1" x14ac:dyDescent="0.2">
      <c r="A50" s="406"/>
      <c r="B50" s="141" t="s">
        <v>33</v>
      </c>
      <c r="C50" s="120"/>
      <c r="D50" s="132"/>
      <c r="E50" s="120"/>
      <c r="F50" s="120"/>
      <c r="G50" s="399">
        <f>I50/Units_SF_M2</f>
        <v>1.4600536712446788</v>
      </c>
      <c r="H50" s="142">
        <f>I50/Units</f>
        <v>1241.0456205579771</v>
      </c>
      <c r="I50" s="142">
        <f>SUM(L50:EN50)</f>
        <v>372313.68616739311</v>
      </c>
      <c r="J50" s="43"/>
      <c r="K50" s="43" t="str">
        <f>IF(ROUND(SUM(L50:EN50),0)=ROUND(I50,0),"","Incomplete")</f>
        <v/>
      </c>
      <c r="L50" s="51">
        <f>EV55</f>
        <v>0</v>
      </c>
      <c r="M50" s="51">
        <f t="shared" ref="M50:AR50" si="122">EW55</f>
        <v>0</v>
      </c>
      <c r="N50" s="51">
        <f t="shared" si="122"/>
        <v>0</v>
      </c>
      <c r="O50" s="51">
        <f t="shared" si="122"/>
        <v>0</v>
      </c>
      <c r="P50" s="51">
        <f t="shared" si="122"/>
        <v>0</v>
      </c>
      <c r="Q50" s="51">
        <f t="shared" si="122"/>
        <v>0</v>
      </c>
      <c r="R50" s="51">
        <f t="shared" si="122"/>
        <v>0</v>
      </c>
      <c r="S50" s="51">
        <f t="shared" si="122"/>
        <v>0</v>
      </c>
      <c r="T50" s="51">
        <f t="shared" si="122"/>
        <v>0</v>
      </c>
      <c r="U50" s="51">
        <f t="shared" si="122"/>
        <v>0</v>
      </c>
      <c r="V50" s="51">
        <f t="shared" si="122"/>
        <v>0</v>
      </c>
      <c r="W50" s="51">
        <f t="shared" si="122"/>
        <v>0</v>
      </c>
      <c r="X50" s="51">
        <f t="shared" si="122"/>
        <v>0</v>
      </c>
      <c r="Y50" s="51">
        <f t="shared" si="122"/>
        <v>0</v>
      </c>
      <c r="Z50" s="51">
        <f t="shared" si="122"/>
        <v>0</v>
      </c>
      <c r="AA50" s="51">
        <f t="shared" si="122"/>
        <v>0</v>
      </c>
      <c r="AB50" s="51">
        <f t="shared" si="122"/>
        <v>0</v>
      </c>
      <c r="AC50" s="51">
        <f t="shared" si="122"/>
        <v>0</v>
      </c>
      <c r="AD50" s="51">
        <f t="shared" si="122"/>
        <v>0</v>
      </c>
      <c r="AE50" s="51">
        <f t="shared" si="122"/>
        <v>137014.1267392564</v>
      </c>
      <c r="AF50" s="51">
        <f t="shared" si="122"/>
        <v>105738.43198636749</v>
      </c>
      <c r="AG50" s="51">
        <f t="shared" si="122"/>
        <v>74462.737233478663</v>
      </c>
      <c r="AH50" s="51">
        <f t="shared" si="122"/>
        <v>43187.042480589735</v>
      </c>
      <c r="AI50" s="51">
        <f t="shared" si="122"/>
        <v>11911.347727700826</v>
      </c>
      <c r="AJ50" s="51">
        <f t="shared" si="122"/>
        <v>0</v>
      </c>
      <c r="AK50" s="51">
        <f t="shared" si="122"/>
        <v>0</v>
      </c>
      <c r="AL50" s="51">
        <f t="shared" si="122"/>
        <v>0</v>
      </c>
      <c r="AM50" s="51">
        <f t="shared" si="122"/>
        <v>0</v>
      </c>
      <c r="AN50" s="51">
        <f t="shared" si="122"/>
        <v>0</v>
      </c>
      <c r="AO50" s="51">
        <f t="shared" si="122"/>
        <v>0</v>
      </c>
      <c r="AP50" s="51">
        <f t="shared" si="122"/>
        <v>0</v>
      </c>
      <c r="AQ50" s="51">
        <f t="shared" si="122"/>
        <v>0</v>
      </c>
      <c r="AR50" s="51">
        <f t="shared" si="122"/>
        <v>0</v>
      </c>
      <c r="AS50" s="51">
        <f t="shared" ref="AS50:BX50" si="123">GC55</f>
        <v>0</v>
      </c>
      <c r="AT50" s="51">
        <f t="shared" si="123"/>
        <v>0</v>
      </c>
      <c r="AU50" s="51">
        <f t="shared" si="123"/>
        <v>0</v>
      </c>
      <c r="AV50" s="51">
        <f t="shared" si="123"/>
        <v>0</v>
      </c>
      <c r="AW50" s="51">
        <f t="shared" si="123"/>
        <v>0</v>
      </c>
      <c r="AX50" s="51">
        <f t="shared" si="123"/>
        <v>0</v>
      </c>
      <c r="AY50" s="51">
        <f t="shared" si="123"/>
        <v>0</v>
      </c>
      <c r="AZ50" s="51">
        <f t="shared" si="123"/>
        <v>0</v>
      </c>
      <c r="BA50" s="51">
        <f t="shared" si="123"/>
        <v>0</v>
      </c>
      <c r="BB50" s="51">
        <f t="shared" si="123"/>
        <v>0</v>
      </c>
      <c r="BC50" s="51">
        <f t="shared" si="123"/>
        <v>0</v>
      </c>
      <c r="BD50" s="51">
        <f t="shared" si="123"/>
        <v>0</v>
      </c>
      <c r="BE50" s="51">
        <f t="shared" si="123"/>
        <v>0</v>
      </c>
      <c r="BF50" s="51">
        <f t="shared" si="123"/>
        <v>0</v>
      </c>
      <c r="BG50" s="51">
        <f t="shared" si="123"/>
        <v>0</v>
      </c>
      <c r="BH50" s="51">
        <f t="shared" si="123"/>
        <v>0</v>
      </c>
      <c r="BI50" s="51">
        <f t="shared" si="123"/>
        <v>0</v>
      </c>
      <c r="BJ50" s="51">
        <f t="shared" si="123"/>
        <v>0</v>
      </c>
      <c r="BK50" s="51">
        <f t="shared" si="123"/>
        <v>0</v>
      </c>
      <c r="BL50" s="51">
        <f t="shared" si="123"/>
        <v>0</v>
      </c>
      <c r="BM50" s="51">
        <f t="shared" si="123"/>
        <v>0</v>
      </c>
      <c r="BN50" s="51">
        <f t="shared" si="123"/>
        <v>0</v>
      </c>
      <c r="BO50" s="51">
        <f t="shared" si="123"/>
        <v>0</v>
      </c>
      <c r="BP50" s="51">
        <f t="shared" si="123"/>
        <v>0</v>
      </c>
      <c r="BQ50" s="51">
        <f t="shared" si="123"/>
        <v>0</v>
      </c>
      <c r="BR50" s="51">
        <f t="shared" si="123"/>
        <v>0</v>
      </c>
      <c r="BS50" s="51">
        <f t="shared" si="123"/>
        <v>0</v>
      </c>
      <c r="BT50" s="51">
        <f t="shared" si="123"/>
        <v>0</v>
      </c>
      <c r="BU50" s="51">
        <f t="shared" si="123"/>
        <v>0</v>
      </c>
      <c r="BV50" s="51">
        <f t="shared" si="123"/>
        <v>0</v>
      </c>
      <c r="BW50" s="51">
        <f t="shared" si="123"/>
        <v>0</v>
      </c>
      <c r="BX50" s="51">
        <f t="shared" si="123"/>
        <v>0</v>
      </c>
      <c r="BY50" s="51">
        <f t="shared" ref="BY50:DD50" si="124">HI55</f>
        <v>0</v>
      </c>
      <c r="BZ50" s="51">
        <f t="shared" si="124"/>
        <v>0</v>
      </c>
      <c r="CA50" s="51">
        <f t="shared" si="124"/>
        <v>0</v>
      </c>
      <c r="CB50" s="51">
        <f t="shared" si="124"/>
        <v>0</v>
      </c>
      <c r="CC50" s="51">
        <f t="shared" si="124"/>
        <v>0</v>
      </c>
      <c r="CD50" s="51">
        <f t="shared" si="124"/>
        <v>0</v>
      </c>
      <c r="CE50" s="51">
        <f t="shared" si="124"/>
        <v>0</v>
      </c>
      <c r="CF50" s="51">
        <f t="shared" si="124"/>
        <v>0</v>
      </c>
      <c r="CG50" s="51">
        <f t="shared" si="124"/>
        <v>0</v>
      </c>
      <c r="CH50" s="51">
        <f t="shared" si="124"/>
        <v>0</v>
      </c>
      <c r="CI50" s="51">
        <f t="shared" si="124"/>
        <v>0</v>
      </c>
      <c r="CJ50" s="51">
        <f t="shared" si="124"/>
        <v>0</v>
      </c>
      <c r="CK50" s="51">
        <f t="shared" si="124"/>
        <v>0</v>
      </c>
      <c r="CL50" s="51">
        <f t="shared" si="124"/>
        <v>0</v>
      </c>
      <c r="CM50" s="51">
        <f t="shared" si="124"/>
        <v>0</v>
      </c>
      <c r="CN50" s="51">
        <f t="shared" si="124"/>
        <v>0</v>
      </c>
      <c r="CO50" s="51">
        <f t="shared" si="124"/>
        <v>0</v>
      </c>
      <c r="CP50" s="51">
        <f t="shared" si="124"/>
        <v>0</v>
      </c>
      <c r="CQ50" s="51">
        <f t="shared" si="124"/>
        <v>0</v>
      </c>
      <c r="CR50" s="51">
        <f t="shared" si="124"/>
        <v>0</v>
      </c>
      <c r="CS50" s="51">
        <f t="shared" si="124"/>
        <v>0</v>
      </c>
      <c r="CT50" s="51">
        <f t="shared" si="124"/>
        <v>0</v>
      </c>
      <c r="CU50" s="51">
        <f t="shared" si="124"/>
        <v>0</v>
      </c>
      <c r="CV50" s="51">
        <f t="shared" si="124"/>
        <v>0</v>
      </c>
      <c r="CW50" s="51">
        <f t="shared" si="124"/>
        <v>0</v>
      </c>
      <c r="CX50" s="51">
        <f t="shared" si="124"/>
        <v>0</v>
      </c>
      <c r="CY50" s="51">
        <f t="shared" si="124"/>
        <v>0</v>
      </c>
      <c r="CZ50" s="51">
        <f t="shared" si="124"/>
        <v>0</v>
      </c>
      <c r="DA50" s="51">
        <f t="shared" si="124"/>
        <v>0</v>
      </c>
      <c r="DB50" s="51">
        <f t="shared" si="124"/>
        <v>0</v>
      </c>
      <c r="DC50" s="51">
        <f t="shared" si="124"/>
        <v>0</v>
      </c>
      <c r="DD50" s="51">
        <f t="shared" si="124"/>
        <v>0</v>
      </c>
      <c r="DE50" s="51">
        <f t="shared" ref="DE50:EJ50" si="125">IO55</f>
        <v>0</v>
      </c>
      <c r="DF50" s="51">
        <f t="shared" si="125"/>
        <v>0</v>
      </c>
      <c r="DG50" s="51">
        <f t="shared" si="125"/>
        <v>0</v>
      </c>
      <c r="DH50" s="51">
        <f t="shared" si="125"/>
        <v>0</v>
      </c>
      <c r="DI50" s="51">
        <f t="shared" si="125"/>
        <v>0</v>
      </c>
      <c r="DJ50" s="51">
        <f t="shared" si="125"/>
        <v>0</v>
      </c>
      <c r="DK50" s="51">
        <f t="shared" si="125"/>
        <v>0</v>
      </c>
      <c r="DL50" s="51">
        <f t="shared" si="125"/>
        <v>0</v>
      </c>
      <c r="DM50" s="51">
        <f t="shared" si="125"/>
        <v>0</v>
      </c>
      <c r="DN50" s="51">
        <f t="shared" si="125"/>
        <v>0</v>
      </c>
      <c r="DO50" s="51">
        <f t="shared" si="125"/>
        <v>0</v>
      </c>
      <c r="DP50" s="51">
        <f t="shared" si="125"/>
        <v>0</v>
      </c>
      <c r="DQ50" s="51">
        <f t="shared" si="125"/>
        <v>0</v>
      </c>
      <c r="DR50" s="51">
        <f t="shared" si="125"/>
        <v>0</v>
      </c>
      <c r="DS50" s="51">
        <f t="shared" si="125"/>
        <v>0</v>
      </c>
      <c r="DT50" s="51">
        <f t="shared" si="125"/>
        <v>0</v>
      </c>
      <c r="DU50" s="51">
        <f t="shared" si="125"/>
        <v>0</v>
      </c>
      <c r="DV50" s="51">
        <f t="shared" si="125"/>
        <v>0</v>
      </c>
      <c r="DW50" s="51">
        <f t="shared" si="125"/>
        <v>0</v>
      </c>
      <c r="DX50" s="51">
        <f t="shared" si="125"/>
        <v>0</v>
      </c>
      <c r="DY50" s="51">
        <f t="shared" si="125"/>
        <v>0</v>
      </c>
      <c r="DZ50" s="51">
        <f t="shared" si="125"/>
        <v>0</v>
      </c>
      <c r="EA50" s="51">
        <f t="shared" si="125"/>
        <v>0</v>
      </c>
      <c r="EB50" s="51">
        <f t="shared" si="125"/>
        <v>0</v>
      </c>
      <c r="EC50" s="51">
        <f t="shared" si="125"/>
        <v>0</v>
      </c>
      <c r="ED50" s="51">
        <f t="shared" si="125"/>
        <v>0</v>
      </c>
      <c r="EE50" s="51">
        <f t="shared" si="125"/>
        <v>0</v>
      </c>
      <c r="EF50" s="51">
        <f t="shared" si="125"/>
        <v>0</v>
      </c>
      <c r="EG50" s="51">
        <f t="shared" si="125"/>
        <v>0</v>
      </c>
      <c r="EH50" s="51">
        <f t="shared" si="125"/>
        <v>0</v>
      </c>
      <c r="EI50" s="51">
        <f t="shared" si="125"/>
        <v>0</v>
      </c>
      <c r="EJ50" s="51">
        <f t="shared" si="125"/>
        <v>0</v>
      </c>
      <c r="EK50" s="51">
        <f>JU55</f>
        <v>0</v>
      </c>
      <c r="EL50" s="51">
        <f>JV55</f>
        <v>0</v>
      </c>
      <c r="EM50" s="51">
        <f>JW55</f>
        <v>0</v>
      </c>
      <c r="EN50" s="51">
        <f>JX55</f>
        <v>0</v>
      </c>
      <c r="EP50" s="24" t="str">
        <f>B53</f>
        <v>Total Uses</v>
      </c>
      <c r="EQ50" s="24"/>
      <c r="ER50" s="24"/>
      <c r="ES50" s="24"/>
      <c r="ET50" s="24"/>
      <c r="EU50" s="47">
        <f>SUM(EV50:JX50)</f>
        <v>58548862.145174876</v>
      </c>
      <c r="EV50" s="30">
        <f t="shared" ref="EV50:GA50" si="126">L53</f>
        <v>3753159.5276612928</v>
      </c>
      <c r="EW50" s="30">
        <f t="shared" si="126"/>
        <v>434615.43632992054</v>
      </c>
      <c r="EX50" s="30">
        <f t="shared" si="126"/>
        <v>595115.21586161223</v>
      </c>
      <c r="EY50" s="30">
        <f t="shared" si="126"/>
        <v>913409.18359364895</v>
      </c>
      <c r="EZ50" s="30">
        <f t="shared" si="126"/>
        <v>1467820.9038815256</v>
      </c>
      <c r="FA50" s="30">
        <f t="shared" si="126"/>
        <v>2309629.6734741665</v>
      </c>
      <c r="FB50" s="30">
        <f t="shared" si="126"/>
        <v>3409858.2075612606</v>
      </c>
      <c r="FC50" s="30">
        <f t="shared" si="126"/>
        <v>4618633.3206490651</v>
      </c>
      <c r="FD50" s="30">
        <f t="shared" si="126"/>
        <v>5689047.235330848</v>
      </c>
      <c r="FE50" s="30">
        <f t="shared" si="126"/>
        <v>6336064.6437679445</v>
      </c>
      <c r="FF50" s="30">
        <f t="shared" si="126"/>
        <v>6362464.9131169803</v>
      </c>
      <c r="FG50" s="30">
        <f t="shared" si="126"/>
        <v>5765662.1386317443</v>
      </c>
      <c r="FH50" s="30">
        <f t="shared" si="126"/>
        <v>4731209.4295146354</v>
      </c>
      <c r="FI50" s="30">
        <f t="shared" si="126"/>
        <v>3547598.7178405742</v>
      </c>
      <c r="FJ50" s="30">
        <f t="shared" si="126"/>
        <v>2467869.1206613295</v>
      </c>
      <c r="FK50" s="30">
        <f t="shared" si="126"/>
        <v>1640257.6635875134</v>
      </c>
      <c r="FL50" s="30">
        <f t="shared" si="126"/>
        <v>1095247.652728765</v>
      </c>
      <c r="FM50" s="30">
        <f t="shared" si="126"/>
        <v>783240.1545545361</v>
      </c>
      <c r="FN50" s="30">
        <f t="shared" si="126"/>
        <v>627272.65104083321</v>
      </c>
      <c r="FO50" s="30">
        <f t="shared" si="126"/>
        <v>332598.6138216916</v>
      </c>
      <c r="FP50" s="30">
        <f t="shared" si="126"/>
        <v>302875.04593330395</v>
      </c>
      <c r="FQ50" s="30">
        <f t="shared" si="126"/>
        <v>273012.76806143718</v>
      </c>
      <c r="FR50" s="30">
        <f t="shared" si="126"/>
        <v>243011.13289283498</v>
      </c>
      <c r="FS50" s="30">
        <f t="shared" si="126"/>
        <v>212869.49009344599</v>
      </c>
      <c r="FT50" s="30">
        <f t="shared" si="126"/>
        <v>182587.1862943265</v>
      </c>
      <c r="FU50" s="30">
        <f t="shared" si="126"/>
        <v>152163.5650774778</v>
      </c>
      <c r="FV50" s="30">
        <f t="shared" si="126"/>
        <v>121597.96696161716</v>
      </c>
      <c r="FW50" s="30">
        <f t="shared" si="126"/>
        <v>90889.7293878825</v>
      </c>
      <c r="FX50" s="30">
        <f t="shared" si="126"/>
        <v>60038.186705470376</v>
      </c>
      <c r="FY50" s="30">
        <f t="shared" si="126"/>
        <v>29042.670157206972</v>
      </c>
      <c r="FZ50" s="30">
        <f t="shared" si="126"/>
        <v>0</v>
      </c>
      <c r="GA50" s="30">
        <f t="shared" si="126"/>
        <v>0</v>
      </c>
      <c r="GB50" s="30">
        <f t="shared" ref="GB50:HG50" si="127">AR53</f>
        <v>0</v>
      </c>
      <c r="GC50" s="30">
        <f t="shared" si="127"/>
        <v>0</v>
      </c>
      <c r="GD50" s="30">
        <f t="shared" si="127"/>
        <v>0</v>
      </c>
      <c r="GE50" s="30">
        <f t="shared" si="127"/>
        <v>0</v>
      </c>
      <c r="GF50" s="30">
        <f t="shared" si="127"/>
        <v>0</v>
      </c>
      <c r="GG50" s="30">
        <f t="shared" si="127"/>
        <v>0</v>
      </c>
      <c r="GH50" s="30">
        <f t="shared" si="127"/>
        <v>0</v>
      </c>
      <c r="GI50" s="30">
        <f t="shared" si="127"/>
        <v>0</v>
      </c>
      <c r="GJ50" s="30">
        <f t="shared" si="127"/>
        <v>0</v>
      </c>
      <c r="GK50" s="30">
        <f t="shared" si="127"/>
        <v>0</v>
      </c>
      <c r="GL50" s="30">
        <f t="shared" si="127"/>
        <v>0</v>
      </c>
      <c r="GM50" s="30">
        <f t="shared" si="127"/>
        <v>0</v>
      </c>
      <c r="GN50" s="30">
        <f t="shared" si="127"/>
        <v>0</v>
      </c>
      <c r="GO50" s="30">
        <f t="shared" si="127"/>
        <v>0</v>
      </c>
      <c r="GP50" s="30">
        <f t="shared" si="127"/>
        <v>0</v>
      </c>
      <c r="GQ50" s="30">
        <f t="shared" si="127"/>
        <v>0</v>
      </c>
      <c r="GR50" s="30">
        <f t="shared" si="127"/>
        <v>0</v>
      </c>
      <c r="GS50" s="30">
        <f t="shared" si="127"/>
        <v>0</v>
      </c>
      <c r="GT50" s="30">
        <f t="shared" si="127"/>
        <v>0</v>
      </c>
      <c r="GU50" s="30">
        <f t="shared" si="127"/>
        <v>0</v>
      </c>
      <c r="GV50" s="30">
        <f t="shared" si="127"/>
        <v>0</v>
      </c>
      <c r="GW50" s="30">
        <f t="shared" si="127"/>
        <v>0</v>
      </c>
      <c r="GX50" s="30">
        <f t="shared" si="127"/>
        <v>0</v>
      </c>
      <c r="GY50" s="30">
        <f t="shared" si="127"/>
        <v>0</v>
      </c>
      <c r="GZ50" s="30">
        <f t="shared" si="127"/>
        <v>0</v>
      </c>
      <c r="HA50" s="30">
        <f t="shared" si="127"/>
        <v>0</v>
      </c>
      <c r="HB50" s="30">
        <f t="shared" si="127"/>
        <v>0</v>
      </c>
      <c r="HC50" s="30">
        <f t="shared" si="127"/>
        <v>0</v>
      </c>
      <c r="HD50" s="30">
        <f t="shared" si="127"/>
        <v>0</v>
      </c>
      <c r="HE50" s="30">
        <f t="shared" si="127"/>
        <v>0</v>
      </c>
      <c r="HF50" s="30">
        <f t="shared" si="127"/>
        <v>0</v>
      </c>
      <c r="HG50" s="30">
        <f t="shared" si="127"/>
        <v>0</v>
      </c>
      <c r="HH50" s="30">
        <f t="shared" ref="HH50:IM50" si="128">BX53</f>
        <v>0</v>
      </c>
      <c r="HI50" s="30">
        <f t="shared" si="128"/>
        <v>0</v>
      </c>
      <c r="HJ50" s="30">
        <f t="shared" si="128"/>
        <v>0</v>
      </c>
      <c r="HK50" s="30">
        <f t="shared" si="128"/>
        <v>0</v>
      </c>
      <c r="HL50" s="30">
        <f t="shared" si="128"/>
        <v>0</v>
      </c>
      <c r="HM50" s="30">
        <f t="shared" si="128"/>
        <v>0</v>
      </c>
      <c r="HN50" s="30">
        <f t="shared" si="128"/>
        <v>0</v>
      </c>
      <c r="HO50" s="30">
        <f t="shared" si="128"/>
        <v>0</v>
      </c>
      <c r="HP50" s="30">
        <f t="shared" si="128"/>
        <v>0</v>
      </c>
      <c r="HQ50" s="30">
        <f t="shared" si="128"/>
        <v>0</v>
      </c>
      <c r="HR50" s="30">
        <f t="shared" si="128"/>
        <v>0</v>
      </c>
      <c r="HS50" s="30">
        <f t="shared" si="128"/>
        <v>0</v>
      </c>
      <c r="HT50" s="30">
        <f t="shared" si="128"/>
        <v>0</v>
      </c>
      <c r="HU50" s="30">
        <f t="shared" si="128"/>
        <v>0</v>
      </c>
      <c r="HV50" s="30">
        <f t="shared" si="128"/>
        <v>0</v>
      </c>
      <c r="HW50" s="30">
        <f t="shared" si="128"/>
        <v>0</v>
      </c>
      <c r="HX50" s="30">
        <f t="shared" si="128"/>
        <v>0</v>
      </c>
      <c r="HY50" s="30">
        <f t="shared" si="128"/>
        <v>0</v>
      </c>
      <c r="HZ50" s="30">
        <f t="shared" si="128"/>
        <v>0</v>
      </c>
      <c r="IA50" s="30">
        <f t="shared" si="128"/>
        <v>0</v>
      </c>
      <c r="IB50" s="30">
        <f t="shared" si="128"/>
        <v>0</v>
      </c>
      <c r="IC50" s="30">
        <f t="shared" si="128"/>
        <v>0</v>
      </c>
      <c r="ID50" s="30">
        <f t="shared" si="128"/>
        <v>0</v>
      </c>
      <c r="IE50" s="30">
        <f t="shared" si="128"/>
        <v>0</v>
      </c>
      <c r="IF50" s="30">
        <f t="shared" si="128"/>
        <v>0</v>
      </c>
      <c r="IG50" s="30">
        <f t="shared" si="128"/>
        <v>0</v>
      </c>
      <c r="IH50" s="30">
        <f t="shared" si="128"/>
        <v>0</v>
      </c>
      <c r="II50" s="30">
        <f t="shared" si="128"/>
        <v>0</v>
      </c>
      <c r="IJ50" s="30">
        <f t="shared" si="128"/>
        <v>0</v>
      </c>
      <c r="IK50" s="30">
        <f t="shared" si="128"/>
        <v>0</v>
      </c>
      <c r="IL50" s="30">
        <f t="shared" si="128"/>
        <v>0</v>
      </c>
      <c r="IM50" s="30">
        <f t="shared" si="128"/>
        <v>0</v>
      </c>
      <c r="IN50" s="30">
        <f t="shared" ref="IN50:JS50" si="129">DD53</f>
        <v>0</v>
      </c>
      <c r="IO50" s="30">
        <f t="shared" si="129"/>
        <v>0</v>
      </c>
      <c r="IP50" s="30">
        <f t="shared" si="129"/>
        <v>0</v>
      </c>
      <c r="IQ50" s="30">
        <f t="shared" si="129"/>
        <v>0</v>
      </c>
      <c r="IR50" s="30">
        <f t="shared" si="129"/>
        <v>0</v>
      </c>
      <c r="IS50" s="30">
        <f t="shared" si="129"/>
        <v>0</v>
      </c>
      <c r="IT50" s="30">
        <f t="shared" si="129"/>
        <v>0</v>
      </c>
      <c r="IU50" s="30">
        <f t="shared" si="129"/>
        <v>0</v>
      </c>
      <c r="IV50" s="30">
        <f t="shared" si="129"/>
        <v>0</v>
      </c>
      <c r="IW50" s="30">
        <f t="shared" si="129"/>
        <v>0</v>
      </c>
      <c r="IX50" s="30">
        <f t="shared" si="129"/>
        <v>0</v>
      </c>
      <c r="IY50" s="30">
        <f t="shared" si="129"/>
        <v>0</v>
      </c>
      <c r="IZ50" s="30">
        <f t="shared" si="129"/>
        <v>0</v>
      </c>
      <c r="JA50" s="30">
        <f t="shared" si="129"/>
        <v>0</v>
      </c>
      <c r="JB50" s="30">
        <f t="shared" si="129"/>
        <v>0</v>
      </c>
      <c r="JC50" s="30">
        <f t="shared" si="129"/>
        <v>0</v>
      </c>
      <c r="JD50" s="30">
        <f t="shared" si="129"/>
        <v>0</v>
      </c>
      <c r="JE50" s="30">
        <f t="shared" si="129"/>
        <v>0</v>
      </c>
      <c r="JF50" s="30">
        <f t="shared" si="129"/>
        <v>0</v>
      </c>
      <c r="JG50" s="30">
        <f t="shared" si="129"/>
        <v>0</v>
      </c>
      <c r="JH50" s="30">
        <f t="shared" si="129"/>
        <v>0</v>
      </c>
      <c r="JI50" s="30">
        <f t="shared" si="129"/>
        <v>0</v>
      </c>
      <c r="JJ50" s="30">
        <f t="shared" si="129"/>
        <v>0</v>
      </c>
      <c r="JK50" s="30">
        <f t="shared" si="129"/>
        <v>0</v>
      </c>
      <c r="JL50" s="30">
        <f t="shared" si="129"/>
        <v>0</v>
      </c>
      <c r="JM50" s="30">
        <f t="shared" si="129"/>
        <v>0</v>
      </c>
      <c r="JN50" s="30">
        <f t="shared" si="129"/>
        <v>0</v>
      </c>
      <c r="JO50" s="30">
        <f t="shared" si="129"/>
        <v>0</v>
      </c>
      <c r="JP50" s="30">
        <f t="shared" si="129"/>
        <v>0</v>
      </c>
      <c r="JQ50" s="30">
        <f t="shared" si="129"/>
        <v>0</v>
      </c>
      <c r="JR50" s="30">
        <f t="shared" si="129"/>
        <v>0</v>
      </c>
      <c r="JS50" s="30">
        <f t="shared" si="129"/>
        <v>0</v>
      </c>
      <c r="JT50" s="30">
        <f>EJ53</f>
        <v>0</v>
      </c>
      <c r="JU50" s="30">
        <f>EK53</f>
        <v>0</v>
      </c>
      <c r="JV50" s="30">
        <f>EL53</f>
        <v>0</v>
      </c>
      <c r="JW50" s="30">
        <f>EM53</f>
        <v>0</v>
      </c>
      <c r="JX50" s="30">
        <f>EN53</f>
        <v>0</v>
      </c>
    </row>
    <row r="51" spans="1:284" s="7" customFormat="1" x14ac:dyDescent="0.2">
      <c r="A51" s="406"/>
      <c r="B51" s="134" t="s">
        <v>37</v>
      </c>
      <c r="C51" s="120"/>
      <c r="D51" s="135"/>
      <c r="E51" s="120"/>
      <c r="F51" s="120"/>
      <c r="G51" s="398">
        <f>SUM(G48:G50)</f>
        <v>15.949508566735222</v>
      </c>
      <c r="H51" s="136">
        <f>SUM(H48:H50)</f>
        <v>13557.082281724937</v>
      </c>
      <c r="I51" s="136">
        <f>SUM(I48:I50)</f>
        <v>4067124.6845174814</v>
      </c>
      <c r="K51" s="7" t="str">
        <f>IF(ROUND(SUM(L51:EN51),0)=ROUND(I51,0),"","Incomplete")</f>
        <v/>
      </c>
      <c r="L51" s="38">
        <f t="shared" ref="L51:BW51" si="130">SUM(L48:L50)</f>
        <v>724650.52766129305</v>
      </c>
      <c r="M51" s="38">
        <f t="shared" si="130"/>
        <v>0</v>
      </c>
      <c r="N51" s="38">
        <f t="shared" si="130"/>
        <v>0</v>
      </c>
      <c r="O51" s="38">
        <f t="shared" si="130"/>
        <v>0</v>
      </c>
      <c r="P51" s="38">
        <f t="shared" si="130"/>
        <v>0</v>
      </c>
      <c r="Q51" s="38">
        <f t="shared" si="130"/>
        <v>0</v>
      </c>
      <c r="R51" s="38">
        <f t="shared" si="130"/>
        <v>0</v>
      </c>
      <c r="S51" s="38">
        <f t="shared" si="130"/>
        <v>0</v>
      </c>
      <c r="T51" s="38">
        <f t="shared" si="130"/>
        <v>11937.613320370649</v>
      </c>
      <c r="U51" s="38">
        <f t="shared" si="130"/>
        <v>35641.976800915851</v>
      </c>
      <c r="V51" s="38">
        <f t="shared" si="130"/>
        <v>62042.246149948951</v>
      </c>
      <c r="W51" s="38">
        <f t="shared" si="130"/>
        <v>88552.516621269693</v>
      </c>
      <c r="X51" s="38">
        <f t="shared" si="130"/>
        <v>112576.10886556865</v>
      </c>
      <c r="Y51" s="38">
        <f t="shared" si="130"/>
        <v>137740.51027931506</v>
      </c>
      <c r="Z51" s="38">
        <f t="shared" si="130"/>
        <v>158239.44718716296</v>
      </c>
      <c r="AA51" s="38">
        <f t="shared" si="130"/>
        <v>172436.75970598898</v>
      </c>
      <c r="AB51" s="38">
        <f t="shared" si="130"/>
        <v>181838.46913511437</v>
      </c>
      <c r="AC51" s="38">
        <f t="shared" si="130"/>
        <v>188124.93869292663</v>
      </c>
      <c r="AD51" s="38">
        <f t="shared" si="130"/>
        <v>192657.21471091127</v>
      </c>
      <c r="AE51" s="38">
        <f t="shared" si="130"/>
        <v>332598.6138216916</v>
      </c>
      <c r="AF51" s="38">
        <f t="shared" si="130"/>
        <v>302875.04593330395</v>
      </c>
      <c r="AG51" s="38">
        <f t="shared" si="130"/>
        <v>273012.76806143718</v>
      </c>
      <c r="AH51" s="38">
        <f t="shared" si="130"/>
        <v>243011.13289283498</v>
      </c>
      <c r="AI51" s="38">
        <f t="shared" si="130"/>
        <v>212869.49009344599</v>
      </c>
      <c r="AJ51" s="38">
        <f t="shared" si="130"/>
        <v>182587.1862943265</v>
      </c>
      <c r="AK51" s="38">
        <f t="shared" si="130"/>
        <v>152163.5650774778</v>
      </c>
      <c r="AL51" s="38">
        <f t="shared" si="130"/>
        <v>121597.96696161716</v>
      </c>
      <c r="AM51" s="38">
        <f t="shared" si="130"/>
        <v>90889.7293878825</v>
      </c>
      <c r="AN51" s="38">
        <f t="shared" si="130"/>
        <v>60038.186705470376</v>
      </c>
      <c r="AO51" s="38">
        <f t="shared" si="130"/>
        <v>29042.670157206972</v>
      </c>
      <c r="AP51" s="38">
        <f t="shared" si="130"/>
        <v>0</v>
      </c>
      <c r="AQ51" s="38">
        <f t="shared" si="130"/>
        <v>0</v>
      </c>
      <c r="AR51" s="38">
        <f t="shared" si="130"/>
        <v>0</v>
      </c>
      <c r="AS51" s="38">
        <f t="shared" si="130"/>
        <v>0</v>
      </c>
      <c r="AT51" s="38">
        <f t="shared" si="130"/>
        <v>0</v>
      </c>
      <c r="AU51" s="38">
        <f t="shared" si="130"/>
        <v>0</v>
      </c>
      <c r="AV51" s="38">
        <f t="shared" si="130"/>
        <v>0</v>
      </c>
      <c r="AW51" s="38">
        <f t="shared" si="130"/>
        <v>0</v>
      </c>
      <c r="AX51" s="38">
        <f t="shared" si="130"/>
        <v>0</v>
      </c>
      <c r="AY51" s="38">
        <f t="shared" si="130"/>
        <v>0</v>
      </c>
      <c r="AZ51" s="38">
        <f t="shared" si="130"/>
        <v>0</v>
      </c>
      <c r="BA51" s="38">
        <f t="shared" si="130"/>
        <v>0</v>
      </c>
      <c r="BB51" s="38">
        <f t="shared" si="130"/>
        <v>0</v>
      </c>
      <c r="BC51" s="38">
        <f t="shared" si="130"/>
        <v>0</v>
      </c>
      <c r="BD51" s="38">
        <f t="shared" si="130"/>
        <v>0</v>
      </c>
      <c r="BE51" s="38">
        <f t="shared" si="130"/>
        <v>0</v>
      </c>
      <c r="BF51" s="38">
        <f t="shared" si="130"/>
        <v>0</v>
      </c>
      <c r="BG51" s="38">
        <f t="shared" si="130"/>
        <v>0</v>
      </c>
      <c r="BH51" s="38">
        <f t="shared" si="130"/>
        <v>0</v>
      </c>
      <c r="BI51" s="38">
        <f t="shared" si="130"/>
        <v>0</v>
      </c>
      <c r="BJ51" s="38">
        <f t="shared" si="130"/>
        <v>0</v>
      </c>
      <c r="BK51" s="38">
        <f t="shared" si="130"/>
        <v>0</v>
      </c>
      <c r="BL51" s="38">
        <f t="shared" si="130"/>
        <v>0</v>
      </c>
      <c r="BM51" s="38">
        <f t="shared" si="130"/>
        <v>0</v>
      </c>
      <c r="BN51" s="38">
        <f t="shared" si="130"/>
        <v>0</v>
      </c>
      <c r="BO51" s="38">
        <f t="shared" si="130"/>
        <v>0</v>
      </c>
      <c r="BP51" s="38">
        <f t="shared" si="130"/>
        <v>0</v>
      </c>
      <c r="BQ51" s="38">
        <f t="shared" si="130"/>
        <v>0</v>
      </c>
      <c r="BR51" s="38">
        <f t="shared" si="130"/>
        <v>0</v>
      </c>
      <c r="BS51" s="38">
        <f t="shared" si="130"/>
        <v>0</v>
      </c>
      <c r="BT51" s="38">
        <f t="shared" si="130"/>
        <v>0</v>
      </c>
      <c r="BU51" s="38">
        <f t="shared" si="130"/>
        <v>0</v>
      </c>
      <c r="BV51" s="38">
        <f t="shared" si="130"/>
        <v>0</v>
      </c>
      <c r="BW51" s="38">
        <f t="shared" si="130"/>
        <v>0</v>
      </c>
      <c r="BX51" s="38">
        <f t="shared" ref="BX51:EI51" si="131">SUM(BX48:BX50)</f>
        <v>0</v>
      </c>
      <c r="BY51" s="38">
        <f t="shared" si="131"/>
        <v>0</v>
      </c>
      <c r="BZ51" s="38">
        <f t="shared" si="131"/>
        <v>0</v>
      </c>
      <c r="CA51" s="38">
        <f t="shared" si="131"/>
        <v>0</v>
      </c>
      <c r="CB51" s="38">
        <f t="shared" si="131"/>
        <v>0</v>
      </c>
      <c r="CC51" s="38">
        <f t="shared" si="131"/>
        <v>0</v>
      </c>
      <c r="CD51" s="38">
        <f t="shared" si="131"/>
        <v>0</v>
      </c>
      <c r="CE51" s="38">
        <f t="shared" si="131"/>
        <v>0</v>
      </c>
      <c r="CF51" s="38">
        <f t="shared" si="131"/>
        <v>0</v>
      </c>
      <c r="CG51" s="38">
        <f t="shared" si="131"/>
        <v>0</v>
      </c>
      <c r="CH51" s="38">
        <f t="shared" si="131"/>
        <v>0</v>
      </c>
      <c r="CI51" s="38">
        <f t="shared" si="131"/>
        <v>0</v>
      </c>
      <c r="CJ51" s="38">
        <f t="shared" si="131"/>
        <v>0</v>
      </c>
      <c r="CK51" s="38">
        <f t="shared" si="131"/>
        <v>0</v>
      </c>
      <c r="CL51" s="38">
        <f t="shared" si="131"/>
        <v>0</v>
      </c>
      <c r="CM51" s="38">
        <f t="shared" si="131"/>
        <v>0</v>
      </c>
      <c r="CN51" s="38">
        <f t="shared" si="131"/>
        <v>0</v>
      </c>
      <c r="CO51" s="38">
        <f t="shared" si="131"/>
        <v>0</v>
      </c>
      <c r="CP51" s="38">
        <f t="shared" si="131"/>
        <v>0</v>
      </c>
      <c r="CQ51" s="38">
        <f t="shared" si="131"/>
        <v>0</v>
      </c>
      <c r="CR51" s="38">
        <f t="shared" si="131"/>
        <v>0</v>
      </c>
      <c r="CS51" s="38">
        <f t="shared" si="131"/>
        <v>0</v>
      </c>
      <c r="CT51" s="38">
        <f t="shared" si="131"/>
        <v>0</v>
      </c>
      <c r="CU51" s="38">
        <f t="shared" si="131"/>
        <v>0</v>
      </c>
      <c r="CV51" s="38">
        <f t="shared" si="131"/>
        <v>0</v>
      </c>
      <c r="CW51" s="38">
        <f t="shared" si="131"/>
        <v>0</v>
      </c>
      <c r="CX51" s="38">
        <f t="shared" si="131"/>
        <v>0</v>
      </c>
      <c r="CY51" s="38">
        <f t="shared" si="131"/>
        <v>0</v>
      </c>
      <c r="CZ51" s="38">
        <f t="shared" si="131"/>
        <v>0</v>
      </c>
      <c r="DA51" s="38">
        <f t="shared" si="131"/>
        <v>0</v>
      </c>
      <c r="DB51" s="38">
        <f t="shared" si="131"/>
        <v>0</v>
      </c>
      <c r="DC51" s="38">
        <f t="shared" si="131"/>
        <v>0</v>
      </c>
      <c r="DD51" s="38">
        <f t="shared" si="131"/>
        <v>0</v>
      </c>
      <c r="DE51" s="38">
        <f t="shared" si="131"/>
        <v>0</v>
      </c>
      <c r="DF51" s="38">
        <f t="shared" si="131"/>
        <v>0</v>
      </c>
      <c r="DG51" s="38">
        <f t="shared" si="131"/>
        <v>0</v>
      </c>
      <c r="DH51" s="38">
        <f t="shared" si="131"/>
        <v>0</v>
      </c>
      <c r="DI51" s="38">
        <f t="shared" si="131"/>
        <v>0</v>
      </c>
      <c r="DJ51" s="38">
        <f t="shared" si="131"/>
        <v>0</v>
      </c>
      <c r="DK51" s="38">
        <f t="shared" si="131"/>
        <v>0</v>
      </c>
      <c r="DL51" s="38">
        <f t="shared" si="131"/>
        <v>0</v>
      </c>
      <c r="DM51" s="38">
        <f t="shared" si="131"/>
        <v>0</v>
      </c>
      <c r="DN51" s="38">
        <f t="shared" si="131"/>
        <v>0</v>
      </c>
      <c r="DO51" s="38">
        <f t="shared" si="131"/>
        <v>0</v>
      </c>
      <c r="DP51" s="38">
        <f t="shared" si="131"/>
        <v>0</v>
      </c>
      <c r="DQ51" s="38">
        <f t="shared" si="131"/>
        <v>0</v>
      </c>
      <c r="DR51" s="38">
        <f t="shared" si="131"/>
        <v>0</v>
      </c>
      <c r="DS51" s="38">
        <f t="shared" si="131"/>
        <v>0</v>
      </c>
      <c r="DT51" s="38">
        <f t="shared" si="131"/>
        <v>0</v>
      </c>
      <c r="DU51" s="38">
        <f t="shared" si="131"/>
        <v>0</v>
      </c>
      <c r="DV51" s="38">
        <f t="shared" si="131"/>
        <v>0</v>
      </c>
      <c r="DW51" s="38">
        <f t="shared" si="131"/>
        <v>0</v>
      </c>
      <c r="DX51" s="38">
        <f t="shared" si="131"/>
        <v>0</v>
      </c>
      <c r="DY51" s="38">
        <f t="shared" si="131"/>
        <v>0</v>
      </c>
      <c r="DZ51" s="38">
        <f t="shared" si="131"/>
        <v>0</v>
      </c>
      <c r="EA51" s="38">
        <f t="shared" si="131"/>
        <v>0</v>
      </c>
      <c r="EB51" s="38">
        <f t="shared" si="131"/>
        <v>0</v>
      </c>
      <c r="EC51" s="38">
        <f t="shared" si="131"/>
        <v>0</v>
      </c>
      <c r="ED51" s="38">
        <f t="shared" si="131"/>
        <v>0</v>
      </c>
      <c r="EE51" s="38">
        <f t="shared" si="131"/>
        <v>0</v>
      </c>
      <c r="EF51" s="38">
        <f t="shared" si="131"/>
        <v>0</v>
      </c>
      <c r="EG51" s="38">
        <f t="shared" si="131"/>
        <v>0</v>
      </c>
      <c r="EH51" s="38">
        <f t="shared" si="131"/>
        <v>0</v>
      </c>
      <c r="EI51" s="38">
        <f t="shared" si="131"/>
        <v>0</v>
      </c>
      <c r="EJ51" s="38">
        <f>SUM(EJ48:EJ50)</f>
        <v>0</v>
      </c>
      <c r="EK51" s="38">
        <f>SUM(EK48:EK50)</f>
        <v>0</v>
      </c>
      <c r="EL51" s="38">
        <f>SUM(EL48:EL50)</f>
        <v>0</v>
      </c>
      <c r="EM51" s="38">
        <f>SUM(EM48:EM50)</f>
        <v>0</v>
      </c>
      <c r="EN51" s="38">
        <f>SUM(EN48:EN50)</f>
        <v>0</v>
      </c>
      <c r="EP51" s="45" t="s">
        <v>68</v>
      </c>
      <c r="EQ51" s="24"/>
      <c r="ER51" s="24"/>
      <c r="ES51" s="24"/>
      <c r="ET51" s="33"/>
      <c r="EU51" s="34" t="s">
        <v>70</v>
      </c>
      <c r="EV51" s="44">
        <f t="shared" ref="EV51:GA51" si="132">EV3</f>
        <v>0</v>
      </c>
      <c r="EW51" s="44">
        <f t="shared" si="132"/>
        <v>1</v>
      </c>
      <c r="EX51" s="44">
        <f t="shared" si="132"/>
        <v>2</v>
      </c>
      <c r="EY51" s="44">
        <f t="shared" si="132"/>
        <v>3</v>
      </c>
      <c r="EZ51" s="44">
        <f t="shared" si="132"/>
        <v>4</v>
      </c>
      <c r="FA51" s="44">
        <f t="shared" si="132"/>
        <v>5</v>
      </c>
      <c r="FB51" s="44">
        <f t="shared" si="132"/>
        <v>6</v>
      </c>
      <c r="FC51" s="44">
        <f t="shared" si="132"/>
        <v>7</v>
      </c>
      <c r="FD51" s="44">
        <f t="shared" si="132"/>
        <v>8</v>
      </c>
      <c r="FE51" s="44">
        <f t="shared" si="132"/>
        <v>9</v>
      </c>
      <c r="FF51" s="44">
        <f t="shared" si="132"/>
        <v>10</v>
      </c>
      <c r="FG51" s="44">
        <f t="shared" si="132"/>
        <v>11</v>
      </c>
      <c r="FH51" s="44">
        <f t="shared" si="132"/>
        <v>12</v>
      </c>
      <c r="FI51" s="44">
        <f t="shared" si="132"/>
        <v>13</v>
      </c>
      <c r="FJ51" s="44">
        <f t="shared" si="132"/>
        <v>14</v>
      </c>
      <c r="FK51" s="44">
        <f t="shared" si="132"/>
        <v>15</v>
      </c>
      <c r="FL51" s="44">
        <f t="shared" si="132"/>
        <v>16</v>
      </c>
      <c r="FM51" s="44">
        <f t="shared" si="132"/>
        <v>17</v>
      </c>
      <c r="FN51" s="44">
        <f t="shared" si="132"/>
        <v>18</v>
      </c>
      <c r="FO51" s="44">
        <f t="shared" si="132"/>
        <v>19</v>
      </c>
      <c r="FP51" s="44">
        <f t="shared" si="132"/>
        <v>20</v>
      </c>
      <c r="FQ51" s="44">
        <f t="shared" si="132"/>
        <v>21</v>
      </c>
      <c r="FR51" s="44">
        <f t="shared" si="132"/>
        <v>22</v>
      </c>
      <c r="FS51" s="44">
        <f t="shared" si="132"/>
        <v>23</v>
      </c>
      <c r="FT51" s="44">
        <f t="shared" si="132"/>
        <v>24</v>
      </c>
      <c r="FU51" s="44">
        <f t="shared" si="132"/>
        <v>25</v>
      </c>
      <c r="FV51" s="44">
        <f t="shared" si="132"/>
        <v>26</v>
      </c>
      <c r="FW51" s="44">
        <f t="shared" si="132"/>
        <v>27</v>
      </c>
      <c r="FX51" s="44">
        <f t="shared" si="132"/>
        <v>28</v>
      </c>
      <c r="FY51" s="44">
        <f t="shared" si="132"/>
        <v>29</v>
      </c>
      <c r="FZ51" s="44">
        <f t="shared" si="132"/>
        <v>30</v>
      </c>
      <c r="GA51" s="44">
        <f t="shared" si="132"/>
        <v>31</v>
      </c>
      <c r="GB51" s="44">
        <f t="shared" ref="GB51:HG51" si="133">GB3</f>
        <v>32</v>
      </c>
      <c r="GC51" s="44">
        <f t="shared" si="133"/>
        <v>33</v>
      </c>
      <c r="GD51" s="44">
        <f t="shared" si="133"/>
        <v>34</v>
      </c>
      <c r="GE51" s="44">
        <f t="shared" si="133"/>
        <v>35</v>
      </c>
      <c r="GF51" s="44">
        <f t="shared" si="133"/>
        <v>36</v>
      </c>
      <c r="GG51" s="44">
        <f t="shared" si="133"/>
        <v>37</v>
      </c>
      <c r="GH51" s="44">
        <f t="shared" si="133"/>
        <v>38</v>
      </c>
      <c r="GI51" s="44">
        <f t="shared" si="133"/>
        <v>39</v>
      </c>
      <c r="GJ51" s="44">
        <f t="shared" si="133"/>
        <v>40</v>
      </c>
      <c r="GK51" s="44">
        <f t="shared" si="133"/>
        <v>41</v>
      </c>
      <c r="GL51" s="44">
        <f t="shared" si="133"/>
        <v>42</v>
      </c>
      <c r="GM51" s="44">
        <f t="shared" si="133"/>
        <v>43</v>
      </c>
      <c r="GN51" s="44">
        <f t="shared" si="133"/>
        <v>44</v>
      </c>
      <c r="GO51" s="44">
        <f t="shared" si="133"/>
        <v>45</v>
      </c>
      <c r="GP51" s="44">
        <f t="shared" si="133"/>
        <v>46</v>
      </c>
      <c r="GQ51" s="44">
        <f t="shared" si="133"/>
        <v>47</v>
      </c>
      <c r="GR51" s="44">
        <f t="shared" si="133"/>
        <v>48</v>
      </c>
      <c r="GS51" s="44">
        <f t="shared" si="133"/>
        <v>49</v>
      </c>
      <c r="GT51" s="44">
        <f t="shared" si="133"/>
        <v>50</v>
      </c>
      <c r="GU51" s="44">
        <f t="shared" si="133"/>
        <v>51</v>
      </c>
      <c r="GV51" s="44">
        <f t="shared" si="133"/>
        <v>52</v>
      </c>
      <c r="GW51" s="44">
        <f t="shared" si="133"/>
        <v>53</v>
      </c>
      <c r="GX51" s="44">
        <f t="shared" si="133"/>
        <v>54</v>
      </c>
      <c r="GY51" s="44">
        <f t="shared" si="133"/>
        <v>55</v>
      </c>
      <c r="GZ51" s="44">
        <f t="shared" si="133"/>
        <v>56</v>
      </c>
      <c r="HA51" s="44">
        <f t="shared" si="133"/>
        <v>57</v>
      </c>
      <c r="HB51" s="44">
        <f t="shared" si="133"/>
        <v>58</v>
      </c>
      <c r="HC51" s="44">
        <f t="shared" si="133"/>
        <v>59</v>
      </c>
      <c r="HD51" s="44">
        <f t="shared" si="133"/>
        <v>60</v>
      </c>
      <c r="HE51" s="44">
        <f t="shared" si="133"/>
        <v>61</v>
      </c>
      <c r="HF51" s="44">
        <f t="shared" si="133"/>
        <v>62</v>
      </c>
      <c r="HG51" s="44">
        <f t="shared" si="133"/>
        <v>63</v>
      </c>
      <c r="HH51" s="44">
        <f t="shared" ref="HH51:IM51" si="134">HH3</f>
        <v>64</v>
      </c>
      <c r="HI51" s="44">
        <f t="shared" si="134"/>
        <v>65</v>
      </c>
      <c r="HJ51" s="44">
        <f t="shared" si="134"/>
        <v>66</v>
      </c>
      <c r="HK51" s="44">
        <f t="shared" si="134"/>
        <v>67</v>
      </c>
      <c r="HL51" s="44">
        <f t="shared" si="134"/>
        <v>68</v>
      </c>
      <c r="HM51" s="44">
        <f t="shared" si="134"/>
        <v>69</v>
      </c>
      <c r="HN51" s="44">
        <f t="shared" si="134"/>
        <v>70</v>
      </c>
      <c r="HO51" s="44">
        <f t="shared" si="134"/>
        <v>71</v>
      </c>
      <c r="HP51" s="44">
        <f t="shared" si="134"/>
        <v>72</v>
      </c>
      <c r="HQ51" s="44">
        <f t="shared" si="134"/>
        <v>73</v>
      </c>
      <c r="HR51" s="44">
        <f t="shared" si="134"/>
        <v>74</v>
      </c>
      <c r="HS51" s="44">
        <f t="shared" si="134"/>
        <v>75</v>
      </c>
      <c r="HT51" s="44">
        <f t="shared" si="134"/>
        <v>76</v>
      </c>
      <c r="HU51" s="44">
        <f t="shared" si="134"/>
        <v>77</v>
      </c>
      <c r="HV51" s="44">
        <f t="shared" si="134"/>
        <v>78</v>
      </c>
      <c r="HW51" s="44">
        <f t="shared" si="134"/>
        <v>79</v>
      </c>
      <c r="HX51" s="44">
        <f t="shared" si="134"/>
        <v>80</v>
      </c>
      <c r="HY51" s="44">
        <f t="shared" si="134"/>
        <v>81</v>
      </c>
      <c r="HZ51" s="44">
        <f t="shared" si="134"/>
        <v>82</v>
      </c>
      <c r="IA51" s="44">
        <f t="shared" si="134"/>
        <v>83</v>
      </c>
      <c r="IB51" s="44">
        <f t="shared" si="134"/>
        <v>84</v>
      </c>
      <c r="IC51" s="44">
        <f t="shared" si="134"/>
        <v>85</v>
      </c>
      <c r="ID51" s="44">
        <f t="shared" si="134"/>
        <v>86</v>
      </c>
      <c r="IE51" s="44">
        <f t="shared" si="134"/>
        <v>87</v>
      </c>
      <c r="IF51" s="44">
        <f t="shared" si="134"/>
        <v>88</v>
      </c>
      <c r="IG51" s="44">
        <f t="shared" si="134"/>
        <v>89</v>
      </c>
      <c r="IH51" s="44">
        <f t="shared" si="134"/>
        <v>90</v>
      </c>
      <c r="II51" s="44">
        <f t="shared" si="134"/>
        <v>91</v>
      </c>
      <c r="IJ51" s="44">
        <f t="shared" si="134"/>
        <v>92</v>
      </c>
      <c r="IK51" s="44">
        <f t="shared" si="134"/>
        <v>93</v>
      </c>
      <c r="IL51" s="44">
        <f t="shared" si="134"/>
        <v>94</v>
      </c>
      <c r="IM51" s="44">
        <f t="shared" si="134"/>
        <v>95</v>
      </c>
      <c r="IN51" s="44">
        <f t="shared" ref="IN51:JX51" si="135">IN3</f>
        <v>96</v>
      </c>
      <c r="IO51" s="44">
        <f t="shared" si="135"/>
        <v>97</v>
      </c>
      <c r="IP51" s="44">
        <f t="shared" si="135"/>
        <v>98</v>
      </c>
      <c r="IQ51" s="44">
        <f t="shared" si="135"/>
        <v>99</v>
      </c>
      <c r="IR51" s="44">
        <f t="shared" si="135"/>
        <v>100</v>
      </c>
      <c r="IS51" s="44">
        <f t="shared" si="135"/>
        <v>101</v>
      </c>
      <c r="IT51" s="44">
        <f t="shared" si="135"/>
        <v>102</v>
      </c>
      <c r="IU51" s="44">
        <f t="shared" si="135"/>
        <v>103</v>
      </c>
      <c r="IV51" s="44">
        <f t="shared" si="135"/>
        <v>104</v>
      </c>
      <c r="IW51" s="44">
        <f t="shared" si="135"/>
        <v>105</v>
      </c>
      <c r="IX51" s="44">
        <f t="shared" si="135"/>
        <v>106</v>
      </c>
      <c r="IY51" s="44">
        <f t="shared" si="135"/>
        <v>107</v>
      </c>
      <c r="IZ51" s="44">
        <f t="shared" si="135"/>
        <v>108</v>
      </c>
      <c r="JA51" s="44">
        <f t="shared" si="135"/>
        <v>109</v>
      </c>
      <c r="JB51" s="44">
        <f t="shared" si="135"/>
        <v>110</v>
      </c>
      <c r="JC51" s="44">
        <f t="shared" si="135"/>
        <v>111</v>
      </c>
      <c r="JD51" s="44">
        <f t="shared" si="135"/>
        <v>112</v>
      </c>
      <c r="JE51" s="44">
        <f t="shared" si="135"/>
        <v>113</v>
      </c>
      <c r="JF51" s="44">
        <f t="shared" si="135"/>
        <v>114</v>
      </c>
      <c r="JG51" s="44">
        <f t="shared" si="135"/>
        <v>115</v>
      </c>
      <c r="JH51" s="44">
        <f t="shared" si="135"/>
        <v>116</v>
      </c>
      <c r="JI51" s="44">
        <f t="shared" si="135"/>
        <v>117</v>
      </c>
      <c r="JJ51" s="44">
        <f t="shared" si="135"/>
        <v>118</v>
      </c>
      <c r="JK51" s="44">
        <f t="shared" si="135"/>
        <v>119</v>
      </c>
      <c r="JL51" s="44">
        <f t="shared" si="135"/>
        <v>120</v>
      </c>
      <c r="JM51" s="44">
        <f t="shared" si="135"/>
        <v>121</v>
      </c>
      <c r="JN51" s="44">
        <f t="shared" si="135"/>
        <v>122</v>
      </c>
      <c r="JO51" s="44">
        <f t="shared" si="135"/>
        <v>123</v>
      </c>
      <c r="JP51" s="44">
        <f t="shared" si="135"/>
        <v>124</v>
      </c>
      <c r="JQ51" s="44">
        <f t="shared" si="135"/>
        <v>125</v>
      </c>
      <c r="JR51" s="44">
        <f t="shared" si="135"/>
        <v>126</v>
      </c>
      <c r="JS51" s="44">
        <f t="shared" si="135"/>
        <v>127</v>
      </c>
      <c r="JT51" s="44">
        <f t="shared" si="135"/>
        <v>128</v>
      </c>
      <c r="JU51" s="44">
        <f t="shared" si="135"/>
        <v>129</v>
      </c>
      <c r="JV51" s="44">
        <f t="shared" si="135"/>
        <v>130</v>
      </c>
      <c r="JW51" s="44">
        <f t="shared" si="135"/>
        <v>131</v>
      </c>
      <c r="JX51" s="44">
        <f t="shared" si="135"/>
        <v>132</v>
      </c>
    </row>
    <row r="52" spans="1:284" s="7" customFormat="1" x14ac:dyDescent="0.2">
      <c r="A52" s="406"/>
      <c r="B52" s="137"/>
      <c r="C52" s="120"/>
      <c r="D52" s="132"/>
      <c r="E52" s="120"/>
      <c r="F52" s="120"/>
      <c r="G52" s="398"/>
      <c r="H52" s="140"/>
      <c r="I52" s="140"/>
      <c r="EP52" s="48" t="s">
        <v>61</v>
      </c>
      <c r="EQ52" s="24"/>
      <c r="ER52" s="24"/>
      <c r="ES52" s="24"/>
      <c r="ET52" s="24"/>
      <c r="EU52" s="47">
        <f>SUM(EV52:JX52)</f>
        <v>14637214.272123536</v>
      </c>
      <c r="EV52" s="30">
        <f>MIN(EU65,EV48+L49)</f>
        <v>3753159.5276612928</v>
      </c>
      <c r="EW52" s="30">
        <f t="shared" ref="EW52:HH52" si="136">MIN(EV65,EW48+M49)</f>
        <v>434615.43632992054</v>
      </c>
      <c r="EX52" s="30">
        <f t="shared" si="136"/>
        <v>595115.21586161223</v>
      </c>
      <c r="EY52" s="30">
        <f t="shared" si="136"/>
        <v>913409.18359364895</v>
      </c>
      <c r="EZ52" s="30">
        <f t="shared" si="136"/>
        <v>1467820.9038815256</v>
      </c>
      <c r="FA52" s="30">
        <f t="shared" si="136"/>
        <v>2309629.6734741665</v>
      </c>
      <c r="FB52" s="30">
        <f t="shared" si="136"/>
        <v>3409858.2075612606</v>
      </c>
      <c r="FC52" s="30">
        <f t="shared" si="136"/>
        <v>1753606.1237601093</v>
      </c>
      <c r="FD52" s="30">
        <f t="shared" si="136"/>
        <v>0</v>
      </c>
      <c r="FE52" s="30">
        <f t="shared" si="136"/>
        <v>0</v>
      </c>
      <c r="FF52" s="30">
        <f t="shared" si="136"/>
        <v>0</v>
      </c>
      <c r="FG52" s="30">
        <f t="shared" si="136"/>
        <v>0</v>
      </c>
      <c r="FH52" s="30">
        <f t="shared" si="136"/>
        <v>0</v>
      </c>
      <c r="FI52" s="30">
        <f t="shared" si="136"/>
        <v>0</v>
      </c>
      <c r="FJ52" s="30">
        <f t="shared" si="136"/>
        <v>0</v>
      </c>
      <c r="FK52" s="30">
        <f t="shared" si="136"/>
        <v>0</v>
      </c>
      <c r="FL52" s="30">
        <f t="shared" si="136"/>
        <v>0</v>
      </c>
      <c r="FM52" s="30">
        <f t="shared" si="136"/>
        <v>0</v>
      </c>
      <c r="FN52" s="30">
        <f t="shared" si="136"/>
        <v>0</v>
      </c>
      <c r="FO52" s="30">
        <f t="shared" si="136"/>
        <v>0</v>
      </c>
      <c r="FP52" s="30">
        <f t="shared" si="136"/>
        <v>0</v>
      </c>
      <c r="FQ52" s="30">
        <f t="shared" si="136"/>
        <v>0</v>
      </c>
      <c r="FR52" s="30">
        <f t="shared" si="136"/>
        <v>0</v>
      </c>
      <c r="FS52" s="30">
        <f t="shared" si="136"/>
        <v>0</v>
      </c>
      <c r="FT52" s="30">
        <f t="shared" si="136"/>
        <v>0</v>
      </c>
      <c r="FU52" s="30">
        <f t="shared" si="136"/>
        <v>0</v>
      </c>
      <c r="FV52" s="30">
        <f t="shared" si="136"/>
        <v>0</v>
      </c>
      <c r="FW52" s="30">
        <f t="shared" si="136"/>
        <v>0</v>
      </c>
      <c r="FX52" s="30">
        <f t="shared" si="136"/>
        <v>0</v>
      </c>
      <c r="FY52" s="30">
        <f t="shared" si="136"/>
        <v>0</v>
      </c>
      <c r="FZ52" s="30">
        <f t="shared" si="136"/>
        <v>0</v>
      </c>
      <c r="GA52" s="30">
        <f t="shared" si="136"/>
        <v>0</v>
      </c>
      <c r="GB52" s="30">
        <f t="shared" si="136"/>
        <v>0</v>
      </c>
      <c r="GC52" s="30">
        <f t="shared" si="136"/>
        <v>0</v>
      </c>
      <c r="GD52" s="30">
        <f t="shared" si="136"/>
        <v>0</v>
      </c>
      <c r="GE52" s="30">
        <f t="shared" si="136"/>
        <v>0</v>
      </c>
      <c r="GF52" s="30">
        <f t="shared" si="136"/>
        <v>0</v>
      </c>
      <c r="GG52" s="30">
        <f t="shared" si="136"/>
        <v>0</v>
      </c>
      <c r="GH52" s="30">
        <f t="shared" si="136"/>
        <v>0</v>
      </c>
      <c r="GI52" s="30">
        <f t="shared" si="136"/>
        <v>0</v>
      </c>
      <c r="GJ52" s="30">
        <f t="shared" si="136"/>
        <v>0</v>
      </c>
      <c r="GK52" s="30">
        <f t="shared" si="136"/>
        <v>0</v>
      </c>
      <c r="GL52" s="30">
        <f t="shared" si="136"/>
        <v>0</v>
      </c>
      <c r="GM52" s="30">
        <f t="shared" si="136"/>
        <v>0</v>
      </c>
      <c r="GN52" s="30">
        <f t="shared" si="136"/>
        <v>0</v>
      </c>
      <c r="GO52" s="30">
        <f t="shared" si="136"/>
        <v>0</v>
      </c>
      <c r="GP52" s="30">
        <f t="shared" si="136"/>
        <v>0</v>
      </c>
      <c r="GQ52" s="30">
        <f t="shared" si="136"/>
        <v>0</v>
      </c>
      <c r="GR52" s="30">
        <f t="shared" si="136"/>
        <v>0</v>
      </c>
      <c r="GS52" s="30">
        <f t="shared" si="136"/>
        <v>0</v>
      </c>
      <c r="GT52" s="30">
        <f t="shared" si="136"/>
        <v>0</v>
      </c>
      <c r="GU52" s="30">
        <f t="shared" si="136"/>
        <v>0</v>
      </c>
      <c r="GV52" s="30">
        <f t="shared" si="136"/>
        <v>0</v>
      </c>
      <c r="GW52" s="30">
        <f t="shared" si="136"/>
        <v>0</v>
      </c>
      <c r="GX52" s="30">
        <f t="shared" si="136"/>
        <v>0</v>
      </c>
      <c r="GY52" s="30">
        <f t="shared" si="136"/>
        <v>0</v>
      </c>
      <c r="GZ52" s="30">
        <f t="shared" si="136"/>
        <v>0</v>
      </c>
      <c r="HA52" s="30">
        <f t="shared" si="136"/>
        <v>0</v>
      </c>
      <c r="HB52" s="30">
        <f t="shared" si="136"/>
        <v>0</v>
      </c>
      <c r="HC52" s="30">
        <f t="shared" si="136"/>
        <v>0</v>
      </c>
      <c r="HD52" s="30">
        <f t="shared" si="136"/>
        <v>0</v>
      </c>
      <c r="HE52" s="30">
        <f t="shared" si="136"/>
        <v>0</v>
      </c>
      <c r="HF52" s="30">
        <f t="shared" si="136"/>
        <v>0</v>
      </c>
      <c r="HG52" s="30">
        <f t="shared" si="136"/>
        <v>0</v>
      </c>
      <c r="HH52" s="30">
        <f t="shared" si="136"/>
        <v>0</v>
      </c>
      <c r="HI52" s="30">
        <f t="shared" ref="HI52:JT52" si="137">MIN(HH65,HI48+BY49)</f>
        <v>0</v>
      </c>
      <c r="HJ52" s="30">
        <f t="shared" si="137"/>
        <v>0</v>
      </c>
      <c r="HK52" s="30">
        <f t="shared" si="137"/>
        <v>0</v>
      </c>
      <c r="HL52" s="30">
        <f t="shared" si="137"/>
        <v>0</v>
      </c>
      <c r="HM52" s="30">
        <f t="shared" si="137"/>
        <v>0</v>
      </c>
      <c r="HN52" s="30">
        <f t="shared" si="137"/>
        <v>0</v>
      </c>
      <c r="HO52" s="30">
        <f t="shared" si="137"/>
        <v>0</v>
      </c>
      <c r="HP52" s="30">
        <f t="shared" si="137"/>
        <v>0</v>
      </c>
      <c r="HQ52" s="30">
        <f t="shared" si="137"/>
        <v>0</v>
      </c>
      <c r="HR52" s="30">
        <f t="shared" si="137"/>
        <v>0</v>
      </c>
      <c r="HS52" s="30">
        <f t="shared" si="137"/>
        <v>0</v>
      </c>
      <c r="HT52" s="30">
        <f t="shared" si="137"/>
        <v>0</v>
      </c>
      <c r="HU52" s="30">
        <f t="shared" si="137"/>
        <v>0</v>
      </c>
      <c r="HV52" s="30">
        <f t="shared" si="137"/>
        <v>0</v>
      </c>
      <c r="HW52" s="30">
        <f t="shared" si="137"/>
        <v>0</v>
      </c>
      <c r="HX52" s="30">
        <f t="shared" si="137"/>
        <v>0</v>
      </c>
      <c r="HY52" s="30">
        <f t="shared" si="137"/>
        <v>0</v>
      </c>
      <c r="HZ52" s="30">
        <f t="shared" si="137"/>
        <v>0</v>
      </c>
      <c r="IA52" s="30">
        <f t="shared" si="137"/>
        <v>0</v>
      </c>
      <c r="IB52" s="30">
        <f t="shared" si="137"/>
        <v>0</v>
      </c>
      <c r="IC52" s="30">
        <f t="shared" si="137"/>
        <v>0</v>
      </c>
      <c r="ID52" s="30">
        <f t="shared" si="137"/>
        <v>0</v>
      </c>
      <c r="IE52" s="30">
        <f t="shared" si="137"/>
        <v>0</v>
      </c>
      <c r="IF52" s="30">
        <f t="shared" si="137"/>
        <v>0</v>
      </c>
      <c r="IG52" s="30">
        <f t="shared" si="137"/>
        <v>0</v>
      </c>
      <c r="IH52" s="30">
        <f t="shared" si="137"/>
        <v>0</v>
      </c>
      <c r="II52" s="30">
        <f t="shared" si="137"/>
        <v>0</v>
      </c>
      <c r="IJ52" s="30">
        <f t="shared" si="137"/>
        <v>0</v>
      </c>
      <c r="IK52" s="30">
        <f t="shared" si="137"/>
        <v>0</v>
      </c>
      <c r="IL52" s="30">
        <f t="shared" si="137"/>
        <v>0</v>
      </c>
      <c r="IM52" s="30">
        <f t="shared" si="137"/>
        <v>0</v>
      </c>
      <c r="IN52" s="30">
        <f t="shared" si="137"/>
        <v>0</v>
      </c>
      <c r="IO52" s="30">
        <f t="shared" si="137"/>
        <v>0</v>
      </c>
      <c r="IP52" s="30">
        <f t="shared" si="137"/>
        <v>0</v>
      </c>
      <c r="IQ52" s="30">
        <f t="shared" si="137"/>
        <v>0</v>
      </c>
      <c r="IR52" s="30">
        <f t="shared" si="137"/>
        <v>0</v>
      </c>
      <c r="IS52" s="30">
        <f t="shared" si="137"/>
        <v>0</v>
      </c>
      <c r="IT52" s="30">
        <f t="shared" si="137"/>
        <v>0</v>
      </c>
      <c r="IU52" s="30">
        <f t="shared" si="137"/>
        <v>0</v>
      </c>
      <c r="IV52" s="30">
        <f t="shared" si="137"/>
        <v>0</v>
      </c>
      <c r="IW52" s="30">
        <f t="shared" si="137"/>
        <v>0</v>
      </c>
      <c r="IX52" s="30">
        <f t="shared" si="137"/>
        <v>0</v>
      </c>
      <c r="IY52" s="30">
        <f t="shared" si="137"/>
        <v>0</v>
      </c>
      <c r="IZ52" s="30">
        <f t="shared" si="137"/>
        <v>0</v>
      </c>
      <c r="JA52" s="30">
        <f t="shared" si="137"/>
        <v>0</v>
      </c>
      <c r="JB52" s="30">
        <f t="shared" si="137"/>
        <v>0</v>
      </c>
      <c r="JC52" s="30">
        <f t="shared" si="137"/>
        <v>0</v>
      </c>
      <c r="JD52" s="30">
        <f t="shared" si="137"/>
        <v>0</v>
      </c>
      <c r="JE52" s="30">
        <f t="shared" si="137"/>
        <v>0</v>
      </c>
      <c r="JF52" s="30">
        <f t="shared" si="137"/>
        <v>0</v>
      </c>
      <c r="JG52" s="30">
        <f t="shared" si="137"/>
        <v>0</v>
      </c>
      <c r="JH52" s="30">
        <f t="shared" si="137"/>
        <v>0</v>
      </c>
      <c r="JI52" s="30">
        <f t="shared" si="137"/>
        <v>0</v>
      </c>
      <c r="JJ52" s="30">
        <f t="shared" si="137"/>
        <v>0</v>
      </c>
      <c r="JK52" s="30">
        <f t="shared" si="137"/>
        <v>0</v>
      </c>
      <c r="JL52" s="30">
        <f t="shared" si="137"/>
        <v>0</v>
      </c>
      <c r="JM52" s="30">
        <f t="shared" si="137"/>
        <v>0</v>
      </c>
      <c r="JN52" s="30">
        <f t="shared" si="137"/>
        <v>0</v>
      </c>
      <c r="JO52" s="30">
        <f t="shared" si="137"/>
        <v>0</v>
      </c>
      <c r="JP52" s="30">
        <f t="shared" si="137"/>
        <v>0</v>
      </c>
      <c r="JQ52" s="30">
        <f t="shared" si="137"/>
        <v>0</v>
      </c>
      <c r="JR52" s="30">
        <f t="shared" si="137"/>
        <v>0</v>
      </c>
      <c r="JS52" s="30">
        <f t="shared" si="137"/>
        <v>0</v>
      </c>
      <c r="JT52" s="30">
        <f t="shared" si="137"/>
        <v>0</v>
      </c>
      <c r="JU52" s="30">
        <f>MIN(JT65,JU48+EK49)</f>
        <v>0</v>
      </c>
      <c r="JV52" s="30">
        <f>MIN(JU65,JV48+EL49)</f>
        <v>0</v>
      </c>
      <c r="JW52" s="30">
        <f>MIN(JV65,JW48+EM49)</f>
        <v>0</v>
      </c>
      <c r="JX52" s="30">
        <f>MIN(JW65,JX48+EN49)</f>
        <v>0</v>
      </c>
    </row>
    <row r="53" spans="1:284" s="58" customFormat="1" x14ac:dyDescent="0.2">
      <c r="A53" s="409"/>
      <c r="B53" s="143" t="s">
        <v>83</v>
      </c>
      <c r="C53" s="144"/>
      <c r="D53" s="145">
        <f>MIN(D49,D43,D35,D29)</f>
        <v>0</v>
      </c>
      <c r="E53" s="145">
        <f>MAX(E49,E43,E35,E29)</f>
        <v>18</v>
      </c>
      <c r="F53" s="145"/>
      <c r="G53" s="400">
        <f>G51+G43+G35+G29</f>
        <v>229.60338096147018</v>
      </c>
      <c r="H53" s="146">
        <f>H51+H43+H35+H29</f>
        <v>195162.87381724964</v>
      </c>
      <c r="I53" s="146">
        <f>I51+I43+I35+I29</f>
        <v>58548862.145174891</v>
      </c>
      <c r="K53" s="58" t="str">
        <f>IF(ROUND(SUM(L53:EN53),0)=ROUND(I53,0),"","Incomplete")</f>
        <v/>
      </c>
      <c r="L53" s="65">
        <f t="shared" ref="L53:AQ53" si="138">+L51+L43+L35+L29</f>
        <v>3753159.5276612928</v>
      </c>
      <c r="M53" s="65">
        <f t="shared" si="138"/>
        <v>434615.43632992054</v>
      </c>
      <c r="N53" s="65">
        <f t="shared" si="138"/>
        <v>595115.21586161223</v>
      </c>
      <c r="O53" s="65">
        <f t="shared" si="138"/>
        <v>913409.18359364895</v>
      </c>
      <c r="P53" s="65">
        <f t="shared" si="138"/>
        <v>1467820.9038815256</v>
      </c>
      <c r="Q53" s="65">
        <f t="shared" si="138"/>
        <v>2309629.6734741665</v>
      </c>
      <c r="R53" s="65">
        <f t="shared" si="138"/>
        <v>3409858.2075612606</v>
      </c>
      <c r="S53" s="65">
        <f t="shared" si="138"/>
        <v>4618633.3206490651</v>
      </c>
      <c r="T53" s="65">
        <f t="shared" si="138"/>
        <v>5689047.235330848</v>
      </c>
      <c r="U53" s="65">
        <f t="shared" si="138"/>
        <v>6336064.6437679445</v>
      </c>
      <c r="V53" s="65">
        <f t="shared" si="138"/>
        <v>6362464.9131169803</v>
      </c>
      <c r="W53" s="65">
        <f t="shared" si="138"/>
        <v>5765662.1386317443</v>
      </c>
      <c r="X53" s="65">
        <f t="shared" si="138"/>
        <v>4731209.4295146354</v>
      </c>
      <c r="Y53" s="65">
        <f t="shared" si="138"/>
        <v>3547598.7178405742</v>
      </c>
      <c r="Z53" s="65">
        <f t="shared" si="138"/>
        <v>2467869.1206613295</v>
      </c>
      <c r="AA53" s="65">
        <f t="shared" si="138"/>
        <v>1640257.6635875134</v>
      </c>
      <c r="AB53" s="65">
        <f t="shared" si="138"/>
        <v>1095247.652728765</v>
      </c>
      <c r="AC53" s="65">
        <f t="shared" si="138"/>
        <v>783240.1545545361</v>
      </c>
      <c r="AD53" s="65">
        <f t="shared" si="138"/>
        <v>627272.65104083321</v>
      </c>
      <c r="AE53" s="65">
        <f t="shared" si="138"/>
        <v>332598.6138216916</v>
      </c>
      <c r="AF53" s="65">
        <f t="shared" si="138"/>
        <v>302875.04593330395</v>
      </c>
      <c r="AG53" s="65">
        <f t="shared" si="138"/>
        <v>273012.76806143718</v>
      </c>
      <c r="AH53" s="65">
        <f t="shared" si="138"/>
        <v>243011.13289283498</v>
      </c>
      <c r="AI53" s="65">
        <f t="shared" si="138"/>
        <v>212869.49009344599</v>
      </c>
      <c r="AJ53" s="65">
        <f t="shared" si="138"/>
        <v>182587.1862943265</v>
      </c>
      <c r="AK53" s="65">
        <f t="shared" si="138"/>
        <v>152163.5650774778</v>
      </c>
      <c r="AL53" s="65">
        <f t="shared" si="138"/>
        <v>121597.96696161716</v>
      </c>
      <c r="AM53" s="65">
        <f t="shared" si="138"/>
        <v>90889.7293878825</v>
      </c>
      <c r="AN53" s="65">
        <f t="shared" si="138"/>
        <v>60038.186705470376</v>
      </c>
      <c r="AO53" s="65">
        <f t="shared" si="138"/>
        <v>29042.670157206972</v>
      </c>
      <c r="AP53" s="65">
        <f t="shared" si="138"/>
        <v>0</v>
      </c>
      <c r="AQ53" s="65">
        <f t="shared" si="138"/>
        <v>0</v>
      </c>
      <c r="AR53" s="65">
        <f t="shared" ref="AR53:BW53" si="139">+AR51+AR43+AR35+AR29</f>
        <v>0</v>
      </c>
      <c r="AS53" s="65">
        <f t="shared" si="139"/>
        <v>0</v>
      </c>
      <c r="AT53" s="65">
        <f t="shared" si="139"/>
        <v>0</v>
      </c>
      <c r="AU53" s="65">
        <f t="shared" si="139"/>
        <v>0</v>
      </c>
      <c r="AV53" s="65">
        <f t="shared" si="139"/>
        <v>0</v>
      </c>
      <c r="AW53" s="65">
        <f t="shared" si="139"/>
        <v>0</v>
      </c>
      <c r="AX53" s="65">
        <f t="shared" si="139"/>
        <v>0</v>
      </c>
      <c r="AY53" s="65">
        <f t="shared" si="139"/>
        <v>0</v>
      </c>
      <c r="AZ53" s="65">
        <f t="shared" si="139"/>
        <v>0</v>
      </c>
      <c r="BA53" s="65">
        <f t="shared" si="139"/>
        <v>0</v>
      </c>
      <c r="BB53" s="65">
        <f t="shared" si="139"/>
        <v>0</v>
      </c>
      <c r="BC53" s="65">
        <f t="shared" si="139"/>
        <v>0</v>
      </c>
      <c r="BD53" s="65">
        <f t="shared" si="139"/>
        <v>0</v>
      </c>
      <c r="BE53" s="65">
        <f t="shared" si="139"/>
        <v>0</v>
      </c>
      <c r="BF53" s="65">
        <f t="shared" si="139"/>
        <v>0</v>
      </c>
      <c r="BG53" s="65">
        <f t="shared" si="139"/>
        <v>0</v>
      </c>
      <c r="BH53" s="65">
        <f t="shared" si="139"/>
        <v>0</v>
      </c>
      <c r="BI53" s="65">
        <f t="shared" si="139"/>
        <v>0</v>
      </c>
      <c r="BJ53" s="65">
        <f t="shared" si="139"/>
        <v>0</v>
      </c>
      <c r="BK53" s="65">
        <f t="shared" si="139"/>
        <v>0</v>
      </c>
      <c r="BL53" s="65">
        <f t="shared" si="139"/>
        <v>0</v>
      </c>
      <c r="BM53" s="65">
        <f t="shared" si="139"/>
        <v>0</v>
      </c>
      <c r="BN53" s="65">
        <f t="shared" si="139"/>
        <v>0</v>
      </c>
      <c r="BO53" s="65">
        <f t="shared" si="139"/>
        <v>0</v>
      </c>
      <c r="BP53" s="65">
        <f t="shared" si="139"/>
        <v>0</v>
      </c>
      <c r="BQ53" s="65">
        <f t="shared" si="139"/>
        <v>0</v>
      </c>
      <c r="BR53" s="65">
        <f t="shared" si="139"/>
        <v>0</v>
      </c>
      <c r="BS53" s="65">
        <f t="shared" si="139"/>
        <v>0</v>
      </c>
      <c r="BT53" s="65">
        <f t="shared" si="139"/>
        <v>0</v>
      </c>
      <c r="BU53" s="65">
        <f t="shared" si="139"/>
        <v>0</v>
      </c>
      <c r="BV53" s="65">
        <f t="shared" si="139"/>
        <v>0</v>
      </c>
      <c r="BW53" s="65">
        <f t="shared" si="139"/>
        <v>0</v>
      </c>
      <c r="BX53" s="65">
        <f t="shared" ref="BX53:DC53" si="140">+BX51+BX43+BX35+BX29</f>
        <v>0</v>
      </c>
      <c r="BY53" s="65">
        <f t="shared" si="140"/>
        <v>0</v>
      </c>
      <c r="BZ53" s="65">
        <f t="shared" si="140"/>
        <v>0</v>
      </c>
      <c r="CA53" s="65">
        <f t="shared" si="140"/>
        <v>0</v>
      </c>
      <c r="CB53" s="65">
        <f t="shared" si="140"/>
        <v>0</v>
      </c>
      <c r="CC53" s="65">
        <f t="shared" si="140"/>
        <v>0</v>
      </c>
      <c r="CD53" s="65">
        <f t="shared" si="140"/>
        <v>0</v>
      </c>
      <c r="CE53" s="65">
        <f t="shared" si="140"/>
        <v>0</v>
      </c>
      <c r="CF53" s="65">
        <f t="shared" si="140"/>
        <v>0</v>
      </c>
      <c r="CG53" s="65">
        <f t="shared" si="140"/>
        <v>0</v>
      </c>
      <c r="CH53" s="65">
        <f t="shared" si="140"/>
        <v>0</v>
      </c>
      <c r="CI53" s="65">
        <f t="shared" si="140"/>
        <v>0</v>
      </c>
      <c r="CJ53" s="65">
        <f t="shared" si="140"/>
        <v>0</v>
      </c>
      <c r="CK53" s="65">
        <f t="shared" si="140"/>
        <v>0</v>
      </c>
      <c r="CL53" s="65">
        <f t="shared" si="140"/>
        <v>0</v>
      </c>
      <c r="CM53" s="65">
        <f t="shared" si="140"/>
        <v>0</v>
      </c>
      <c r="CN53" s="65">
        <f t="shared" si="140"/>
        <v>0</v>
      </c>
      <c r="CO53" s="65">
        <f t="shared" si="140"/>
        <v>0</v>
      </c>
      <c r="CP53" s="65">
        <f t="shared" si="140"/>
        <v>0</v>
      </c>
      <c r="CQ53" s="65">
        <f t="shared" si="140"/>
        <v>0</v>
      </c>
      <c r="CR53" s="65">
        <f t="shared" si="140"/>
        <v>0</v>
      </c>
      <c r="CS53" s="65">
        <f t="shared" si="140"/>
        <v>0</v>
      </c>
      <c r="CT53" s="65">
        <f t="shared" si="140"/>
        <v>0</v>
      </c>
      <c r="CU53" s="65">
        <f t="shared" si="140"/>
        <v>0</v>
      </c>
      <c r="CV53" s="65">
        <f t="shared" si="140"/>
        <v>0</v>
      </c>
      <c r="CW53" s="65">
        <f t="shared" si="140"/>
        <v>0</v>
      </c>
      <c r="CX53" s="65">
        <f t="shared" si="140"/>
        <v>0</v>
      </c>
      <c r="CY53" s="65">
        <f t="shared" si="140"/>
        <v>0</v>
      </c>
      <c r="CZ53" s="65">
        <f t="shared" si="140"/>
        <v>0</v>
      </c>
      <c r="DA53" s="65">
        <f t="shared" si="140"/>
        <v>0</v>
      </c>
      <c r="DB53" s="65">
        <f t="shared" si="140"/>
        <v>0</v>
      </c>
      <c r="DC53" s="65">
        <f t="shared" si="140"/>
        <v>0</v>
      </c>
      <c r="DD53" s="65">
        <f t="shared" ref="DD53:EN53" si="141">+DD51+DD43+DD35+DD29</f>
        <v>0</v>
      </c>
      <c r="DE53" s="65">
        <f t="shared" si="141"/>
        <v>0</v>
      </c>
      <c r="DF53" s="65">
        <f t="shared" si="141"/>
        <v>0</v>
      </c>
      <c r="DG53" s="65">
        <f t="shared" si="141"/>
        <v>0</v>
      </c>
      <c r="DH53" s="65">
        <f t="shared" si="141"/>
        <v>0</v>
      </c>
      <c r="DI53" s="65">
        <f t="shared" si="141"/>
        <v>0</v>
      </c>
      <c r="DJ53" s="65">
        <f t="shared" si="141"/>
        <v>0</v>
      </c>
      <c r="DK53" s="65">
        <f t="shared" si="141"/>
        <v>0</v>
      </c>
      <c r="DL53" s="65">
        <f t="shared" si="141"/>
        <v>0</v>
      </c>
      <c r="DM53" s="65">
        <f t="shared" si="141"/>
        <v>0</v>
      </c>
      <c r="DN53" s="65">
        <f t="shared" si="141"/>
        <v>0</v>
      </c>
      <c r="DO53" s="65">
        <f t="shared" si="141"/>
        <v>0</v>
      </c>
      <c r="DP53" s="65">
        <f t="shared" si="141"/>
        <v>0</v>
      </c>
      <c r="DQ53" s="65">
        <f t="shared" si="141"/>
        <v>0</v>
      </c>
      <c r="DR53" s="65">
        <f t="shared" si="141"/>
        <v>0</v>
      </c>
      <c r="DS53" s="65">
        <f t="shared" si="141"/>
        <v>0</v>
      </c>
      <c r="DT53" s="65">
        <f t="shared" si="141"/>
        <v>0</v>
      </c>
      <c r="DU53" s="65">
        <f t="shared" si="141"/>
        <v>0</v>
      </c>
      <c r="DV53" s="65">
        <f t="shared" si="141"/>
        <v>0</v>
      </c>
      <c r="DW53" s="65">
        <f t="shared" si="141"/>
        <v>0</v>
      </c>
      <c r="DX53" s="65">
        <f t="shared" si="141"/>
        <v>0</v>
      </c>
      <c r="DY53" s="65">
        <f t="shared" si="141"/>
        <v>0</v>
      </c>
      <c r="DZ53" s="65">
        <f t="shared" si="141"/>
        <v>0</v>
      </c>
      <c r="EA53" s="65">
        <f t="shared" si="141"/>
        <v>0</v>
      </c>
      <c r="EB53" s="65">
        <f t="shared" si="141"/>
        <v>0</v>
      </c>
      <c r="EC53" s="65">
        <f t="shared" si="141"/>
        <v>0</v>
      </c>
      <c r="ED53" s="65">
        <f t="shared" si="141"/>
        <v>0</v>
      </c>
      <c r="EE53" s="65">
        <f t="shared" si="141"/>
        <v>0</v>
      </c>
      <c r="EF53" s="65">
        <f t="shared" si="141"/>
        <v>0</v>
      </c>
      <c r="EG53" s="65">
        <f t="shared" si="141"/>
        <v>0</v>
      </c>
      <c r="EH53" s="65">
        <f t="shared" si="141"/>
        <v>0</v>
      </c>
      <c r="EI53" s="65">
        <f t="shared" si="141"/>
        <v>0</v>
      </c>
      <c r="EJ53" s="65">
        <f t="shared" si="141"/>
        <v>0</v>
      </c>
      <c r="EK53" s="65">
        <f t="shared" si="141"/>
        <v>0</v>
      </c>
      <c r="EL53" s="65">
        <f t="shared" si="141"/>
        <v>0</v>
      </c>
      <c r="EM53" s="65">
        <f t="shared" si="141"/>
        <v>0</v>
      </c>
      <c r="EN53" s="65">
        <f t="shared" si="141"/>
        <v>0</v>
      </c>
      <c r="EP53" s="48" t="s">
        <v>71</v>
      </c>
      <c r="EQ53" s="24"/>
      <c r="ER53" s="24"/>
      <c r="ES53" s="24"/>
      <c r="ET53" s="24"/>
      <c r="EU53" s="47">
        <f>EU66</f>
        <v>40569173.716195174</v>
      </c>
      <c r="EV53" s="30">
        <f>MIN(EU66,EV48+L49-EV52)</f>
        <v>0</v>
      </c>
      <c r="EW53" s="30">
        <f t="shared" ref="EW53:HH53" si="142">MIN(EV66,EW48+M49-EW52)</f>
        <v>0</v>
      </c>
      <c r="EX53" s="30">
        <f t="shared" si="142"/>
        <v>0</v>
      </c>
      <c r="EY53" s="30">
        <f t="shared" si="142"/>
        <v>0</v>
      </c>
      <c r="EZ53" s="30">
        <f t="shared" si="142"/>
        <v>0</v>
      </c>
      <c r="FA53" s="30">
        <f t="shared" si="142"/>
        <v>0</v>
      </c>
      <c r="FB53" s="30">
        <f t="shared" si="142"/>
        <v>0</v>
      </c>
      <c r="FC53" s="30">
        <f t="shared" si="142"/>
        <v>2865027.1968889558</v>
      </c>
      <c r="FD53" s="30">
        <f t="shared" si="142"/>
        <v>5677109.6220104769</v>
      </c>
      <c r="FE53" s="30">
        <f t="shared" si="142"/>
        <v>6300422.6669670288</v>
      </c>
      <c r="FF53" s="30">
        <f t="shared" si="142"/>
        <v>6300422.6669670306</v>
      </c>
      <c r="FG53" s="30">
        <f t="shared" si="142"/>
        <v>5677109.622010475</v>
      </c>
      <c r="FH53" s="30">
        <f t="shared" si="142"/>
        <v>4618633.3206490669</v>
      </c>
      <c r="FI53" s="30">
        <f t="shared" si="142"/>
        <v>3409858.2075612592</v>
      </c>
      <c r="FJ53" s="30">
        <f t="shared" si="142"/>
        <v>2309629.6734741665</v>
      </c>
      <c r="FK53" s="30">
        <f t="shared" si="142"/>
        <v>1467820.9038815245</v>
      </c>
      <c r="FL53" s="30">
        <f t="shared" si="142"/>
        <v>913409.1835936507</v>
      </c>
      <c r="FM53" s="30">
        <f t="shared" si="142"/>
        <v>595115.21586160944</v>
      </c>
      <c r="FN53" s="30">
        <f t="shared" si="142"/>
        <v>434615.43632992188</v>
      </c>
      <c r="FO53" s="30">
        <f t="shared" si="142"/>
        <v>0</v>
      </c>
      <c r="FP53" s="30">
        <f t="shared" si="142"/>
        <v>0</v>
      </c>
      <c r="FQ53" s="30">
        <f t="shared" si="142"/>
        <v>0</v>
      </c>
      <c r="FR53" s="30">
        <f t="shared" si="142"/>
        <v>0</v>
      </c>
      <c r="FS53" s="30">
        <f t="shared" si="142"/>
        <v>0</v>
      </c>
      <c r="FT53" s="30">
        <f t="shared" si="142"/>
        <v>0</v>
      </c>
      <c r="FU53" s="30">
        <f t="shared" si="142"/>
        <v>0</v>
      </c>
      <c r="FV53" s="30">
        <f t="shared" si="142"/>
        <v>0</v>
      </c>
      <c r="FW53" s="30">
        <f t="shared" si="142"/>
        <v>0</v>
      </c>
      <c r="FX53" s="30">
        <f t="shared" si="142"/>
        <v>0</v>
      </c>
      <c r="FY53" s="30">
        <f t="shared" si="142"/>
        <v>0</v>
      </c>
      <c r="FZ53" s="30">
        <f t="shared" si="142"/>
        <v>0</v>
      </c>
      <c r="GA53" s="30">
        <f t="shared" si="142"/>
        <v>0</v>
      </c>
      <c r="GB53" s="30">
        <f t="shared" si="142"/>
        <v>0</v>
      </c>
      <c r="GC53" s="30">
        <f t="shared" si="142"/>
        <v>0</v>
      </c>
      <c r="GD53" s="30">
        <f t="shared" si="142"/>
        <v>0</v>
      </c>
      <c r="GE53" s="30">
        <f t="shared" si="142"/>
        <v>0</v>
      </c>
      <c r="GF53" s="30">
        <f t="shared" si="142"/>
        <v>0</v>
      </c>
      <c r="GG53" s="30">
        <f t="shared" si="142"/>
        <v>0</v>
      </c>
      <c r="GH53" s="30">
        <f t="shared" si="142"/>
        <v>0</v>
      </c>
      <c r="GI53" s="30">
        <f t="shared" si="142"/>
        <v>0</v>
      </c>
      <c r="GJ53" s="30">
        <f t="shared" si="142"/>
        <v>0</v>
      </c>
      <c r="GK53" s="30">
        <f t="shared" si="142"/>
        <v>0</v>
      </c>
      <c r="GL53" s="30">
        <f t="shared" si="142"/>
        <v>0</v>
      </c>
      <c r="GM53" s="30">
        <f t="shared" si="142"/>
        <v>0</v>
      </c>
      <c r="GN53" s="30">
        <f t="shared" si="142"/>
        <v>0</v>
      </c>
      <c r="GO53" s="30">
        <f t="shared" si="142"/>
        <v>0</v>
      </c>
      <c r="GP53" s="30">
        <f t="shared" si="142"/>
        <v>0</v>
      </c>
      <c r="GQ53" s="30">
        <f t="shared" si="142"/>
        <v>0</v>
      </c>
      <c r="GR53" s="30">
        <f t="shared" si="142"/>
        <v>0</v>
      </c>
      <c r="GS53" s="30">
        <f t="shared" si="142"/>
        <v>0</v>
      </c>
      <c r="GT53" s="30">
        <f t="shared" si="142"/>
        <v>0</v>
      </c>
      <c r="GU53" s="30">
        <f t="shared" si="142"/>
        <v>0</v>
      </c>
      <c r="GV53" s="30">
        <f t="shared" si="142"/>
        <v>0</v>
      </c>
      <c r="GW53" s="30">
        <f t="shared" si="142"/>
        <v>0</v>
      </c>
      <c r="GX53" s="30">
        <f t="shared" si="142"/>
        <v>0</v>
      </c>
      <c r="GY53" s="30">
        <f t="shared" si="142"/>
        <v>0</v>
      </c>
      <c r="GZ53" s="30">
        <f t="shared" si="142"/>
        <v>0</v>
      </c>
      <c r="HA53" s="30">
        <f t="shared" si="142"/>
        <v>0</v>
      </c>
      <c r="HB53" s="30">
        <f t="shared" si="142"/>
        <v>0</v>
      </c>
      <c r="HC53" s="30">
        <f t="shared" si="142"/>
        <v>0</v>
      </c>
      <c r="HD53" s="30">
        <f t="shared" si="142"/>
        <v>0</v>
      </c>
      <c r="HE53" s="30">
        <f t="shared" si="142"/>
        <v>0</v>
      </c>
      <c r="HF53" s="30">
        <f t="shared" si="142"/>
        <v>0</v>
      </c>
      <c r="HG53" s="30">
        <f t="shared" si="142"/>
        <v>0</v>
      </c>
      <c r="HH53" s="30">
        <f t="shared" si="142"/>
        <v>0</v>
      </c>
      <c r="HI53" s="30">
        <f t="shared" ref="HI53:JT53" si="143">MIN(HH66,HI48+BY49-HI52)</f>
        <v>0</v>
      </c>
      <c r="HJ53" s="30">
        <f t="shared" si="143"/>
        <v>0</v>
      </c>
      <c r="HK53" s="30">
        <f t="shared" si="143"/>
        <v>0</v>
      </c>
      <c r="HL53" s="30">
        <f t="shared" si="143"/>
        <v>0</v>
      </c>
      <c r="HM53" s="30">
        <f t="shared" si="143"/>
        <v>0</v>
      </c>
      <c r="HN53" s="30">
        <f t="shared" si="143"/>
        <v>0</v>
      </c>
      <c r="HO53" s="30">
        <f t="shared" si="143"/>
        <v>0</v>
      </c>
      <c r="HP53" s="30">
        <f t="shared" si="143"/>
        <v>0</v>
      </c>
      <c r="HQ53" s="30">
        <f t="shared" si="143"/>
        <v>0</v>
      </c>
      <c r="HR53" s="30">
        <f t="shared" si="143"/>
        <v>0</v>
      </c>
      <c r="HS53" s="30">
        <f t="shared" si="143"/>
        <v>0</v>
      </c>
      <c r="HT53" s="30">
        <f t="shared" si="143"/>
        <v>0</v>
      </c>
      <c r="HU53" s="30">
        <f t="shared" si="143"/>
        <v>0</v>
      </c>
      <c r="HV53" s="30">
        <f t="shared" si="143"/>
        <v>0</v>
      </c>
      <c r="HW53" s="30">
        <f t="shared" si="143"/>
        <v>0</v>
      </c>
      <c r="HX53" s="30">
        <f t="shared" si="143"/>
        <v>0</v>
      </c>
      <c r="HY53" s="30">
        <f t="shared" si="143"/>
        <v>0</v>
      </c>
      <c r="HZ53" s="30">
        <f t="shared" si="143"/>
        <v>0</v>
      </c>
      <c r="IA53" s="30">
        <f t="shared" si="143"/>
        <v>0</v>
      </c>
      <c r="IB53" s="30">
        <f t="shared" si="143"/>
        <v>0</v>
      </c>
      <c r="IC53" s="30">
        <f t="shared" si="143"/>
        <v>0</v>
      </c>
      <c r="ID53" s="30">
        <f t="shared" si="143"/>
        <v>0</v>
      </c>
      <c r="IE53" s="30">
        <f t="shared" si="143"/>
        <v>0</v>
      </c>
      <c r="IF53" s="30">
        <f t="shared" si="143"/>
        <v>0</v>
      </c>
      <c r="IG53" s="30">
        <f t="shared" si="143"/>
        <v>0</v>
      </c>
      <c r="IH53" s="30">
        <f t="shared" si="143"/>
        <v>0</v>
      </c>
      <c r="II53" s="30">
        <f t="shared" si="143"/>
        <v>0</v>
      </c>
      <c r="IJ53" s="30">
        <f t="shared" si="143"/>
        <v>0</v>
      </c>
      <c r="IK53" s="30">
        <f t="shared" si="143"/>
        <v>0</v>
      </c>
      <c r="IL53" s="30">
        <f t="shared" si="143"/>
        <v>0</v>
      </c>
      <c r="IM53" s="30">
        <f t="shared" si="143"/>
        <v>0</v>
      </c>
      <c r="IN53" s="30">
        <f t="shared" si="143"/>
        <v>0</v>
      </c>
      <c r="IO53" s="30">
        <f t="shared" si="143"/>
        <v>0</v>
      </c>
      <c r="IP53" s="30">
        <f t="shared" si="143"/>
        <v>0</v>
      </c>
      <c r="IQ53" s="30">
        <f t="shared" si="143"/>
        <v>0</v>
      </c>
      <c r="IR53" s="30">
        <f t="shared" si="143"/>
        <v>0</v>
      </c>
      <c r="IS53" s="30">
        <f t="shared" si="143"/>
        <v>0</v>
      </c>
      <c r="IT53" s="30">
        <f t="shared" si="143"/>
        <v>0</v>
      </c>
      <c r="IU53" s="30">
        <f t="shared" si="143"/>
        <v>0</v>
      </c>
      <c r="IV53" s="30">
        <f t="shared" si="143"/>
        <v>0</v>
      </c>
      <c r="IW53" s="30">
        <f t="shared" si="143"/>
        <v>0</v>
      </c>
      <c r="IX53" s="30">
        <f t="shared" si="143"/>
        <v>0</v>
      </c>
      <c r="IY53" s="30">
        <f t="shared" si="143"/>
        <v>0</v>
      </c>
      <c r="IZ53" s="30">
        <f t="shared" si="143"/>
        <v>0</v>
      </c>
      <c r="JA53" s="30">
        <f t="shared" si="143"/>
        <v>0</v>
      </c>
      <c r="JB53" s="30">
        <f t="shared" si="143"/>
        <v>0</v>
      </c>
      <c r="JC53" s="30">
        <f t="shared" si="143"/>
        <v>0</v>
      </c>
      <c r="JD53" s="30">
        <f t="shared" si="143"/>
        <v>0</v>
      </c>
      <c r="JE53" s="30">
        <f t="shared" si="143"/>
        <v>0</v>
      </c>
      <c r="JF53" s="30">
        <f t="shared" si="143"/>
        <v>0</v>
      </c>
      <c r="JG53" s="30">
        <f t="shared" si="143"/>
        <v>0</v>
      </c>
      <c r="JH53" s="30">
        <f t="shared" si="143"/>
        <v>0</v>
      </c>
      <c r="JI53" s="30">
        <f t="shared" si="143"/>
        <v>0</v>
      </c>
      <c r="JJ53" s="30">
        <f t="shared" si="143"/>
        <v>0</v>
      </c>
      <c r="JK53" s="30">
        <f t="shared" si="143"/>
        <v>0</v>
      </c>
      <c r="JL53" s="30">
        <f t="shared" si="143"/>
        <v>0</v>
      </c>
      <c r="JM53" s="30">
        <f t="shared" si="143"/>
        <v>0</v>
      </c>
      <c r="JN53" s="30">
        <f t="shared" si="143"/>
        <v>0</v>
      </c>
      <c r="JO53" s="30">
        <f t="shared" si="143"/>
        <v>0</v>
      </c>
      <c r="JP53" s="30">
        <f t="shared" si="143"/>
        <v>0</v>
      </c>
      <c r="JQ53" s="30">
        <f t="shared" si="143"/>
        <v>0</v>
      </c>
      <c r="JR53" s="30">
        <f t="shared" si="143"/>
        <v>0</v>
      </c>
      <c r="JS53" s="30">
        <f t="shared" si="143"/>
        <v>0</v>
      </c>
      <c r="JT53" s="30">
        <f t="shared" si="143"/>
        <v>0</v>
      </c>
      <c r="JU53" s="30">
        <f>MIN(JT66,JU48+EK49-JU52)</f>
        <v>0</v>
      </c>
      <c r="JV53" s="30">
        <f>MIN(JU66,JV48+EL49-JV52)</f>
        <v>0</v>
      </c>
      <c r="JW53" s="30">
        <f>MIN(JV66,JW48+EM49-JW52)</f>
        <v>0</v>
      </c>
      <c r="JX53" s="30">
        <f>MIN(JW66,JX48+EN49-JX52)</f>
        <v>0</v>
      </c>
    </row>
    <row r="54" spans="1:284" s="7" customFormat="1" x14ac:dyDescent="0.2">
      <c r="A54" s="406"/>
      <c r="B54" s="92"/>
      <c r="C54" s="93"/>
      <c r="D54" s="93"/>
      <c r="E54" s="93"/>
      <c r="F54" s="93"/>
      <c r="G54" s="120"/>
      <c r="H54" s="93"/>
      <c r="I54" s="93"/>
      <c r="K54" s="38"/>
      <c r="EP54" s="48" t="s">
        <v>76</v>
      </c>
      <c r="EQ54" s="24"/>
      <c r="ER54" s="24"/>
      <c r="ES54" s="24"/>
      <c r="ET54" s="34"/>
      <c r="EU54" s="47">
        <f>SUM(EV54:JX54)</f>
        <v>2970160.4706887952</v>
      </c>
      <c r="EV54" s="30">
        <f t="shared" ref="EV54:GA54" si="144">EV57-EV58</f>
        <v>0</v>
      </c>
      <c r="EW54" s="30">
        <f t="shared" si="144"/>
        <v>0</v>
      </c>
      <c r="EX54" s="30">
        <f t="shared" si="144"/>
        <v>0</v>
      </c>
      <c r="EY54" s="30">
        <f t="shared" si="144"/>
        <v>0</v>
      </c>
      <c r="EZ54" s="30">
        <f t="shared" si="144"/>
        <v>0</v>
      </c>
      <c r="FA54" s="30">
        <f t="shared" si="144"/>
        <v>0</v>
      </c>
      <c r="FB54" s="30">
        <f t="shared" si="144"/>
        <v>0</v>
      </c>
      <c r="FC54" s="30">
        <f t="shared" si="144"/>
        <v>0</v>
      </c>
      <c r="FD54" s="30">
        <f t="shared" si="144"/>
        <v>11937.613320370649</v>
      </c>
      <c r="FE54" s="30">
        <f t="shared" si="144"/>
        <v>35641.976800915851</v>
      </c>
      <c r="FF54" s="30">
        <f t="shared" si="144"/>
        <v>62042.246149948951</v>
      </c>
      <c r="FG54" s="30">
        <f t="shared" si="144"/>
        <v>88552.516621269693</v>
      </c>
      <c r="FH54" s="30">
        <f t="shared" si="144"/>
        <v>112576.10886556865</v>
      </c>
      <c r="FI54" s="30">
        <f t="shared" si="144"/>
        <v>137740.51027931506</v>
      </c>
      <c r="FJ54" s="30">
        <f t="shared" si="144"/>
        <v>158239.44718716296</v>
      </c>
      <c r="FK54" s="30">
        <f t="shared" si="144"/>
        <v>172436.75970598898</v>
      </c>
      <c r="FL54" s="30">
        <f t="shared" si="144"/>
        <v>181838.46913511437</v>
      </c>
      <c r="FM54" s="30">
        <f t="shared" si="144"/>
        <v>188124.93869292663</v>
      </c>
      <c r="FN54" s="30">
        <f t="shared" si="144"/>
        <v>192657.21471091127</v>
      </c>
      <c r="FO54" s="30">
        <f t="shared" si="144"/>
        <v>195584.4870824352</v>
      </c>
      <c r="FP54" s="30">
        <f t="shared" si="144"/>
        <v>197136.61394693644</v>
      </c>
      <c r="FQ54" s="30">
        <f t="shared" si="144"/>
        <v>198550.03082795852</v>
      </c>
      <c r="FR54" s="30">
        <f t="shared" si="144"/>
        <v>199824.09041224525</v>
      </c>
      <c r="FS54" s="30">
        <f t="shared" si="144"/>
        <v>200958.14236574515</v>
      </c>
      <c r="FT54" s="30">
        <f t="shared" si="144"/>
        <v>182587.1862943265</v>
      </c>
      <c r="FU54" s="30">
        <f t="shared" si="144"/>
        <v>152163.5650774778</v>
      </c>
      <c r="FV54" s="30">
        <f t="shared" si="144"/>
        <v>121597.96696161716</v>
      </c>
      <c r="FW54" s="30">
        <f t="shared" si="144"/>
        <v>90889.7293878825</v>
      </c>
      <c r="FX54" s="30">
        <f t="shared" si="144"/>
        <v>60038.186705470376</v>
      </c>
      <c r="FY54" s="30">
        <f t="shared" si="144"/>
        <v>29042.670157206972</v>
      </c>
      <c r="FZ54" s="30">
        <f t="shared" si="144"/>
        <v>0</v>
      </c>
      <c r="GA54" s="30">
        <f t="shared" si="144"/>
        <v>0</v>
      </c>
      <c r="GB54" s="30">
        <f t="shared" ref="GB54:HG54" si="145">GB57-GB58</f>
        <v>0</v>
      </c>
      <c r="GC54" s="30">
        <f t="shared" si="145"/>
        <v>0</v>
      </c>
      <c r="GD54" s="30">
        <f t="shared" si="145"/>
        <v>0</v>
      </c>
      <c r="GE54" s="30">
        <f t="shared" si="145"/>
        <v>0</v>
      </c>
      <c r="GF54" s="30">
        <f t="shared" si="145"/>
        <v>0</v>
      </c>
      <c r="GG54" s="30">
        <f t="shared" si="145"/>
        <v>0</v>
      </c>
      <c r="GH54" s="30">
        <f t="shared" si="145"/>
        <v>0</v>
      </c>
      <c r="GI54" s="30">
        <f t="shared" si="145"/>
        <v>0</v>
      </c>
      <c r="GJ54" s="30">
        <f t="shared" si="145"/>
        <v>0</v>
      </c>
      <c r="GK54" s="30">
        <f t="shared" si="145"/>
        <v>0</v>
      </c>
      <c r="GL54" s="30">
        <f t="shared" si="145"/>
        <v>0</v>
      </c>
      <c r="GM54" s="30">
        <f t="shared" si="145"/>
        <v>0</v>
      </c>
      <c r="GN54" s="30">
        <f t="shared" si="145"/>
        <v>0</v>
      </c>
      <c r="GO54" s="30">
        <f t="shared" si="145"/>
        <v>0</v>
      </c>
      <c r="GP54" s="30">
        <f t="shared" si="145"/>
        <v>0</v>
      </c>
      <c r="GQ54" s="30">
        <f t="shared" si="145"/>
        <v>0</v>
      </c>
      <c r="GR54" s="30">
        <f t="shared" si="145"/>
        <v>0</v>
      </c>
      <c r="GS54" s="30">
        <f t="shared" si="145"/>
        <v>0</v>
      </c>
      <c r="GT54" s="30">
        <f t="shared" si="145"/>
        <v>0</v>
      </c>
      <c r="GU54" s="30">
        <f t="shared" si="145"/>
        <v>0</v>
      </c>
      <c r="GV54" s="30">
        <f t="shared" si="145"/>
        <v>0</v>
      </c>
      <c r="GW54" s="30">
        <f t="shared" si="145"/>
        <v>0</v>
      </c>
      <c r="GX54" s="30">
        <f t="shared" si="145"/>
        <v>0</v>
      </c>
      <c r="GY54" s="30">
        <f t="shared" si="145"/>
        <v>0</v>
      </c>
      <c r="GZ54" s="30">
        <f t="shared" si="145"/>
        <v>0</v>
      </c>
      <c r="HA54" s="30">
        <f t="shared" si="145"/>
        <v>0</v>
      </c>
      <c r="HB54" s="30">
        <f t="shared" si="145"/>
        <v>0</v>
      </c>
      <c r="HC54" s="30">
        <f t="shared" si="145"/>
        <v>0</v>
      </c>
      <c r="HD54" s="30">
        <f t="shared" si="145"/>
        <v>0</v>
      </c>
      <c r="HE54" s="30">
        <f t="shared" si="145"/>
        <v>0</v>
      </c>
      <c r="HF54" s="30">
        <f t="shared" si="145"/>
        <v>0</v>
      </c>
      <c r="HG54" s="30">
        <f t="shared" si="145"/>
        <v>0</v>
      </c>
      <c r="HH54" s="30">
        <f t="shared" ref="HH54:IM54" si="146">HH57-HH58</f>
        <v>0</v>
      </c>
      <c r="HI54" s="30">
        <f t="shared" si="146"/>
        <v>0</v>
      </c>
      <c r="HJ54" s="30">
        <f t="shared" si="146"/>
        <v>0</v>
      </c>
      <c r="HK54" s="30">
        <f t="shared" si="146"/>
        <v>0</v>
      </c>
      <c r="HL54" s="30">
        <f t="shared" si="146"/>
        <v>0</v>
      </c>
      <c r="HM54" s="30">
        <f t="shared" si="146"/>
        <v>0</v>
      </c>
      <c r="HN54" s="30">
        <f t="shared" si="146"/>
        <v>0</v>
      </c>
      <c r="HO54" s="30">
        <f t="shared" si="146"/>
        <v>0</v>
      </c>
      <c r="HP54" s="30">
        <f t="shared" si="146"/>
        <v>0</v>
      </c>
      <c r="HQ54" s="30">
        <f t="shared" si="146"/>
        <v>0</v>
      </c>
      <c r="HR54" s="30">
        <f t="shared" si="146"/>
        <v>0</v>
      </c>
      <c r="HS54" s="30">
        <f t="shared" si="146"/>
        <v>0</v>
      </c>
      <c r="HT54" s="30">
        <f t="shared" si="146"/>
        <v>0</v>
      </c>
      <c r="HU54" s="30">
        <f t="shared" si="146"/>
        <v>0</v>
      </c>
      <c r="HV54" s="30">
        <f t="shared" si="146"/>
        <v>0</v>
      </c>
      <c r="HW54" s="30">
        <f t="shared" si="146"/>
        <v>0</v>
      </c>
      <c r="HX54" s="30">
        <f t="shared" si="146"/>
        <v>0</v>
      </c>
      <c r="HY54" s="30">
        <f t="shared" si="146"/>
        <v>0</v>
      </c>
      <c r="HZ54" s="30">
        <f t="shared" si="146"/>
        <v>0</v>
      </c>
      <c r="IA54" s="30">
        <f t="shared" si="146"/>
        <v>0</v>
      </c>
      <c r="IB54" s="30">
        <f t="shared" si="146"/>
        <v>0</v>
      </c>
      <c r="IC54" s="30">
        <f t="shared" si="146"/>
        <v>0</v>
      </c>
      <c r="ID54" s="30">
        <f t="shared" si="146"/>
        <v>0</v>
      </c>
      <c r="IE54" s="30">
        <f t="shared" si="146"/>
        <v>0</v>
      </c>
      <c r="IF54" s="30">
        <f t="shared" si="146"/>
        <v>0</v>
      </c>
      <c r="IG54" s="30">
        <f t="shared" si="146"/>
        <v>0</v>
      </c>
      <c r="IH54" s="30">
        <f t="shared" si="146"/>
        <v>0</v>
      </c>
      <c r="II54" s="30">
        <f t="shared" si="146"/>
        <v>0</v>
      </c>
      <c r="IJ54" s="30">
        <f t="shared" si="146"/>
        <v>0</v>
      </c>
      <c r="IK54" s="30">
        <f t="shared" si="146"/>
        <v>0</v>
      </c>
      <c r="IL54" s="30">
        <f t="shared" si="146"/>
        <v>0</v>
      </c>
      <c r="IM54" s="30">
        <f t="shared" si="146"/>
        <v>0</v>
      </c>
      <c r="IN54" s="30">
        <f t="shared" ref="IN54:JX54" si="147">IN57-IN58</f>
        <v>0</v>
      </c>
      <c r="IO54" s="30">
        <f t="shared" si="147"/>
        <v>0</v>
      </c>
      <c r="IP54" s="30">
        <f t="shared" si="147"/>
        <v>0</v>
      </c>
      <c r="IQ54" s="30">
        <f t="shared" si="147"/>
        <v>0</v>
      </c>
      <c r="IR54" s="30">
        <f t="shared" si="147"/>
        <v>0</v>
      </c>
      <c r="IS54" s="30">
        <f t="shared" si="147"/>
        <v>0</v>
      </c>
      <c r="IT54" s="30">
        <f t="shared" si="147"/>
        <v>0</v>
      </c>
      <c r="IU54" s="30">
        <f t="shared" si="147"/>
        <v>0</v>
      </c>
      <c r="IV54" s="30">
        <f t="shared" si="147"/>
        <v>0</v>
      </c>
      <c r="IW54" s="30">
        <f t="shared" si="147"/>
        <v>0</v>
      </c>
      <c r="IX54" s="30">
        <f t="shared" si="147"/>
        <v>0</v>
      </c>
      <c r="IY54" s="30">
        <f t="shared" si="147"/>
        <v>0</v>
      </c>
      <c r="IZ54" s="30">
        <f t="shared" si="147"/>
        <v>0</v>
      </c>
      <c r="JA54" s="30">
        <f t="shared" si="147"/>
        <v>0</v>
      </c>
      <c r="JB54" s="30">
        <f t="shared" si="147"/>
        <v>0</v>
      </c>
      <c r="JC54" s="30">
        <f t="shared" si="147"/>
        <v>0</v>
      </c>
      <c r="JD54" s="30">
        <f t="shared" si="147"/>
        <v>0</v>
      </c>
      <c r="JE54" s="30">
        <f t="shared" si="147"/>
        <v>0</v>
      </c>
      <c r="JF54" s="30">
        <f t="shared" si="147"/>
        <v>0</v>
      </c>
      <c r="JG54" s="30">
        <f t="shared" si="147"/>
        <v>0</v>
      </c>
      <c r="JH54" s="30">
        <f t="shared" si="147"/>
        <v>0</v>
      </c>
      <c r="JI54" s="30">
        <f t="shared" si="147"/>
        <v>0</v>
      </c>
      <c r="JJ54" s="30">
        <f t="shared" si="147"/>
        <v>0</v>
      </c>
      <c r="JK54" s="30">
        <f t="shared" si="147"/>
        <v>0</v>
      </c>
      <c r="JL54" s="30">
        <f t="shared" si="147"/>
        <v>0</v>
      </c>
      <c r="JM54" s="30">
        <f t="shared" si="147"/>
        <v>0</v>
      </c>
      <c r="JN54" s="30">
        <f t="shared" si="147"/>
        <v>0</v>
      </c>
      <c r="JO54" s="30">
        <f t="shared" si="147"/>
        <v>0</v>
      </c>
      <c r="JP54" s="30">
        <f t="shared" si="147"/>
        <v>0</v>
      </c>
      <c r="JQ54" s="30">
        <f t="shared" si="147"/>
        <v>0</v>
      </c>
      <c r="JR54" s="30">
        <f t="shared" si="147"/>
        <v>0</v>
      </c>
      <c r="JS54" s="30">
        <f t="shared" si="147"/>
        <v>0</v>
      </c>
      <c r="JT54" s="30">
        <f t="shared" si="147"/>
        <v>0</v>
      </c>
      <c r="JU54" s="30">
        <f t="shared" si="147"/>
        <v>0</v>
      </c>
      <c r="JV54" s="30">
        <f t="shared" si="147"/>
        <v>0</v>
      </c>
      <c r="JW54" s="30">
        <f t="shared" si="147"/>
        <v>0</v>
      </c>
      <c r="JX54" s="30">
        <f t="shared" si="147"/>
        <v>0</v>
      </c>
    </row>
    <row r="55" spans="1:284" s="7" customFormat="1" x14ac:dyDescent="0.2">
      <c r="A55" s="406"/>
      <c r="B55" s="100" t="s">
        <v>60</v>
      </c>
      <c r="C55" s="102" t="s">
        <v>78</v>
      </c>
      <c r="D55" s="102" t="s">
        <v>66</v>
      </c>
      <c r="E55" s="102" t="s">
        <v>65</v>
      </c>
      <c r="F55" s="102" t="s">
        <v>64</v>
      </c>
      <c r="G55" s="394" t="str">
        <f>G24</f>
        <v>/RENTABLE SF</v>
      </c>
      <c r="H55" s="116" t="s">
        <v>38</v>
      </c>
      <c r="I55" s="102" t="s">
        <v>22</v>
      </c>
      <c r="K55" s="38"/>
      <c r="EP55" s="48" t="s">
        <v>80</v>
      </c>
      <c r="EQ55" s="24"/>
      <c r="ER55" s="24"/>
      <c r="ES55" s="24"/>
      <c r="ET55" s="34" t="s">
        <v>73</v>
      </c>
      <c r="EU55" s="71">
        <f>SUM(EV55:JX55)</f>
        <v>372313.68616739311</v>
      </c>
      <c r="EV55" s="30">
        <f t="shared" ref="EV55:GA55" si="148">IF(Perm_Debt?,(L3&lt;=PermDebt_Fund)*-MIN(L138,0),(L3&lt;=Timing_Analysis_End_Month)*-MIN(L138,0))</f>
        <v>0</v>
      </c>
      <c r="EW55" s="30">
        <f t="shared" si="148"/>
        <v>0</v>
      </c>
      <c r="EX55" s="30">
        <f t="shared" si="148"/>
        <v>0</v>
      </c>
      <c r="EY55" s="30">
        <f t="shared" si="148"/>
        <v>0</v>
      </c>
      <c r="EZ55" s="30">
        <f t="shared" si="148"/>
        <v>0</v>
      </c>
      <c r="FA55" s="30">
        <f t="shared" si="148"/>
        <v>0</v>
      </c>
      <c r="FB55" s="30">
        <f t="shared" si="148"/>
        <v>0</v>
      </c>
      <c r="FC55" s="30">
        <f t="shared" si="148"/>
        <v>0</v>
      </c>
      <c r="FD55" s="30">
        <f t="shared" si="148"/>
        <v>0</v>
      </c>
      <c r="FE55" s="30">
        <f t="shared" si="148"/>
        <v>0</v>
      </c>
      <c r="FF55" s="30">
        <f t="shared" si="148"/>
        <v>0</v>
      </c>
      <c r="FG55" s="30">
        <f t="shared" si="148"/>
        <v>0</v>
      </c>
      <c r="FH55" s="30">
        <f t="shared" si="148"/>
        <v>0</v>
      </c>
      <c r="FI55" s="30">
        <f t="shared" si="148"/>
        <v>0</v>
      </c>
      <c r="FJ55" s="30">
        <f t="shared" si="148"/>
        <v>0</v>
      </c>
      <c r="FK55" s="30">
        <f t="shared" si="148"/>
        <v>0</v>
      </c>
      <c r="FL55" s="30">
        <f t="shared" si="148"/>
        <v>0</v>
      </c>
      <c r="FM55" s="30">
        <f t="shared" si="148"/>
        <v>0</v>
      </c>
      <c r="FN55" s="30">
        <f t="shared" si="148"/>
        <v>0</v>
      </c>
      <c r="FO55" s="30">
        <f t="shared" si="148"/>
        <v>137014.1267392564</v>
      </c>
      <c r="FP55" s="30">
        <f t="shared" si="148"/>
        <v>105738.43198636749</v>
      </c>
      <c r="FQ55" s="30">
        <f t="shared" si="148"/>
        <v>74462.737233478663</v>
      </c>
      <c r="FR55" s="30">
        <f t="shared" si="148"/>
        <v>43187.042480589735</v>
      </c>
      <c r="FS55" s="30">
        <f t="shared" si="148"/>
        <v>11911.347727700826</v>
      </c>
      <c r="FT55" s="30">
        <f t="shared" si="148"/>
        <v>0</v>
      </c>
      <c r="FU55" s="30">
        <f t="shared" si="148"/>
        <v>0</v>
      </c>
      <c r="FV55" s="30">
        <f t="shared" si="148"/>
        <v>0</v>
      </c>
      <c r="FW55" s="30">
        <f t="shared" si="148"/>
        <v>0</v>
      </c>
      <c r="FX55" s="30">
        <f t="shared" si="148"/>
        <v>0</v>
      </c>
      <c r="FY55" s="30">
        <f t="shared" si="148"/>
        <v>0</v>
      </c>
      <c r="FZ55" s="30">
        <f t="shared" si="148"/>
        <v>0</v>
      </c>
      <c r="GA55" s="30">
        <f t="shared" si="148"/>
        <v>0</v>
      </c>
      <c r="GB55" s="30">
        <f t="shared" ref="GB55:HG55" si="149">IF(Perm_Debt?,(AR3&lt;=PermDebt_Fund)*-MIN(AR138,0),(AR3&lt;=Timing_Analysis_End_Month)*-MIN(AR138,0))</f>
        <v>0</v>
      </c>
      <c r="GC55" s="30">
        <f t="shared" si="149"/>
        <v>0</v>
      </c>
      <c r="GD55" s="30">
        <f t="shared" si="149"/>
        <v>0</v>
      </c>
      <c r="GE55" s="30">
        <f t="shared" si="149"/>
        <v>0</v>
      </c>
      <c r="GF55" s="30">
        <f t="shared" si="149"/>
        <v>0</v>
      </c>
      <c r="GG55" s="30">
        <f t="shared" si="149"/>
        <v>0</v>
      </c>
      <c r="GH55" s="30">
        <f t="shared" si="149"/>
        <v>0</v>
      </c>
      <c r="GI55" s="30">
        <f t="shared" si="149"/>
        <v>0</v>
      </c>
      <c r="GJ55" s="30">
        <f t="shared" si="149"/>
        <v>0</v>
      </c>
      <c r="GK55" s="30">
        <f t="shared" si="149"/>
        <v>0</v>
      </c>
      <c r="GL55" s="30">
        <f t="shared" si="149"/>
        <v>0</v>
      </c>
      <c r="GM55" s="30">
        <f t="shared" si="149"/>
        <v>0</v>
      </c>
      <c r="GN55" s="30">
        <f t="shared" si="149"/>
        <v>0</v>
      </c>
      <c r="GO55" s="30">
        <f t="shared" si="149"/>
        <v>0</v>
      </c>
      <c r="GP55" s="30">
        <f t="shared" si="149"/>
        <v>0</v>
      </c>
      <c r="GQ55" s="30">
        <f t="shared" si="149"/>
        <v>0</v>
      </c>
      <c r="GR55" s="30">
        <f t="shared" si="149"/>
        <v>0</v>
      </c>
      <c r="GS55" s="30">
        <f t="shared" si="149"/>
        <v>0</v>
      </c>
      <c r="GT55" s="30">
        <f t="shared" si="149"/>
        <v>0</v>
      </c>
      <c r="GU55" s="30">
        <f t="shared" si="149"/>
        <v>0</v>
      </c>
      <c r="GV55" s="30">
        <f t="shared" si="149"/>
        <v>0</v>
      </c>
      <c r="GW55" s="30">
        <f t="shared" si="149"/>
        <v>0</v>
      </c>
      <c r="GX55" s="30">
        <f t="shared" si="149"/>
        <v>0</v>
      </c>
      <c r="GY55" s="30">
        <f t="shared" si="149"/>
        <v>0</v>
      </c>
      <c r="GZ55" s="30">
        <f t="shared" si="149"/>
        <v>0</v>
      </c>
      <c r="HA55" s="30">
        <f t="shared" si="149"/>
        <v>0</v>
      </c>
      <c r="HB55" s="30">
        <f t="shared" si="149"/>
        <v>0</v>
      </c>
      <c r="HC55" s="30">
        <f t="shared" si="149"/>
        <v>0</v>
      </c>
      <c r="HD55" s="30">
        <f t="shared" si="149"/>
        <v>0</v>
      </c>
      <c r="HE55" s="30">
        <f t="shared" si="149"/>
        <v>0</v>
      </c>
      <c r="HF55" s="30">
        <f t="shared" si="149"/>
        <v>0</v>
      </c>
      <c r="HG55" s="30">
        <f t="shared" si="149"/>
        <v>0</v>
      </c>
      <c r="HH55" s="30">
        <f t="shared" ref="HH55:IM55" si="150">IF(Perm_Debt?,(BX3&lt;=PermDebt_Fund)*-MIN(BX138,0),(BX3&lt;=Timing_Analysis_End_Month)*-MIN(BX138,0))</f>
        <v>0</v>
      </c>
      <c r="HI55" s="30">
        <f t="shared" si="150"/>
        <v>0</v>
      </c>
      <c r="HJ55" s="30">
        <f t="shared" si="150"/>
        <v>0</v>
      </c>
      <c r="HK55" s="30">
        <f t="shared" si="150"/>
        <v>0</v>
      </c>
      <c r="HL55" s="30">
        <f t="shared" si="150"/>
        <v>0</v>
      </c>
      <c r="HM55" s="30">
        <f t="shared" si="150"/>
        <v>0</v>
      </c>
      <c r="HN55" s="30">
        <f t="shared" si="150"/>
        <v>0</v>
      </c>
      <c r="HO55" s="30">
        <f t="shared" si="150"/>
        <v>0</v>
      </c>
      <c r="HP55" s="30">
        <f t="shared" si="150"/>
        <v>0</v>
      </c>
      <c r="HQ55" s="30">
        <f t="shared" si="150"/>
        <v>0</v>
      </c>
      <c r="HR55" s="30">
        <f t="shared" si="150"/>
        <v>0</v>
      </c>
      <c r="HS55" s="30">
        <f t="shared" si="150"/>
        <v>0</v>
      </c>
      <c r="HT55" s="30">
        <f t="shared" si="150"/>
        <v>0</v>
      </c>
      <c r="HU55" s="30">
        <f t="shared" si="150"/>
        <v>0</v>
      </c>
      <c r="HV55" s="30">
        <f t="shared" si="150"/>
        <v>0</v>
      </c>
      <c r="HW55" s="30">
        <f t="shared" si="150"/>
        <v>0</v>
      </c>
      <c r="HX55" s="30">
        <f t="shared" si="150"/>
        <v>0</v>
      </c>
      <c r="HY55" s="30">
        <f t="shared" si="150"/>
        <v>0</v>
      </c>
      <c r="HZ55" s="30">
        <f t="shared" si="150"/>
        <v>0</v>
      </c>
      <c r="IA55" s="30">
        <f t="shared" si="150"/>
        <v>0</v>
      </c>
      <c r="IB55" s="30">
        <f t="shared" si="150"/>
        <v>0</v>
      </c>
      <c r="IC55" s="30">
        <f t="shared" si="150"/>
        <v>0</v>
      </c>
      <c r="ID55" s="30">
        <f t="shared" si="150"/>
        <v>0</v>
      </c>
      <c r="IE55" s="30">
        <f t="shared" si="150"/>
        <v>0</v>
      </c>
      <c r="IF55" s="30">
        <f t="shared" si="150"/>
        <v>0</v>
      </c>
      <c r="IG55" s="30">
        <f t="shared" si="150"/>
        <v>0</v>
      </c>
      <c r="IH55" s="30">
        <f t="shared" si="150"/>
        <v>0</v>
      </c>
      <c r="II55" s="30">
        <f t="shared" si="150"/>
        <v>0</v>
      </c>
      <c r="IJ55" s="30">
        <f t="shared" si="150"/>
        <v>0</v>
      </c>
      <c r="IK55" s="30">
        <f t="shared" si="150"/>
        <v>0</v>
      </c>
      <c r="IL55" s="30">
        <f t="shared" si="150"/>
        <v>0</v>
      </c>
      <c r="IM55" s="30">
        <f t="shared" si="150"/>
        <v>0</v>
      </c>
      <c r="IN55" s="30">
        <f t="shared" ref="IN55:JS55" si="151">IF(Perm_Debt?,(DD3&lt;=PermDebt_Fund)*-MIN(DD138,0),(DD3&lt;=Timing_Analysis_End_Month)*-MIN(DD138,0))</f>
        <v>0</v>
      </c>
      <c r="IO55" s="30">
        <f t="shared" si="151"/>
        <v>0</v>
      </c>
      <c r="IP55" s="30">
        <f t="shared" si="151"/>
        <v>0</v>
      </c>
      <c r="IQ55" s="30">
        <f t="shared" si="151"/>
        <v>0</v>
      </c>
      <c r="IR55" s="30">
        <f t="shared" si="151"/>
        <v>0</v>
      </c>
      <c r="IS55" s="30">
        <f t="shared" si="151"/>
        <v>0</v>
      </c>
      <c r="IT55" s="30">
        <f t="shared" si="151"/>
        <v>0</v>
      </c>
      <c r="IU55" s="30">
        <f t="shared" si="151"/>
        <v>0</v>
      </c>
      <c r="IV55" s="30">
        <f t="shared" si="151"/>
        <v>0</v>
      </c>
      <c r="IW55" s="30">
        <f t="shared" si="151"/>
        <v>0</v>
      </c>
      <c r="IX55" s="30">
        <f t="shared" si="151"/>
        <v>0</v>
      </c>
      <c r="IY55" s="30">
        <f t="shared" si="151"/>
        <v>0</v>
      </c>
      <c r="IZ55" s="30">
        <f t="shared" si="151"/>
        <v>0</v>
      </c>
      <c r="JA55" s="30">
        <f t="shared" si="151"/>
        <v>0</v>
      </c>
      <c r="JB55" s="30">
        <f t="shared" si="151"/>
        <v>0</v>
      </c>
      <c r="JC55" s="30">
        <f t="shared" si="151"/>
        <v>0</v>
      </c>
      <c r="JD55" s="30">
        <f t="shared" si="151"/>
        <v>0</v>
      </c>
      <c r="JE55" s="30">
        <f t="shared" si="151"/>
        <v>0</v>
      </c>
      <c r="JF55" s="30">
        <f t="shared" si="151"/>
        <v>0</v>
      </c>
      <c r="JG55" s="30">
        <f t="shared" si="151"/>
        <v>0</v>
      </c>
      <c r="JH55" s="30">
        <f t="shared" si="151"/>
        <v>0</v>
      </c>
      <c r="JI55" s="30">
        <f t="shared" si="151"/>
        <v>0</v>
      </c>
      <c r="JJ55" s="30">
        <f t="shared" si="151"/>
        <v>0</v>
      </c>
      <c r="JK55" s="30">
        <f t="shared" si="151"/>
        <v>0</v>
      </c>
      <c r="JL55" s="30">
        <f t="shared" si="151"/>
        <v>0</v>
      </c>
      <c r="JM55" s="30">
        <f t="shared" si="151"/>
        <v>0</v>
      </c>
      <c r="JN55" s="30">
        <f t="shared" si="151"/>
        <v>0</v>
      </c>
      <c r="JO55" s="30">
        <f t="shared" si="151"/>
        <v>0</v>
      </c>
      <c r="JP55" s="30">
        <f t="shared" si="151"/>
        <v>0</v>
      </c>
      <c r="JQ55" s="30">
        <f t="shared" si="151"/>
        <v>0</v>
      </c>
      <c r="JR55" s="30">
        <f t="shared" si="151"/>
        <v>0</v>
      </c>
      <c r="JS55" s="30">
        <f t="shared" si="151"/>
        <v>0</v>
      </c>
      <c r="JT55" s="30">
        <f t="shared" ref="JT55:JX55" si="152">IF(Perm_Debt?,(EJ3&lt;=PermDebt_Fund)*-MIN(EJ138,0),(EJ3&lt;=Timing_Analysis_End_Month)*-MIN(EJ138,0))</f>
        <v>0</v>
      </c>
      <c r="JU55" s="30">
        <f t="shared" si="152"/>
        <v>0</v>
      </c>
      <c r="JV55" s="30">
        <f t="shared" si="152"/>
        <v>0</v>
      </c>
      <c r="JW55" s="30">
        <f t="shared" si="152"/>
        <v>0</v>
      </c>
      <c r="JX55" s="30">
        <f t="shared" si="152"/>
        <v>0</v>
      </c>
    </row>
    <row r="56" spans="1:284" s="7" customFormat="1" x14ac:dyDescent="0.2">
      <c r="A56" s="406"/>
      <c r="B56" s="147" t="s">
        <v>61</v>
      </c>
      <c r="C56" s="121"/>
      <c r="D56" s="120" t="s">
        <v>730</v>
      </c>
      <c r="E56" s="120" t="s">
        <v>62</v>
      </c>
      <c r="F56" s="148">
        <f>I56/Project_Cost_Total</f>
        <v>0.24999997840828775</v>
      </c>
      <c r="G56" s="389">
        <f>I56/Units_SF_M2</f>
        <v>57.4008402828374</v>
      </c>
      <c r="H56" s="123">
        <f>I56/Units</f>
        <v>48790.714240411791</v>
      </c>
      <c r="I56" s="123">
        <v>14637214.272123538</v>
      </c>
      <c r="K56" s="583"/>
      <c r="L56" s="584" t="s">
        <v>682</v>
      </c>
      <c r="M56" s="583"/>
      <c r="N56" s="583"/>
      <c r="O56" s="583"/>
      <c r="P56" s="583"/>
      <c r="Q56" s="583"/>
      <c r="R56" s="583"/>
      <c r="S56" s="583"/>
      <c r="T56" s="583"/>
      <c r="U56" s="583"/>
      <c r="V56" s="583"/>
      <c r="W56" s="583"/>
      <c r="X56" s="583"/>
      <c r="Y56" s="583"/>
      <c r="Z56" s="583"/>
      <c r="AA56" s="583"/>
      <c r="AB56" s="583"/>
      <c r="AC56" s="583"/>
      <c r="AD56" s="583"/>
      <c r="AE56" s="583"/>
      <c r="AF56" s="583"/>
      <c r="AG56" s="583"/>
      <c r="AH56" s="583"/>
      <c r="AI56" s="583"/>
      <c r="AJ56" s="583"/>
      <c r="AK56" s="583"/>
      <c r="AL56" s="583"/>
      <c r="AM56" s="583"/>
      <c r="AN56" s="583"/>
      <c r="AO56" s="583"/>
      <c r="AP56" s="583"/>
      <c r="AQ56" s="583"/>
      <c r="AR56" s="583"/>
      <c r="AS56" s="583"/>
      <c r="AT56" s="583"/>
      <c r="AU56" s="583"/>
      <c r="AV56" s="583"/>
      <c r="AW56" s="583"/>
      <c r="AX56" s="583"/>
      <c r="AY56" s="583"/>
      <c r="AZ56" s="583"/>
      <c r="BA56" s="583"/>
      <c r="BB56" s="583"/>
      <c r="BC56" s="583"/>
      <c r="BD56" s="583"/>
      <c r="BE56" s="583"/>
      <c r="BF56" s="583"/>
      <c r="BG56" s="583"/>
      <c r="BH56" s="583"/>
      <c r="BI56" s="583"/>
      <c r="BJ56" s="583"/>
      <c r="BK56" s="583"/>
      <c r="BL56" s="583"/>
      <c r="BM56" s="583"/>
      <c r="BN56" s="583"/>
      <c r="BO56" s="583"/>
      <c r="BP56" s="583"/>
      <c r="BQ56" s="583"/>
      <c r="BR56" s="583"/>
      <c r="BS56" s="583"/>
      <c r="BT56" s="583"/>
      <c r="BU56" s="583"/>
      <c r="BV56" s="583"/>
      <c r="BW56" s="583"/>
      <c r="BX56" s="583"/>
      <c r="BY56" s="583"/>
      <c r="BZ56" s="583"/>
      <c r="CA56" s="583"/>
      <c r="CB56" s="583"/>
      <c r="CC56" s="583"/>
      <c r="CD56" s="583"/>
      <c r="CE56" s="583"/>
      <c r="CF56" s="583"/>
      <c r="CG56" s="583"/>
      <c r="CH56" s="583"/>
      <c r="CI56" s="583"/>
      <c r="CJ56" s="583"/>
      <c r="CK56" s="583"/>
      <c r="CL56" s="583"/>
      <c r="CM56" s="583"/>
      <c r="CN56" s="583"/>
      <c r="CO56" s="583"/>
      <c r="CP56" s="583"/>
      <c r="CQ56" s="583"/>
      <c r="CR56" s="583"/>
      <c r="CS56" s="583"/>
      <c r="CT56" s="583"/>
      <c r="CU56" s="583"/>
      <c r="CV56" s="583"/>
      <c r="CW56" s="583"/>
      <c r="CX56" s="583"/>
      <c r="CY56" s="583"/>
      <c r="CZ56" s="583"/>
      <c r="DA56" s="583"/>
      <c r="DB56" s="583"/>
      <c r="DC56" s="583"/>
      <c r="DD56" s="583"/>
      <c r="DE56" s="583"/>
      <c r="DF56" s="583"/>
      <c r="DG56" s="583"/>
      <c r="DH56" s="583"/>
      <c r="DI56" s="583"/>
      <c r="DJ56" s="583"/>
      <c r="DK56" s="583"/>
      <c r="DL56" s="583"/>
      <c r="DM56" s="583"/>
      <c r="DN56" s="583"/>
      <c r="DO56" s="583"/>
      <c r="DP56" s="583"/>
      <c r="DQ56" s="583"/>
      <c r="DR56" s="583"/>
      <c r="DS56" s="583"/>
      <c r="DT56" s="583"/>
      <c r="DU56" s="583"/>
      <c r="DV56" s="583"/>
      <c r="DW56" s="583"/>
      <c r="DX56" s="583"/>
      <c r="DY56" s="583"/>
      <c r="DZ56" s="583"/>
      <c r="EA56" s="583"/>
      <c r="EB56" s="583"/>
      <c r="EC56" s="583"/>
      <c r="ED56" s="583"/>
      <c r="EE56" s="583"/>
      <c r="EF56" s="583"/>
      <c r="EG56" s="583"/>
      <c r="EH56" s="583"/>
      <c r="EI56" s="583"/>
      <c r="EJ56" s="583"/>
      <c r="EK56" s="583"/>
      <c r="EL56" s="583"/>
      <c r="EM56" s="583"/>
      <c r="EN56" s="583"/>
      <c r="EP56" s="24" t="s">
        <v>75</v>
      </c>
      <c r="EQ56" s="24"/>
      <c r="ER56" s="24"/>
      <c r="ES56" s="24"/>
      <c r="ET56" s="47" t="str">
        <f>IF(AND(ROUND(EU56,0)=ROUND(SUM($EV$56:$JX$56),0),ROUND(EU56,0)=ROUND(Project_Cost_Total,0)),"OK","ERR")</f>
        <v>OK</v>
      </c>
      <c r="EU56" s="47">
        <f>SUM(EU52:EU55)</f>
        <v>58548862.145174906</v>
      </c>
      <c r="EV56" s="30">
        <f t="shared" ref="EV56:HG56" si="153">SUM(EV52:EV55)</f>
        <v>3753159.5276612928</v>
      </c>
      <c r="EW56" s="30">
        <f t="shared" si="153"/>
        <v>434615.43632992054</v>
      </c>
      <c r="EX56" s="30">
        <f t="shared" si="153"/>
        <v>595115.21586161223</v>
      </c>
      <c r="EY56" s="30">
        <f t="shared" si="153"/>
        <v>913409.18359364895</v>
      </c>
      <c r="EZ56" s="30">
        <f t="shared" si="153"/>
        <v>1467820.9038815256</v>
      </c>
      <c r="FA56" s="30">
        <f t="shared" si="153"/>
        <v>2309629.6734741665</v>
      </c>
      <c r="FB56" s="30">
        <f t="shared" si="153"/>
        <v>3409858.2075612606</v>
      </c>
      <c r="FC56" s="30">
        <f t="shared" si="153"/>
        <v>4618633.3206490651</v>
      </c>
      <c r="FD56" s="30">
        <f t="shared" si="153"/>
        <v>5689047.2353308471</v>
      </c>
      <c r="FE56" s="30">
        <f t="shared" si="153"/>
        <v>6336064.6437679445</v>
      </c>
      <c r="FF56" s="30">
        <f t="shared" si="153"/>
        <v>6362464.9131169794</v>
      </c>
      <c r="FG56" s="30">
        <f t="shared" si="153"/>
        <v>5765662.1386317443</v>
      </c>
      <c r="FH56" s="30">
        <f t="shared" si="153"/>
        <v>4731209.4295146354</v>
      </c>
      <c r="FI56" s="30">
        <f t="shared" si="153"/>
        <v>3547598.7178405742</v>
      </c>
      <c r="FJ56" s="30">
        <f t="shared" si="153"/>
        <v>2467869.1206613295</v>
      </c>
      <c r="FK56" s="30">
        <f t="shared" si="153"/>
        <v>1640257.6635875134</v>
      </c>
      <c r="FL56" s="30">
        <f t="shared" si="153"/>
        <v>1095247.652728765</v>
      </c>
      <c r="FM56" s="30">
        <f t="shared" si="153"/>
        <v>783240.1545545361</v>
      </c>
      <c r="FN56" s="30">
        <f t="shared" si="153"/>
        <v>627272.65104083321</v>
      </c>
      <c r="FO56" s="30">
        <f t="shared" si="153"/>
        <v>332598.6138216916</v>
      </c>
      <c r="FP56" s="30">
        <f t="shared" si="153"/>
        <v>302875.04593330395</v>
      </c>
      <c r="FQ56" s="30">
        <f t="shared" si="153"/>
        <v>273012.76806143718</v>
      </c>
      <c r="FR56" s="30">
        <f t="shared" si="153"/>
        <v>243011.13289283498</v>
      </c>
      <c r="FS56" s="30">
        <f t="shared" si="153"/>
        <v>212869.49009344599</v>
      </c>
      <c r="FT56" s="30">
        <f t="shared" si="153"/>
        <v>182587.1862943265</v>
      </c>
      <c r="FU56" s="30">
        <f t="shared" si="153"/>
        <v>152163.5650774778</v>
      </c>
      <c r="FV56" s="30">
        <f t="shared" si="153"/>
        <v>121597.96696161716</v>
      </c>
      <c r="FW56" s="30">
        <f t="shared" si="153"/>
        <v>90889.7293878825</v>
      </c>
      <c r="FX56" s="30">
        <f t="shared" si="153"/>
        <v>60038.186705470376</v>
      </c>
      <c r="FY56" s="30">
        <f t="shared" si="153"/>
        <v>29042.670157206972</v>
      </c>
      <c r="FZ56" s="30">
        <f t="shared" si="153"/>
        <v>0</v>
      </c>
      <c r="GA56" s="30">
        <f t="shared" si="153"/>
        <v>0</v>
      </c>
      <c r="GB56" s="30">
        <f t="shared" si="153"/>
        <v>0</v>
      </c>
      <c r="GC56" s="30">
        <f t="shared" si="153"/>
        <v>0</v>
      </c>
      <c r="GD56" s="30">
        <f t="shared" si="153"/>
        <v>0</v>
      </c>
      <c r="GE56" s="30">
        <f t="shared" si="153"/>
        <v>0</v>
      </c>
      <c r="GF56" s="30">
        <f t="shared" si="153"/>
        <v>0</v>
      </c>
      <c r="GG56" s="30">
        <f t="shared" si="153"/>
        <v>0</v>
      </c>
      <c r="GH56" s="30">
        <f t="shared" si="153"/>
        <v>0</v>
      </c>
      <c r="GI56" s="30">
        <f t="shared" si="153"/>
        <v>0</v>
      </c>
      <c r="GJ56" s="30">
        <f t="shared" si="153"/>
        <v>0</v>
      </c>
      <c r="GK56" s="30">
        <f t="shared" si="153"/>
        <v>0</v>
      </c>
      <c r="GL56" s="30">
        <f t="shared" si="153"/>
        <v>0</v>
      </c>
      <c r="GM56" s="30">
        <f t="shared" si="153"/>
        <v>0</v>
      </c>
      <c r="GN56" s="30">
        <f t="shared" si="153"/>
        <v>0</v>
      </c>
      <c r="GO56" s="30">
        <f t="shared" si="153"/>
        <v>0</v>
      </c>
      <c r="GP56" s="30">
        <f t="shared" si="153"/>
        <v>0</v>
      </c>
      <c r="GQ56" s="30">
        <f t="shared" si="153"/>
        <v>0</v>
      </c>
      <c r="GR56" s="30">
        <f t="shared" si="153"/>
        <v>0</v>
      </c>
      <c r="GS56" s="30">
        <f t="shared" si="153"/>
        <v>0</v>
      </c>
      <c r="GT56" s="30">
        <f t="shared" si="153"/>
        <v>0</v>
      </c>
      <c r="GU56" s="30">
        <f t="shared" si="153"/>
        <v>0</v>
      </c>
      <c r="GV56" s="30">
        <f t="shared" si="153"/>
        <v>0</v>
      </c>
      <c r="GW56" s="30">
        <f t="shared" si="153"/>
        <v>0</v>
      </c>
      <c r="GX56" s="30">
        <f t="shared" si="153"/>
        <v>0</v>
      </c>
      <c r="GY56" s="30">
        <f t="shared" si="153"/>
        <v>0</v>
      </c>
      <c r="GZ56" s="30">
        <f t="shared" si="153"/>
        <v>0</v>
      </c>
      <c r="HA56" s="30">
        <f t="shared" si="153"/>
        <v>0</v>
      </c>
      <c r="HB56" s="30">
        <f t="shared" si="153"/>
        <v>0</v>
      </c>
      <c r="HC56" s="30">
        <f t="shared" si="153"/>
        <v>0</v>
      </c>
      <c r="HD56" s="30">
        <f t="shared" si="153"/>
        <v>0</v>
      </c>
      <c r="HE56" s="30">
        <f t="shared" si="153"/>
        <v>0</v>
      </c>
      <c r="HF56" s="30">
        <f t="shared" si="153"/>
        <v>0</v>
      </c>
      <c r="HG56" s="30">
        <f t="shared" si="153"/>
        <v>0</v>
      </c>
      <c r="HH56" s="30">
        <f t="shared" ref="HH56:JS56" si="154">SUM(HH52:HH55)</f>
        <v>0</v>
      </c>
      <c r="HI56" s="30">
        <f t="shared" si="154"/>
        <v>0</v>
      </c>
      <c r="HJ56" s="30">
        <f t="shared" si="154"/>
        <v>0</v>
      </c>
      <c r="HK56" s="30">
        <f t="shared" si="154"/>
        <v>0</v>
      </c>
      <c r="HL56" s="30">
        <f t="shared" si="154"/>
        <v>0</v>
      </c>
      <c r="HM56" s="30">
        <f t="shared" si="154"/>
        <v>0</v>
      </c>
      <c r="HN56" s="30">
        <f t="shared" si="154"/>
        <v>0</v>
      </c>
      <c r="HO56" s="30">
        <f t="shared" si="154"/>
        <v>0</v>
      </c>
      <c r="HP56" s="30">
        <f t="shared" si="154"/>
        <v>0</v>
      </c>
      <c r="HQ56" s="30">
        <f t="shared" si="154"/>
        <v>0</v>
      </c>
      <c r="HR56" s="30">
        <f t="shared" si="154"/>
        <v>0</v>
      </c>
      <c r="HS56" s="30">
        <f t="shared" si="154"/>
        <v>0</v>
      </c>
      <c r="HT56" s="30">
        <f t="shared" si="154"/>
        <v>0</v>
      </c>
      <c r="HU56" s="30">
        <f t="shared" si="154"/>
        <v>0</v>
      </c>
      <c r="HV56" s="30">
        <f t="shared" si="154"/>
        <v>0</v>
      </c>
      <c r="HW56" s="30">
        <f t="shared" si="154"/>
        <v>0</v>
      </c>
      <c r="HX56" s="30">
        <f t="shared" si="154"/>
        <v>0</v>
      </c>
      <c r="HY56" s="30">
        <f t="shared" si="154"/>
        <v>0</v>
      </c>
      <c r="HZ56" s="30">
        <f t="shared" si="154"/>
        <v>0</v>
      </c>
      <c r="IA56" s="30">
        <f t="shared" si="154"/>
        <v>0</v>
      </c>
      <c r="IB56" s="30">
        <f t="shared" si="154"/>
        <v>0</v>
      </c>
      <c r="IC56" s="30">
        <f t="shared" si="154"/>
        <v>0</v>
      </c>
      <c r="ID56" s="30">
        <f t="shared" si="154"/>
        <v>0</v>
      </c>
      <c r="IE56" s="30">
        <f t="shared" si="154"/>
        <v>0</v>
      </c>
      <c r="IF56" s="30">
        <f t="shared" si="154"/>
        <v>0</v>
      </c>
      <c r="IG56" s="30">
        <f t="shared" si="154"/>
        <v>0</v>
      </c>
      <c r="IH56" s="30">
        <f t="shared" si="154"/>
        <v>0</v>
      </c>
      <c r="II56" s="30">
        <f t="shared" si="154"/>
        <v>0</v>
      </c>
      <c r="IJ56" s="30">
        <f t="shared" si="154"/>
        <v>0</v>
      </c>
      <c r="IK56" s="30">
        <f t="shared" si="154"/>
        <v>0</v>
      </c>
      <c r="IL56" s="30">
        <f t="shared" si="154"/>
        <v>0</v>
      </c>
      <c r="IM56" s="30">
        <f t="shared" si="154"/>
        <v>0</v>
      </c>
      <c r="IN56" s="30">
        <f t="shared" si="154"/>
        <v>0</v>
      </c>
      <c r="IO56" s="30">
        <f t="shared" si="154"/>
        <v>0</v>
      </c>
      <c r="IP56" s="30">
        <f t="shared" si="154"/>
        <v>0</v>
      </c>
      <c r="IQ56" s="30">
        <f t="shared" si="154"/>
        <v>0</v>
      </c>
      <c r="IR56" s="30">
        <f t="shared" si="154"/>
        <v>0</v>
      </c>
      <c r="IS56" s="30">
        <f t="shared" si="154"/>
        <v>0</v>
      </c>
      <c r="IT56" s="30">
        <f t="shared" si="154"/>
        <v>0</v>
      </c>
      <c r="IU56" s="30">
        <f t="shared" si="154"/>
        <v>0</v>
      </c>
      <c r="IV56" s="30">
        <f t="shared" si="154"/>
        <v>0</v>
      </c>
      <c r="IW56" s="30">
        <f t="shared" si="154"/>
        <v>0</v>
      </c>
      <c r="IX56" s="30">
        <f t="shared" si="154"/>
        <v>0</v>
      </c>
      <c r="IY56" s="30">
        <f t="shared" si="154"/>
        <v>0</v>
      </c>
      <c r="IZ56" s="30">
        <f t="shared" si="154"/>
        <v>0</v>
      </c>
      <c r="JA56" s="30">
        <f t="shared" si="154"/>
        <v>0</v>
      </c>
      <c r="JB56" s="30">
        <f t="shared" si="154"/>
        <v>0</v>
      </c>
      <c r="JC56" s="30">
        <f t="shared" si="154"/>
        <v>0</v>
      </c>
      <c r="JD56" s="30">
        <f t="shared" si="154"/>
        <v>0</v>
      </c>
      <c r="JE56" s="30">
        <f t="shared" si="154"/>
        <v>0</v>
      </c>
      <c r="JF56" s="30">
        <f t="shared" si="154"/>
        <v>0</v>
      </c>
      <c r="JG56" s="30">
        <f t="shared" si="154"/>
        <v>0</v>
      </c>
      <c r="JH56" s="30">
        <f t="shared" si="154"/>
        <v>0</v>
      </c>
      <c r="JI56" s="30">
        <f t="shared" si="154"/>
        <v>0</v>
      </c>
      <c r="JJ56" s="30">
        <f t="shared" si="154"/>
        <v>0</v>
      </c>
      <c r="JK56" s="30">
        <f t="shared" si="154"/>
        <v>0</v>
      </c>
      <c r="JL56" s="30">
        <f t="shared" si="154"/>
        <v>0</v>
      </c>
      <c r="JM56" s="30">
        <f t="shared" si="154"/>
        <v>0</v>
      </c>
      <c r="JN56" s="30">
        <f t="shared" si="154"/>
        <v>0</v>
      </c>
      <c r="JO56" s="30">
        <f t="shared" si="154"/>
        <v>0</v>
      </c>
      <c r="JP56" s="30">
        <f t="shared" si="154"/>
        <v>0</v>
      </c>
      <c r="JQ56" s="30">
        <f t="shared" si="154"/>
        <v>0</v>
      </c>
      <c r="JR56" s="30">
        <f t="shared" si="154"/>
        <v>0</v>
      </c>
      <c r="JS56" s="30">
        <f t="shared" si="154"/>
        <v>0</v>
      </c>
      <c r="JT56" s="30">
        <f>SUM(JT52:JT55)</f>
        <v>0</v>
      </c>
      <c r="JU56" s="30">
        <f>SUM(JU52:JU55)</f>
        <v>0</v>
      </c>
      <c r="JV56" s="30">
        <f>SUM(JV52:JV55)</f>
        <v>0</v>
      </c>
      <c r="JW56" s="30">
        <f>SUM(JW52:JW55)</f>
        <v>0</v>
      </c>
      <c r="JX56" s="30">
        <f>SUM(JX52:JX55)</f>
        <v>0</v>
      </c>
    </row>
    <row r="57" spans="1:284" s="7" customFormat="1" x14ac:dyDescent="0.2">
      <c r="A57" s="406"/>
      <c r="B57" s="141" t="s">
        <v>603</v>
      </c>
      <c r="C57" s="149">
        <v>0.75</v>
      </c>
      <c r="D57" s="120" t="s">
        <v>731</v>
      </c>
      <c r="E57" s="122">
        <f>MAX(EV62:JX62)</f>
        <v>5.6000000000000008E-2</v>
      </c>
      <c r="F57" s="150">
        <f>I57/Project_Cost_Total</f>
        <v>0.75000002159171231</v>
      </c>
      <c r="G57" s="395">
        <f>I57/Units_SF_M2</f>
        <v>172.20254067863274</v>
      </c>
      <c r="H57" s="126">
        <f>I57/Units</f>
        <v>146372.15957683785</v>
      </c>
      <c r="I57" s="126">
        <f>Project_Cost_Total-Equity_Total</f>
        <v>43911647.873051353</v>
      </c>
      <c r="K57" s="585" t="str">
        <f>B61</f>
        <v>Construction Loan</v>
      </c>
      <c r="L57" s="586">
        <f>IF($D$61=$D$62,SUM(L68:L70)*$EP$57,SUM(L68:L70)*EV77)</f>
        <v>0</v>
      </c>
      <c r="M57" s="586">
        <f t="shared" ref="M57:BX57" si="155">IF($D$61=$D$62,SUM(M68:M70)*$EP$57,SUM(M68:M70)*EW77)</f>
        <v>0</v>
      </c>
      <c r="N57" s="586">
        <f t="shared" si="155"/>
        <v>0</v>
      </c>
      <c r="O57" s="586">
        <f t="shared" si="155"/>
        <v>0</v>
      </c>
      <c r="P57" s="586">
        <f t="shared" si="155"/>
        <v>0</v>
      </c>
      <c r="Q57" s="586">
        <f t="shared" si="155"/>
        <v>0</v>
      </c>
      <c r="R57" s="586">
        <f t="shared" si="155"/>
        <v>0</v>
      </c>
      <c r="S57" s="586">
        <f t="shared" si="155"/>
        <v>2865027.1968889558</v>
      </c>
      <c r="T57" s="586">
        <f t="shared" si="155"/>
        <v>5689047.2353308471</v>
      </c>
      <c r="U57" s="586">
        <f t="shared" si="155"/>
        <v>6336064.6437679445</v>
      </c>
      <c r="V57" s="586">
        <f t="shared" si="155"/>
        <v>6362464.9131169794</v>
      </c>
      <c r="W57" s="586">
        <f t="shared" si="155"/>
        <v>5765662.1386317452</v>
      </c>
      <c r="X57" s="586">
        <f t="shared" si="155"/>
        <v>4731209.4295146335</v>
      </c>
      <c r="Y57" s="586">
        <f t="shared" si="155"/>
        <v>1057679.7827633042</v>
      </c>
      <c r="Z57" s="586">
        <f t="shared" si="155"/>
        <v>0</v>
      </c>
      <c r="AA57" s="586">
        <f t="shared" si="155"/>
        <v>0</v>
      </c>
      <c r="AB57" s="586">
        <f t="shared" si="155"/>
        <v>0</v>
      </c>
      <c r="AC57" s="586">
        <f t="shared" si="155"/>
        <v>0</v>
      </c>
      <c r="AD57" s="586">
        <f t="shared" si="155"/>
        <v>0</v>
      </c>
      <c r="AE57" s="586">
        <f t="shared" si="155"/>
        <v>0</v>
      </c>
      <c r="AF57" s="586">
        <f t="shared" si="155"/>
        <v>0</v>
      </c>
      <c r="AG57" s="586">
        <f t="shared" si="155"/>
        <v>0</v>
      </c>
      <c r="AH57" s="586">
        <f t="shared" si="155"/>
        <v>0</v>
      </c>
      <c r="AI57" s="586">
        <f t="shared" si="155"/>
        <v>0</v>
      </c>
      <c r="AJ57" s="586">
        <f t="shared" si="155"/>
        <v>0</v>
      </c>
      <c r="AK57" s="586">
        <f t="shared" si="155"/>
        <v>0</v>
      </c>
      <c r="AL57" s="586">
        <f t="shared" si="155"/>
        <v>0</v>
      </c>
      <c r="AM57" s="586">
        <f t="shared" si="155"/>
        <v>0</v>
      </c>
      <c r="AN57" s="586">
        <f t="shared" si="155"/>
        <v>0</v>
      </c>
      <c r="AO57" s="586">
        <f t="shared" si="155"/>
        <v>0</v>
      </c>
      <c r="AP57" s="586">
        <f t="shared" si="155"/>
        <v>0</v>
      </c>
      <c r="AQ57" s="586">
        <f t="shared" si="155"/>
        <v>0</v>
      </c>
      <c r="AR57" s="586">
        <f t="shared" si="155"/>
        <v>0</v>
      </c>
      <c r="AS57" s="586">
        <f t="shared" si="155"/>
        <v>0</v>
      </c>
      <c r="AT57" s="586">
        <f t="shared" si="155"/>
        <v>0</v>
      </c>
      <c r="AU57" s="586">
        <f t="shared" si="155"/>
        <v>0</v>
      </c>
      <c r="AV57" s="586">
        <f t="shared" si="155"/>
        <v>0</v>
      </c>
      <c r="AW57" s="586">
        <f t="shared" si="155"/>
        <v>0</v>
      </c>
      <c r="AX57" s="586">
        <f t="shared" si="155"/>
        <v>0</v>
      </c>
      <c r="AY57" s="586">
        <f t="shared" si="155"/>
        <v>0</v>
      </c>
      <c r="AZ57" s="586">
        <f t="shared" si="155"/>
        <v>0</v>
      </c>
      <c r="BA57" s="586">
        <f t="shared" si="155"/>
        <v>0</v>
      </c>
      <c r="BB57" s="586">
        <f t="shared" si="155"/>
        <v>0</v>
      </c>
      <c r="BC57" s="586">
        <f t="shared" si="155"/>
        <v>0</v>
      </c>
      <c r="BD57" s="586">
        <f t="shared" si="155"/>
        <v>0</v>
      </c>
      <c r="BE57" s="586">
        <f t="shared" si="155"/>
        <v>0</v>
      </c>
      <c r="BF57" s="586">
        <f t="shared" si="155"/>
        <v>0</v>
      </c>
      <c r="BG57" s="586">
        <f t="shared" si="155"/>
        <v>0</v>
      </c>
      <c r="BH57" s="586">
        <f t="shared" si="155"/>
        <v>0</v>
      </c>
      <c r="BI57" s="586">
        <f t="shared" si="155"/>
        <v>0</v>
      </c>
      <c r="BJ57" s="586">
        <f t="shared" si="155"/>
        <v>0</v>
      </c>
      <c r="BK57" s="586">
        <f t="shared" si="155"/>
        <v>0</v>
      </c>
      <c r="BL57" s="586">
        <f t="shared" si="155"/>
        <v>0</v>
      </c>
      <c r="BM57" s="586">
        <f t="shared" si="155"/>
        <v>0</v>
      </c>
      <c r="BN57" s="586">
        <f t="shared" si="155"/>
        <v>0</v>
      </c>
      <c r="BO57" s="586">
        <f t="shared" si="155"/>
        <v>0</v>
      </c>
      <c r="BP57" s="586">
        <f t="shared" si="155"/>
        <v>0</v>
      </c>
      <c r="BQ57" s="586">
        <f t="shared" si="155"/>
        <v>0</v>
      </c>
      <c r="BR57" s="586">
        <f t="shared" si="155"/>
        <v>0</v>
      </c>
      <c r="BS57" s="586">
        <f t="shared" si="155"/>
        <v>0</v>
      </c>
      <c r="BT57" s="586">
        <f t="shared" si="155"/>
        <v>0</v>
      </c>
      <c r="BU57" s="586">
        <f t="shared" si="155"/>
        <v>0</v>
      </c>
      <c r="BV57" s="586">
        <f t="shared" si="155"/>
        <v>0</v>
      </c>
      <c r="BW57" s="586">
        <f t="shared" si="155"/>
        <v>0</v>
      </c>
      <c r="BX57" s="586">
        <f t="shared" si="155"/>
        <v>0</v>
      </c>
      <c r="BY57" s="586">
        <f t="shared" ref="BY57:EJ57" si="156">IF($D$61=$D$62,SUM(BY68:BY70)*$EP$57,SUM(BY68:BY70)*HI77)</f>
        <v>0</v>
      </c>
      <c r="BZ57" s="586">
        <f t="shared" si="156"/>
        <v>0</v>
      </c>
      <c r="CA57" s="586">
        <f t="shared" si="156"/>
        <v>0</v>
      </c>
      <c r="CB57" s="586">
        <f t="shared" si="156"/>
        <v>0</v>
      </c>
      <c r="CC57" s="586">
        <f t="shared" si="156"/>
        <v>0</v>
      </c>
      <c r="CD57" s="586">
        <f t="shared" si="156"/>
        <v>0</v>
      </c>
      <c r="CE57" s="586">
        <f t="shared" si="156"/>
        <v>0</v>
      </c>
      <c r="CF57" s="586">
        <f t="shared" si="156"/>
        <v>0</v>
      </c>
      <c r="CG57" s="586">
        <f t="shared" si="156"/>
        <v>0</v>
      </c>
      <c r="CH57" s="586">
        <f t="shared" si="156"/>
        <v>0</v>
      </c>
      <c r="CI57" s="586">
        <f t="shared" si="156"/>
        <v>0</v>
      </c>
      <c r="CJ57" s="586">
        <f t="shared" si="156"/>
        <v>0</v>
      </c>
      <c r="CK57" s="586">
        <f t="shared" si="156"/>
        <v>0</v>
      </c>
      <c r="CL57" s="586">
        <f t="shared" si="156"/>
        <v>0</v>
      </c>
      <c r="CM57" s="586">
        <f t="shared" si="156"/>
        <v>0</v>
      </c>
      <c r="CN57" s="586">
        <f t="shared" si="156"/>
        <v>0</v>
      </c>
      <c r="CO57" s="586">
        <f t="shared" si="156"/>
        <v>0</v>
      </c>
      <c r="CP57" s="586">
        <f t="shared" si="156"/>
        <v>0</v>
      </c>
      <c r="CQ57" s="586">
        <f t="shared" si="156"/>
        <v>0</v>
      </c>
      <c r="CR57" s="586">
        <f t="shared" si="156"/>
        <v>0</v>
      </c>
      <c r="CS57" s="586">
        <f t="shared" si="156"/>
        <v>0</v>
      </c>
      <c r="CT57" s="586">
        <f t="shared" si="156"/>
        <v>0</v>
      </c>
      <c r="CU57" s="586">
        <f t="shared" si="156"/>
        <v>0</v>
      </c>
      <c r="CV57" s="586">
        <f t="shared" si="156"/>
        <v>0</v>
      </c>
      <c r="CW57" s="586">
        <f t="shared" si="156"/>
        <v>0</v>
      </c>
      <c r="CX57" s="586">
        <f t="shared" si="156"/>
        <v>0</v>
      </c>
      <c r="CY57" s="586">
        <f t="shared" si="156"/>
        <v>0</v>
      </c>
      <c r="CZ57" s="586">
        <f t="shared" si="156"/>
        <v>0</v>
      </c>
      <c r="DA57" s="586">
        <f t="shared" si="156"/>
        <v>0</v>
      </c>
      <c r="DB57" s="586">
        <f t="shared" si="156"/>
        <v>0</v>
      </c>
      <c r="DC57" s="586">
        <f t="shared" si="156"/>
        <v>0</v>
      </c>
      <c r="DD57" s="586">
        <f t="shared" si="156"/>
        <v>0</v>
      </c>
      <c r="DE57" s="586">
        <f t="shared" si="156"/>
        <v>0</v>
      </c>
      <c r="DF57" s="586">
        <f t="shared" si="156"/>
        <v>0</v>
      </c>
      <c r="DG57" s="586">
        <f t="shared" si="156"/>
        <v>0</v>
      </c>
      <c r="DH57" s="586">
        <f t="shared" si="156"/>
        <v>0</v>
      </c>
      <c r="DI57" s="586">
        <f t="shared" si="156"/>
        <v>0</v>
      </c>
      <c r="DJ57" s="586">
        <f t="shared" si="156"/>
        <v>0</v>
      </c>
      <c r="DK57" s="586">
        <f t="shared" si="156"/>
        <v>0</v>
      </c>
      <c r="DL57" s="586">
        <f t="shared" si="156"/>
        <v>0</v>
      </c>
      <c r="DM57" s="586">
        <f t="shared" si="156"/>
        <v>0</v>
      </c>
      <c r="DN57" s="586">
        <f t="shared" si="156"/>
        <v>0</v>
      </c>
      <c r="DO57" s="586">
        <f t="shared" si="156"/>
        <v>0</v>
      </c>
      <c r="DP57" s="586">
        <f t="shared" si="156"/>
        <v>0</v>
      </c>
      <c r="DQ57" s="586">
        <f t="shared" si="156"/>
        <v>0</v>
      </c>
      <c r="DR57" s="586">
        <f t="shared" si="156"/>
        <v>0</v>
      </c>
      <c r="DS57" s="586">
        <f t="shared" si="156"/>
        <v>0</v>
      </c>
      <c r="DT57" s="586">
        <f t="shared" si="156"/>
        <v>0</v>
      </c>
      <c r="DU57" s="586">
        <f t="shared" si="156"/>
        <v>0</v>
      </c>
      <c r="DV57" s="586">
        <f t="shared" si="156"/>
        <v>0</v>
      </c>
      <c r="DW57" s="586">
        <f t="shared" si="156"/>
        <v>0</v>
      </c>
      <c r="DX57" s="586">
        <f t="shared" si="156"/>
        <v>0</v>
      </c>
      <c r="DY57" s="586">
        <f t="shared" si="156"/>
        <v>0</v>
      </c>
      <c r="DZ57" s="586">
        <f t="shared" si="156"/>
        <v>0</v>
      </c>
      <c r="EA57" s="586">
        <f t="shared" si="156"/>
        <v>0</v>
      </c>
      <c r="EB57" s="586">
        <f t="shared" si="156"/>
        <v>0</v>
      </c>
      <c r="EC57" s="586">
        <f t="shared" si="156"/>
        <v>0</v>
      </c>
      <c r="ED57" s="586">
        <f t="shared" si="156"/>
        <v>0</v>
      </c>
      <c r="EE57" s="586">
        <f t="shared" si="156"/>
        <v>0</v>
      </c>
      <c r="EF57" s="586">
        <f t="shared" si="156"/>
        <v>0</v>
      </c>
      <c r="EG57" s="586">
        <f t="shared" si="156"/>
        <v>0</v>
      </c>
      <c r="EH57" s="586">
        <f t="shared" si="156"/>
        <v>0</v>
      </c>
      <c r="EI57" s="586">
        <f t="shared" si="156"/>
        <v>0</v>
      </c>
      <c r="EJ57" s="586">
        <f t="shared" si="156"/>
        <v>0</v>
      </c>
      <c r="EK57" s="586">
        <f t="shared" ref="EK57:EN57" si="157">IF($D$61=$D$62,SUM(EK68:EK70)*$EP$57,SUM(EK68:EK70)*JU77)</f>
        <v>0</v>
      </c>
      <c r="EL57" s="586">
        <f t="shared" si="157"/>
        <v>0</v>
      </c>
      <c r="EM57" s="586">
        <f t="shared" si="157"/>
        <v>0</v>
      </c>
      <c r="EN57" s="586">
        <f t="shared" si="157"/>
        <v>0</v>
      </c>
      <c r="EP57" s="476">
        <f>C61/Debt_LTC_Target</f>
        <v>0.79999999999999993</v>
      </c>
      <c r="EQ57" s="24"/>
      <c r="ER57" s="24"/>
      <c r="ES57" s="24"/>
      <c r="ET57" s="53" t="s">
        <v>77</v>
      </c>
      <c r="EU57" s="53">
        <f>SUM(EV57:JX57)</f>
        <v>6834218.348654422</v>
      </c>
      <c r="EV57" s="54"/>
      <c r="EW57" s="54">
        <f>IF(Perm_Debt?,(M3&lt;=PermDebt_Fund)*SUM($EV53:EV55)*EW62/12,(M3&lt;=Timing_Analysis_End_Month)*SUM($EV53:EV55)*EW62/12)</f>
        <v>0</v>
      </c>
      <c r="EX57" s="54">
        <f>IF(Perm_Debt?,(N3&lt;=PermDebt_Fund)*SUM($EV53:EW55)*EX62/12,(N3&lt;=Timing_Analysis_End_Month)*SUM($EV53:EW55)*EX62/12)</f>
        <v>0</v>
      </c>
      <c r="EY57" s="54">
        <f>IF(Perm_Debt?,(O3&lt;=PermDebt_Fund)*SUM($EV53:EX55)*EY62/12,(O3&lt;=Timing_Analysis_End_Month)*SUM($EV53:EX55)*EY62/12)</f>
        <v>0</v>
      </c>
      <c r="EZ57" s="54">
        <f>IF(Perm_Debt?,(P3&lt;=PermDebt_Fund)*SUM($EV53:EY55)*EZ62/12,(P3&lt;=Timing_Analysis_End_Month)*SUM($EV53:EY55)*EZ62/12)</f>
        <v>0</v>
      </c>
      <c r="FA57" s="54">
        <f>IF(Perm_Debt?,(Q3&lt;=PermDebt_Fund)*SUM($EV53:EZ55)*FA62/12,(Q3&lt;=Timing_Analysis_End_Month)*SUM($EV53:EZ55)*FA62/12)</f>
        <v>0</v>
      </c>
      <c r="FB57" s="54">
        <f>IF(Perm_Debt?,(R3&lt;=PermDebt_Fund)*SUM($EV53:FA55)*FB62/12,(R3&lt;=Timing_Analysis_End_Month)*SUM($EV53:FA55)*FB62/12)</f>
        <v>0</v>
      </c>
      <c r="FC57" s="54">
        <f>IF(Perm_Debt?,(S3&lt;=PermDebt_Fund)*SUM($EV53:FB55)*FC62/12,(S3&lt;=Timing_Analysis_End_Month)*SUM($EV53:FB55)*FC62/12)</f>
        <v>0</v>
      </c>
      <c r="FD57" s="54">
        <f>IF(Perm_Debt?,(T3&lt;=PermDebt_Fund)*SUM($EV53:FC55)*FD62/12,(T3&lt;=Timing_Analysis_End_Month)*SUM($EV53:FC55)*FD62/12)</f>
        <v>11937.613320370649</v>
      </c>
      <c r="FE57" s="54">
        <f>IF(Perm_Debt?,(U3&lt;=PermDebt_Fund)*SUM($EV53:FD55)*FE62/12,(U3&lt;=Timing_Analysis_End_Month)*SUM($EV53:FD55)*FE62/12)</f>
        <v>35641.976800915851</v>
      </c>
      <c r="FF57" s="54">
        <f>IF(Perm_Debt?,(V3&lt;=PermDebt_Fund)*SUM($EV53:FE55)*FF62/12,(V3&lt;=Timing_Analysis_End_Month)*SUM($EV53:FE55)*FF62/12)</f>
        <v>62042.246149948951</v>
      </c>
      <c r="FG57" s="54">
        <f>IF(Perm_Debt?,(W3&lt;=PermDebt_Fund)*SUM($EV53:FF55)*FG62/12,(W3&lt;=Timing_Analysis_End_Month)*SUM($EV53:FF55)*FG62/12)</f>
        <v>88552.516621269693</v>
      </c>
      <c r="FH57" s="54">
        <f>IF(Perm_Debt?,(X3&lt;=PermDebt_Fund)*SUM($EV53:FG55)*FH62/12,(X3&lt;=Timing_Analysis_End_Month)*SUM($EV53:FG55)*FH62/12)</f>
        <v>112576.10886556865</v>
      </c>
      <c r="FI57" s="54">
        <f>IF(Perm_Debt?,(Y3&lt;=PermDebt_Fund)*SUM($EV53:FH55)*FI62/12,(Y3&lt;=Timing_Analysis_End_Month)*SUM($EV53:FH55)*FI62/12)</f>
        <v>137740.51027931506</v>
      </c>
      <c r="FJ57" s="54">
        <f>IF(Perm_Debt?,(Z3&lt;=PermDebt_Fund)*SUM($EV53:FI55)*FJ62/12,(Z3&lt;=Timing_Analysis_End_Month)*SUM($EV53:FI55)*FJ62/12)</f>
        <v>158239.44718716296</v>
      </c>
      <c r="FK57" s="54">
        <f>IF(Perm_Debt?,(AA3&lt;=PermDebt_Fund)*SUM($EV53:FJ55)*FK62/12,(AA3&lt;=Timing_Analysis_End_Month)*SUM($EV53:FJ55)*FK62/12)</f>
        <v>172436.75970598898</v>
      </c>
      <c r="FL57" s="54">
        <f>IF(Perm_Debt?,(AB3&lt;=PermDebt_Fund)*SUM($EV53:FK55)*FL62/12,(AB3&lt;=Timing_Analysis_End_Month)*SUM($EV53:FK55)*FL62/12)</f>
        <v>181838.46913511437</v>
      </c>
      <c r="FM57" s="54">
        <f>IF(Perm_Debt?,(AC3&lt;=PermDebt_Fund)*SUM($EV53:FL55)*FM62/12,(AC3&lt;=Timing_Analysis_End_Month)*SUM($EV53:FL55)*FM62/12)</f>
        <v>188124.93869292663</v>
      </c>
      <c r="FN57" s="54">
        <f>IF(Perm_Debt?,(AD3&lt;=PermDebt_Fund)*SUM($EV53:FM55)*FN62/12,(AD3&lt;=Timing_Analysis_End_Month)*SUM($EV53:FM55)*FN62/12)</f>
        <v>192657.21471091127</v>
      </c>
      <c r="FO57" s="54">
        <f>IF(Perm_Debt?,(AE3&lt;=PermDebt_Fund)*SUM($EV53:FN55)*FO62/12,(AE3&lt;=Timing_Analysis_End_Month)*SUM($EV53:FN55)*FO62/12)</f>
        <v>195584.4870824352</v>
      </c>
      <c r="FP57" s="54">
        <f>IF(Perm_Debt?,(AF3&lt;=PermDebt_Fund)*SUM($EV53:FO55)*FP62/12,(AF3&lt;=Timing_Analysis_End_Month)*SUM($EV53:FO55)*FP62/12)</f>
        <v>197136.61394693644</v>
      </c>
      <c r="FQ57" s="54">
        <f>IF(Perm_Debt?,(AG3&lt;=PermDebt_Fund)*SUM($EV53:FP55)*FQ62/12,(AG3&lt;=Timing_Analysis_End_Month)*SUM($EV53:FP55)*FQ62/12)</f>
        <v>198550.03082795852</v>
      </c>
      <c r="FR57" s="54">
        <f>IF(Perm_Debt?,(AH3&lt;=PermDebt_Fund)*SUM($EV53:FQ55)*FR62/12,(AH3&lt;=Timing_Analysis_End_Month)*SUM($EV53:FQ55)*FR62/12)</f>
        <v>199824.09041224525</v>
      </c>
      <c r="FS57" s="54">
        <f>IF(Perm_Debt?,(AI3&lt;=PermDebt_Fund)*SUM($EV53:FR55)*FS62/12,(AI3&lt;=Timing_Analysis_End_Month)*SUM($EV53:FR55)*FS62/12)</f>
        <v>200958.14236574515</v>
      </c>
      <c r="FT57" s="54">
        <f>IF(Perm_Debt?,(AJ3&lt;=PermDebt_Fund)*SUM($EV53:FS55)*FT62/12,(AJ3&lt;=Timing_Analysis_End_Month)*SUM($EV53:FS55)*FT62/12)</f>
        <v>201951.53331951456</v>
      </c>
      <c r="FU57" s="54">
        <f>IF(Perm_Debt?,(AK3&lt;=PermDebt_Fund)*SUM($EV53:FT55)*FU62/12,(AK3&lt;=Timing_Analysis_End_Month)*SUM($EV53:FT55)*FU62/12)</f>
        <v>202803.60685555474</v>
      </c>
      <c r="FV57" s="54">
        <f>IF(Perm_Debt?,(AL3&lt;=PermDebt_Fund)*SUM($EV53:FU55)*FV62/12,(AL3&lt;=Timing_Analysis_End_Month)*SUM($EV53:FU55)*FV62/12)</f>
        <v>203513.70349258298</v>
      </c>
      <c r="FW57" s="54">
        <f>IF(Perm_Debt?,(AM3&lt;=PermDebt_Fund)*SUM($EV53:FV55)*FW62/12,(AM3&lt;=Timing_Analysis_End_Month)*SUM($EV53:FV55)*FW62/12)</f>
        <v>204081.16067173716</v>
      </c>
      <c r="FX57" s="54">
        <f>IF(Perm_Debt?,(AN3&lt;=PermDebt_Fund)*SUM($EV53:FW55)*FX62/12,(AN3&lt;=Timing_Analysis_End_Month)*SUM($EV53:FW55)*FX62/12)</f>
        <v>204505.31274221395</v>
      </c>
      <c r="FY57" s="54">
        <f>IF(Perm_Debt?,(AO3&lt;=PermDebt_Fund)*SUM($EV53:FX55)*FY62/12,(AO3&lt;=Timing_Analysis_End_Month)*SUM($EV53:FX55)*FY62/12)</f>
        <v>204785.49094683948</v>
      </c>
      <c r="FZ57" s="54">
        <f>IF(Perm_Debt?,(AP3&lt;=PermDebt_Fund)*SUM($EV53:FY55)*FZ62/12,(AP3&lt;=Timing_Analysis_End_Month)*SUM($EV53:FY55)*FZ62/12)</f>
        <v>204921.02340757311</v>
      </c>
      <c r="GA57" s="54">
        <f>IF(Perm_Debt?,(AQ3&lt;=PermDebt_Fund)*SUM($EV53:FZ55)*GA62/12,(AQ3&lt;=Timing_Analysis_End_Month)*SUM($EV53:FZ55)*GA62/12)</f>
        <v>204921.02340757311</v>
      </c>
      <c r="GB57" s="54">
        <f>IF(Perm_Debt?,(AR3&lt;=PermDebt_Fund)*SUM($EV53:GA55)*GB62/12,(AR3&lt;=Timing_Analysis_End_Month)*SUM($EV53:GA55)*GB62/12)</f>
        <v>204921.02340757311</v>
      </c>
      <c r="GC57" s="54">
        <f>IF(Perm_Debt?,(AS3&lt;=PermDebt_Fund)*SUM($EV53:GB55)*GC62/12,(AS3&lt;=Timing_Analysis_End_Month)*SUM($EV53:GB55)*GC62/12)</f>
        <v>204921.02340757311</v>
      </c>
      <c r="GD57" s="54">
        <f>IF(Perm_Debt?,(AT3&lt;=PermDebt_Fund)*SUM($EV53:GC55)*GD62/12,(AT3&lt;=Timing_Analysis_End_Month)*SUM($EV53:GC55)*GD62/12)</f>
        <v>204921.02340757311</v>
      </c>
      <c r="GE57" s="54">
        <f>IF(Perm_Debt?,(AU3&lt;=PermDebt_Fund)*SUM($EV53:GD55)*GE62/12,(AU3&lt;=Timing_Analysis_End_Month)*SUM($EV53:GD55)*GE62/12)</f>
        <v>204921.02340757311</v>
      </c>
      <c r="GF57" s="54">
        <f>IF(Perm_Debt?,(AV3&lt;=PermDebt_Fund)*SUM($EV53:GE55)*GF62/12,(AV3&lt;=Timing_Analysis_End_Month)*SUM($EV53:GE55)*GF62/12)</f>
        <v>204921.02340757311</v>
      </c>
      <c r="GG57" s="54">
        <f>IF(Perm_Debt?,(AW3&lt;=PermDebt_Fund)*SUM($EV53:GF55)*GG62/12,(AW3&lt;=Timing_Analysis_End_Month)*SUM($EV53:GF55)*GG62/12)</f>
        <v>204921.02340757311</v>
      </c>
      <c r="GH57" s="54">
        <f>IF(Perm_Debt?,(AX3&lt;=PermDebt_Fund)*SUM($EV53:GG55)*GH62/12,(AX3&lt;=Timing_Analysis_End_Month)*SUM($EV53:GG55)*GH62/12)</f>
        <v>204921.02340757311</v>
      </c>
      <c r="GI57" s="54">
        <f>IF(Perm_Debt?,(AY3&lt;=PermDebt_Fund)*SUM($EV53:GH55)*GI62/12,(AY3&lt;=Timing_Analysis_End_Month)*SUM($EV53:GH55)*GI62/12)</f>
        <v>204921.02340757311</v>
      </c>
      <c r="GJ57" s="54">
        <f>IF(Perm_Debt?,(AZ3&lt;=PermDebt_Fund)*SUM($EV53:GI55)*GJ62/12,(AZ3&lt;=Timing_Analysis_End_Month)*SUM($EV53:GI55)*GJ62/12)</f>
        <v>204921.02340757311</v>
      </c>
      <c r="GK57" s="54">
        <f>IF(Perm_Debt?,(BA3&lt;=PermDebt_Fund)*SUM($EV53:GJ55)*GK62/12,(BA3&lt;=Timing_Analysis_End_Month)*SUM($EV53:GJ55)*GK62/12)</f>
        <v>204921.02340757311</v>
      </c>
      <c r="GL57" s="54">
        <f>IF(Perm_Debt?,(BB3&lt;=PermDebt_Fund)*SUM($EV53:GK55)*GL62/12,(BB3&lt;=Timing_Analysis_End_Month)*SUM($EV53:GK55)*GL62/12)</f>
        <v>204921.02340757311</v>
      </c>
      <c r="GM57" s="54">
        <f>IF(Perm_Debt?,(BC3&lt;=PermDebt_Fund)*SUM($EV53:GL55)*GM62/12,(BC3&lt;=Timing_Analysis_End_Month)*SUM($EV53:GL55)*GM62/12)</f>
        <v>204921.02340757311</v>
      </c>
      <c r="GN57" s="54">
        <f>IF(Perm_Debt?,(BD3&lt;=PermDebt_Fund)*SUM($EV53:GM55)*GN62/12,(BD3&lt;=Timing_Analysis_End_Month)*SUM($EV53:GM55)*GN62/12)</f>
        <v>204921.02340757311</v>
      </c>
      <c r="GO57" s="54">
        <f>IF(Perm_Debt?,(BE3&lt;=PermDebt_Fund)*SUM($EV53:GN55)*GO62/12,(BE3&lt;=Timing_Analysis_End_Month)*SUM($EV53:GN55)*GO62/12)</f>
        <v>204921.02340757311</v>
      </c>
      <c r="GP57" s="54">
        <f>IF(Perm_Debt?,(BF3&lt;=PermDebt_Fund)*SUM($EV53:GO55)*GP62/12,(BF3&lt;=Timing_Analysis_End_Month)*SUM($EV53:GO55)*GP62/12)</f>
        <v>0</v>
      </c>
      <c r="GQ57" s="54">
        <f>IF(Perm_Debt?,(BG3&lt;=PermDebt_Fund)*SUM($EV53:GP55)*GQ62/12,(BG3&lt;=Timing_Analysis_End_Month)*SUM($EV53:GP55)*GQ62/12)</f>
        <v>0</v>
      </c>
      <c r="GR57" s="54">
        <f>IF(Perm_Debt?,(BH3&lt;=PermDebt_Fund)*SUM($EV53:GQ55)*GR62/12,(BH3&lt;=Timing_Analysis_End_Month)*SUM($EV53:GQ55)*GR62/12)</f>
        <v>0</v>
      </c>
      <c r="GS57" s="54">
        <f>IF(Perm_Debt?,(BI3&lt;=PermDebt_Fund)*SUM($EV53:GR55)*GS62/12,(BI3&lt;=Timing_Analysis_End_Month)*SUM($EV53:GR55)*GS62/12)</f>
        <v>0</v>
      </c>
      <c r="GT57" s="54">
        <f>IF(Perm_Debt?,(BJ3&lt;=PermDebt_Fund)*SUM($EV53:GS55)*GT62/12,(BJ3&lt;=Timing_Analysis_End_Month)*SUM($EV53:GS55)*GT62/12)</f>
        <v>0</v>
      </c>
      <c r="GU57" s="54">
        <f>IF(Perm_Debt?,(BK3&lt;=PermDebt_Fund)*SUM($EV53:GT55)*GU62/12,(BK3&lt;=Timing_Analysis_End_Month)*SUM($EV53:GT55)*GU62/12)</f>
        <v>0</v>
      </c>
      <c r="GV57" s="54">
        <f>IF(Perm_Debt?,(BL3&lt;=PermDebt_Fund)*SUM($EV53:GU55)*GV62/12,(BL3&lt;=Timing_Analysis_End_Month)*SUM($EV53:GU55)*GV62/12)</f>
        <v>0</v>
      </c>
      <c r="GW57" s="54">
        <f>IF(Perm_Debt?,(BM3&lt;=PermDebt_Fund)*SUM($EV53:GV55)*GW62/12,(BM3&lt;=Timing_Analysis_End_Month)*SUM($EV53:GV55)*GW62/12)</f>
        <v>0</v>
      </c>
      <c r="GX57" s="54">
        <f>IF(Perm_Debt?,(BN3&lt;=PermDebt_Fund)*SUM($EV53:GW55)*GX62/12,(BN3&lt;=Timing_Analysis_End_Month)*SUM($EV53:GW55)*GX62/12)</f>
        <v>0</v>
      </c>
      <c r="GY57" s="54">
        <f>IF(Perm_Debt?,(BO3&lt;=PermDebt_Fund)*SUM($EV53:GX55)*GY62/12,(BO3&lt;=Timing_Analysis_End_Month)*SUM($EV53:GX55)*GY62/12)</f>
        <v>0</v>
      </c>
      <c r="GZ57" s="54">
        <f>IF(Perm_Debt?,(BP3&lt;=PermDebt_Fund)*SUM($EV53:GY55)*GZ62/12,(BP3&lt;=Timing_Analysis_End_Month)*SUM($EV53:GY55)*GZ62/12)</f>
        <v>0</v>
      </c>
      <c r="HA57" s="54">
        <f>IF(Perm_Debt?,(BQ3&lt;=PermDebt_Fund)*SUM($EV53:GZ55)*HA62/12,(BQ3&lt;=Timing_Analysis_End_Month)*SUM($EV53:GZ55)*HA62/12)</f>
        <v>0</v>
      </c>
      <c r="HB57" s="54">
        <f>IF(Perm_Debt?,(BR3&lt;=PermDebt_Fund)*SUM($EV53:HA55)*HB62/12,(BR3&lt;=Timing_Analysis_End_Month)*SUM($EV53:HA55)*HB62/12)</f>
        <v>0</v>
      </c>
      <c r="HC57" s="54">
        <f>IF(Perm_Debt?,(BS3&lt;=PermDebt_Fund)*SUM($EV53:HB55)*HC62/12,(BS3&lt;=Timing_Analysis_End_Month)*SUM($EV53:HB55)*HC62/12)</f>
        <v>0</v>
      </c>
      <c r="HD57" s="54">
        <f>IF(Perm_Debt?,(BT3&lt;=PermDebt_Fund)*SUM($EV53:HC55)*HD62/12,(BT3&lt;=Timing_Analysis_End_Month)*SUM($EV53:HC55)*HD62/12)</f>
        <v>0</v>
      </c>
      <c r="HE57" s="54">
        <f>IF(Perm_Debt?,(BU3&lt;=PermDebt_Fund)*SUM($EV53:HD55)*HE62/12,(BU3&lt;=Timing_Analysis_End_Month)*SUM($EV53:HD55)*HE62/12)</f>
        <v>0</v>
      </c>
      <c r="HF57" s="54">
        <f>IF(Perm_Debt?,(BV3&lt;=PermDebt_Fund)*SUM($EV53:HE55)*HF62/12,(BV3&lt;=Timing_Analysis_End_Month)*SUM($EV53:HE55)*HF62/12)</f>
        <v>0</v>
      </c>
      <c r="HG57" s="54">
        <f>IF(Perm_Debt?,(BW3&lt;=PermDebt_Fund)*SUM($EV53:HF55)*HG62/12,(BW3&lt;=Timing_Analysis_End_Month)*SUM($EV53:HF55)*HG62/12)</f>
        <v>0</v>
      </c>
      <c r="HH57" s="54">
        <f>IF(Perm_Debt?,(BX3&lt;=PermDebt_Fund)*SUM($EV53:HG55)*HH62/12,(BX3&lt;=Timing_Analysis_End_Month)*SUM($EV53:HG55)*HH62/12)</f>
        <v>0</v>
      </c>
      <c r="HI57" s="54">
        <f>IF(Perm_Debt?,(BY3&lt;=PermDebt_Fund)*SUM($EV53:HH55)*HI62/12,(BY3&lt;=Timing_Analysis_End_Month)*SUM($EV53:HH55)*HI62/12)</f>
        <v>0</v>
      </c>
      <c r="HJ57" s="54">
        <f>IF(Perm_Debt?,(BZ3&lt;=PermDebt_Fund)*SUM($EV53:HI55)*HJ62/12,(BZ3&lt;=Timing_Analysis_End_Month)*SUM($EV53:HI55)*HJ62/12)</f>
        <v>0</v>
      </c>
      <c r="HK57" s="54">
        <f>IF(Perm_Debt?,(CA3&lt;=PermDebt_Fund)*SUM($EV53:HJ55)*HK62/12,(CA3&lt;=Timing_Analysis_End_Month)*SUM($EV53:HJ55)*HK62/12)</f>
        <v>0</v>
      </c>
      <c r="HL57" s="54">
        <f>IF(Perm_Debt?,(CB3&lt;=PermDebt_Fund)*SUM($EV53:HK55)*HL62/12,(CB3&lt;=Timing_Analysis_End_Month)*SUM($EV53:HK55)*HL62/12)</f>
        <v>0</v>
      </c>
      <c r="HM57" s="54">
        <f>IF(Perm_Debt?,(CC3&lt;=PermDebt_Fund)*SUM($EV53:HL55)*HM62/12,(CC3&lt;=Timing_Analysis_End_Month)*SUM($EV53:HL55)*HM62/12)</f>
        <v>0</v>
      </c>
      <c r="HN57" s="54">
        <f>IF(Perm_Debt?,(CD3&lt;=PermDebt_Fund)*SUM($EV53:HM55)*HN62/12,(CD3&lt;=Timing_Analysis_End_Month)*SUM($EV53:HM55)*HN62/12)</f>
        <v>0</v>
      </c>
      <c r="HO57" s="54">
        <f>IF(Perm_Debt?,(CE3&lt;=PermDebt_Fund)*SUM($EV53:HN55)*HO62/12,(CE3&lt;=Timing_Analysis_End_Month)*SUM($EV53:HN55)*HO62/12)</f>
        <v>0</v>
      </c>
      <c r="HP57" s="54">
        <f>IF(Perm_Debt?,(CF3&lt;=PermDebt_Fund)*SUM($EV53:HO55)*HP62/12,(CF3&lt;=Timing_Analysis_End_Month)*SUM($EV53:HO55)*HP62/12)</f>
        <v>0</v>
      </c>
      <c r="HQ57" s="54">
        <f>IF(Perm_Debt?,(CG3&lt;=PermDebt_Fund)*SUM($EV53:HP55)*HQ62/12,(CG3&lt;=Timing_Analysis_End_Month)*SUM($EV53:HP55)*HQ62/12)</f>
        <v>0</v>
      </c>
      <c r="HR57" s="54">
        <f>IF(Perm_Debt?,(CH3&lt;=PermDebt_Fund)*SUM($EV53:HQ55)*HR62/12,(CH3&lt;=Timing_Analysis_End_Month)*SUM($EV53:HQ55)*HR62/12)</f>
        <v>0</v>
      </c>
      <c r="HS57" s="54">
        <f>IF(Perm_Debt?,(CI3&lt;=PermDebt_Fund)*SUM($EV53:HR55)*HS62/12,(CI3&lt;=Timing_Analysis_End_Month)*SUM($EV53:HR55)*HS62/12)</f>
        <v>0</v>
      </c>
      <c r="HT57" s="54">
        <f>IF(Perm_Debt?,(CJ3&lt;=PermDebt_Fund)*SUM($EV53:HS55)*HT62/12,(CJ3&lt;=Timing_Analysis_End_Month)*SUM($EV53:HS55)*HT62/12)</f>
        <v>0</v>
      </c>
      <c r="HU57" s="54">
        <f>IF(Perm_Debt?,(CK3&lt;=PermDebt_Fund)*SUM($EV53:HT55)*HU62/12,(CK3&lt;=Timing_Analysis_End_Month)*SUM($EV53:HT55)*HU62/12)</f>
        <v>0</v>
      </c>
      <c r="HV57" s="54">
        <f>IF(Perm_Debt?,(CL3&lt;=PermDebt_Fund)*SUM($EV53:HU55)*HV62/12,(CL3&lt;=Timing_Analysis_End_Month)*SUM($EV53:HU55)*HV62/12)</f>
        <v>0</v>
      </c>
      <c r="HW57" s="54">
        <f>IF(Perm_Debt?,(CM3&lt;=PermDebt_Fund)*SUM($EV53:HV55)*HW62/12,(CM3&lt;=Timing_Analysis_End_Month)*SUM($EV53:HV55)*HW62/12)</f>
        <v>0</v>
      </c>
      <c r="HX57" s="54">
        <f>IF(Perm_Debt?,(CN3&lt;=PermDebt_Fund)*SUM($EV53:HW55)*HX62/12,(CN3&lt;=Timing_Analysis_End_Month)*SUM($EV53:HW55)*HX62/12)</f>
        <v>0</v>
      </c>
      <c r="HY57" s="54">
        <f>IF(Perm_Debt?,(CO3&lt;=PermDebt_Fund)*SUM($EV53:HX55)*HY62/12,(CO3&lt;=Timing_Analysis_End_Month)*SUM($EV53:HX55)*HY62/12)</f>
        <v>0</v>
      </c>
      <c r="HZ57" s="54">
        <f>IF(Perm_Debt?,(CP3&lt;=PermDebt_Fund)*SUM($EV53:HY55)*HZ62/12,(CP3&lt;=Timing_Analysis_End_Month)*SUM($EV53:HY55)*HZ62/12)</f>
        <v>0</v>
      </c>
      <c r="IA57" s="54">
        <f>IF(Perm_Debt?,(CQ3&lt;=PermDebt_Fund)*SUM($EV53:HZ55)*IA62/12,(CQ3&lt;=Timing_Analysis_End_Month)*SUM($EV53:HZ55)*IA62/12)</f>
        <v>0</v>
      </c>
      <c r="IB57" s="54">
        <f>IF(Perm_Debt?,(CR3&lt;=PermDebt_Fund)*SUM($EV53:IA55)*IB62/12,(CR3&lt;=Timing_Analysis_End_Month)*SUM($EV53:IA55)*IB62/12)</f>
        <v>0</v>
      </c>
      <c r="IC57" s="54">
        <f>IF(Perm_Debt?,(CS3&lt;=PermDebt_Fund)*SUM($EV53:IB55)*IC62/12,(CS3&lt;=Timing_Analysis_End_Month)*SUM($EV53:IB55)*IC62/12)</f>
        <v>0</v>
      </c>
      <c r="ID57" s="54">
        <f>IF(Perm_Debt?,(CT3&lt;=PermDebt_Fund)*SUM($EV53:IC55)*ID62/12,(CT3&lt;=Timing_Analysis_End_Month)*SUM($EV53:IC55)*ID62/12)</f>
        <v>0</v>
      </c>
      <c r="IE57" s="54">
        <f>IF(Perm_Debt?,(CU3&lt;=PermDebt_Fund)*SUM($EV53:ID55)*IE62/12,(CU3&lt;=Timing_Analysis_End_Month)*SUM($EV53:ID55)*IE62/12)</f>
        <v>0</v>
      </c>
      <c r="IF57" s="54">
        <f>IF(Perm_Debt?,(CV3&lt;=PermDebt_Fund)*SUM($EV53:IE55)*IF62/12,(CV3&lt;=Timing_Analysis_End_Month)*SUM($EV53:IE55)*IF62/12)</f>
        <v>0</v>
      </c>
      <c r="IG57" s="54">
        <f>IF(Perm_Debt?,(CW3&lt;=PermDebt_Fund)*SUM($EV53:IF55)*IG62/12,(CW3&lt;=Timing_Analysis_End_Month)*SUM($EV53:IF55)*IG62/12)</f>
        <v>0</v>
      </c>
      <c r="IH57" s="54">
        <f>IF(Perm_Debt?,(CX3&lt;=PermDebt_Fund)*SUM($EV53:IG55)*IH62/12,(CX3&lt;=Timing_Analysis_End_Month)*SUM($EV53:IG55)*IH62/12)</f>
        <v>0</v>
      </c>
      <c r="II57" s="54">
        <f>IF(Perm_Debt?,(CY3&lt;=PermDebt_Fund)*SUM($EV53:IH55)*II62/12,(CY3&lt;=Timing_Analysis_End_Month)*SUM($EV53:IH55)*II62/12)</f>
        <v>0</v>
      </c>
      <c r="IJ57" s="54">
        <f>IF(Perm_Debt?,(CZ3&lt;=PermDebt_Fund)*SUM($EV53:II55)*IJ62/12,(CZ3&lt;=Timing_Analysis_End_Month)*SUM($EV53:II55)*IJ62/12)</f>
        <v>0</v>
      </c>
      <c r="IK57" s="54">
        <f>IF(Perm_Debt?,(DA3&lt;=PermDebt_Fund)*SUM($EV53:IJ55)*IK62/12,(DA3&lt;=Timing_Analysis_End_Month)*SUM($EV53:IJ55)*IK62/12)</f>
        <v>0</v>
      </c>
      <c r="IL57" s="54">
        <f>IF(Perm_Debt?,(DB3&lt;=PermDebt_Fund)*SUM($EV53:IK55)*IL62/12,(DB3&lt;=Timing_Analysis_End_Month)*SUM($EV53:IK55)*IL62/12)</f>
        <v>0</v>
      </c>
      <c r="IM57" s="54">
        <f>IF(Perm_Debt?,(DC3&lt;=PermDebt_Fund)*SUM($EV53:IL55)*IM62/12,(DC3&lt;=Timing_Analysis_End_Month)*SUM($EV53:IL55)*IM62/12)</f>
        <v>0</v>
      </c>
      <c r="IN57" s="54">
        <f>IF(Perm_Debt?,(DD3&lt;=PermDebt_Fund)*SUM($EV53:IM55)*IN62/12,(DD3&lt;=Timing_Analysis_End_Month)*SUM($EV53:IM55)*IN62/12)</f>
        <v>0</v>
      </c>
      <c r="IO57" s="54">
        <f>IF(Perm_Debt?,(DE3&lt;=PermDebt_Fund)*SUM($EV53:IN55)*IO62/12,(DE3&lt;=Timing_Analysis_End_Month)*SUM($EV53:IN55)*IO62/12)</f>
        <v>0</v>
      </c>
      <c r="IP57" s="54">
        <f>IF(Perm_Debt?,(DF3&lt;=PermDebt_Fund)*SUM($EV53:IO55)*IP62/12,(DF3&lt;=Timing_Analysis_End_Month)*SUM($EV53:IO55)*IP62/12)</f>
        <v>0</v>
      </c>
      <c r="IQ57" s="54">
        <f>IF(Perm_Debt?,(DG3&lt;=PermDebt_Fund)*SUM($EV53:IP55)*IQ62/12,(DG3&lt;=Timing_Analysis_End_Month)*SUM($EV53:IP55)*IQ62/12)</f>
        <v>0</v>
      </c>
      <c r="IR57" s="54">
        <f>IF(Perm_Debt?,(DH3&lt;=PermDebt_Fund)*SUM($EV53:IQ55)*IR62/12,(DH3&lt;=Timing_Analysis_End_Month)*SUM($EV53:IQ55)*IR62/12)</f>
        <v>0</v>
      </c>
      <c r="IS57" s="54">
        <f>IF(Perm_Debt?,(DI3&lt;=PermDebt_Fund)*SUM($EV53:IR55)*IS62/12,(DI3&lt;=Timing_Analysis_End_Month)*SUM($EV53:IR55)*IS62/12)</f>
        <v>0</v>
      </c>
      <c r="IT57" s="54">
        <f>IF(Perm_Debt?,(DJ3&lt;=PermDebt_Fund)*SUM($EV53:IS55)*IT62/12,(DJ3&lt;=Timing_Analysis_End_Month)*SUM($EV53:IS55)*IT62/12)</f>
        <v>0</v>
      </c>
      <c r="IU57" s="54">
        <f>IF(Perm_Debt?,(DK3&lt;=PermDebt_Fund)*SUM($EV53:IT55)*IU62/12,(DK3&lt;=Timing_Analysis_End_Month)*SUM($EV53:IT55)*IU62/12)</f>
        <v>0</v>
      </c>
      <c r="IV57" s="54">
        <f>IF(Perm_Debt?,(DL3&lt;=PermDebt_Fund)*SUM($EV53:IU55)*IV62/12,(DL3&lt;=Timing_Analysis_End_Month)*SUM($EV53:IU55)*IV62/12)</f>
        <v>0</v>
      </c>
      <c r="IW57" s="54">
        <f>IF(Perm_Debt?,(DM3&lt;=PermDebt_Fund)*SUM($EV53:IV55)*IW62/12,(DM3&lt;=Timing_Analysis_End_Month)*SUM($EV53:IV55)*IW62/12)</f>
        <v>0</v>
      </c>
      <c r="IX57" s="54">
        <f>IF(Perm_Debt?,(DN3&lt;=PermDebt_Fund)*SUM($EV53:IW55)*IX62/12,(DN3&lt;=Timing_Analysis_End_Month)*SUM($EV53:IW55)*IX62/12)</f>
        <v>0</v>
      </c>
      <c r="IY57" s="54">
        <f>IF(Perm_Debt?,(DO3&lt;=PermDebt_Fund)*SUM($EV53:IX55)*IY62/12,(DO3&lt;=Timing_Analysis_End_Month)*SUM($EV53:IX55)*IY62/12)</f>
        <v>0</v>
      </c>
      <c r="IZ57" s="54">
        <f>IF(Perm_Debt?,(DP3&lt;=PermDebt_Fund)*SUM($EV53:IY55)*IZ62/12,(DP3&lt;=Timing_Analysis_End_Month)*SUM($EV53:IY55)*IZ62/12)</f>
        <v>0</v>
      </c>
      <c r="JA57" s="54">
        <f>IF(Perm_Debt?,(DQ3&lt;=PermDebt_Fund)*SUM($EV53:IZ55)*JA62/12,(DQ3&lt;=Timing_Analysis_End_Month)*SUM($EV53:IZ55)*JA62/12)</f>
        <v>0</v>
      </c>
      <c r="JB57" s="54">
        <f>IF(Perm_Debt?,(DR3&lt;=PermDebt_Fund)*SUM($EV53:JA55)*JB62/12,(DR3&lt;=Timing_Analysis_End_Month)*SUM($EV53:JA55)*JB62/12)</f>
        <v>0</v>
      </c>
      <c r="JC57" s="54">
        <f>IF(Perm_Debt?,(DS3&lt;=PermDebt_Fund)*SUM($EV53:JB55)*JC62/12,(DS3&lt;=Timing_Analysis_End_Month)*SUM($EV53:JB55)*JC62/12)</f>
        <v>0</v>
      </c>
      <c r="JD57" s="54">
        <f>IF(Perm_Debt?,(DT3&lt;=PermDebt_Fund)*SUM($EV53:JC55)*JD62/12,(DT3&lt;=Timing_Analysis_End_Month)*SUM($EV53:JC55)*JD62/12)</f>
        <v>0</v>
      </c>
      <c r="JE57" s="54">
        <f>IF(Perm_Debt?,(DU3&lt;=PermDebt_Fund)*SUM($EV53:JD55)*JE62/12,(DU3&lt;=Timing_Analysis_End_Month)*SUM($EV53:JD55)*JE62/12)</f>
        <v>0</v>
      </c>
      <c r="JF57" s="54">
        <f>IF(Perm_Debt?,(DV3&lt;=PermDebt_Fund)*SUM($EV53:JE55)*JF62/12,(DV3&lt;=Timing_Analysis_End_Month)*SUM($EV53:JE55)*JF62/12)</f>
        <v>0</v>
      </c>
      <c r="JG57" s="54">
        <f>IF(Perm_Debt?,(DW3&lt;=PermDebt_Fund)*SUM($EV53:JF55)*JG62/12,(DW3&lt;=Timing_Analysis_End_Month)*SUM($EV53:JF55)*JG62/12)</f>
        <v>0</v>
      </c>
      <c r="JH57" s="54">
        <f>IF(Perm_Debt?,(DX3&lt;=PermDebt_Fund)*SUM($EV53:JG55)*JH62/12,(DX3&lt;=Timing_Analysis_End_Month)*SUM($EV53:JG55)*JH62/12)</f>
        <v>0</v>
      </c>
      <c r="JI57" s="54">
        <f>IF(Perm_Debt?,(DY3&lt;=PermDebt_Fund)*SUM($EV53:JH55)*JI62/12,(DY3&lt;=Timing_Analysis_End_Month)*SUM($EV53:JH55)*JI62/12)</f>
        <v>0</v>
      </c>
      <c r="JJ57" s="54">
        <f>IF(Perm_Debt?,(DZ3&lt;=PermDebt_Fund)*SUM($EV53:JI55)*JJ62/12,(DZ3&lt;=Timing_Analysis_End_Month)*SUM($EV53:JI55)*JJ62/12)</f>
        <v>0</v>
      </c>
      <c r="JK57" s="54">
        <f>IF(Perm_Debt?,(EA3&lt;=PermDebt_Fund)*SUM($EV53:JJ55)*JK62/12,(EA3&lt;=Timing_Analysis_End_Month)*SUM($EV53:JJ55)*JK62/12)</f>
        <v>0</v>
      </c>
      <c r="JL57" s="54">
        <f>IF(Perm_Debt?,(EB3&lt;=PermDebt_Fund)*SUM($EV53:JK55)*JL62/12,(EB3&lt;=Timing_Analysis_End_Month)*SUM($EV53:JK55)*JL62/12)</f>
        <v>0</v>
      </c>
      <c r="JM57" s="54">
        <f>IF(Perm_Debt?,(EC3&lt;=PermDebt_Fund)*SUM($EV53:JL55)*JM62/12,(EC3&lt;=Timing_Analysis_End_Month)*SUM($EV53:JL55)*JM62/12)</f>
        <v>0</v>
      </c>
      <c r="JN57" s="54">
        <f>IF(Perm_Debt?,(ED3&lt;=PermDebt_Fund)*SUM($EV53:JM55)*JN62/12,(ED3&lt;=Timing_Analysis_End_Month)*SUM($EV53:JM55)*JN62/12)</f>
        <v>0</v>
      </c>
      <c r="JO57" s="54">
        <f>IF(Perm_Debt?,(EE3&lt;=PermDebt_Fund)*SUM($EV53:JN55)*JO62/12,(EE3&lt;=Timing_Analysis_End_Month)*SUM($EV53:JN55)*JO62/12)</f>
        <v>0</v>
      </c>
      <c r="JP57" s="54">
        <f>IF(Perm_Debt?,(EF3&lt;=PermDebt_Fund)*SUM($EV53:JO55)*JP62/12,(EF3&lt;=Timing_Analysis_End_Month)*SUM($EV53:JO55)*JP62/12)</f>
        <v>0</v>
      </c>
      <c r="JQ57" s="54">
        <f>IF(Perm_Debt?,(EG3&lt;=PermDebt_Fund)*SUM($EV53:JP55)*JQ62/12,(EG3&lt;=Timing_Analysis_End_Month)*SUM($EV53:JP55)*JQ62/12)</f>
        <v>0</v>
      </c>
      <c r="JR57" s="54">
        <f>IF(Perm_Debt?,(EH3&lt;=PermDebt_Fund)*SUM($EV53:JQ55)*JR62/12,(EH3&lt;=Timing_Analysis_End_Month)*SUM($EV53:JQ55)*JR62/12)</f>
        <v>0</v>
      </c>
      <c r="JS57" s="54">
        <f>IF(Perm_Debt?,(EI3&lt;=PermDebt_Fund)*SUM($EV53:JR55)*JS62/12,(EI3&lt;=Timing_Analysis_End_Month)*SUM($EV53:JR55)*JS62/12)</f>
        <v>0</v>
      </c>
      <c r="JT57" s="54">
        <f>IF(Perm_Debt?,(EJ3&lt;=PermDebt_Fund)*SUM($EV53:JS55)*JT62/12,(EJ3&lt;=Timing_Analysis_End_Month)*SUM($EV53:JS55)*JT62/12)</f>
        <v>0</v>
      </c>
      <c r="JU57" s="54">
        <f>IF(Perm_Debt?,(EK3&lt;=PermDebt_Fund)*SUM($EV53:JT55)*JU62/12,(EK3&lt;=Timing_Analysis_End_Month)*SUM($EV53:JT55)*JU62/12)</f>
        <v>0</v>
      </c>
      <c r="JV57" s="54">
        <f>IF(Perm_Debt?,(EL3&lt;=PermDebt_Fund)*SUM($EV53:JU55)*JV62/12,(EL3&lt;=Timing_Analysis_End_Month)*SUM($EV53:JU55)*JV62/12)</f>
        <v>0</v>
      </c>
      <c r="JW57" s="54">
        <f>IF(Perm_Debt?,(EM3&lt;=PermDebt_Fund)*SUM($EV53:JV55)*JW62/12,(EM3&lt;=Timing_Analysis_End_Month)*SUM($EV53:JV55)*JW62/12)</f>
        <v>0</v>
      </c>
      <c r="JX57" s="54">
        <f>IF(Perm_Debt?,(EN3&lt;=PermDebt_Fund)*SUM($EV53:JW55)*JX62/12,(EN3&lt;=Timing_Analysis_End_Month)*SUM($EV53:JW55)*JX62/12)</f>
        <v>0</v>
      </c>
    </row>
    <row r="58" spans="1:284" s="7" customFormat="1" ht="12.75" x14ac:dyDescent="0.2">
      <c r="B58" s="92" t="s">
        <v>63</v>
      </c>
      <c r="C58" s="152"/>
      <c r="D58" s="152"/>
      <c r="E58" s="152"/>
      <c r="F58" s="153">
        <f>SUM(F56:F57)</f>
        <v>1</v>
      </c>
      <c r="G58" s="389">
        <f>SUM(G56:G57)</f>
        <v>229.60338096147015</v>
      </c>
      <c r="H58" s="123">
        <f>SUM(H56:H57)</f>
        <v>195162.87381724964</v>
      </c>
      <c r="I58" s="123">
        <f>SUM(I56:I57)</f>
        <v>58548862.145174891</v>
      </c>
      <c r="K58" s="585" t="str">
        <f>B62</f>
        <v>Mezzanine Loan</v>
      </c>
      <c r="L58" s="586">
        <f>IF($D$61=$D$62,L57/$EP$57*$EP$58,SUM(L68:L70)-L57)</f>
        <v>0</v>
      </c>
      <c r="M58" s="586">
        <f t="shared" ref="M58:BX58" si="158">IF($D$61=$D$62,M57/$EP$57*$EP$58,SUM(M68:M70)-M57)</f>
        <v>0</v>
      </c>
      <c r="N58" s="586">
        <f t="shared" si="158"/>
        <v>0</v>
      </c>
      <c r="O58" s="586">
        <f t="shared" si="158"/>
        <v>0</v>
      </c>
      <c r="P58" s="586">
        <f t="shared" si="158"/>
        <v>0</v>
      </c>
      <c r="Q58" s="586">
        <f t="shared" si="158"/>
        <v>0</v>
      </c>
      <c r="R58" s="586">
        <f t="shared" si="158"/>
        <v>0</v>
      </c>
      <c r="S58" s="586">
        <f t="shared" si="158"/>
        <v>0</v>
      </c>
      <c r="T58" s="586">
        <f t="shared" si="158"/>
        <v>0</v>
      </c>
      <c r="U58" s="586">
        <f t="shared" si="158"/>
        <v>0</v>
      </c>
      <c r="V58" s="586">
        <f t="shared" si="158"/>
        <v>0</v>
      </c>
      <c r="W58" s="586">
        <f t="shared" si="158"/>
        <v>-9.3132257461547852E-10</v>
      </c>
      <c r="X58" s="586">
        <f t="shared" si="158"/>
        <v>1.862645149230957E-9</v>
      </c>
      <c r="Y58" s="586">
        <f t="shared" si="158"/>
        <v>2489918.93507727</v>
      </c>
      <c r="Z58" s="586">
        <f t="shared" si="158"/>
        <v>2467869.1206613295</v>
      </c>
      <c r="AA58" s="586">
        <f t="shared" si="158"/>
        <v>1640257.6635875134</v>
      </c>
      <c r="AB58" s="586">
        <f t="shared" si="158"/>
        <v>1095247.652728765</v>
      </c>
      <c r="AC58" s="586">
        <f t="shared" si="158"/>
        <v>783240.1545545361</v>
      </c>
      <c r="AD58" s="586">
        <f t="shared" si="158"/>
        <v>627272.65104083321</v>
      </c>
      <c r="AE58" s="586">
        <f t="shared" si="158"/>
        <v>332598.6138216916</v>
      </c>
      <c r="AF58" s="586">
        <f t="shared" si="158"/>
        <v>302875.04593330395</v>
      </c>
      <c r="AG58" s="586">
        <f t="shared" si="158"/>
        <v>273012.76806143718</v>
      </c>
      <c r="AH58" s="586">
        <f t="shared" si="158"/>
        <v>243011.13289283498</v>
      </c>
      <c r="AI58" s="586">
        <f t="shared" si="158"/>
        <v>212869.49009344599</v>
      </c>
      <c r="AJ58" s="586">
        <f t="shared" si="158"/>
        <v>182587.1862943265</v>
      </c>
      <c r="AK58" s="586">
        <f t="shared" si="158"/>
        <v>152163.5650774778</v>
      </c>
      <c r="AL58" s="586">
        <f t="shared" si="158"/>
        <v>121597.96696161716</v>
      </c>
      <c r="AM58" s="586">
        <f t="shared" si="158"/>
        <v>90889.7293878825</v>
      </c>
      <c r="AN58" s="586">
        <f t="shared" si="158"/>
        <v>60038.186705470376</v>
      </c>
      <c r="AO58" s="586">
        <f t="shared" si="158"/>
        <v>29042.670157206972</v>
      </c>
      <c r="AP58" s="586">
        <f t="shared" si="158"/>
        <v>0</v>
      </c>
      <c r="AQ58" s="586">
        <f t="shared" si="158"/>
        <v>0</v>
      </c>
      <c r="AR58" s="586">
        <f t="shared" si="158"/>
        <v>0</v>
      </c>
      <c r="AS58" s="586">
        <f t="shared" si="158"/>
        <v>0</v>
      </c>
      <c r="AT58" s="586">
        <f t="shared" si="158"/>
        <v>0</v>
      </c>
      <c r="AU58" s="586">
        <f t="shared" si="158"/>
        <v>0</v>
      </c>
      <c r="AV58" s="586">
        <f t="shared" si="158"/>
        <v>0</v>
      </c>
      <c r="AW58" s="586">
        <f t="shared" si="158"/>
        <v>0</v>
      </c>
      <c r="AX58" s="586">
        <f t="shared" si="158"/>
        <v>0</v>
      </c>
      <c r="AY58" s="586">
        <f t="shared" si="158"/>
        <v>0</v>
      </c>
      <c r="AZ58" s="586">
        <f t="shared" si="158"/>
        <v>0</v>
      </c>
      <c r="BA58" s="586">
        <f t="shared" si="158"/>
        <v>0</v>
      </c>
      <c r="BB58" s="586">
        <f t="shared" si="158"/>
        <v>0</v>
      </c>
      <c r="BC58" s="586">
        <f t="shared" si="158"/>
        <v>0</v>
      </c>
      <c r="BD58" s="586">
        <f t="shared" si="158"/>
        <v>0</v>
      </c>
      <c r="BE58" s="586">
        <f t="shared" si="158"/>
        <v>0</v>
      </c>
      <c r="BF58" s="586">
        <f t="shared" si="158"/>
        <v>0</v>
      </c>
      <c r="BG58" s="586">
        <f t="shared" si="158"/>
        <v>0</v>
      </c>
      <c r="BH58" s="586">
        <f t="shared" si="158"/>
        <v>0</v>
      </c>
      <c r="BI58" s="586">
        <f t="shared" si="158"/>
        <v>0</v>
      </c>
      <c r="BJ58" s="586">
        <f t="shared" si="158"/>
        <v>0</v>
      </c>
      <c r="BK58" s="586">
        <f t="shared" si="158"/>
        <v>0</v>
      </c>
      <c r="BL58" s="586">
        <f t="shared" si="158"/>
        <v>0</v>
      </c>
      <c r="BM58" s="586">
        <f t="shared" si="158"/>
        <v>0</v>
      </c>
      <c r="BN58" s="586">
        <f t="shared" si="158"/>
        <v>0</v>
      </c>
      <c r="BO58" s="586">
        <f t="shared" si="158"/>
        <v>0</v>
      </c>
      <c r="BP58" s="586">
        <f t="shared" si="158"/>
        <v>0</v>
      </c>
      <c r="BQ58" s="586">
        <f t="shared" si="158"/>
        <v>0</v>
      </c>
      <c r="BR58" s="586">
        <f t="shared" si="158"/>
        <v>0</v>
      </c>
      <c r="BS58" s="586">
        <f t="shared" si="158"/>
        <v>0</v>
      </c>
      <c r="BT58" s="586">
        <f t="shared" si="158"/>
        <v>0</v>
      </c>
      <c r="BU58" s="586">
        <f t="shared" si="158"/>
        <v>0</v>
      </c>
      <c r="BV58" s="586">
        <f t="shared" si="158"/>
        <v>0</v>
      </c>
      <c r="BW58" s="586">
        <f t="shared" si="158"/>
        <v>0</v>
      </c>
      <c r="BX58" s="586">
        <f t="shared" si="158"/>
        <v>0</v>
      </c>
      <c r="BY58" s="586">
        <f t="shared" ref="BY58:EJ58" si="159">IF($D$61=$D$62,BY57/$EP$57*$EP$58,SUM(BY68:BY70)-BY57)</f>
        <v>0</v>
      </c>
      <c r="BZ58" s="586">
        <f t="shared" si="159"/>
        <v>0</v>
      </c>
      <c r="CA58" s="586">
        <f t="shared" si="159"/>
        <v>0</v>
      </c>
      <c r="CB58" s="586">
        <f t="shared" si="159"/>
        <v>0</v>
      </c>
      <c r="CC58" s="586">
        <f t="shared" si="159"/>
        <v>0</v>
      </c>
      <c r="CD58" s="586">
        <f t="shared" si="159"/>
        <v>0</v>
      </c>
      <c r="CE58" s="586">
        <f t="shared" si="159"/>
        <v>0</v>
      </c>
      <c r="CF58" s="586">
        <f t="shared" si="159"/>
        <v>0</v>
      </c>
      <c r="CG58" s="586">
        <f t="shared" si="159"/>
        <v>0</v>
      </c>
      <c r="CH58" s="586">
        <f t="shared" si="159"/>
        <v>0</v>
      </c>
      <c r="CI58" s="586">
        <f t="shared" si="159"/>
        <v>0</v>
      </c>
      <c r="CJ58" s="586">
        <f t="shared" si="159"/>
        <v>0</v>
      </c>
      <c r="CK58" s="586">
        <f t="shared" si="159"/>
        <v>0</v>
      </c>
      <c r="CL58" s="586">
        <f t="shared" si="159"/>
        <v>0</v>
      </c>
      <c r="CM58" s="586">
        <f t="shared" si="159"/>
        <v>0</v>
      </c>
      <c r="CN58" s="586">
        <f t="shared" si="159"/>
        <v>0</v>
      </c>
      <c r="CO58" s="586">
        <f t="shared" si="159"/>
        <v>0</v>
      </c>
      <c r="CP58" s="586">
        <f t="shared" si="159"/>
        <v>0</v>
      </c>
      <c r="CQ58" s="586">
        <f t="shared" si="159"/>
        <v>0</v>
      </c>
      <c r="CR58" s="586">
        <f t="shared" si="159"/>
        <v>0</v>
      </c>
      <c r="CS58" s="586">
        <f t="shared" si="159"/>
        <v>0</v>
      </c>
      <c r="CT58" s="586">
        <f t="shared" si="159"/>
        <v>0</v>
      </c>
      <c r="CU58" s="586">
        <f t="shared" si="159"/>
        <v>0</v>
      </c>
      <c r="CV58" s="586">
        <f t="shared" si="159"/>
        <v>0</v>
      </c>
      <c r="CW58" s="586">
        <f t="shared" si="159"/>
        <v>0</v>
      </c>
      <c r="CX58" s="586">
        <f t="shared" si="159"/>
        <v>0</v>
      </c>
      <c r="CY58" s="586">
        <f t="shared" si="159"/>
        <v>0</v>
      </c>
      <c r="CZ58" s="586">
        <f t="shared" si="159"/>
        <v>0</v>
      </c>
      <c r="DA58" s="586">
        <f t="shared" si="159"/>
        <v>0</v>
      </c>
      <c r="DB58" s="586">
        <f t="shared" si="159"/>
        <v>0</v>
      </c>
      <c r="DC58" s="586">
        <f t="shared" si="159"/>
        <v>0</v>
      </c>
      <c r="DD58" s="586">
        <f t="shared" si="159"/>
        <v>0</v>
      </c>
      <c r="DE58" s="586">
        <f t="shared" si="159"/>
        <v>0</v>
      </c>
      <c r="DF58" s="586">
        <f t="shared" si="159"/>
        <v>0</v>
      </c>
      <c r="DG58" s="586">
        <f t="shared" si="159"/>
        <v>0</v>
      </c>
      <c r="DH58" s="586">
        <f t="shared" si="159"/>
        <v>0</v>
      </c>
      <c r="DI58" s="586">
        <f t="shared" si="159"/>
        <v>0</v>
      </c>
      <c r="DJ58" s="586">
        <f t="shared" si="159"/>
        <v>0</v>
      </c>
      <c r="DK58" s="586">
        <f t="shared" si="159"/>
        <v>0</v>
      </c>
      <c r="DL58" s="586">
        <f t="shared" si="159"/>
        <v>0</v>
      </c>
      <c r="DM58" s="586">
        <f t="shared" si="159"/>
        <v>0</v>
      </c>
      <c r="DN58" s="586">
        <f t="shared" si="159"/>
        <v>0</v>
      </c>
      <c r="DO58" s="586">
        <f t="shared" si="159"/>
        <v>0</v>
      </c>
      <c r="DP58" s="586">
        <f t="shared" si="159"/>
        <v>0</v>
      </c>
      <c r="DQ58" s="586">
        <f t="shared" si="159"/>
        <v>0</v>
      </c>
      <c r="DR58" s="586">
        <f t="shared" si="159"/>
        <v>0</v>
      </c>
      <c r="DS58" s="586">
        <f t="shared" si="159"/>
        <v>0</v>
      </c>
      <c r="DT58" s="586">
        <f t="shared" si="159"/>
        <v>0</v>
      </c>
      <c r="DU58" s="586">
        <f t="shared" si="159"/>
        <v>0</v>
      </c>
      <c r="DV58" s="586">
        <f t="shared" si="159"/>
        <v>0</v>
      </c>
      <c r="DW58" s="586">
        <f t="shared" si="159"/>
        <v>0</v>
      </c>
      <c r="DX58" s="586">
        <f t="shared" si="159"/>
        <v>0</v>
      </c>
      <c r="DY58" s="586">
        <f t="shared" si="159"/>
        <v>0</v>
      </c>
      <c r="DZ58" s="586">
        <f t="shared" si="159"/>
        <v>0</v>
      </c>
      <c r="EA58" s="586">
        <f t="shared" si="159"/>
        <v>0</v>
      </c>
      <c r="EB58" s="586">
        <f t="shared" si="159"/>
        <v>0</v>
      </c>
      <c r="EC58" s="586">
        <f t="shared" si="159"/>
        <v>0</v>
      </c>
      <c r="ED58" s="586">
        <f t="shared" si="159"/>
        <v>0</v>
      </c>
      <c r="EE58" s="586">
        <f t="shared" si="159"/>
        <v>0</v>
      </c>
      <c r="EF58" s="586">
        <f t="shared" si="159"/>
        <v>0</v>
      </c>
      <c r="EG58" s="586">
        <f t="shared" si="159"/>
        <v>0</v>
      </c>
      <c r="EH58" s="586">
        <f t="shared" si="159"/>
        <v>0</v>
      </c>
      <c r="EI58" s="586">
        <f t="shared" si="159"/>
        <v>0</v>
      </c>
      <c r="EJ58" s="586">
        <f t="shared" si="159"/>
        <v>0</v>
      </c>
      <c r="EK58" s="586">
        <f t="shared" ref="EK58:EN58" si="160">IF($D$61=$D$62,EK57/$EP$57*$EP$58,SUM(EK68:EK70)-EK57)</f>
        <v>0</v>
      </c>
      <c r="EL58" s="586">
        <f t="shared" si="160"/>
        <v>0</v>
      </c>
      <c r="EM58" s="586">
        <f t="shared" si="160"/>
        <v>0</v>
      </c>
      <c r="EN58" s="586">
        <f t="shared" si="160"/>
        <v>0</v>
      </c>
      <c r="EP58" s="476">
        <f>1-EP57</f>
        <v>0.20000000000000007</v>
      </c>
      <c r="EQ58" s="24"/>
      <c r="ER58" s="24"/>
      <c r="ES58" s="24"/>
      <c r="ET58" s="53" t="s">
        <v>643</v>
      </c>
      <c r="EU58" s="53">
        <f>SUM(EV58:JX58)</f>
        <v>3864057.87796563</v>
      </c>
      <c r="EV58" s="54"/>
      <c r="EW58" s="54">
        <f>MIN(EW57,MAX(M138,0))*$F$48</f>
        <v>0</v>
      </c>
      <c r="EX58" s="54">
        <f t="shared" ref="EX58:HI58" si="161">MIN(EX57,MAX(N138,0))*$F$48</f>
        <v>0</v>
      </c>
      <c r="EY58" s="54">
        <f t="shared" si="161"/>
        <v>0</v>
      </c>
      <c r="EZ58" s="54">
        <f t="shared" si="161"/>
        <v>0</v>
      </c>
      <c r="FA58" s="54">
        <f t="shared" si="161"/>
        <v>0</v>
      </c>
      <c r="FB58" s="54">
        <f t="shared" si="161"/>
        <v>0</v>
      </c>
      <c r="FC58" s="54">
        <f t="shared" si="161"/>
        <v>0</v>
      </c>
      <c r="FD58" s="54">
        <f t="shared" si="161"/>
        <v>0</v>
      </c>
      <c r="FE58" s="54">
        <f t="shared" si="161"/>
        <v>0</v>
      </c>
      <c r="FF58" s="54">
        <f t="shared" si="161"/>
        <v>0</v>
      </c>
      <c r="FG58" s="54">
        <f t="shared" si="161"/>
        <v>0</v>
      </c>
      <c r="FH58" s="54">
        <f t="shared" si="161"/>
        <v>0</v>
      </c>
      <c r="FI58" s="54">
        <f t="shared" si="161"/>
        <v>0</v>
      </c>
      <c r="FJ58" s="54">
        <f t="shared" si="161"/>
        <v>0</v>
      </c>
      <c r="FK58" s="54">
        <f t="shared" si="161"/>
        <v>0</v>
      </c>
      <c r="FL58" s="54">
        <f t="shared" si="161"/>
        <v>0</v>
      </c>
      <c r="FM58" s="54">
        <f t="shared" si="161"/>
        <v>0</v>
      </c>
      <c r="FN58" s="54">
        <f t="shared" si="161"/>
        <v>0</v>
      </c>
      <c r="FO58" s="54">
        <f t="shared" si="161"/>
        <v>0</v>
      </c>
      <c r="FP58" s="54">
        <f t="shared" si="161"/>
        <v>0</v>
      </c>
      <c r="FQ58" s="54">
        <f t="shared" si="161"/>
        <v>0</v>
      </c>
      <c r="FR58" s="54">
        <f t="shared" si="161"/>
        <v>0</v>
      </c>
      <c r="FS58" s="54">
        <f t="shared" si="161"/>
        <v>0</v>
      </c>
      <c r="FT58" s="54">
        <f t="shared" si="161"/>
        <v>19364.347025188054</v>
      </c>
      <c r="FU58" s="54">
        <f t="shared" si="161"/>
        <v>50640.041778076935</v>
      </c>
      <c r="FV58" s="54">
        <f t="shared" si="161"/>
        <v>81915.73653096582</v>
      </c>
      <c r="FW58" s="54">
        <f t="shared" si="161"/>
        <v>113191.43128385466</v>
      </c>
      <c r="FX58" s="54">
        <f t="shared" si="161"/>
        <v>144467.12603674358</v>
      </c>
      <c r="FY58" s="54">
        <f t="shared" si="161"/>
        <v>175742.8207896325</v>
      </c>
      <c r="FZ58" s="54">
        <f t="shared" si="161"/>
        <v>204921.02340757311</v>
      </c>
      <c r="GA58" s="54">
        <f t="shared" si="161"/>
        <v>204921.02340757311</v>
      </c>
      <c r="GB58" s="54">
        <f t="shared" si="161"/>
        <v>204921.02340757311</v>
      </c>
      <c r="GC58" s="54">
        <f t="shared" si="161"/>
        <v>204921.02340757311</v>
      </c>
      <c r="GD58" s="54">
        <f t="shared" si="161"/>
        <v>204921.02340757311</v>
      </c>
      <c r="GE58" s="54">
        <f t="shared" si="161"/>
        <v>204921.02340757311</v>
      </c>
      <c r="GF58" s="54">
        <f t="shared" si="161"/>
        <v>204921.02340757311</v>
      </c>
      <c r="GG58" s="54">
        <f t="shared" si="161"/>
        <v>204921.02340757311</v>
      </c>
      <c r="GH58" s="54">
        <f t="shared" si="161"/>
        <v>204921.02340757311</v>
      </c>
      <c r="GI58" s="54">
        <f t="shared" si="161"/>
        <v>204921.02340757311</v>
      </c>
      <c r="GJ58" s="54">
        <f t="shared" si="161"/>
        <v>204921.02340757311</v>
      </c>
      <c r="GK58" s="54">
        <f t="shared" si="161"/>
        <v>204921.02340757311</v>
      </c>
      <c r="GL58" s="54">
        <f t="shared" si="161"/>
        <v>204921.02340757311</v>
      </c>
      <c r="GM58" s="54">
        <f t="shared" si="161"/>
        <v>204921.02340757311</v>
      </c>
      <c r="GN58" s="54">
        <f t="shared" si="161"/>
        <v>204921.02340757311</v>
      </c>
      <c r="GO58" s="54">
        <f t="shared" si="161"/>
        <v>204921.02340757311</v>
      </c>
      <c r="GP58" s="54">
        <f t="shared" si="161"/>
        <v>0</v>
      </c>
      <c r="GQ58" s="54">
        <f t="shared" si="161"/>
        <v>0</v>
      </c>
      <c r="GR58" s="54">
        <f t="shared" si="161"/>
        <v>0</v>
      </c>
      <c r="GS58" s="54">
        <f t="shared" si="161"/>
        <v>0</v>
      </c>
      <c r="GT58" s="54">
        <f t="shared" si="161"/>
        <v>0</v>
      </c>
      <c r="GU58" s="54">
        <f t="shared" si="161"/>
        <v>0</v>
      </c>
      <c r="GV58" s="54">
        <f t="shared" si="161"/>
        <v>0</v>
      </c>
      <c r="GW58" s="54">
        <f t="shared" si="161"/>
        <v>0</v>
      </c>
      <c r="GX58" s="54">
        <f t="shared" si="161"/>
        <v>0</v>
      </c>
      <c r="GY58" s="54">
        <f t="shared" si="161"/>
        <v>0</v>
      </c>
      <c r="GZ58" s="54">
        <f t="shared" si="161"/>
        <v>0</v>
      </c>
      <c r="HA58" s="54">
        <f t="shared" si="161"/>
        <v>0</v>
      </c>
      <c r="HB58" s="54">
        <f t="shared" si="161"/>
        <v>0</v>
      </c>
      <c r="HC58" s="54">
        <f t="shared" si="161"/>
        <v>0</v>
      </c>
      <c r="HD58" s="54">
        <f t="shared" si="161"/>
        <v>0</v>
      </c>
      <c r="HE58" s="54">
        <f t="shared" si="161"/>
        <v>0</v>
      </c>
      <c r="HF58" s="54">
        <f t="shared" si="161"/>
        <v>0</v>
      </c>
      <c r="HG58" s="54">
        <f t="shared" si="161"/>
        <v>0</v>
      </c>
      <c r="HH58" s="54">
        <f t="shared" si="161"/>
        <v>0</v>
      </c>
      <c r="HI58" s="54">
        <f t="shared" si="161"/>
        <v>0</v>
      </c>
      <c r="HJ58" s="54">
        <f t="shared" ref="HJ58:JU58" si="162">MIN(HJ57,MAX(BZ138,0))*$F$48</f>
        <v>0</v>
      </c>
      <c r="HK58" s="54">
        <f t="shared" si="162"/>
        <v>0</v>
      </c>
      <c r="HL58" s="54">
        <f t="shared" si="162"/>
        <v>0</v>
      </c>
      <c r="HM58" s="54">
        <f t="shared" si="162"/>
        <v>0</v>
      </c>
      <c r="HN58" s="54">
        <f t="shared" si="162"/>
        <v>0</v>
      </c>
      <c r="HO58" s="54">
        <f t="shared" si="162"/>
        <v>0</v>
      </c>
      <c r="HP58" s="54">
        <f t="shared" si="162"/>
        <v>0</v>
      </c>
      <c r="HQ58" s="54">
        <f t="shared" si="162"/>
        <v>0</v>
      </c>
      <c r="HR58" s="54">
        <f t="shared" si="162"/>
        <v>0</v>
      </c>
      <c r="HS58" s="54">
        <f t="shared" si="162"/>
        <v>0</v>
      </c>
      <c r="HT58" s="54">
        <f t="shared" si="162"/>
        <v>0</v>
      </c>
      <c r="HU58" s="54">
        <f t="shared" si="162"/>
        <v>0</v>
      </c>
      <c r="HV58" s="54">
        <f t="shared" si="162"/>
        <v>0</v>
      </c>
      <c r="HW58" s="54">
        <f t="shared" si="162"/>
        <v>0</v>
      </c>
      <c r="HX58" s="54">
        <f t="shared" si="162"/>
        <v>0</v>
      </c>
      <c r="HY58" s="54">
        <f t="shared" si="162"/>
        <v>0</v>
      </c>
      <c r="HZ58" s="54">
        <f t="shared" si="162"/>
        <v>0</v>
      </c>
      <c r="IA58" s="54">
        <f t="shared" si="162"/>
        <v>0</v>
      </c>
      <c r="IB58" s="54">
        <f t="shared" si="162"/>
        <v>0</v>
      </c>
      <c r="IC58" s="54">
        <f t="shared" si="162"/>
        <v>0</v>
      </c>
      <c r="ID58" s="54">
        <f t="shared" si="162"/>
        <v>0</v>
      </c>
      <c r="IE58" s="54">
        <f t="shared" si="162"/>
        <v>0</v>
      </c>
      <c r="IF58" s="54">
        <f t="shared" si="162"/>
        <v>0</v>
      </c>
      <c r="IG58" s="54">
        <f t="shared" si="162"/>
        <v>0</v>
      </c>
      <c r="IH58" s="54">
        <f t="shared" si="162"/>
        <v>0</v>
      </c>
      <c r="II58" s="54">
        <f t="shared" si="162"/>
        <v>0</v>
      </c>
      <c r="IJ58" s="54">
        <f t="shared" si="162"/>
        <v>0</v>
      </c>
      <c r="IK58" s="54">
        <f t="shared" si="162"/>
        <v>0</v>
      </c>
      <c r="IL58" s="54">
        <f t="shared" si="162"/>
        <v>0</v>
      </c>
      <c r="IM58" s="54">
        <f t="shared" si="162"/>
        <v>0</v>
      </c>
      <c r="IN58" s="54">
        <f t="shared" si="162"/>
        <v>0</v>
      </c>
      <c r="IO58" s="54">
        <f t="shared" si="162"/>
        <v>0</v>
      </c>
      <c r="IP58" s="54">
        <f t="shared" si="162"/>
        <v>0</v>
      </c>
      <c r="IQ58" s="54">
        <f t="shared" si="162"/>
        <v>0</v>
      </c>
      <c r="IR58" s="54">
        <f t="shared" si="162"/>
        <v>0</v>
      </c>
      <c r="IS58" s="54">
        <f t="shared" si="162"/>
        <v>0</v>
      </c>
      <c r="IT58" s="54">
        <f t="shared" si="162"/>
        <v>0</v>
      </c>
      <c r="IU58" s="54">
        <f t="shared" si="162"/>
        <v>0</v>
      </c>
      <c r="IV58" s="54">
        <f t="shared" si="162"/>
        <v>0</v>
      </c>
      <c r="IW58" s="54">
        <f t="shared" si="162"/>
        <v>0</v>
      </c>
      <c r="IX58" s="54">
        <f t="shared" si="162"/>
        <v>0</v>
      </c>
      <c r="IY58" s="54">
        <f t="shared" si="162"/>
        <v>0</v>
      </c>
      <c r="IZ58" s="54">
        <f t="shared" si="162"/>
        <v>0</v>
      </c>
      <c r="JA58" s="54">
        <f t="shared" si="162"/>
        <v>0</v>
      </c>
      <c r="JB58" s="54">
        <f t="shared" si="162"/>
        <v>0</v>
      </c>
      <c r="JC58" s="54">
        <f t="shared" si="162"/>
        <v>0</v>
      </c>
      <c r="JD58" s="54">
        <f t="shared" si="162"/>
        <v>0</v>
      </c>
      <c r="JE58" s="54">
        <f t="shared" si="162"/>
        <v>0</v>
      </c>
      <c r="JF58" s="54">
        <f t="shared" si="162"/>
        <v>0</v>
      </c>
      <c r="JG58" s="54">
        <f t="shared" si="162"/>
        <v>0</v>
      </c>
      <c r="JH58" s="54">
        <f t="shared" si="162"/>
        <v>0</v>
      </c>
      <c r="JI58" s="54">
        <f t="shared" si="162"/>
        <v>0</v>
      </c>
      <c r="JJ58" s="54">
        <f t="shared" si="162"/>
        <v>0</v>
      </c>
      <c r="JK58" s="54">
        <f t="shared" si="162"/>
        <v>0</v>
      </c>
      <c r="JL58" s="54">
        <f t="shared" si="162"/>
        <v>0</v>
      </c>
      <c r="JM58" s="54">
        <f t="shared" si="162"/>
        <v>0</v>
      </c>
      <c r="JN58" s="54">
        <f t="shared" si="162"/>
        <v>0</v>
      </c>
      <c r="JO58" s="54">
        <f t="shared" si="162"/>
        <v>0</v>
      </c>
      <c r="JP58" s="54">
        <f t="shared" si="162"/>
        <v>0</v>
      </c>
      <c r="JQ58" s="54">
        <f t="shared" si="162"/>
        <v>0</v>
      </c>
      <c r="JR58" s="54">
        <f t="shared" si="162"/>
        <v>0</v>
      </c>
      <c r="JS58" s="54">
        <f t="shared" si="162"/>
        <v>0</v>
      </c>
      <c r="JT58" s="54">
        <f t="shared" si="162"/>
        <v>0</v>
      </c>
      <c r="JU58" s="54">
        <f t="shared" si="162"/>
        <v>0</v>
      </c>
      <c r="JV58" s="54">
        <f t="shared" ref="JV58:JX58" si="163">MIN(JV57,MAX(EL138,0))*$F$48</f>
        <v>0</v>
      </c>
      <c r="JW58" s="54">
        <f t="shared" si="163"/>
        <v>0</v>
      </c>
      <c r="JX58" s="54">
        <f t="shared" si="163"/>
        <v>0</v>
      </c>
    </row>
    <row r="59" spans="1:284" s="7" customFormat="1" ht="5.0999999999999996" customHeight="1" x14ac:dyDescent="0.2">
      <c r="A59" s="406"/>
      <c r="B59" s="92"/>
      <c r="C59" s="120"/>
      <c r="D59" s="120"/>
      <c r="E59" s="120"/>
      <c r="F59" s="153"/>
      <c r="G59" s="389"/>
      <c r="H59" s="118"/>
      <c r="I59" s="118"/>
      <c r="EP59" s="24"/>
      <c r="EQ59" s="24"/>
      <c r="ER59" s="24"/>
      <c r="ES59" s="24"/>
      <c r="ET59" s="47"/>
      <c r="EU59" s="47"/>
      <c r="EV59" s="30"/>
      <c r="EW59" s="30"/>
      <c r="EX59" s="30"/>
      <c r="EY59" s="30"/>
      <c r="EZ59" s="30"/>
      <c r="FA59" s="30"/>
      <c r="FB59" s="30"/>
      <c r="FC59" s="30"/>
      <c r="FD59" s="30"/>
      <c r="FE59" s="30"/>
      <c r="FF59" s="30"/>
      <c r="FG59" s="30"/>
      <c r="FH59" s="30"/>
      <c r="FI59" s="30"/>
      <c r="FJ59" s="30"/>
      <c r="FK59" s="30"/>
      <c r="FL59" s="30"/>
      <c r="FM59" s="30"/>
      <c r="FN59" s="30"/>
      <c r="FO59" s="30"/>
      <c r="FP59" s="30"/>
      <c r="FQ59" s="30"/>
      <c r="FR59" s="30"/>
      <c r="FS59" s="30"/>
      <c r="FT59" s="30"/>
      <c r="FU59" s="30"/>
      <c r="FV59" s="30"/>
      <c r="FW59" s="30"/>
      <c r="FX59" s="30"/>
      <c r="FY59" s="30"/>
      <c r="FZ59" s="30"/>
      <c r="GA59" s="30"/>
      <c r="GB59" s="30"/>
      <c r="GC59" s="30"/>
      <c r="GD59" s="30"/>
      <c r="GE59" s="30"/>
      <c r="GF59" s="30"/>
      <c r="GG59" s="30"/>
      <c r="GH59" s="30"/>
      <c r="GI59" s="30"/>
      <c r="GJ59" s="30"/>
      <c r="GK59" s="30"/>
      <c r="GL59" s="30"/>
      <c r="GM59" s="30"/>
      <c r="GN59" s="30"/>
      <c r="GO59" s="30"/>
      <c r="GP59" s="30"/>
      <c r="GQ59" s="30"/>
      <c r="GR59" s="30"/>
      <c r="GS59" s="30"/>
      <c r="GT59" s="30"/>
      <c r="GU59" s="30"/>
      <c r="GV59" s="30"/>
      <c r="GW59" s="30"/>
      <c r="GX59" s="30"/>
      <c r="GY59" s="30"/>
      <c r="GZ59" s="30"/>
      <c r="HA59" s="30"/>
      <c r="HB59" s="30"/>
      <c r="HC59" s="30"/>
      <c r="HD59" s="30"/>
      <c r="HE59" s="30"/>
      <c r="HF59" s="30"/>
      <c r="HG59" s="30"/>
      <c r="HH59" s="30"/>
      <c r="HI59" s="30"/>
      <c r="HJ59" s="30"/>
      <c r="HK59" s="30"/>
      <c r="HL59" s="30"/>
      <c r="HM59" s="30"/>
      <c r="HN59" s="30"/>
      <c r="HO59" s="30"/>
      <c r="HP59" s="30"/>
      <c r="HQ59" s="30"/>
      <c r="HR59" s="30"/>
      <c r="HS59" s="30"/>
      <c r="HT59" s="30"/>
      <c r="HU59" s="30"/>
      <c r="HV59" s="30"/>
      <c r="HW59" s="30"/>
      <c r="HX59" s="30"/>
      <c r="HY59" s="30"/>
      <c r="HZ59" s="30"/>
      <c r="IA59" s="30"/>
      <c r="IB59" s="30"/>
      <c r="IC59" s="30"/>
      <c r="ID59" s="30"/>
      <c r="IE59" s="30"/>
      <c r="IF59" s="30"/>
      <c r="IG59" s="30"/>
      <c r="IH59" s="30"/>
      <c r="II59" s="30"/>
      <c r="IJ59" s="30"/>
      <c r="IK59" s="30"/>
      <c r="IL59" s="30"/>
      <c r="IM59" s="30"/>
      <c r="IN59" s="30"/>
      <c r="IO59" s="30"/>
      <c r="IP59" s="30"/>
      <c r="IQ59" s="30"/>
      <c r="IR59" s="30"/>
      <c r="IS59" s="30"/>
      <c r="IT59" s="30"/>
      <c r="IU59" s="30"/>
      <c r="IV59" s="30"/>
      <c r="IW59" s="30"/>
      <c r="IX59" s="30"/>
      <c r="IY59" s="30"/>
      <c r="IZ59" s="30"/>
      <c r="JA59" s="30"/>
      <c r="JB59" s="30"/>
      <c r="JC59" s="30"/>
      <c r="JD59" s="30"/>
      <c r="JE59" s="30"/>
      <c r="JF59" s="30"/>
      <c r="JG59" s="30"/>
      <c r="JH59" s="30"/>
      <c r="JI59" s="30"/>
      <c r="JJ59" s="30"/>
      <c r="JK59" s="30"/>
      <c r="JL59" s="30"/>
      <c r="JM59" s="30"/>
      <c r="JN59" s="30"/>
      <c r="JO59" s="30"/>
      <c r="JP59" s="30"/>
      <c r="JQ59" s="30"/>
      <c r="JR59" s="30"/>
      <c r="JS59" s="30"/>
      <c r="JT59" s="30"/>
      <c r="JU59" s="30"/>
      <c r="JV59" s="30"/>
      <c r="JW59" s="30"/>
      <c r="JX59" s="30"/>
    </row>
    <row r="60" spans="1:284" s="7" customFormat="1" x14ac:dyDescent="0.2">
      <c r="A60" s="406"/>
      <c r="B60" s="581" t="s">
        <v>603</v>
      </c>
      <c r="C60" s="102" t="s">
        <v>78</v>
      </c>
      <c r="D60" s="102" t="s">
        <v>66</v>
      </c>
      <c r="E60" s="102" t="s">
        <v>65</v>
      </c>
      <c r="F60" s="580" t="s">
        <v>64</v>
      </c>
      <c r="G60" s="395" t="s">
        <v>669</v>
      </c>
      <c r="H60" s="151" t="s">
        <v>38</v>
      </c>
      <c r="I60" s="102" t="s">
        <v>22</v>
      </c>
      <c r="EP60" s="24"/>
      <c r="EQ60" s="24"/>
      <c r="ER60" s="24"/>
      <c r="ES60" s="24"/>
      <c r="ET60" s="47"/>
      <c r="EU60" s="47"/>
      <c r="EV60" s="30"/>
      <c r="EW60" s="30"/>
      <c r="EX60" s="30"/>
      <c r="EY60" s="30"/>
      <c r="EZ60" s="30"/>
      <c r="FA60" s="30"/>
      <c r="FB60" s="30"/>
      <c r="FC60" s="30"/>
      <c r="FD60" s="30"/>
      <c r="FE60" s="30"/>
      <c r="FF60" s="30"/>
      <c r="FG60" s="30"/>
      <c r="FH60" s="30"/>
      <c r="FI60" s="30"/>
      <c r="FJ60" s="30"/>
      <c r="FK60" s="30"/>
      <c r="FL60" s="30"/>
      <c r="FM60" s="30"/>
      <c r="FN60" s="30"/>
      <c r="FO60" s="30"/>
      <c r="FP60" s="30"/>
      <c r="FQ60" s="30"/>
      <c r="FR60" s="30"/>
      <c r="FS60" s="30"/>
      <c r="FT60" s="30"/>
      <c r="FU60" s="30"/>
      <c r="FV60" s="30"/>
      <c r="FW60" s="30"/>
      <c r="FX60" s="30"/>
      <c r="FY60" s="30"/>
      <c r="FZ60" s="30"/>
      <c r="GA60" s="30"/>
      <c r="GB60" s="30"/>
      <c r="GC60" s="30"/>
      <c r="GD60" s="30"/>
      <c r="GE60" s="30"/>
      <c r="GF60" s="30"/>
      <c r="GG60" s="30"/>
      <c r="GH60" s="30"/>
      <c r="GI60" s="30"/>
      <c r="GJ60" s="30"/>
      <c r="GK60" s="30"/>
      <c r="GL60" s="30"/>
      <c r="GM60" s="30"/>
      <c r="GN60" s="30"/>
      <c r="GO60" s="30"/>
      <c r="GP60" s="30"/>
      <c r="GQ60" s="30"/>
      <c r="GR60" s="30"/>
      <c r="GS60" s="30"/>
      <c r="GT60" s="30"/>
      <c r="GU60" s="30"/>
      <c r="GV60" s="30"/>
      <c r="GW60" s="30"/>
      <c r="GX60" s="30"/>
      <c r="GY60" s="30"/>
      <c r="GZ60" s="30"/>
      <c r="HA60" s="30"/>
      <c r="HB60" s="30"/>
      <c r="HC60" s="30"/>
      <c r="HD60" s="30"/>
      <c r="HE60" s="30"/>
      <c r="HF60" s="30"/>
      <c r="HG60" s="30"/>
      <c r="HH60" s="30"/>
      <c r="HI60" s="30"/>
      <c r="HJ60" s="30"/>
      <c r="HK60" s="30"/>
      <c r="HL60" s="30"/>
      <c r="HM60" s="30"/>
      <c r="HN60" s="30"/>
      <c r="HO60" s="30"/>
      <c r="HP60" s="30"/>
      <c r="HQ60" s="30"/>
      <c r="HR60" s="30"/>
      <c r="HS60" s="30"/>
      <c r="HT60" s="30"/>
      <c r="HU60" s="30"/>
      <c r="HV60" s="30"/>
      <c r="HW60" s="30"/>
      <c r="HX60" s="30"/>
      <c r="HY60" s="30"/>
      <c r="HZ60" s="30"/>
      <c r="IA60" s="30"/>
      <c r="IB60" s="30"/>
      <c r="IC60" s="30"/>
      <c r="ID60" s="30"/>
      <c r="IE60" s="30"/>
      <c r="IF60" s="30"/>
      <c r="IG60" s="30"/>
      <c r="IH60" s="30"/>
      <c r="II60" s="30"/>
      <c r="IJ60" s="30"/>
      <c r="IK60" s="30"/>
      <c r="IL60" s="30"/>
      <c r="IM60" s="30"/>
      <c r="IN60" s="30"/>
      <c r="IO60" s="30"/>
      <c r="IP60" s="30"/>
      <c r="IQ60" s="30"/>
      <c r="IR60" s="30"/>
      <c r="IS60" s="30"/>
      <c r="IT60" s="30"/>
      <c r="IU60" s="30"/>
      <c r="IV60" s="30"/>
      <c r="IW60" s="30"/>
      <c r="IX60" s="30"/>
      <c r="IY60" s="30"/>
      <c r="IZ60" s="30"/>
      <c r="JA60" s="30"/>
      <c r="JB60" s="30"/>
      <c r="JC60" s="30"/>
      <c r="JD60" s="30"/>
      <c r="JE60" s="30"/>
      <c r="JF60" s="30"/>
      <c r="JG60" s="30"/>
      <c r="JH60" s="30"/>
      <c r="JI60" s="30"/>
      <c r="JJ60" s="30"/>
      <c r="JK60" s="30"/>
      <c r="JL60" s="30"/>
      <c r="JM60" s="30"/>
      <c r="JN60" s="30"/>
      <c r="JO60" s="30"/>
      <c r="JP60" s="30"/>
      <c r="JQ60" s="30"/>
      <c r="JR60" s="30"/>
      <c r="JS60" s="30"/>
      <c r="JT60" s="30"/>
      <c r="JU60" s="30"/>
      <c r="JV60" s="30"/>
      <c r="JW60" s="30"/>
      <c r="JX60" s="30"/>
    </row>
    <row r="61" spans="1:284" s="7" customFormat="1" x14ac:dyDescent="0.2">
      <c r="A61" s="406"/>
      <c r="B61" s="599" t="s">
        <v>667</v>
      </c>
      <c r="C61" s="149">
        <v>0.6</v>
      </c>
      <c r="D61" s="632" t="s">
        <v>730</v>
      </c>
      <c r="E61" s="130">
        <v>0.05</v>
      </c>
      <c r="F61" s="153">
        <f>(C61/Debt_LTC_Target)*Debt_LTC_Actual</f>
        <v>0.60000001727336982</v>
      </c>
      <c r="G61" s="389">
        <f>I61/Units_SF_M2</f>
        <v>137.76203254290621</v>
      </c>
      <c r="H61" s="123">
        <f>I61/Units</f>
        <v>117097.72766147027</v>
      </c>
      <c r="I61" s="123">
        <f>(Project_Cost_Total-Equity_Total)*(C61/Debt_LTC_Target)</f>
        <v>35129318.298441082</v>
      </c>
      <c r="K61" s="63" t="s">
        <v>667</v>
      </c>
      <c r="L61" s="475">
        <f t="shared" ref="L61:AQ61" si="164">Interest_Const_Loan</f>
        <v>0.05</v>
      </c>
      <c r="M61" s="475">
        <f t="shared" si="164"/>
        <v>0.05</v>
      </c>
      <c r="N61" s="475">
        <f t="shared" si="164"/>
        <v>0.05</v>
      </c>
      <c r="O61" s="475">
        <f t="shared" si="164"/>
        <v>0.05</v>
      </c>
      <c r="P61" s="475">
        <f t="shared" si="164"/>
        <v>0.05</v>
      </c>
      <c r="Q61" s="475">
        <f t="shared" si="164"/>
        <v>0.05</v>
      </c>
      <c r="R61" s="475">
        <f t="shared" si="164"/>
        <v>0.05</v>
      </c>
      <c r="S61" s="475">
        <f t="shared" si="164"/>
        <v>0.05</v>
      </c>
      <c r="T61" s="475">
        <f t="shared" si="164"/>
        <v>0.05</v>
      </c>
      <c r="U61" s="475">
        <f t="shared" si="164"/>
        <v>0.05</v>
      </c>
      <c r="V61" s="475">
        <f t="shared" si="164"/>
        <v>0.05</v>
      </c>
      <c r="W61" s="475">
        <f t="shared" si="164"/>
        <v>0.05</v>
      </c>
      <c r="X61" s="475">
        <f t="shared" si="164"/>
        <v>0.05</v>
      </c>
      <c r="Y61" s="475">
        <f t="shared" si="164"/>
        <v>0.05</v>
      </c>
      <c r="Z61" s="475">
        <f t="shared" si="164"/>
        <v>0.05</v>
      </c>
      <c r="AA61" s="475">
        <f t="shared" si="164"/>
        <v>0.05</v>
      </c>
      <c r="AB61" s="475">
        <f t="shared" si="164"/>
        <v>0.05</v>
      </c>
      <c r="AC61" s="475">
        <f t="shared" si="164"/>
        <v>0.05</v>
      </c>
      <c r="AD61" s="475">
        <f t="shared" si="164"/>
        <v>0.05</v>
      </c>
      <c r="AE61" s="475">
        <f t="shared" si="164"/>
        <v>0.05</v>
      </c>
      <c r="AF61" s="475">
        <f t="shared" si="164"/>
        <v>0.05</v>
      </c>
      <c r="AG61" s="475">
        <f t="shared" si="164"/>
        <v>0.05</v>
      </c>
      <c r="AH61" s="475">
        <f t="shared" si="164"/>
        <v>0.05</v>
      </c>
      <c r="AI61" s="475">
        <f t="shared" si="164"/>
        <v>0.05</v>
      </c>
      <c r="AJ61" s="475">
        <f t="shared" si="164"/>
        <v>0.05</v>
      </c>
      <c r="AK61" s="475">
        <f t="shared" si="164"/>
        <v>0.05</v>
      </c>
      <c r="AL61" s="475">
        <f t="shared" si="164"/>
        <v>0.05</v>
      </c>
      <c r="AM61" s="475">
        <f t="shared" si="164"/>
        <v>0.05</v>
      </c>
      <c r="AN61" s="475">
        <f t="shared" si="164"/>
        <v>0.05</v>
      </c>
      <c r="AO61" s="475">
        <f t="shared" si="164"/>
        <v>0.05</v>
      </c>
      <c r="AP61" s="475">
        <f t="shared" si="164"/>
        <v>0.05</v>
      </c>
      <c r="AQ61" s="475">
        <f t="shared" si="164"/>
        <v>0.05</v>
      </c>
      <c r="AR61" s="475">
        <f t="shared" ref="AR61:BW61" si="165">Interest_Const_Loan</f>
        <v>0.05</v>
      </c>
      <c r="AS61" s="475">
        <f t="shared" si="165"/>
        <v>0.05</v>
      </c>
      <c r="AT61" s="475">
        <f t="shared" si="165"/>
        <v>0.05</v>
      </c>
      <c r="AU61" s="475">
        <f t="shared" si="165"/>
        <v>0.05</v>
      </c>
      <c r="AV61" s="475">
        <f t="shared" si="165"/>
        <v>0.05</v>
      </c>
      <c r="AW61" s="475">
        <f t="shared" si="165"/>
        <v>0.05</v>
      </c>
      <c r="AX61" s="475">
        <f t="shared" si="165"/>
        <v>0.05</v>
      </c>
      <c r="AY61" s="475">
        <f t="shared" si="165"/>
        <v>0.05</v>
      </c>
      <c r="AZ61" s="475">
        <f t="shared" si="165"/>
        <v>0.05</v>
      </c>
      <c r="BA61" s="475">
        <f t="shared" si="165"/>
        <v>0.05</v>
      </c>
      <c r="BB61" s="475">
        <f t="shared" si="165"/>
        <v>0.05</v>
      </c>
      <c r="BC61" s="475">
        <f t="shared" si="165"/>
        <v>0.05</v>
      </c>
      <c r="BD61" s="475">
        <f t="shared" si="165"/>
        <v>0.05</v>
      </c>
      <c r="BE61" s="475">
        <f t="shared" si="165"/>
        <v>0.05</v>
      </c>
      <c r="BF61" s="475">
        <f t="shared" si="165"/>
        <v>0.05</v>
      </c>
      <c r="BG61" s="475">
        <f t="shared" si="165"/>
        <v>0.05</v>
      </c>
      <c r="BH61" s="475">
        <f t="shared" si="165"/>
        <v>0.05</v>
      </c>
      <c r="BI61" s="475">
        <f t="shared" si="165"/>
        <v>0.05</v>
      </c>
      <c r="BJ61" s="475">
        <f t="shared" si="165"/>
        <v>0.05</v>
      </c>
      <c r="BK61" s="475">
        <f t="shared" si="165"/>
        <v>0.05</v>
      </c>
      <c r="BL61" s="475">
        <f t="shared" si="165"/>
        <v>0.05</v>
      </c>
      <c r="BM61" s="475">
        <f t="shared" si="165"/>
        <v>0.05</v>
      </c>
      <c r="BN61" s="475">
        <f t="shared" si="165"/>
        <v>0.05</v>
      </c>
      <c r="BO61" s="475">
        <f t="shared" si="165"/>
        <v>0.05</v>
      </c>
      <c r="BP61" s="475">
        <f t="shared" si="165"/>
        <v>0.05</v>
      </c>
      <c r="BQ61" s="475">
        <f t="shared" si="165"/>
        <v>0.05</v>
      </c>
      <c r="BR61" s="475">
        <f t="shared" si="165"/>
        <v>0.05</v>
      </c>
      <c r="BS61" s="475">
        <f t="shared" si="165"/>
        <v>0.05</v>
      </c>
      <c r="BT61" s="475">
        <f t="shared" si="165"/>
        <v>0.05</v>
      </c>
      <c r="BU61" s="475">
        <f t="shared" si="165"/>
        <v>0.05</v>
      </c>
      <c r="BV61" s="475">
        <f t="shared" si="165"/>
        <v>0.05</v>
      </c>
      <c r="BW61" s="475">
        <f t="shared" si="165"/>
        <v>0.05</v>
      </c>
      <c r="BX61" s="475">
        <f t="shared" ref="BX61:DC61" si="166">Interest_Const_Loan</f>
        <v>0.05</v>
      </c>
      <c r="BY61" s="475">
        <f t="shared" si="166"/>
        <v>0.05</v>
      </c>
      <c r="BZ61" s="475">
        <f t="shared" si="166"/>
        <v>0.05</v>
      </c>
      <c r="CA61" s="475">
        <f t="shared" si="166"/>
        <v>0.05</v>
      </c>
      <c r="CB61" s="475">
        <f t="shared" si="166"/>
        <v>0.05</v>
      </c>
      <c r="CC61" s="475">
        <f t="shared" si="166"/>
        <v>0.05</v>
      </c>
      <c r="CD61" s="475">
        <f t="shared" si="166"/>
        <v>0.05</v>
      </c>
      <c r="CE61" s="475">
        <f t="shared" si="166"/>
        <v>0.05</v>
      </c>
      <c r="CF61" s="475">
        <f t="shared" si="166"/>
        <v>0.05</v>
      </c>
      <c r="CG61" s="475">
        <f t="shared" si="166"/>
        <v>0.05</v>
      </c>
      <c r="CH61" s="475">
        <f t="shared" si="166"/>
        <v>0.05</v>
      </c>
      <c r="CI61" s="475">
        <f t="shared" si="166"/>
        <v>0.05</v>
      </c>
      <c r="CJ61" s="475">
        <f t="shared" si="166"/>
        <v>0.05</v>
      </c>
      <c r="CK61" s="475">
        <f t="shared" si="166"/>
        <v>0.05</v>
      </c>
      <c r="CL61" s="475">
        <f t="shared" si="166"/>
        <v>0.05</v>
      </c>
      <c r="CM61" s="475">
        <f t="shared" si="166"/>
        <v>0.05</v>
      </c>
      <c r="CN61" s="475">
        <f t="shared" si="166"/>
        <v>0.05</v>
      </c>
      <c r="CO61" s="475">
        <f t="shared" si="166"/>
        <v>0.05</v>
      </c>
      <c r="CP61" s="475">
        <f t="shared" si="166"/>
        <v>0.05</v>
      </c>
      <c r="CQ61" s="475">
        <f t="shared" si="166"/>
        <v>0.05</v>
      </c>
      <c r="CR61" s="475">
        <f t="shared" si="166"/>
        <v>0.05</v>
      </c>
      <c r="CS61" s="475">
        <f t="shared" si="166"/>
        <v>0.05</v>
      </c>
      <c r="CT61" s="475">
        <f t="shared" si="166"/>
        <v>0.05</v>
      </c>
      <c r="CU61" s="475">
        <f t="shared" si="166"/>
        <v>0.05</v>
      </c>
      <c r="CV61" s="475">
        <f t="shared" si="166"/>
        <v>0.05</v>
      </c>
      <c r="CW61" s="475">
        <f t="shared" si="166"/>
        <v>0.05</v>
      </c>
      <c r="CX61" s="475">
        <f t="shared" si="166"/>
        <v>0.05</v>
      </c>
      <c r="CY61" s="475">
        <f t="shared" si="166"/>
        <v>0.05</v>
      </c>
      <c r="CZ61" s="475">
        <f t="shared" si="166"/>
        <v>0.05</v>
      </c>
      <c r="DA61" s="475">
        <f t="shared" si="166"/>
        <v>0.05</v>
      </c>
      <c r="DB61" s="475">
        <f t="shared" si="166"/>
        <v>0.05</v>
      </c>
      <c r="DC61" s="475">
        <f t="shared" si="166"/>
        <v>0.05</v>
      </c>
      <c r="DD61" s="475">
        <f t="shared" ref="DD61:EN61" si="167">Interest_Const_Loan</f>
        <v>0.05</v>
      </c>
      <c r="DE61" s="475">
        <f t="shared" si="167"/>
        <v>0.05</v>
      </c>
      <c r="DF61" s="475">
        <f t="shared" si="167"/>
        <v>0.05</v>
      </c>
      <c r="DG61" s="475">
        <f t="shared" si="167"/>
        <v>0.05</v>
      </c>
      <c r="DH61" s="475">
        <f t="shared" si="167"/>
        <v>0.05</v>
      </c>
      <c r="DI61" s="475">
        <f t="shared" si="167"/>
        <v>0.05</v>
      </c>
      <c r="DJ61" s="475">
        <f t="shared" si="167"/>
        <v>0.05</v>
      </c>
      <c r="DK61" s="475">
        <f t="shared" si="167"/>
        <v>0.05</v>
      </c>
      <c r="DL61" s="475">
        <f t="shared" si="167"/>
        <v>0.05</v>
      </c>
      <c r="DM61" s="475">
        <f t="shared" si="167"/>
        <v>0.05</v>
      </c>
      <c r="DN61" s="475">
        <f t="shared" si="167"/>
        <v>0.05</v>
      </c>
      <c r="DO61" s="475">
        <f t="shared" si="167"/>
        <v>0.05</v>
      </c>
      <c r="DP61" s="475">
        <f t="shared" si="167"/>
        <v>0.05</v>
      </c>
      <c r="DQ61" s="475">
        <f t="shared" si="167"/>
        <v>0.05</v>
      </c>
      <c r="DR61" s="475">
        <f t="shared" si="167"/>
        <v>0.05</v>
      </c>
      <c r="DS61" s="475">
        <f t="shared" si="167"/>
        <v>0.05</v>
      </c>
      <c r="DT61" s="475">
        <f t="shared" si="167"/>
        <v>0.05</v>
      </c>
      <c r="DU61" s="475">
        <f t="shared" si="167"/>
        <v>0.05</v>
      </c>
      <c r="DV61" s="475">
        <f t="shared" si="167"/>
        <v>0.05</v>
      </c>
      <c r="DW61" s="475">
        <f t="shared" si="167"/>
        <v>0.05</v>
      </c>
      <c r="DX61" s="475">
        <f t="shared" si="167"/>
        <v>0.05</v>
      </c>
      <c r="DY61" s="475">
        <f t="shared" si="167"/>
        <v>0.05</v>
      </c>
      <c r="DZ61" s="475">
        <f t="shared" si="167"/>
        <v>0.05</v>
      </c>
      <c r="EA61" s="475">
        <f t="shared" si="167"/>
        <v>0.05</v>
      </c>
      <c r="EB61" s="475">
        <f t="shared" si="167"/>
        <v>0.05</v>
      </c>
      <c r="EC61" s="475">
        <f t="shared" si="167"/>
        <v>0.05</v>
      </c>
      <c r="ED61" s="475">
        <f t="shared" si="167"/>
        <v>0.05</v>
      </c>
      <c r="EE61" s="475">
        <f t="shared" si="167"/>
        <v>0.05</v>
      </c>
      <c r="EF61" s="475">
        <f t="shared" si="167"/>
        <v>0.05</v>
      </c>
      <c r="EG61" s="475">
        <f t="shared" si="167"/>
        <v>0.05</v>
      </c>
      <c r="EH61" s="475">
        <f t="shared" si="167"/>
        <v>0.05</v>
      </c>
      <c r="EI61" s="475">
        <f t="shared" si="167"/>
        <v>0.05</v>
      </c>
      <c r="EJ61" s="475">
        <f t="shared" si="167"/>
        <v>0.05</v>
      </c>
      <c r="EK61" s="475">
        <f t="shared" si="167"/>
        <v>0.05</v>
      </c>
      <c r="EL61" s="475">
        <f t="shared" si="167"/>
        <v>0.05</v>
      </c>
      <c r="EM61" s="475">
        <f t="shared" si="167"/>
        <v>0.05</v>
      </c>
      <c r="EN61" s="475">
        <f t="shared" si="167"/>
        <v>0.05</v>
      </c>
      <c r="EP61" s="24"/>
      <c r="EQ61" s="24"/>
      <c r="ER61" s="24"/>
      <c r="ES61" s="24"/>
      <c r="ET61" s="47"/>
      <c r="EU61" s="47"/>
      <c r="EV61" s="30"/>
      <c r="EW61" s="30"/>
      <c r="EX61" s="30"/>
      <c r="EY61" s="30"/>
      <c r="EZ61" s="30"/>
      <c r="FA61" s="30"/>
      <c r="FB61" s="30"/>
      <c r="FC61" s="30"/>
      <c r="FD61" s="30"/>
      <c r="FE61" s="30"/>
      <c r="FF61" s="30"/>
      <c r="FG61" s="30"/>
      <c r="FH61" s="30"/>
      <c r="FI61" s="30"/>
      <c r="FJ61" s="30"/>
      <c r="FK61" s="30"/>
      <c r="FL61" s="30"/>
      <c r="FM61" s="30"/>
      <c r="FN61" s="30"/>
      <c r="FO61" s="30"/>
      <c r="FP61" s="30"/>
      <c r="FQ61" s="30"/>
      <c r="FR61" s="30"/>
      <c r="FS61" s="30"/>
      <c r="FT61" s="30"/>
      <c r="FU61" s="30"/>
      <c r="FV61" s="30"/>
      <c r="FW61" s="30"/>
      <c r="FX61" s="30"/>
      <c r="FY61" s="30"/>
      <c r="FZ61" s="30"/>
      <c r="GA61" s="30"/>
      <c r="GB61" s="30"/>
      <c r="GC61" s="30"/>
      <c r="GD61" s="30"/>
      <c r="GE61" s="30"/>
      <c r="GF61" s="30"/>
      <c r="GG61" s="30"/>
      <c r="GH61" s="30"/>
      <c r="GI61" s="30"/>
      <c r="GJ61" s="30"/>
      <c r="GK61" s="30"/>
      <c r="GL61" s="30"/>
      <c r="GM61" s="30"/>
      <c r="GN61" s="30"/>
      <c r="GO61" s="30"/>
      <c r="GP61" s="30"/>
      <c r="GQ61" s="30"/>
      <c r="GR61" s="30"/>
      <c r="GS61" s="30"/>
      <c r="GT61" s="30"/>
      <c r="GU61" s="30"/>
      <c r="GV61" s="30"/>
      <c r="GW61" s="30"/>
      <c r="GX61" s="30"/>
      <c r="GY61" s="30"/>
      <c r="GZ61" s="30"/>
      <c r="HA61" s="30"/>
      <c r="HB61" s="30"/>
      <c r="HC61" s="30"/>
      <c r="HD61" s="30"/>
      <c r="HE61" s="30"/>
      <c r="HF61" s="30"/>
      <c r="HG61" s="30"/>
      <c r="HH61" s="30"/>
      <c r="HI61" s="30"/>
      <c r="HJ61" s="30"/>
      <c r="HK61" s="30"/>
      <c r="HL61" s="30"/>
      <c r="HM61" s="30"/>
      <c r="HN61" s="30"/>
      <c r="HO61" s="30"/>
      <c r="HP61" s="30"/>
      <c r="HQ61" s="30"/>
      <c r="HR61" s="30"/>
      <c r="HS61" s="30"/>
      <c r="HT61" s="30"/>
      <c r="HU61" s="30"/>
      <c r="HV61" s="30"/>
      <c r="HW61" s="30"/>
      <c r="HX61" s="30"/>
      <c r="HY61" s="30"/>
      <c r="HZ61" s="30"/>
      <c r="IA61" s="30"/>
      <c r="IB61" s="30"/>
      <c r="IC61" s="30"/>
      <c r="ID61" s="30"/>
      <c r="IE61" s="30"/>
      <c r="IF61" s="30"/>
      <c r="IG61" s="30"/>
      <c r="IH61" s="30"/>
      <c r="II61" s="30"/>
      <c r="IJ61" s="30"/>
      <c r="IK61" s="30"/>
      <c r="IL61" s="30"/>
      <c r="IM61" s="30"/>
      <c r="IN61" s="30"/>
      <c r="IO61" s="30"/>
      <c r="IP61" s="30"/>
      <c r="IQ61" s="30"/>
      <c r="IR61" s="30"/>
      <c r="IS61" s="30"/>
      <c r="IT61" s="30"/>
      <c r="IU61" s="30"/>
      <c r="IV61" s="30"/>
      <c r="IW61" s="30"/>
      <c r="IX61" s="30"/>
      <c r="IY61" s="30"/>
      <c r="IZ61" s="30"/>
      <c r="JA61" s="30"/>
      <c r="JB61" s="30"/>
      <c r="JC61" s="30"/>
      <c r="JD61" s="30"/>
      <c r="JE61" s="30"/>
      <c r="JF61" s="30"/>
      <c r="JG61" s="30"/>
      <c r="JH61" s="30"/>
      <c r="JI61" s="30"/>
      <c r="JJ61" s="30"/>
      <c r="JK61" s="30"/>
      <c r="JL61" s="30"/>
      <c r="JM61" s="30"/>
      <c r="JN61" s="30"/>
      <c r="JO61" s="30"/>
      <c r="JP61" s="30"/>
      <c r="JQ61" s="30"/>
      <c r="JR61" s="30"/>
      <c r="JS61" s="30"/>
      <c r="JT61" s="30"/>
      <c r="JU61" s="30"/>
      <c r="JV61" s="30"/>
      <c r="JW61" s="30"/>
      <c r="JX61" s="30"/>
    </row>
    <row r="62" spans="1:284" s="7" customFormat="1" x14ac:dyDescent="0.2">
      <c r="A62" s="406"/>
      <c r="B62" s="599" t="s">
        <v>668</v>
      </c>
      <c r="C62" s="153">
        <f>Debt_LTC_Target-C61</f>
        <v>0.15000000000000002</v>
      </c>
      <c r="D62" s="631" t="s">
        <v>731</v>
      </c>
      <c r="E62" s="130">
        <v>0.08</v>
      </c>
      <c r="F62" s="153">
        <f>(C62/Debt_LTC_Target)*Debt_LTC_Actual</f>
        <v>0.15000000431834248</v>
      </c>
      <c r="G62" s="389">
        <f>I62/Units_SF_M2</f>
        <v>34.44050813572656</v>
      </c>
      <c r="H62" s="123">
        <f>I62/Units</f>
        <v>29274.431915367575</v>
      </c>
      <c r="I62" s="123">
        <f>(Project_Cost_Total-Equity_Total)*(C62/Debt_LTC_Target)</f>
        <v>8782329.5746102724</v>
      </c>
      <c r="K62" s="63" t="s">
        <v>668</v>
      </c>
      <c r="L62" s="475">
        <f t="shared" ref="L62:AQ62" si="168">Interest_Mezz_Loan</f>
        <v>0.08</v>
      </c>
      <c r="M62" s="475">
        <f t="shared" si="168"/>
        <v>0.08</v>
      </c>
      <c r="N62" s="475">
        <f t="shared" si="168"/>
        <v>0.08</v>
      </c>
      <c r="O62" s="475">
        <f t="shared" si="168"/>
        <v>0.08</v>
      </c>
      <c r="P62" s="475">
        <f t="shared" si="168"/>
        <v>0.08</v>
      </c>
      <c r="Q62" s="475">
        <f t="shared" si="168"/>
        <v>0.08</v>
      </c>
      <c r="R62" s="475">
        <f t="shared" si="168"/>
        <v>0.08</v>
      </c>
      <c r="S62" s="475">
        <f t="shared" si="168"/>
        <v>0.08</v>
      </c>
      <c r="T62" s="475">
        <f t="shared" si="168"/>
        <v>0.08</v>
      </c>
      <c r="U62" s="475">
        <f t="shared" si="168"/>
        <v>0.08</v>
      </c>
      <c r="V62" s="475">
        <f t="shared" si="168"/>
        <v>0.08</v>
      </c>
      <c r="W62" s="475">
        <f t="shared" si="168"/>
        <v>0.08</v>
      </c>
      <c r="X62" s="475">
        <f t="shared" si="168"/>
        <v>0.08</v>
      </c>
      <c r="Y62" s="475">
        <f t="shared" si="168"/>
        <v>0.08</v>
      </c>
      <c r="Z62" s="475">
        <f t="shared" si="168"/>
        <v>0.08</v>
      </c>
      <c r="AA62" s="475">
        <f t="shared" si="168"/>
        <v>0.08</v>
      </c>
      <c r="AB62" s="475">
        <f t="shared" si="168"/>
        <v>0.08</v>
      </c>
      <c r="AC62" s="475">
        <f t="shared" si="168"/>
        <v>0.08</v>
      </c>
      <c r="AD62" s="475">
        <f t="shared" si="168"/>
        <v>0.08</v>
      </c>
      <c r="AE62" s="475">
        <f t="shared" si="168"/>
        <v>0.08</v>
      </c>
      <c r="AF62" s="475">
        <f t="shared" si="168"/>
        <v>0.08</v>
      </c>
      <c r="AG62" s="475">
        <f t="shared" si="168"/>
        <v>0.08</v>
      </c>
      <c r="AH62" s="475">
        <f t="shared" si="168"/>
        <v>0.08</v>
      </c>
      <c r="AI62" s="475">
        <f t="shared" si="168"/>
        <v>0.08</v>
      </c>
      <c r="AJ62" s="475">
        <f t="shared" si="168"/>
        <v>0.08</v>
      </c>
      <c r="AK62" s="475">
        <f t="shared" si="168"/>
        <v>0.08</v>
      </c>
      <c r="AL62" s="475">
        <f t="shared" si="168"/>
        <v>0.08</v>
      </c>
      <c r="AM62" s="475">
        <f t="shared" si="168"/>
        <v>0.08</v>
      </c>
      <c r="AN62" s="475">
        <f t="shared" si="168"/>
        <v>0.08</v>
      </c>
      <c r="AO62" s="475">
        <f t="shared" si="168"/>
        <v>0.08</v>
      </c>
      <c r="AP62" s="475">
        <f t="shared" si="168"/>
        <v>0.08</v>
      </c>
      <c r="AQ62" s="475">
        <f t="shared" si="168"/>
        <v>0.08</v>
      </c>
      <c r="AR62" s="475">
        <f t="shared" ref="AR62:BW62" si="169">Interest_Mezz_Loan</f>
        <v>0.08</v>
      </c>
      <c r="AS62" s="475">
        <f t="shared" si="169"/>
        <v>0.08</v>
      </c>
      <c r="AT62" s="475">
        <f t="shared" si="169"/>
        <v>0.08</v>
      </c>
      <c r="AU62" s="475">
        <f t="shared" si="169"/>
        <v>0.08</v>
      </c>
      <c r="AV62" s="475">
        <f t="shared" si="169"/>
        <v>0.08</v>
      </c>
      <c r="AW62" s="475">
        <f t="shared" si="169"/>
        <v>0.08</v>
      </c>
      <c r="AX62" s="475">
        <f t="shared" si="169"/>
        <v>0.08</v>
      </c>
      <c r="AY62" s="475">
        <f t="shared" si="169"/>
        <v>0.08</v>
      </c>
      <c r="AZ62" s="475">
        <f t="shared" si="169"/>
        <v>0.08</v>
      </c>
      <c r="BA62" s="475">
        <f t="shared" si="169"/>
        <v>0.08</v>
      </c>
      <c r="BB62" s="475">
        <f t="shared" si="169"/>
        <v>0.08</v>
      </c>
      <c r="BC62" s="475">
        <f t="shared" si="169"/>
        <v>0.08</v>
      </c>
      <c r="BD62" s="475">
        <f t="shared" si="169"/>
        <v>0.08</v>
      </c>
      <c r="BE62" s="475">
        <f t="shared" si="169"/>
        <v>0.08</v>
      </c>
      <c r="BF62" s="475">
        <f t="shared" si="169"/>
        <v>0.08</v>
      </c>
      <c r="BG62" s="475">
        <f t="shared" si="169"/>
        <v>0.08</v>
      </c>
      <c r="BH62" s="475">
        <f t="shared" si="169"/>
        <v>0.08</v>
      </c>
      <c r="BI62" s="475">
        <f t="shared" si="169"/>
        <v>0.08</v>
      </c>
      <c r="BJ62" s="475">
        <f t="shared" si="169"/>
        <v>0.08</v>
      </c>
      <c r="BK62" s="475">
        <f t="shared" si="169"/>
        <v>0.08</v>
      </c>
      <c r="BL62" s="475">
        <f t="shared" si="169"/>
        <v>0.08</v>
      </c>
      <c r="BM62" s="475">
        <f t="shared" si="169"/>
        <v>0.08</v>
      </c>
      <c r="BN62" s="475">
        <f t="shared" si="169"/>
        <v>0.08</v>
      </c>
      <c r="BO62" s="475">
        <f t="shared" si="169"/>
        <v>0.08</v>
      </c>
      <c r="BP62" s="475">
        <f t="shared" si="169"/>
        <v>0.08</v>
      </c>
      <c r="BQ62" s="475">
        <f t="shared" si="169"/>
        <v>0.08</v>
      </c>
      <c r="BR62" s="475">
        <f t="shared" si="169"/>
        <v>0.08</v>
      </c>
      <c r="BS62" s="475">
        <f t="shared" si="169"/>
        <v>0.08</v>
      </c>
      <c r="BT62" s="475">
        <f t="shared" si="169"/>
        <v>0.08</v>
      </c>
      <c r="BU62" s="475">
        <f t="shared" si="169"/>
        <v>0.08</v>
      </c>
      <c r="BV62" s="475">
        <f t="shared" si="169"/>
        <v>0.08</v>
      </c>
      <c r="BW62" s="475">
        <f t="shared" si="169"/>
        <v>0.08</v>
      </c>
      <c r="BX62" s="475">
        <f t="shared" ref="BX62:DC62" si="170">Interest_Mezz_Loan</f>
        <v>0.08</v>
      </c>
      <c r="BY62" s="475">
        <f t="shared" si="170"/>
        <v>0.08</v>
      </c>
      <c r="BZ62" s="475">
        <f t="shared" si="170"/>
        <v>0.08</v>
      </c>
      <c r="CA62" s="475">
        <f t="shared" si="170"/>
        <v>0.08</v>
      </c>
      <c r="CB62" s="475">
        <f t="shared" si="170"/>
        <v>0.08</v>
      </c>
      <c r="CC62" s="475">
        <f t="shared" si="170"/>
        <v>0.08</v>
      </c>
      <c r="CD62" s="475">
        <f t="shared" si="170"/>
        <v>0.08</v>
      </c>
      <c r="CE62" s="475">
        <f t="shared" si="170"/>
        <v>0.08</v>
      </c>
      <c r="CF62" s="475">
        <f t="shared" si="170"/>
        <v>0.08</v>
      </c>
      <c r="CG62" s="475">
        <f t="shared" si="170"/>
        <v>0.08</v>
      </c>
      <c r="CH62" s="475">
        <f t="shared" si="170"/>
        <v>0.08</v>
      </c>
      <c r="CI62" s="475">
        <f t="shared" si="170"/>
        <v>0.08</v>
      </c>
      <c r="CJ62" s="475">
        <f t="shared" si="170"/>
        <v>0.08</v>
      </c>
      <c r="CK62" s="475">
        <f t="shared" si="170"/>
        <v>0.08</v>
      </c>
      <c r="CL62" s="475">
        <f t="shared" si="170"/>
        <v>0.08</v>
      </c>
      <c r="CM62" s="475">
        <f t="shared" si="170"/>
        <v>0.08</v>
      </c>
      <c r="CN62" s="475">
        <f t="shared" si="170"/>
        <v>0.08</v>
      </c>
      <c r="CO62" s="475">
        <f t="shared" si="170"/>
        <v>0.08</v>
      </c>
      <c r="CP62" s="475">
        <f t="shared" si="170"/>
        <v>0.08</v>
      </c>
      <c r="CQ62" s="475">
        <f t="shared" si="170"/>
        <v>0.08</v>
      </c>
      <c r="CR62" s="475">
        <f t="shared" si="170"/>
        <v>0.08</v>
      </c>
      <c r="CS62" s="475">
        <f t="shared" si="170"/>
        <v>0.08</v>
      </c>
      <c r="CT62" s="475">
        <f t="shared" si="170"/>
        <v>0.08</v>
      </c>
      <c r="CU62" s="475">
        <f t="shared" si="170"/>
        <v>0.08</v>
      </c>
      <c r="CV62" s="475">
        <f t="shared" si="170"/>
        <v>0.08</v>
      </c>
      <c r="CW62" s="475">
        <f t="shared" si="170"/>
        <v>0.08</v>
      </c>
      <c r="CX62" s="475">
        <f t="shared" si="170"/>
        <v>0.08</v>
      </c>
      <c r="CY62" s="475">
        <f t="shared" si="170"/>
        <v>0.08</v>
      </c>
      <c r="CZ62" s="475">
        <f t="shared" si="170"/>
        <v>0.08</v>
      </c>
      <c r="DA62" s="475">
        <f t="shared" si="170"/>
        <v>0.08</v>
      </c>
      <c r="DB62" s="475">
        <f t="shared" si="170"/>
        <v>0.08</v>
      </c>
      <c r="DC62" s="475">
        <f t="shared" si="170"/>
        <v>0.08</v>
      </c>
      <c r="DD62" s="475">
        <f t="shared" ref="DD62:EN62" si="171">Interest_Mezz_Loan</f>
        <v>0.08</v>
      </c>
      <c r="DE62" s="475">
        <f t="shared" si="171"/>
        <v>0.08</v>
      </c>
      <c r="DF62" s="475">
        <f t="shared" si="171"/>
        <v>0.08</v>
      </c>
      <c r="DG62" s="475">
        <f t="shared" si="171"/>
        <v>0.08</v>
      </c>
      <c r="DH62" s="475">
        <f t="shared" si="171"/>
        <v>0.08</v>
      </c>
      <c r="DI62" s="475">
        <f t="shared" si="171"/>
        <v>0.08</v>
      </c>
      <c r="DJ62" s="475">
        <f t="shared" si="171"/>
        <v>0.08</v>
      </c>
      <c r="DK62" s="475">
        <f t="shared" si="171"/>
        <v>0.08</v>
      </c>
      <c r="DL62" s="475">
        <f t="shared" si="171"/>
        <v>0.08</v>
      </c>
      <c r="DM62" s="475">
        <f t="shared" si="171"/>
        <v>0.08</v>
      </c>
      <c r="DN62" s="475">
        <f t="shared" si="171"/>
        <v>0.08</v>
      </c>
      <c r="DO62" s="475">
        <f t="shared" si="171"/>
        <v>0.08</v>
      </c>
      <c r="DP62" s="475">
        <f t="shared" si="171"/>
        <v>0.08</v>
      </c>
      <c r="DQ62" s="475">
        <f t="shared" si="171"/>
        <v>0.08</v>
      </c>
      <c r="DR62" s="475">
        <f t="shared" si="171"/>
        <v>0.08</v>
      </c>
      <c r="DS62" s="475">
        <f t="shared" si="171"/>
        <v>0.08</v>
      </c>
      <c r="DT62" s="475">
        <f t="shared" si="171"/>
        <v>0.08</v>
      </c>
      <c r="DU62" s="475">
        <f t="shared" si="171"/>
        <v>0.08</v>
      </c>
      <c r="DV62" s="475">
        <f t="shared" si="171"/>
        <v>0.08</v>
      </c>
      <c r="DW62" s="475">
        <f t="shared" si="171"/>
        <v>0.08</v>
      </c>
      <c r="DX62" s="475">
        <f t="shared" si="171"/>
        <v>0.08</v>
      </c>
      <c r="DY62" s="475">
        <f t="shared" si="171"/>
        <v>0.08</v>
      </c>
      <c r="DZ62" s="475">
        <f t="shared" si="171"/>
        <v>0.08</v>
      </c>
      <c r="EA62" s="475">
        <f t="shared" si="171"/>
        <v>0.08</v>
      </c>
      <c r="EB62" s="475">
        <f t="shared" si="171"/>
        <v>0.08</v>
      </c>
      <c r="EC62" s="475">
        <f t="shared" si="171"/>
        <v>0.08</v>
      </c>
      <c r="ED62" s="475">
        <f t="shared" si="171"/>
        <v>0.08</v>
      </c>
      <c r="EE62" s="475">
        <f t="shared" si="171"/>
        <v>0.08</v>
      </c>
      <c r="EF62" s="475">
        <f t="shared" si="171"/>
        <v>0.08</v>
      </c>
      <c r="EG62" s="475">
        <f t="shared" si="171"/>
        <v>0.08</v>
      </c>
      <c r="EH62" s="475">
        <f t="shared" si="171"/>
        <v>0.08</v>
      </c>
      <c r="EI62" s="475">
        <f t="shared" si="171"/>
        <v>0.08</v>
      </c>
      <c r="EJ62" s="475">
        <f t="shared" si="171"/>
        <v>0.08</v>
      </c>
      <c r="EK62" s="475">
        <f t="shared" si="171"/>
        <v>0.08</v>
      </c>
      <c r="EL62" s="475">
        <f t="shared" si="171"/>
        <v>0.08</v>
      </c>
      <c r="EM62" s="475">
        <f t="shared" si="171"/>
        <v>0.08</v>
      </c>
      <c r="EN62" s="475">
        <f t="shared" si="171"/>
        <v>0.08</v>
      </c>
      <c r="EP62" s="24"/>
      <c r="EQ62" s="24"/>
      <c r="ER62" s="24"/>
      <c r="ES62" s="24"/>
      <c r="ET62" s="33" t="s">
        <v>671</v>
      </c>
      <c r="EU62" s="47"/>
      <c r="EV62" s="476">
        <f>IFERROR((EV63*EV75+EV64*EV76)/SUM(EV75:EV76),EV63)</f>
        <v>0.05</v>
      </c>
      <c r="EW62" s="476">
        <f t="shared" ref="EW62:HH62" si="172">IFERROR((EW63*EW75+EW64*EW76)/SUM(EW75:EW76),EW63)</f>
        <v>0.05</v>
      </c>
      <c r="EX62" s="476">
        <f t="shared" si="172"/>
        <v>0.05</v>
      </c>
      <c r="EY62" s="476">
        <f t="shared" si="172"/>
        <v>0.05</v>
      </c>
      <c r="EZ62" s="476">
        <f t="shared" si="172"/>
        <v>0.05</v>
      </c>
      <c r="FA62" s="476">
        <f t="shared" si="172"/>
        <v>0.05</v>
      </c>
      <c r="FB62" s="476">
        <f t="shared" si="172"/>
        <v>0.05</v>
      </c>
      <c r="FC62" s="476">
        <f t="shared" si="172"/>
        <v>4.9999999999999996E-2</v>
      </c>
      <c r="FD62" s="476">
        <f t="shared" si="172"/>
        <v>0.05</v>
      </c>
      <c r="FE62" s="476">
        <f t="shared" si="172"/>
        <v>0.05</v>
      </c>
      <c r="FF62" s="476">
        <f t="shared" si="172"/>
        <v>0.05</v>
      </c>
      <c r="FG62" s="476">
        <f t="shared" si="172"/>
        <v>0.05</v>
      </c>
      <c r="FH62" s="476">
        <f t="shared" si="172"/>
        <v>0.05</v>
      </c>
      <c r="FI62" s="476">
        <f t="shared" si="172"/>
        <v>5.2060265385211572E-2</v>
      </c>
      <c r="FJ62" s="476">
        <f t="shared" si="172"/>
        <v>5.3796905416207422E-2</v>
      </c>
      <c r="FK62" s="476">
        <f t="shared" si="172"/>
        <v>5.4792644458314513E-2</v>
      </c>
      <c r="FL62" s="476">
        <f t="shared" si="172"/>
        <v>5.5374965003614433E-2</v>
      </c>
      <c r="FM62" s="476">
        <f t="shared" si="172"/>
        <v>5.5740105013759401E-2</v>
      </c>
      <c r="FN62" s="476">
        <f t="shared" si="172"/>
        <v>5.6000000000000008E-2</v>
      </c>
      <c r="FO62" s="476">
        <f t="shared" si="172"/>
        <v>5.6000000000000008E-2</v>
      </c>
      <c r="FP62" s="476">
        <f t="shared" si="172"/>
        <v>5.6000000000000008E-2</v>
      </c>
      <c r="FQ62" s="476">
        <f t="shared" si="172"/>
        <v>5.6000000000000008E-2</v>
      </c>
      <c r="FR62" s="476">
        <f t="shared" si="172"/>
        <v>5.6000000000000008E-2</v>
      </c>
      <c r="FS62" s="476">
        <f t="shared" si="172"/>
        <v>5.6000000000000008E-2</v>
      </c>
      <c r="FT62" s="476">
        <f t="shared" si="172"/>
        <v>5.6000000000000008E-2</v>
      </c>
      <c r="FU62" s="476">
        <f t="shared" si="172"/>
        <v>5.6000000000000008E-2</v>
      </c>
      <c r="FV62" s="476">
        <f t="shared" si="172"/>
        <v>5.6000000000000008E-2</v>
      </c>
      <c r="FW62" s="476">
        <f t="shared" si="172"/>
        <v>5.6000000000000008E-2</v>
      </c>
      <c r="FX62" s="476">
        <f t="shared" si="172"/>
        <v>5.6000000000000008E-2</v>
      </c>
      <c r="FY62" s="476">
        <f t="shared" si="172"/>
        <v>5.6000000000000008E-2</v>
      </c>
      <c r="FZ62" s="476">
        <f t="shared" si="172"/>
        <v>5.6000000000000008E-2</v>
      </c>
      <c r="GA62" s="476">
        <f t="shared" si="172"/>
        <v>5.6000000000000008E-2</v>
      </c>
      <c r="GB62" s="476">
        <f t="shared" si="172"/>
        <v>5.6000000000000008E-2</v>
      </c>
      <c r="GC62" s="476">
        <f t="shared" si="172"/>
        <v>5.6000000000000008E-2</v>
      </c>
      <c r="GD62" s="476">
        <f t="shared" si="172"/>
        <v>5.6000000000000008E-2</v>
      </c>
      <c r="GE62" s="476">
        <f t="shared" si="172"/>
        <v>5.6000000000000008E-2</v>
      </c>
      <c r="GF62" s="476">
        <f t="shared" si="172"/>
        <v>5.6000000000000008E-2</v>
      </c>
      <c r="GG62" s="476">
        <f t="shared" si="172"/>
        <v>5.6000000000000008E-2</v>
      </c>
      <c r="GH62" s="476">
        <f t="shared" si="172"/>
        <v>5.6000000000000008E-2</v>
      </c>
      <c r="GI62" s="476">
        <f t="shared" si="172"/>
        <v>5.6000000000000008E-2</v>
      </c>
      <c r="GJ62" s="476">
        <f t="shared" si="172"/>
        <v>5.6000000000000008E-2</v>
      </c>
      <c r="GK62" s="476">
        <f t="shared" si="172"/>
        <v>5.6000000000000008E-2</v>
      </c>
      <c r="GL62" s="476">
        <f t="shared" si="172"/>
        <v>5.6000000000000008E-2</v>
      </c>
      <c r="GM62" s="476">
        <f t="shared" si="172"/>
        <v>5.6000000000000008E-2</v>
      </c>
      <c r="GN62" s="476">
        <f t="shared" si="172"/>
        <v>5.6000000000000008E-2</v>
      </c>
      <c r="GO62" s="476">
        <f t="shared" si="172"/>
        <v>5.6000000000000008E-2</v>
      </c>
      <c r="GP62" s="476">
        <f t="shared" si="172"/>
        <v>0.05</v>
      </c>
      <c r="GQ62" s="476">
        <f t="shared" si="172"/>
        <v>0.05</v>
      </c>
      <c r="GR62" s="476">
        <f t="shared" si="172"/>
        <v>0.05</v>
      </c>
      <c r="GS62" s="476">
        <f t="shared" si="172"/>
        <v>0.05</v>
      </c>
      <c r="GT62" s="476">
        <f t="shared" si="172"/>
        <v>0.05</v>
      </c>
      <c r="GU62" s="476">
        <f t="shared" si="172"/>
        <v>0.05</v>
      </c>
      <c r="GV62" s="476">
        <f t="shared" si="172"/>
        <v>0.05</v>
      </c>
      <c r="GW62" s="476">
        <f t="shared" si="172"/>
        <v>0.05</v>
      </c>
      <c r="GX62" s="476">
        <f t="shared" si="172"/>
        <v>0.05</v>
      </c>
      <c r="GY62" s="476">
        <f t="shared" si="172"/>
        <v>0.05</v>
      </c>
      <c r="GZ62" s="476">
        <f t="shared" si="172"/>
        <v>0.05</v>
      </c>
      <c r="HA62" s="476">
        <f t="shared" si="172"/>
        <v>0.05</v>
      </c>
      <c r="HB62" s="476">
        <f t="shared" si="172"/>
        <v>0.05</v>
      </c>
      <c r="HC62" s="476">
        <f t="shared" si="172"/>
        <v>0.05</v>
      </c>
      <c r="HD62" s="476">
        <f t="shared" si="172"/>
        <v>0.05</v>
      </c>
      <c r="HE62" s="476">
        <f t="shared" si="172"/>
        <v>0.05</v>
      </c>
      <c r="HF62" s="476">
        <f t="shared" si="172"/>
        <v>0.05</v>
      </c>
      <c r="HG62" s="476">
        <f t="shared" si="172"/>
        <v>0.05</v>
      </c>
      <c r="HH62" s="476">
        <f t="shared" si="172"/>
        <v>0.05</v>
      </c>
      <c r="HI62" s="476">
        <f t="shared" ref="HI62:JT62" si="173">IFERROR((HI63*HI75+HI64*HI76)/SUM(HI75:HI76),HI63)</f>
        <v>0.05</v>
      </c>
      <c r="HJ62" s="476">
        <f t="shared" si="173"/>
        <v>0.05</v>
      </c>
      <c r="HK62" s="476">
        <f t="shared" si="173"/>
        <v>0.05</v>
      </c>
      <c r="HL62" s="476">
        <f t="shared" si="173"/>
        <v>0.05</v>
      </c>
      <c r="HM62" s="476">
        <f t="shared" si="173"/>
        <v>0.05</v>
      </c>
      <c r="HN62" s="476">
        <f t="shared" si="173"/>
        <v>0.05</v>
      </c>
      <c r="HO62" s="476">
        <f t="shared" si="173"/>
        <v>0.05</v>
      </c>
      <c r="HP62" s="476">
        <f t="shared" si="173"/>
        <v>0.05</v>
      </c>
      <c r="HQ62" s="476">
        <f t="shared" si="173"/>
        <v>0.05</v>
      </c>
      <c r="HR62" s="476">
        <f t="shared" si="173"/>
        <v>0.05</v>
      </c>
      <c r="HS62" s="476">
        <f t="shared" si="173"/>
        <v>0.05</v>
      </c>
      <c r="HT62" s="476">
        <f t="shared" si="173"/>
        <v>0.05</v>
      </c>
      <c r="HU62" s="476">
        <f t="shared" si="173"/>
        <v>0.05</v>
      </c>
      <c r="HV62" s="476">
        <f t="shared" si="173"/>
        <v>0.05</v>
      </c>
      <c r="HW62" s="476">
        <f t="shared" si="173"/>
        <v>0.05</v>
      </c>
      <c r="HX62" s="476">
        <f t="shared" si="173"/>
        <v>0.05</v>
      </c>
      <c r="HY62" s="476">
        <f t="shared" si="173"/>
        <v>0.05</v>
      </c>
      <c r="HZ62" s="476">
        <f t="shared" si="173"/>
        <v>0.05</v>
      </c>
      <c r="IA62" s="476">
        <f t="shared" si="173"/>
        <v>0.05</v>
      </c>
      <c r="IB62" s="476">
        <f t="shared" si="173"/>
        <v>0.05</v>
      </c>
      <c r="IC62" s="476">
        <f t="shared" si="173"/>
        <v>0.05</v>
      </c>
      <c r="ID62" s="476">
        <f t="shared" si="173"/>
        <v>0.05</v>
      </c>
      <c r="IE62" s="476">
        <f t="shared" si="173"/>
        <v>0.05</v>
      </c>
      <c r="IF62" s="476">
        <f t="shared" si="173"/>
        <v>0.05</v>
      </c>
      <c r="IG62" s="476">
        <f t="shared" si="173"/>
        <v>0.05</v>
      </c>
      <c r="IH62" s="476">
        <f t="shared" si="173"/>
        <v>0.05</v>
      </c>
      <c r="II62" s="476">
        <f t="shared" si="173"/>
        <v>0.05</v>
      </c>
      <c r="IJ62" s="476">
        <f t="shared" si="173"/>
        <v>0.05</v>
      </c>
      <c r="IK62" s="476">
        <f t="shared" si="173"/>
        <v>0.05</v>
      </c>
      <c r="IL62" s="476">
        <f t="shared" si="173"/>
        <v>0.05</v>
      </c>
      <c r="IM62" s="476">
        <f t="shared" si="173"/>
        <v>0.05</v>
      </c>
      <c r="IN62" s="476">
        <f t="shared" si="173"/>
        <v>0.05</v>
      </c>
      <c r="IO62" s="476">
        <f t="shared" si="173"/>
        <v>0.05</v>
      </c>
      <c r="IP62" s="476">
        <f t="shared" si="173"/>
        <v>0.05</v>
      </c>
      <c r="IQ62" s="476">
        <f t="shared" si="173"/>
        <v>0.05</v>
      </c>
      <c r="IR62" s="476">
        <f t="shared" si="173"/>
        <v>0.05</v>
      </c>
      <c r="IS62" s="476">
        <f t="shared" si="173"/>
        <v>0.05</v>
      </c>
      <c r="IT62" s="476">
        <f t="shared" si="173"/>
        <v>0.05</v>
      </c>
      <c r="IU62" s="476">
        <f t="shared" si="173"/>
        <v>0.05</v>
      </c>
      <c r="IV62" s="476">
        <f t="shared" si="173"/>
        <v>0.05</v>
      </c>
      <c r="IW62" s="476">
        <f t="shared" si="173"/>
        <v>0.05</v>
      </c>
      <c r="IX62" s="476">
        <f t="shared" si="173"/>
        <v>0.05</v>
      </c>
      <c r="IY62" s="476">
        <f t="shared" si="173"/>
        <v>0.05</v>
      </c>
      <c r="IZ62" s="476">
        <f t="shared" si="173"/>
        <v>0.05</v>
      </c>
      <c r="JA62" s="476">
        <f t="shared" si="173"/>
        <v>0.05</v>
      </c>
      <c r="JB62" s="476">
        <f t="shared" si="173"/>
        <v>0.05</v>
      </c>
      <c r="JC62" s="476">
        <f t="shared" si="173"/>
        <v>0.05</v>
      </c>
      <c r="JD62" s="476">
        <f t="shared" si="173"/>
        <v>0.05</v>
      </c>
      <c r="JE62" s="476">
        <f t="shared" si="173"/>
        <v>0.05</v>
      </c>
      <c r="JF62" s="476">
        <f t="shared" si="173"/>
        <v>0.05</v>
      </c>
      <c r="JG62" s="476">
        <f t="shared" si="173"/>
        <v>0.05</v>
      </c>
      <c r="JH62" s="476">
        <f t="shared" si="173"/>
        <v>0.05</v>
      </c>
      <c r="JI62" s="476">
        <f t="shared" si="173"/>
        <v>0.05</v>
      </c>
      <c r="JJ62" s="476">
        <f t="shared" si="173"/>
        <v>0.05</v>
      </c>
      <c r="JK62" s="476">
        <f t="shared" si="173"/>
        <v>0.05</v>
      </c>
      <c r="JL62" s="476">
        <f t="shared" si="173"/>
        <v>0.05</v>
      </c>
      <c r="JM62" s="476">
        <f t="shared" si="173"/>
        <v>0.05</v>
      </c>
      <c r="JN62" s="476">
        <f t="shared" si="173"/>
        <v>0.05</v>
      </c>
      <c r="JO62" s="476">
        <f t="shared" si="173"/>
        <v>0.05</v>
      </c>
      <c r="JP62" s="476">
        <f t="shared" si="173"/>
        <v>0.05</v>
      </c>
      <c r="JQ62" s="476">
        <f t="shared" si="173"/>
        <v>0.05</v>
      </c>
      <c r="JR62" s="476">
        <f t="shared" si="173"/>
        <v>0.05</v>
      </c>
      <c r="JS62" s="476">
        <f t="shared" si="173"/>
        <v>0.05</v>
      </c>
      <c r="JT62" s="476">
        <f t="shared" si="173"/>
        <v>0.05</v>
      </c>
      <c r="JU62" s="476">
        <f t="shared" ref="JU62:JX62" si="174">IFERROR((JU63*JU75+JU64*JU76)/SUM(JU75:JU76),JU63)</f>
        <v>0.05</v>
      </c>
      <c r="JV62" s="476">
        <f t="shared" si="174"/>
        <v>0.05</v>
      </c>
      <c r="JW62" s="476">
        <f t="shared" si="174"/>
        <v>0.05</v>
      </c>
      <c r="JX62" s="476">
        <f t="shared" si="174"/>
        <v>0.05</v>
      </c>
    </row>
    <row r="63" spans="1:284" s="7" customFormat="1" x14ac:dyDescent="0.2">
      <c r="A63" s="406">
        <v>1</v>
      </c>
      <c r="B63" s="92"/>
      <c r="C63" s="120"/>
      <c r="D63" s="196" t="s">
        <v>548</v>
      </c>
      <c r="E63" s="82" t="s">
        <v>549</v>
      </c>
      <c r="F63" s="153"/>
      <c r="G63" s="389"/>
      <c r="H63" s="118"/>
      <c r="I63" s="118"/>
      <c r="EP63" s="24"/>
      <c r="EQ63" s="24"/>
      <c r="ER63" s="24"/>
      <c r="ES63" s="24"/>
      <c r="ET63" s="33" t="s">
        <v>550</v>
      </c>
      <c r="EU63" s="47"/>
      <c r="EV63" s="476">
        <f t="shared" ref="EV63:GA63" si="175">IF(Fixed_Variable=1,L61,Interest_Const_Loan)</f>
        <v>0.05</v>
      </c>
      <c r="EW63" s="476">
        <f t="shared" si="175"/>
        <v>0.05</v>
      </c>
      <c r="EX63" s="476">
        <f t="shared" si="175"/>
        <v>0.05</v>
      </c>
      <c r="EY63" s="476">
        <f t="shared" si="175"/>
        <v>0.05</v>
      </c>
      <c r="EZ63" s="476">
        <f t="shared" si="175"/>
        <v>0.05</v>
      </c>
      <c r="FA63" s="476">
        <f t="shared" si="175"/>
        <v>0.05</v>
      </c>
      <c r="FB63" s="476">
        <f t="shared" si="175"/>
        <v>0.05</v>
      </c>
      <c r="FC63" s="476">
        <f t="shared" si="175"/>
        <v>0.05</v>
      </c>
      <c r="FD63" s="476">
        <f t="shared" si="175"/>
        <v>0.05</v>
      </c>
      <c r="FE63" s="476">
        <f t="shared" si="175"/>
        <v>0.05</v>
      </c>
      <c r="FF63" s="476">
        <f t="shared" si="175"/>
        <v>0.05</v>
      </c>
      <c r="FG63" s="476">
        <f t="shared" si="175"/>
        <v>0.05</v>
      </c>
      <c r="FH63" s="476">
        <f t="shared" si="175"/>
        <v>0.05</v>
      </c>
      <c r="FI63" s="476">
        <f t="shared" si="175"/>
        <v>0.05</v>
      </c>
      <c r="FJ63" s="476">
        <f t="shared" si="175"/>
        <v>0.05</v>
      </c>
      <c r="FK63" s="476">
        <f t="shared" si="175"/>
        <v>0.05</v>
      </c>
      <c r="FL63" s="476">
        <f t="shared" si="175"/>
        <v>0.05</v>
      </c>
      <c r="FM63" s="476">
        <f t="shared" si="175"/>
        <v>0.05</v>
      </c>
      <c r="FN63" s="476">
        <f t="shared" si="175"/>
        <v>0.05</v>
      </c>
      <c r="FO63" s="476">
        <f t="shared" si="175"/>
        <v>0.05</v>
      </c>
      <c r="FP63" s="476">
        <f t="shared" si="175"/>
        <v>0.05</v>
      </c>
      <c r="FQ63" s="476">
        <f t="shared" si="175"/>
        <v>0.05</v>
      </c>
      <c r="FR63" s="476">
        <f t="shared" si="175"/>
        <v>0.05</v>
      </c>
      <c r="FS63" s="476">
        <f t="shared" si="175"/>
        <v>0.05</v>
      </c>
      <c r="FT63" s="476">
        <f t="shared" si="175"/>
        <v>0.05</v>
      </c>
      <c r="FU63" s="476">
        <f t="shared" si="175"/>
        <v>0.05</v>
      </c>
      <c r="FV63" s="476">
        <f t="shared" si="175"/>
        <v>0.05</v>
      </c>
      <c r="FW63" s="476">
        <f t="shared" si="175"/>
        <v>0.05</v>
      </c>
      <c r="FX63" s="476">
        <f t="shared" si="175"/>
        <v>0.05</v>
      </c>
      <c r="FY63" s="476">
        <f t="shared" si="175"/>
        <v>0.05</v>
      </c>
      <c r="FZ63" s="476">
        <f t="shared" si="175"/>
        <v>0.05</v>
      </c>
      <c r="GA63" s="476">
        <f t="shared" si="175"/>
        <v>0.05</v>
      </c>
      <c r="GB63" s="476">
        <f t="shared" ref="GB63:HG63" si="176">IF(Fixed_Variable=1,AR61,Interest_Const_Loan)</f>
        <v>0.05</v>
      </c>
      <c r="GC63" s="476">
        <f t="shared" si="176"/>
        <v>0.05</v>
      </c>
      <c r="GD63" s="476">
        <f t="shared" si="176"/>
        <v>0.05</v>
      </c>
      <c r="GE63" s="476">
        <f t="shared" si="176"/>
        <v>0.05</v>
      </c>
      <c r="GF63" s="476">
        <f t="shared" si="176"/>
        <v>0.05</v>
      </c>
      <c r="GG63" s="476">
        <f t="shared" si="176"/>
        <v>0.05</v>
      </c>
      <c r="GH63" s="476">
        <f t="shared" si="176"/>
        <v>0.05</v>
      </c>
      <c r="GI63" s="476">
        <f t="shared" si="176"/>
        <v>0.05</v>
      </c>
      <c r="GJ63" s="476">
        <f t="shared" si="176"/>
        <v>0.05</v>
      </c>
      <c r="GK63" s="476">
        <f t="shared" si="176"/>
        <v>0.05</v>
      </c>
      <c r="GL63" s="476">
        <f t="shared" si="176"/>
        <v>0.05</v>
      </c>
      <c r="GM63" s="476">
        <f t="shared" si="176"/>
        <v>0.05</v>
      </c>
      <c r="GN63" s="476">
        <f t="shared" si="176"/>
        <v>0.05</v>
      </c>
      <c r="GO63" s="476">
        <f t="shared" si="176"/>
        <v>0.05</v>
      </c>
      <c r="GP63" s="476">
        <f t="shared" si="176"/>
        <v>0.05</v>
      </c>
      <c r="GQ63" s="476">
        <f t="shared" si="176"/>
        <v>0.05</v>
      </c>
      <c r="GR63" s="476">
        <f t="shared" si="176"/>
        <v>0.05</v>
      </c>
      <c r="GS63" s="476">
        <f t="shared" si="176"/>
        <v>0.05</v>
      </c>
      <c r="GT63" s="476">
        <f t="shared" si="176"/>
        <v>0.05</v>
      </c>
      <c r="GU63" s="476">
        <f t="shared" si="176"/>
        <v>0.05</v>
      </c>
      <c r="GV63" s="476">
        <f t="shared" si="176"/>
        <v>0.05</v>
      </c>
      <c r="GW63" s="476">
        <f t="shared" si="176"/>
        <v>0.05</v>
      </c>
      <c r="GX63" s="476">
        <f t="shared" si="176"/>
        <v>0.05</v>
      </c>
      <c r="GY63" s="476">
        <f t="shared" si="176"/>
        <v>0.05</v>
      </c>
      <c r="GZ63" s="476">
        <f t="shared" si="176"/>
        <v>0.05</v>
      </c>
      <c r="HA63" s="476">
        <f t="shared" si="176"/>
        <v>0.05</v>
      </c>
      <c r="HB63" s="476">
        <f t="shared" si="176"/>
        <v>0.05</v>
      </c>
      <c r="HC63" s="476">
        <f t="shared" si="176"/>
        <v>0.05</v>
      </c>
      <c r="HD63" s="476">
        <f t="shared" si="176"/>
        <v>0.05</v>
      </c>
      <c r="HE63" s="476">
        <f t="shared" si="176"/>
        <v>0.05</v>
      </c>
      <c r="HF63" s="476">
        <f t="shared" si="176"/>
        <v>0.05</v>
      </c>
      <c r="HG63" s="476">
        <f t="shared" si="176"/>
        <v>0.05</v>
      </c>
      <c r="HH63" s="476">
        <f t="shared" ref="HH63:IM63" si="177">IF(Fixed_Variable=1,BX61,Interest_Const_Loan)</f>
        <v>0.05</v>
      </c>
      <c r="HI63" s="476">
        <f t="shared" si="177"/>
        <v>0.05</v>
      </c>
      <c r="HJ63" s="476">
        <f t="shared" si="177"/>
        <v>0.05</v>
      </c>
      <c r="HK63" s="476">
        <f t="shared" si="177"/>
        <v>0.05</v>
      </c>
      <c r="HL63" s="476">
        <f t="shared" si="177"/>
        <v>0.05</v>
      </c>
      <c r="HM63" s="476">
        <f t="shared" si="177"/>
        <v>0.05</v>
      </c>
      <c r="HN63" s="476">
        <f t="shared" si="177"/>
        <v>0.05</v>
      </c>
      <c r="HO63" s="476">
        <f t="shared" si="177"/>
        <v>0.05</v>
      </c>
      <c r="HP63" s="476">
        <f t="shared" si="177"/>
        <v>0.05</v>
      </c>
      <c r="HQ63" s="476">
        <f t="shared" si="177"/>
        <v>0.05</v>
      </c>
      <c r="HR63" s="476">
        <f t="shared" si="177"/>
        <v>0.05</v>
      </c>
      <c r="HS63" s="476">
        <f t="shared" si="177"/>
        <v>0.05</v>
      </c>
      <c r="HT63" s="476">
        <f t="shared" si="177"/>
        <v>0.05</v>
      </c>
      <c r="HU63" s="476">
        <f t="shared" si="177"/>
        <v>0.05</v>
      </c>
      <c r="HV63" s="476">
        <f t="shared" si="177"/>
        <v>0.05</v>
      </c>
      <c r="HW63" s="476">
        <f t="shared" si="177"/>
        <v>0.05</v>
      </c>
      <c r="HX63" s="476">
        <f t="shared" si="177"/>
        <v>0.05</v>
      </c>
      <c r="HY63" s="476">
        <f t="shared" si="177"/>
        <v>0.05</v>
      </c>
      <c r="HZ63" s="476">
        <f t="shared" si="177"/>
        <v>0.05</v>
      </c>
      <c r="IA63" s="476">
        <f t="shared" si="177"/>
        <v>0.05</v>
      </c>
      <c r="IB63" s="476">
        <f t="shared" si="177"/>
        <v>0.05</v>
      </c>
      <c r="IC63" s="476">
        <f t="shared" si="177"/>
        <v>0.05</v>
      </c>
      <c r="ID63" s="476">
        <f t="shared" si="177"/>
        <v>0.05</v>
      </c>
      <c r="IE63" s="476">
        <f t="shared" si="177"/>
        <v>0.05</v>
      </c>
      <c r="IF63" s="476">
        <f t="shared" si="177"/>
        <v>0.05</v>
      </c>
      <c r="IG63" s="476">
        <f t="shared" si="177"/>
        <v>0.05</v>
      </c>
      <c r="IH63" s="476">
        <f t="shared" si="177"/>
        <v>0.05</v>
      </c>
      <c r="II63" s="476">
        <f t="shared" si="177"/>
        <v>0.05</v>
      </c>
      <c r="IJ63" s="476">
        <f t="shared" si="177"/>
        <v>0.05</v>
      </c>
      <c r="IK63" s="476">
        <f t="shared" si="177"/>
        <v>0.05</v>
      </c>
      <c r="IL63" s="476">
        <f t="shared" si="177"/>
        <v>0.05</v>
      </c>
      <c r="IM63" s="476">
        <f t="shared" si="177"/>
        <v>0.05</v>
      </c>
      <c r="IN63" s="476">
        <f t="shared" ref="IN63:JS63" si="178">IF(Fixed_Variable=1,DD61,Interest_Const_Loan)</f>
        <v>0.05</v>
      </c>
      <c r="IO63" s="476">
        <f t="shared" si="178"/>
        <v>0.05</v>
      </c>
      <c r="IP63" s="476">
        <f t="shared" si="178"/>
        <v>0.05</v>
      </c>
      <c r="IQ63" s="476">
        <f t="shared" si="178"/>
        <v>0.05</v>
      </c>
      <c r="IR63" s="476">
        <f t="shared" si="178"/>
        <v>0.05</v>
      </c>
      <c r="IS63" s="476">
        <f t="shared" si="178"/>
        <v>0.05</v>
      </c>
      <c r="IT63" s="476">
        <f t="shared" si="178"/>
        <v>0.05</v>
      </c>
      <c r="IU63" s="476">
        <f t="shared" si="178"/>
        <v>0.05</v>
      </c>
      <c r="IV63" s="476">
        <f t="shared" si="178"/>
        <v>0.05</v>
      </c>
      <c r="IW63" s="476">
        <f t="shared" si="178"/>
        <v>0.05</v>
      </c>
      <c r="IX63" s="476">
        <f t="shared" si="178"/>
        <v>0.05</v>
      </c>
      <c r="IY63" s="476">
        <f t="shared" si="178"/>
        <v>0.05</v>
      </c>
      <c r="IZ63" s="476">
        <f t="shared" si="178"/>
        <v>0.05</v>
      </c>
      <c r="JA63" s="476">
        <f t="shared" si="178"/>
        <v>0.05</v>
      </c>
      <c r="JB63" s="476">
        <f t="shared" si="178"/>
        <v>0.05</v>
      </c>
      <c r="JC63" s="476">
        <f t="shared" si="178"/>
        <v>0.05</v>
      </c>
      <c r="JD63" s="476">
        <f t="shared" si="178"/>
        <v>0.05</v>
      </c>
      <c r="JE63" s="476">
        <f t="shared" si="178"/>
        <v>0.05</v>
      </c>
      <c r="JF63" s="476">
        <f t="shared" si="178"/>
        <v>0.05</v>
      </c>
      <c r="JG63" s="476">
        <f t="shared" si="178"/>
        <v>0.05</v>
      </c>
      <c r="JH63" s="476">
        <f t="shared" si="178"/>
        <v>0.05</v>
      </c>
      <c r="JI63" s="476">
        <f t="shared" si="178"/>
        <v>0.05</v>
      </c>
      <c r="JJ63" s="476">
        <f t="shared" si="178"/>
        <v>0.05</v>
      </c>
      <c r="JK63" s="476">
        <f t="shared" si="178"/>
        <v>0.05</v>
      </c>
      <c r="JL63" s="476">
        <f t="shared" si="178"/>
        <v>0.05</v>
      </c>
      <c r="JM63" s="476">
        <f t="shared" si="178"/>
        <v>0.05</v>
      </c>
      <c r="JN63" s="476">
        <f t="shared" si="178"/>
        <v>0.05</v>
      </c>
      <c r="JO63" s="476">
        <f t="shared" si="178"/>
        <v>0.05</v>
      </c>
      <c r="JP63" s="476">
        <f t="shared" si="178"/>
        <v>0.05</v>
      </c>
      <c r="JQ63" s="476">
        <f t="shared" si="178"/>
        <v>0.05</v>
      </c>
      <c r="JR63" s="476">
        <f t="shared" si="178"/>
        <v>0.05</v>
      </c>
      <c r="JS63" s="476">
        <f t="shared" si="178"/>
        <v>0.05</v>
      </c>
      <c r="JT63" s="476">
        <f t="shared" ref="JT63:JX63" si="179">IF(Fixed_Variable=1,EJ61,Interest_Const_Loan)</f>
        <v>0.05</v>
      </c>
      <c r="JU63" s="476">
        <f t="shared" si="179"/>
        <v>0.05</v>
      </c>
      <c r="JV63" s="476">
        <f t="shared" si="179"/>
        <v>0.05</v>
      </c>
      <c r="JW63" s="476">
        <f t="shared" si="179"/>
        <v>0.05</v>
      </c>
      <c r="JX63" s="476">
        <f t="shared" si="179"/>
        <v>0.05</v>
      </c>
    </row>
    <row r="64" spans="1:284" s="7" customFormat="1" x14ac:dyDescent="0.2">
      <c r="A64" s="406"/>
      <c r="B64" s="100" t="s">
        <v>86</v>
      </c>
      <c r="C64" s="120"/>
      <c r="D64" s="120"/>
      <c r="E64" s="120"/>
      <c r="F64" s="102" t="s">
        <v>64</v>
      </c>
      <c r="G64" s="394" t="str">
        <f>+G55</f>
        <v>/RENTABLE SF</v>
      </c>
      <c r="H64" s="116" t="s">
        <v>38</v>
      </c>
      <c r="I64" s="102" t="s">
        <v>22</v>
      </c>
      <c r="L64" s="52">
        <f t="shared" ref="L64:AQ64" si="180">L3</f>
        <v>0</v>
      </c>
      <c r="M64" s="52">
        <f t="shared" si="180"/>
        <v>1</v>
      </c>
      <c r="N64" s="52">
        <f t="shared" si="180"/>
        <v>2</v>
      </c>
      <c r="O64" s="52">
        <f t="shared" si="180"/>
        <v>3</v>
      </c>
      <c r="P64" s="52">
        <f t="shared" si="180"/>
        <v>4</v>
      </c>
      <c r="Q64" s="52">
        <f t="shared" si="180"/>
        <v>5</v>
      </c>
      <c r="R64" s="52">
        <f t="shared" si="180"/>
        <v>6</v>
      </c>
      <c r="S64" s="52">
        <f t="shared" si="180"/>
        <v>7</v>
      </c>
      <c r="T64" s="52">
        <f t="shared" si="180"/>
        <v>8</v>
      </c>
      <c r="U64" s="52">
        <f t="shared" si="180"/>
        <v>9</v>
      </c>
      <c r="V64" s="52">
        <f t="shared" si="180"/>
        <v>10</v>
      </c>
      <c r="W64" s="52">
        <f t="shared" si="180"/>
        <v>11</v>
      </c>
      <c r="X64" s="52">
        <f t="shared" si="180"/>
        <v>12</v>
      </c>
      <c r="Y64" s="52">
        <f t="shared" si="180"/>
        <v>13</v>
      </c>
      <c r="Z64" s="52">
        <f t="shared" si="180"/>
        <v>14</v>
      </c>
      <c r="AA64" s="52">
        <f t="shared" si="180"/>
        <v>15</v>
      </c>
      <c r="AB64" s="52">
        <f t="shared" si="180"/>
        <v>16</v>
      </c>
      <c r="AC64" s="52">
        <f t="shared" si="180"/>
        <v>17</v>
      </c>
      <c r="AD64" s="52">
        <f t="shared" si="180"/>
        <v>18</v>
      </c>
      <c r="AE64" s="52">
        <f t="shared" si="180"/>
        <v>19</v>
      </c>
      <c r="AF64" s="52">
        <f t="shared" si="180"/>
        <v>20</v>
      </c>
      <c r="AG64" s="52">
        <f t="shared" si="180"/>
        <v>21</v>
      </c>
      <c r="AH64" s="52">
        <f t="shared" si="180"/>
        <v>22</v>
      </c>
      <c r="AI64" s="52">
        <f t="shared" si="180"/>
        <v>23</v>
      </c>
      <c r="AJ64" s="52">
        <f t="shared" si="180"/>
        <v>24</v>
      </c>
      <c r="AK64" s="52">
        <f t="shared" si="180"/>
        <v>25</v>
      </c>
      <c r="AL64" s="52">
        <f t="shared" si="180"/>
        <v>26</v>
      </c>
      <c r="AM64" s="52">
        <f t="shared" si="180"/>
        <v>27</v>
      </c>
      <c r="AN64" s="52">
        <f t="shared" si="180"/>
        <v>28</v>
      </c>
      <c r="AO64" s="52">
        <f t="shared" si="180"/>
        <v>29</v>
      </c>
      <c r="AP64" s="52">
        <f t="shared" si="180"/>
        <v>30</v>
      </c>
      <c r="AQ64" s="52">
        <f t="shared" si="180"/>
        <v>31</v>
      </c>
      <c r="AR64" s="52">
        <f t="shared" ref="AR64:BW64" si="181">AR3</f>
        <v>32</v>
      </c>
      <c r="AS64" s="52">
        <f t="shared" si="181"/>
        <v>33</v>
      </c>
      <c r="AT64" s="52">
        <f t="shared" si="181"/>
        <v>34</v>
      </c>
      <c r="AU64" s="52">
        <f t="shared" si="181"/>
        <v>35</v>
      </c>
      <c r="AV64" s="52">
        <f t="shared" si="181"/>
        <v>36</v>
      </c>
      <c r="AW64" s="52">
        <f t="shared" si="181"/>
        <v>37</v>
      </c>
      <c r="AX64" s="52">
        <f t="shared" si="181"/>
        <v>38</v>
      </c>
      <c r="AY64" s="52">
        <f t="shared" si="181"/>
        <v>39</v>
      </c>
      <c r="AZ64" s="52">
        <f t="shared" si="181"/>
        <v>40</v>
      </c>
      <c r="BA64" s="52">
        <f t="shared" si="181"/>
        <v>41</v>
      </c>
      <c r="BB64" s="52">
        <f t="shared" si="181"/>
        <v>42</v>
      </c>
      <c r="BC64" s="52">
        <f t="shared" si="181"/>
        <v>43</v>
      </c>
      <c r="BD64" s="52">
        <f t="shared" si="181"/>
        <v>44</v>
      </c>
      <c r="BE64" s="52">
        <f t="shared" si="181"/>
        <v>45</v>
      </c>
      <c r="BF64" s="52">
        <f t="shared" si="181"/>
        <v>46</v>
      </c>
      <c r="BG64" s="52">
        <f t="shared" si="181"/>
        <v>47</v>
      </c>
      <c r="BH64" s="52">
        <f t="shared" si="181"/>
        <v>48</v>
      </c>
      <c r="BI64" s="52">
        <f t="shared" si="181"/>
        <v>49</v>
      </c>
      <c r="BJ64" s="52">
        <f t="shared" si="181"/>
        <v>50</v>
      </c>
      <c r="BK64" s="52">
        <f t="shared" si="181"/>
        <v>51</v>
      </c>
      <c r="BL64" s="52">
        <f t="shared" si="181"/>
        <v>52</v>
      </c>
      <c r="BM64" s="52">
        <f t="shared" si="181"/>
        <v>53</v>
      </c>
      <c r="BN64" s="52">
        <f t="shared" si="181"/>
        <v>54</v>
      </c>
      <c r="BO64" s="52">
        <f t="shared" si="181"/>
        <v>55</v>
      </c>
      <c r="BP64" s="52">
        <f t="shared" si="181"/>
        <v>56</v>
      </c>
      <c r="BQ64" s="52">
        <f t="shared" si="181"/>
        <v>57</v>
      </c>
      <c r="BR64" s="52">
        <f t="shared" si="181"/>
        <v>58</v>
      </c>
      <c r="BS64" s="52">
        <f t="shared" si="181"/>
        <v>59</v>
      </c>
      <c r="BT64" s="52">
        <f t="shared" si="181"/>
        <v>60</v>
      </c>
      <c r="BU64" s="52">
        <f t="shared" si="181"/>
        <v>61</v>
      </c>
      <c r="BV64" s="52">
        <f t="shared" si="181"/>
        <v>62</v>
      </c>
      <c r="BW64" s="52">
        <f t="shared" si="181"/>
        <v>63</v>
      </c>
      <c r="BX64" s="52">
        <f t="shared" ref="BX64:DC64" si="182">BX3</f>
        <v>64</v>
      </c>
      <c r="BY64" s="52">
        <f t="shared" si="182"/>
        <v>65</v>
      </c>
      <c r="BZ64" s="52">
        <f t="shared" si="182"/>
        <v>66</v>
      </c>
      <c r="CA64" s="52">
        <f t="shared" si="182"/>
        <v>67</v>
      </c>
      <c r="CB64" s="52">
        <f t="shared" si="182"/>
        <v>68</v>
      </c>
      <c r="CC64" s="52">
        <f t="shared" si="182"/>
        <v>69</v>
      </c>
      <c r="CD64" s="52">
        <f t="shared" si="182"/>
        <v>70</v>
      </c>
      <c r="CE64" s="52">
        <f t="shared" si="182"/>
        <v>71</v>
      </c>
      <c r="CF64" s="52">
        <f t="shared" si="182"/>
        <v>72</v>
      </c>
      <c r="CG64" s="52">
        <f t="shared" si="182"/>
        <v>73</v>
      </c>
      <c r="CH64" s="52">
        <f t="shared" si="182"/>
        <v>74</v>
      </c>
      <c r="CI64" s="52">
        <f t="shared" si="182"/>
        <v>75</v>
      </c>
      <c r="CJ64" s="52">
        <f t="shared" si="182"/>
        <v>76</v>
      </c>
      <c r="CK64" s="52">
        <f t="shared" si="182"/>
        <v>77</v>
      </c>
      <c r="CL64" s="52">
        <f t="shared" si="182"/>
        <v>78</v>
      </c>
      <c r="CM64" s="52">
        <f t="shared" si="182"/>
        <v>79</v>
      </c>
      <c r="CN64" s="52">
        <f t="shared" si="182"/>
        <v>80</v>
      </c>
      <c r="CO64" s="52">
        <f t="shared" si="182"/>
        <v>81</v>
      </c>
      <c r="CP64" s="52">
        <f t="shared" si="182"/>
        <v>82</v>
      </c>
      <c r="CQ64" s="52">
        <f t="shared" si="182"/>
        <v>83</v>
      </c>
      <c r="CR64" s="52">
        <f t="shared" si="182"/>
        <v>84</v>
      </c>
      <c r="CS64" s="52">
        <f t="shared" si="182"/>
        <v>85</v>
      </c>
      <c r="CT64" s="52">
        <f t="shared" si="182"/>
        <v>86</v>
      </c>
      <c r="CU64" s="52">
        <f t="shared" si="182"/>
        <v>87</v>
      </c>
      <c r="CV64" s="52">
        <f t="shared" si="182"/>
        <v>88</v>
      </c>
      <c r="CW64" s="52">
        <f t="shared" si="182"/>
        <v>89</v>
      </c>
      <c r="CX64" s="52">
        <f t="shared" si="182"/>
        <v>90</v>
      </c>
      <c r="CY64" s="52">
        <f t="shared" si="182"/>
        <v>91</v>
      </c>
      <c r="CZ64" s="52">
        <f t="shared" si="182"/>
        <v>92</v>
      </c>
      <c r="DA64" s="52">
        <f t="shared" si="182"/>
        <v>93</v>
      </c>
      <c r="DB64" s="52">
        <f t="shared" si="182"/>
        <v>94</v>
      </c>
      <c r="DC64" s="52">
        <f t="shared" si="182"/>
        <v>95</v>
      </c>
      <c r="DD64" s="52">
        <f t="shared" ref="DD64:EN64" si="183">DD3</f>
        <v>96</v>
      </c>
      <c r="DE64" s="52">
        <f t="shared" si="183"/>
        <v>97</v>
      </c>
      <c r="DF64" s="52">
        <f t="shared" si="183"/>
        <v>98</v>
      </c>
      <c r="DG64" s="52">
        <f t="shared" si="183"/>
        <v>99</v>
      </c>
      <c r="DH64" s="52">
        <f t="shared" si="183"/>
        <v>100</v>
      </c>
      <c r="DI64" s="52">
        <f t="shared" si="183"/>
        <v>101</v>
      </c>
      <c r="DJ64" s="52">
        <f t="shared" si="183"/>
        <v>102</v>
      </c>
      <c r="DK64" s="52">
        <f t="shared" si="183"/>
        <v>103</v>
      </c>
      <c r="DL64" s="52">
        <f t="shared" si="183"/>
        <v>104</v>
      </c>
      <c r="DM64" s="52">
        <f t="shared" si="183"/>
        <v>105</v>
      </c>
      <c r="DN64" s="52">
        <f t="shared" si="183"/>
        <v>106</v>
      </c>
      <c r="DO64" s="52">
        <f t="shared" si="183"/>
        <v>107</v>
      </c>
      <c r="DP64" s="52">
        <f t="shared" si="183"/>
        <v>108</v>
      </c>
      <c r="DQ64" s="52">
        <f t="shared" si="183"/>
        <v>109</v>
      </c>
      <c r="DR64" s="52">
        <f t="shared" si="183"/>
        <v>110</v>
      </c>
      <c r="DS64" s="52">
        <f t="shared" si="183"/>
        <v>111</v>
      </c>
      <c r="DT64" s="52">
        <f t="shared" si="183"/>
        <v>112</v>
      </c>
      <c r="DU64" s="52">
        <f t="shared" si="183"/>
        <v>113</v>
      </c>
      <c r="DV64" s="52">
        <f t="shared" si="183"/>
        <v>114</v>
      </c>
      <c r="DW64" s="52">
        <f t="shared" si="183"/>
        <v>115</v>
      </c>
      <c r="DX64" s="52">
        <f t="shared" si="183"/>
        <v>116</v>
      </c>
      <c r="DY64" s="52">
        <f t="shared" si="183"/>
        <v>117</v>
      </c>
      <c r="DZ64" s="52">
        <f t="shared" si="183"/>
        <v>118</v>
      </c>
      <c r="EA64" s="52">
        <f t="shared" si="183"/>
        <v>119</v>
      </c>
      <c r="EB64" s="52">
        <f t="shared" si="183"/>
        <v>120</v>
      </c>
      <c r="EC64" s="52">
        <f t="shared" si="183"/>
        <v>121</v>
      </c>
      <c r="ED64" s="52">
        <f t="shared" si="183"/>
        <v>122</v>
      </c>
      <c r="EE64" s="52">
        <f t="shared" si="183"/>
        <v>123</v>
      </c>
      <c r="EF64" s="52">
        <f t="shared" si="183"/>
        <v>124</v>
      </c>
      <c r="EG64" s="52">
        <f t="shared" si="183"/>
        <v>125</v>
      </c>
      <c r="EH64" s="52">
        <f t="shared" si="183"/>
        <v>126</v>
      </c>
      <c r="EI64" s="52">
        <f t="shared" si="183"/>
        <v>127</v>
      </c>
      <c r="EJ64" s="52">
        <f t="shared" si="183"/>
        <v>128</v>
      </c>
      <c r="EK64" s="52">
        <f t="shared" si="183"/>
        <v>129</v>
      </c>
      <c r="EL64" s="52">
        <f t="shared" si="183"/>
        <v>130</v>
      </c>
      <c r="EM64" s="52">
        <f t="shared" si="183"/>
        <v>131</v>
      </c>
      <c r="EN64" s="52">
        <f t="shared" si="183"/>
        <v>132</v>
      </c>
      <c r="EP64" s="45" t="s">
        <v>69</v>
      </c>
      <c r="EQ64" s="24"/>
      <c r="ER64" s="24"/>
      <c r="ES64" s="24"/>
      <c r="ET64" s="33" t="s">
        <v>670</v>
      </c>
      <c r="EU64" s="47"/>
      <c r="EV64" s="476">
        <f t="shared" ref="EV64:GA64" si="184">IF(Fixed_Variable=1,L62,Interest_Mezz_Loan)</f>
        <v>0.08</v>
      </c>
      <c r="EW64" s="476">
        <f t="shared" si="184"/>
        <v>0.08</v>
      </c>
      <c r="EX64" s="476">
        <f t="shared" si="184"/>
        <v>0.08</v>
      </c>
      <c r="EY64" s="476">
        <f t="shared" si="184"/>
        <v>0.08</v>
      </c>
      <c r="EZ64" s="476">
        <f t="shared" si="184"/>
        <v>0.08</v>
      </c>
      <c r="FA64" s="476">
        <f t="shared" si="184"/>
        <v>0.08</v>
      </c>
      <c r="FB64" s="476">
        <f t="shared" si="184"/>
        <v>0.08</v>
      </c>
      <c r="FC64" s="476">
        <f t="shared" si="184"/>
        <v>0.08</v>
      </c>
      <c r="FD64" s="476">
        <f t="shared" si="184"/>
        <v>0.08</v>
      </c>
      <c r="FE64" s="476">
        <f t="shared" si="184"/>
        <v>0.08</v>
      </c>
      <c r="FF64" s="476">
        <f t="shared" si="184"/>
        <v>0.08</v>
      </c>
      <c r="FG64" s="476">
        <f t="shared" si="184"/>
        <v>0.08</v>
      </c>
      <c r="FH64" s="476">
        <f t="shared" si="184"/>
        <v>0.08</v>
      </c>
      <c r="FI64" s="476">
        <f t="shared" si="184"/>
        <v>0.08</v>
      </c>
      <c r="FJ64" s="476">
        <f t="shared" si="184"/>
        <v>0.08</v>
      </c>
      <c r="FK64" s="476">
        <f t="shared" si="184"/>
        <v>0.08</v>
      </c>
      <c r="FL64" s="476">
        <f t="shared" si="184"/>
        <v>0.08</v>
      </c>
      <c r="FM64" s="476">
        <f t="shared" si="184"/>
        <v>0.08</v>
      </c>
      <c r="FN64" s="476">
        <f t="shared" si="184"/>
        <v>0.08</v>
      </c>
      <c r="FO64" s="476">
        <f t="shared" si="184"/>
        <v>0.08</v>
      </c>
      <c r="FP64" s="476">
        <f t="shared" si="184"/>
        <v>0.08</v>
      </c>
      <c r="FQ64" s="476">
        <f t="shared" si="184"/>
        <v>0.08</v>
      </c>
      <c r="FR64" s="476">
        <f t="shared" si="184"/>
        <v>0.08</v>
      </c>
      <c r="FS64" s="476">
        <f t="shared" si="184"/>
        <v>0.08</v>
      </c>
      <c r="FT64" s="476">
        <f t="shared" si="184"/>
        <v>0.08</v>
      </c>
      <c r="FU64" s="476">
        <f t="shared" si="184"/>
        <v>0.08</v>
      </c>
      <c r="FV64" s="476">
        <f t="shared" si="184"/>
        <v>0.08</v>
      </c>
      <c r="FW64" s="476">
        <f t="shared" si="184"/>
        <v>0.08</v>
      </c>
      <c r="FX64" s="476">
        <f t="shared" si="184"/>
        <v>0.08</v>
      </c>
      <c r="FY64" s="476">
        <f t="shared" si="184"/>
        <v>0.08</v>
      </c>
      <c r="FZ64" s="476">
        <f t="shared" si="184"/>
        <v>0.08</v>
      </c>
      <c r="GA64" s="476">
        <f t="shared" si="184"/>
        <v>0.08</v>
      </c>
      <c r="GB64" s="476">
        <f t="shared" ref="GB64:HG64" si="185">IF(Fixed_Variable=1,AR62,Interest_Mezz_Loan)</f>
        <v>0.08</v>
      </c>
      <c r="GC64" s="476">
        <f t="shared" si="185"/>
        <v>0.08</v>
      </c>
      <c r="GD64" s="476">
        <f t="shared" si="185"/>
        <v>0.08</v>
      </c>
      <c r="GE64" s="476">
        <f t="shared" si="185"/>
        <v>0.08</v>
      </c>
      <c r="GF64" s="476">
        <f t="shared" si="185"/>
        <v>0.08</v>
      </c>
      <c r="GG64" s="476">
        <f t="shared" si="185"/>
        <v>0.08</v>
      </c>
      <c r="GH64" s="476">
        <f t="shared" si="185"/>
        <v>0.08</v>
      </c>
      <c r="GI64" s="476">
        <f t="shared" si="185"/>
        <v>0.08</v>
      </c>
      <c r="GJ64" s="476">
        <f t="shared" si="185"/>
        <v>0.08</v>
      </c>
      <c r="GK64" s="476">
        <f t="shared" si="185"/>
        <v>0.08</v>
      </c>
      <c r="GL64" s="476">
        <f t="shared" si="185"/>
        <v>0.08</v>
      </c>
      <c r="GM64" s="476">
        <f t="shared" si="185"/>
        <v>0.08</v>
      </c>
      <c r="GN64" s="476">
        <f t="shared" si="185"/>
        <v>0.08</v>
      </c>
      <c r="GO64" s="476">
        <f t="shared" si="185"/>
        <v>0.08</v>
      </c>
      <c r="GP64" s="476">
        <f t="shared" si="185"/>
        <v>0.08</v>
      </c>
      <c r="GQ64" s="476">
        <f t="shared" si="185"/>
        <v>0.08</v>
      </c>
      <c r="GR64" s="476">
        <f t="shared" si="185"/>
        <v>0.08</v>
      </c>
      <c r="GS64" s="476">
        <f t="shared" si="185"/>
        <v>0.08</v>
      </c>
      <c r="GT64" s="476">
        <f t="shared" si="185"/>
        <v>0.08</v>
      </c>
      <c r="GU64" s="476">
        <f t="shared" si="185"/>
        <v>0.08</v>
      </c>
      <c r="GV64" s="476">
        <f t="shared" si="185"/>
        <v>0.08</v>
      </c>
      <c r="GW64" s="476">
        <f t="shared" si="185"/>
        <v>0.08</v>
      </c>
      <c r="GX64" s="476">
        <f t="shared" si="185"/>
        <v>0.08</v>
      </c>
      <c r="GY64" s="476">
        <f t="shared" si="185"/>
        <v>0.08</v>
      </c>
      <c r="GZ64" s="476">
        <f t="shared" si="185"/>
        <v>0.08</v>
      </c>
      <c r="HA64" s="476">
        <f t="shared" si="185"/>
        <v>0.08</v>
      </c>
      <c r="HB64" s="476">
        <f t="shared" si="185"/>
        <v>0.08</v>
      </c>
      <c r="HC64" s="476">
        <f t="shared" si="185"/>
        <v>0.08</v>
      </c>
      <c r="HD64" s="476">
        <f t="shared" si="185"/>
        <v>0.08</v>
      </c>
      <c r="HE64" s="476">
        <f t="shared" si="185"/>
        <v>0.08</v>
      </c>
      <c r="HF64" s="476">
        <f t="shared" si="185"/>
        <v>0.08</v>
      </c>
      <c r="HG64" s="476">
        <f t="shared" si="185"/>
        <v>0.08</v>
      </c>
      <c r="HH64" s="476">
        <f t="shared" ref="HH64:IM64" si="186">IF(Fixed_Variable=1,BX62,Interest_Mezz_Loan)</f>
        <v>0.08</v>
      </c>
      <c r="HI64" s="476">
        <f t="shared" si="186"/>
        <v>0.08</v>
      </c>
      <c r="HJ64" s="476">
        <f t="shared" si="186"/>
        <v>0.08</v>
      </c>
      <c r="HK64" s="476">
        <f t="shared" si="186"/>
        <v>0.08</v>
      </c>
      <c r="HL64" s="476">
        <f t="shared" si="186"/>
        <v>0.08</v>
      </c>
      <c r="HM64" s="476">
        <f t="shared" si="186"/>
        <v>0.08</v>
      </c>
      <c r="HN64" s="476">
        <f t="shared" si="186"/>
        <v>0.08</v>
      </c>
      <c r="HO64" s="476">
        <f t="shared" si="186"/>
        <v>0.08</v>
      </c>
      <c r="HP64" s="476">
        <f t="shared" si="186"/>
        <v>0.08</v>
      </c>
      <c r="HQ64" s="476">
        <f t="shared" si="186"/>
        <v>0.08</v>
      </c>
      <c r="HR64" s="476">
        <f t="shared" si="186"/>
        <v>0.08</v>
      </c>
      <c r="HS64" s="476">
        <f t="shared" si="186"/>
        <v>0.08</v>
      </c>
      <c r="HT64" s="476">
        <f t="shared" si="186"/>
        <v>0.08</v>
      </c>
      <c r="HU64" s="476">
        <f t="shared" si="186"/>
        <v>0.08</v>
      </c>
      <c r="HV64" s="476">
        <f t="shared" si="186"/>
        <v>0.08</v>
      </c>
      <c r="HW64" s="476">
        <f t="shared" si="186"/>
        <v>0.08</v>
      </c>
      <c r="HX64" s="476">
        <f t="shared" si="186"/>
        <v>0.08</v>
      </c>
      <c r="HY64" s="476">
        <f t="shared" si="186"/>
        <v>0.08</v>
      </c>
      <c r="HZ64" s="476">
        <f t="shared" si="186"/>
        <v>0.08</v>
      </c>
      <c r="IA64" s="476">
        <f t="shared" si="186"/>
        <v>0.08</v>
      </c>
      <c r="IB64" s="476">
        <f t="shared" si="186"/>
        <v>0.08</v>
      </c>
      <c r="IC64" s="476">
        <f t="shared" si="186"/>
        <v>0.08</v>
      </c>
      <c r="ID64" s="476">
        <f t="shared" si="186"/>
        <v>0.08</v>
      </c>
      <c r="IE64" s="476">
        <f t="shared" si="186"/>
        <v>0.08</v>
      </c>
      <c r="IF64" s="476">
        <f t="shared" si="186"/>
        <v>0.08</v>
      </c>
      <c r="IG64" s="476">
        <f t="shared" si="186"/>
        <v>0.08</v>
      </c>
      <c r="IH64" s="476">
        <f t="shared" si="186"/>
        <v>0.08</v>
      </c>
      <c r="II64" s="476">
        <f t="shared" si="186"/>
        <v>0.08</v>
      </c>
      <c r="IJ64" s="476">
        <f t="shared" si="186"/>
        <v>0.08</v>
      </c>
      <c r="IK64" s="476">
        <f t="shared" si="186"/>
        <v>0.08</v>
      </c>
      <c r="IL64" s="476">
        <f t="shared" si="186"/>
        <v>0.08</v>
      </c>
      <c r="IM64" s="476">
        <f t="shared" si="186"/>
        <v>0.08</v>
      </c>
      <c r="IN64" s="476">
        <f t="shared" ref="IN64:JS64" si="187">IF(Fixed_Variable=1,DD62,Interest_Mezz_Loan)</f>
        <v>0.08</v>
      </c>
      <c r="IO64" s="476">
        <f t="shared" si="187"/>
        <v>0.08</v>
      </c>
      <c r="IP64" s="476">
        <f t="shared" si="187"/>
        <v>0.08</v>
      </c>
      <c r="IQ64" s="476">
        <f t="shared" si="187"/>
        <v>0.08</v>
      </c>
      <c r="IR64" s="476">
        <f t="shared" si="187"/>
        <v>0.08</v>
      </c>
      <c r="IS64" s="476">
        <f t="shared" si="187"/>
        <v>0.08</v>
      </c>
      <c r="IT64" s="476">
        <f t="shared" si="187"/>
        <v>0.08</v>
      </c>
      <c r="IU64" s="476">
        <f t="shared" si="187"/>
        <v>0.08</v>
      </c>
      <c r="IV64" s="476">
        <f t="shared" si="187"/>
        <v>0.08</v>
      </c>
      <c r="IW64" s="476">
        <f t="shared" si="187"/>
        <v>0.08</v>
      </c>
      <c r="IX64" s="476">
        <f t="shared" si="187"/>
        <v>0.08</v>
      </c>
      <c r="IY64" s="476">
        <f t="shared" si="187"/>
        <v>0.08</v>
      </c>
      <c r="IZ64" s="476">
        <f t="shared" si="187"/>
        <v>0.08</v>
      </c>
      <c r="JA64" s="476">
        <f t="shared" si="187"/>
        <v>0.08</v>
      </c>
      <c r="JB64" s="476">
        <f t="shared" si="187"/>
        <v>0.08</v>
      </c>
      <c r="JC64" s="476">
        <f t="shared" si="187"/>
        <v>0.08</v>
      </c>
      <c r="JD64" s="476">
        <f t="shared" si="187"/>
        <v>0.08</v>
      </c>
      <c r="JE64" s="476">
        <f t="shared" si="187"/>
        <v>0.08</v>
      </c>
      <c r="JF64" s="476">
        <f t="shared" si="187"/>
        <v>0.08</v>
      </c>
      <c r="JG64" s="476">
        <f t="shared" si="187"/>
        <v>0.08</v>
      </c>
      <c r="JH64" s="476">
        <f t="shared" si="187"/>
        <v>0.08</v>
      </c>
      <c r="JI64" s="476">
        <f t="shared" si="187"/>
        <v>0.08</v>
      </c>
      <c r="JJ64" s="476">
        <f t="shared" si="187"/>
        <v>0.08</v>
      </c>
      <c r="JK64" s="476">
        <f t="shared" si="187"/>
        <v>0.08</v>
      </c>
      <c r="JL64" s="476">
        <f t="shared" si="187"/>
        <v>0.08</v>
      </c>
      <c r="JM64" s="476">
        <f t="shared" si="187"/>
        <v>0.08</v>
      </c>
      <c r="JN64" s="476">
        <f t="shared" si="187"/>
        <v>0.08</v>
      </c>
      <c r="JO64" s="476">
        <f t="shared" si="187"/>
        <v>0.08</v>
      </c>
      <c r="JP64" s="476">
        <f t="shared" si="187"/>
        <v>0.08</v>
      </c>
      <c r="JQ64" s="476">
        <f t="shared" si="187"/>
        <v>0.08</v>
      </c>
      <c r="JR64" s="476">
        <f t="shared" si="187"/>
        <v>0.08</v>
      </c>
      <c r="JS64" s="476">
        <f t="shared" si="187"/>
        <v>0.08</v>
      </c>
      <c r="JT64" s="476">
        <f t="shared" ref="JT64:JX64" si="188">IF(Fixed_Variable=1,EJ62,Interest_Mezz_Loan)</f>
        <v>0.08</v>
      </c>
      <c r="JU64" s="476">
        <f t="shared" si="188"/>
        <v>0.08</v>
      </c>
      <c r="JV64" s="476">
        <f t="shared" si="188"/>
        <v>0.08</v>
      </c>
      <c r="JW64" s="476">
        <f t="shared" si="188"/>
        <v>0.08</v>
      </c>
      <c r="JX64" s="476">
        <f t="shared" si="188"/>
        <v>0.08</v>
      </c>
    </row>
    <row r="65" spans="1:284" s="7" customFormat="1" x14ac:dyDescent="0.2">
      <c r="A65" s="406"/>
      <c r="B65" s="154" t="s">
        <v>67</v>
      </c>
      <c r="C65" s="155"/>
      <c r="D65" s="120"/>
      <c r="E65" s="120"/>
      <c r="F65" s="148">
        <f>I65/Project_Cost_Total</f>
        <v>0.24999997840828769</v>
      </c>
      <c r="G65" s="389">
        <f>I65/Units_SF_M2</f>
        <v>57.400840282837393</v>
      </c>
      <c r="H65" s="123">
        <f>I65/Units</f>
        <v>48790.714240411784</v>
      </c>
      <c r="I65" s="118">
        <f>SUM(L65:EN65)</f>
        <v>14637214.272123536</v>
      </c>
      <c r="L65" s="38">
        <f t="shared" ref="L65:AQ65" si="189">EV52</f>
        <v>3753159.5276612928</v>
      </c>
      <c r="M65" s="38">
        <f t="shared" si="189"/>
        <v>434615.43632992054</v>
      </c>
      <c r="N65" s="38">
        <f t="shared" si="189"/>
        <v>595115.21586161223</v>
      </c>
      <c r="O65" s="38">
        <f t="shared" si="189"/>
        <v>913409.18359364895</v>
      </c>
      <c r="P65" s="38">
        <f t="shared" si="189"/>
        <v>1467820.9038815256</v>
      </c>
      <c r="Q65" s="38">
        <f t="shared" si="189"/>
        <v>2309629.6734741665</v>
      </c>
      <c r="R65" s="38">
        <f t="shared" si="189"/>
        <v>3409858.2075612606</v>
      </c>
      <c r="S65" s="38">
        <f t="shared" si="189"/>
        <v>1753606.1237601093</v>
      </c>
      <c r="T65" s="38">
        <f t="shared" si="189"/>
        <v>0</v>
      </c>
      <c r="U65" s="38">
        <f t="shared" si="189"/>
        <v>0</v>
      </c>
      <c r="V65" s="38">
        <f t="shared" si="189"/>
        <v>0</v>
      </c>
      <c r="W65" s="38">
        <f t="shared" si="189"/>
        <v>0</v>
      </c>
      <c r="X65" s="38">
        <f t="shared" si="189"/>
        <v>0</v>
      </c>
      <c r="Y65" s="38">
        <f t="shared" si="189"/>
        <v>0</v>
      </c>
      <c r="Z65" s="38">
        <f t="shared" si="189"/>
        <v>0</v>
      </c>
      <c r="AA65" s="38">
        <f t="shared" si="189"/>
        <v>0</v>
      </c>
      <c r="AB65" s="38">
        <f t="shared" si="189"/>
        <v>0</v>
      </c>
      <c r="AC65" s="38">
        <f t="shared" si="189"/>
        <v>0</v>
      </c>
      <c r="AD65" s="38">
        <f t="shared" si="189"/>
        <v>0</v>
      </c>
      <c r="AE65" s="38">
        <f t="shared" si="189"/>
        <v>0</v>
      </c>
      <c r="AF65" s="38">
        <f t="shared" si="189"/>
        <v>0</v>
      </c>
      <c r="AG65" s="38">
        <f t="shared" si="189"/>
        <v>0</v>
      </c>
      <c r="AH65" s="38">
        <f t="shared" si="189"/>
        <v>0</v>
      </c>
      <c r="AI65" s="38">
        <f t="shared" si="189"/>
        <v>0</v>
      </c>
      <c r="AJ65" s="38">
        <f t="shared" si="189"/>
        <v>0</v>
      </c>
      <c r="AK65" s="38">
        <f t="shared" si="189"/>
        <v>0</v>
      </c>
      <c r="AL65" s="38">
        <f t="shared" si="189"/>
        <v>0</v>
      </c>
      <c r="AM65" s="38">
        <f t="shared" si="189"/>
        <v>0</v>
      </c>
      <c r="AN65" s="38">
        <f t="shared" si="189"/>
        <v>0</v>
      </c>
      <c r="AO65" s="38">
        <f t="shared" si="189"/>
        <v>0</v>
      </c>
      <c r="AP65" s="38">
        <f t="shared" si="189"/>
        <v>0</v>
      </c>
      <c r="AQ65" s="38">
        <f t="shared" si="189"/>
        <v>0</v>
      </c>
      <c r="AR65" s="38">
        <f t="shared" ref="AR65:BW65" si="190">GB52</f>
        <v>0</v>
      </c>
      <c r="AS65" s="38">
        <f t="shared" si="190"/>
        <v>0</v>
      </c>
      <c r="AT65" s="38">
        <f t="shared" si="190"/>
        <v>0</v>
      </c>
      <c r="AU65" s="38">
        <f t="shared" si="190"/>
        <v>0</v>
      </c>
      <c r="AV65" s="38">
        <f t="shared" si="190"/>
        <v>0</v>
      </c>
      <c r="AW65" s="38">
        <f t="shared" si="190"/>
        <v>0</v>
      </c>
      <c r="AX65" s="38">
        <f t="shared" si="190"/>
        <v>0</v>
      </c>
      <c r="AY65" s="38">
        <f t="shared" si="190"/>
        <v>0</v>
      </c>
      <c r="AZ65" s="38">
        <f t="shared" si="190"/>
        <v>0</v>
      </c>
      <c r="BA65" s="38">
        <f t="shared" si="190"/>
        <v>0</v>
      </c>
      <c r="BB65" s="38">
        <f t="shared" si="190"/>
        <v>0</v>
      </c>
      <c r="BC65" s="38">
        <f t="shared" si="190"/>
        <v>0</v>
      </c>
      <c r="BD65" s="38">
        <f t="shared" si="190"/>
        <v>0</v>
      </c>
      <c r="BE65" s="38">
        <f t="shared" si="190"/>
        <v>0</v>
      </c>
      <c r="BF65" s="38">
        <f t="shared" si="190"/>
        <v>0</v>
      </c>
      <c r="BG65" s="38">
        <f t="shared" si="190"/>
        <v>0</v>
      </c>
      <c r="BH65" s="38">
        <f t="shared" si="190"/>
        <v>0</v>
      </c>
      <c r="BI65" s="38">
        <f t="shared" si="190"/>
        <v>0</v>
      </c>
      <c r="BJ65" s="38">
        <f t="shared" si="190"/>
        <v>0</v>
      </c>
      <c r="BK65" s="38">
        <f t="shared" si="190"/>
        <v>0</v>
      </c>
      <c r="BL65" s="38">
        <f t="shared" si="190"/>
        <v>0</v>
      </c>
      <c r="BM65" s="38">
        <f t="shared" si="190"/>
        <v>0</v>
      </c>
      <c r="BN65" s="38">
        <f t="shared" si="190"/>
        <v>0</v>
      </c>
      <c r="BO65" s="38">
        <f t="shared" si="190"/>
        <v>0</v>
      </c>
      <c r="BP65" s="38">
        <f t="shared" si="190"/>
        <v>0</v>
      </c>
      <c r="BQ65" s="38">
        <f t="shared" si="190"/>
        <v>0</v>
      </c>
      <c r="BR65" s="38">
        <f t="shared" si="190"/>
        <v>0</v>
      </c>
      <c r="BS65" s="38">
        <f t="shared" si="190"/>
        <v>0</v>
      </c>
      <c r="BT65" s="38">
        <f t="shared" si="190"/>
        <v>0</v>
      </c>
      <c r="BU65" s="38">
        <f t="shared" si="190"/>
        <v>0</v>
      </c>
      <c r="BV65" s="38">
        <f t="shared" si="190"/>
        <v>0</v>
      </c>
      <c r="BW65" s="38">
        <f t="shared" si="190"/>
        <v>0</v>
      </c>
      <c r="BX65" s="38">
        <f t="shared" ref="BX65:DC65" si="191">HH52</f>
        <v>0</v>
      </c>
      <c r="BY65" s="38">
        <f t="shared" si="191"/>
        <v>0</v>
      </c>
      <c r="BZ65" s="38">
        <f t="shared" si="191"/>
        <v>0</v>
      </c>
      <c r="CA65" s="38">
        <f t="shared" si="191"/>
        <v>0</v>
      </c>
      <c r="CB65" s="38">
        <f t="shared" si="191"/>
        <v>0</v>
      </c>
      <c r="CC65" s="38">
        <f t="shared" si="191"/>
        <v>0</v>
      </c>
      <c r="CD65" s="38">
        <f t="shared" si="191"/>
        <v>0</v>
      </c>
      <c r="CE65" s="38">
        <f t="shared" si="191"/>
        <v>0</v>
      </c>
      <c r="CF65" s="38">
        <f t="shared" si="191"/>
        <v>0</v>
      </c>
      <c r="CG65" s="38">
        <f t="shared" si="191"/>
        <v>0</v>
      </c>
      <c r="CH65" s="38">
        <f t="shared" si="191"/>
        <v>0</v>
      </c>
      <c r="CI65" s="38">
        <f t="shared" si="191"/>
        <v>0</v>
      </c>
      <c r="CJ65" s="38">
        <f t="shared" si="191"/>
        <v>0</v>
      </c>
      <c r="CK65" s="38">
        <f t="shared" si="191"/>
        <v>0</v>
      </c>
      <c r="CL65" s="38">
        <f t="shared" si="191"/>
        <v>0</v>
      </c>
      <c r="CM65" s="38">
        <f t="shared" si="191"/>
        <v>0</v>
      </c>
      <c r="CN65" s="38">
        <f t="shared" si="191"/>
        <v>0</v>
      </c>
      <c r="CO65" s="38">
        <f t="shared" si="191"/>
        <v>0</v>
      </c>
      <c r="CP65" s="38">
        <f t="shared" si="191"/>
        <v>0</v>
      </c>
      <c r="CQ65" s="38">
        <f t="shared" si="191"/>
        <v>0</v>
      </c>
      <c r="CR65" s="38">
        <f t="shared" si="191"/>
        <v>0</v>
      </c>
      <c r="CS65" s="38">
        <f t="shared" si="191"/>
        <v>0</v>
      </c>
      <c r="CT65" s="38">
        <f t="shared" si="191"/>
        <v>0</v>
      </c>
      <c r="CU65" s="38">
        <f t="shared" si="191"/>
        <v>0</v>
      </c>
      <c r="CV65" s="38">
        <f t="shared" si="191"/>
        <v>0</v>
      </c>
      <c r="CW65" s="38">
        <f t="shared" si="191"/>
        <v>0</v>
      </c>
      <c r="CX65" s="38">
        <f t="shared" si="191"/>
        <v>0</v>
      </c>
      <c r="CY65" s="38">
        <f t="shared" si="191"/>
        <v>0</v>
      </c>
      <c r="CZ65" s="38">
        <f t="shared" si="191"/>
        <v>0</v>
      </c>
      <c r="DA65" s="38">
        <f t="shared" si="191"/>
        <v>0</v>
      </c>
      <c r="DB65" s="38">
        <f t="shared" si="191"/>
        <v>0</v>
      </c>
      <c r="DC65" s="38">
        <f t="shared" si="191"/>
        <v>0</v>
      </c>
      <c r="DD65" s="38">
        <f t="shared" ref="DD65:EI65" si="192">IN52</f>
        <v>0</v>
      </c>
      <c r="DE65" s="38">
        <f t="shared" si="192"/>
        <v>0</v>
      </c>
      <c r="DF65" s="38">
        <f t="shared" si="192"/>
        <v>0</v>
      </c>
      <c r="DG65" s="38">
        <f t="shared" si="192"/>
        <v>0</v>
      </c>
      <c r="DH65" s="38">
        <f t="shared" si="192"/>
        <v>0</v>
      </c>
      <c r="DI65" s="38">
        <f t="shared" si="192"/>
        <v>0</v>
      </c>
      <c r="DJ65" s="38">
        <f t="shared" si="192"/>
        <v>0</v>
      </c>
      <c r="DK65" s="38">
        <f t="shared" si="192"/>
        <v>0</v>
      </c>
      <c r="DL65" s="38">
        <f t="shared" si="192"/>
        <v>0</v>
      </c>
      <c r="DM65" s="38">
        <f t="shared" si="192"/>
        <v>0</v>
      </c>
      <c r="DN65" s="38">
        <f t="shared" si="192"/>
        <v>0</v>
      </c>
      <c r="DO65" s="38">
        <f t="shared" si="192"/>
        <v>0</v>
      </c>
      <c r="DP65" s="38">
        <f t="shared" si="192"/>
        <v>0</v>
      </c>
      <c r="DQ65" s="38">
        <f t="shared" si="192"/>
        <v>0</v>
      </c>
      <c r="DR65" s="38">
        <f t="shared" si="192"/>
        <v>0</v>
      </c>
      <c r="DS65" s="38">
        <f t="shared" si="192"/>
        <v>0</v>
      </c>
      <c r="DT65" s="38">
        <f t="shared" si="192"/>
        <v>0</v>
      </c>
      <c r="DU65" s="38">
        <f t="shared" si="192"/>
        <v>0</v>
      </c>
      <c r="DV65" s="38">
        <f t="shared" si="192"/>
        <v>0</v>
      </c>
      <c r="DW65" s="38">
        <f t="shared" si="192"/>
        <v>0</v>
      </c>
      <c r="DX65" s="38">
        <f t="shared" si="192"/>
        <v>0</v>
      </c>
      <c r="DY65" s="38">
        <f t="shared" si="192"/>
        <v>0</v>
      </c>
      <c r="DZ65" s="38">
        <f t="shared" si="192"/>
        <v>0</v>
      </c>
      <c r="EA65" s="38">
        <f t="shared" si="192"/>
        <v>0</v>
      </c>
      <c r="EB65" s="38">
        <f t="shared" si="192"/>
        <v>0</v>
      </c>
      <c r="EC65" s="38">
        <f t="shared" si="192"/>
        <v>0</v>
      </c>
      <c r="ED65" s="38">
        <f t="shared" si="192"/>
        <v>0</v>
      </c>
      <c r="EE65" s="38">
        <f t="shared" si="192"/>
        <v>0</v>
      </c>
      <c r="EF65" s="38">
        <f t="shared" si="192"/>
        <v>0</v>
      </c>
      <c r="EG65" s="38">
        <f t="shared" si="192"/>
        <v>0</v>
      </c>
      <c r="EH65" s="38">
        <f t="shared" si="192"/>
        <v>0</v>
      </c>
      <c r="EI65" s="38">
        <f t="shared" si="192"/>
        <v>0</v>
      </c>
      <c r="EJ65" s="38">
        <f>JT52</f>
        <v>0</v>
      </c>
      <c r="EK65" s="38">
        <f>JU52</f>
        <v>0</v>
      </c>
      <c r="EL65" s="38">
        <f>JV52</f>
        <v>0</v>
      </c>
      <c r="EM65" s="38">
        <f>JW52</f>
        <v>0</v>
      </c>
      <c r="EN65" s="38">
        <f>JX52</f>
        <v>0</v>
      </c>
      <c r="EP65" s="24" t="s">
        <v>61</v>
      </c>
      <c r="EQ65" s="24"/>
      <c r="ER65" s="24"/>
      <c r="ES65" s="24"/>
      <c r="ET65" s="24"/>
      <c r="EU65" s="47">
        <f>I56</f>
        <v>14637214.272123538</v>
      </c>
      <c r="EV65" s="30">
        <f t="shared" ref="EV65:GA65" si="193">EU65-EV52</f>
        <v>10884054.744462244</v>
      </c>
      <c r="EW65" s="30">
        <f t="shared" si="193"/>
        <v>10449439.308132324</v>
      </c>
      <c r="EX65" s="30">
        <f t="shared" si="193"/>
        <v>9854324.0922707114</v>
      </c>
      <c r="EY65" s="30">
        <f t="shared" si="193"/>
        <v>8940914.908677062</v>
      </c>
      <c r="EZ65" s="30">
        <f t="shared" si="193"/>
        <v>7473094.0047955364</v>
      </c>
      <c r="FA65" s="30">
        <f t="shared" si="193"/>
        <v>5163464.3313213699</v>
      </c>
      <c r="FB65" s="30">
        <f t="shared" si="193"/>
        <v>1753606.1237601093</v>
      </c>
      <c r="FC65" s="30">
        <f t="shared" si="193"/>
        <v>0</v>
      </c>
      <c r="FD65" s="30">
        <f t="shared" si="193"/>
        <v>0</v>
      </c>
      <c r="FE65" s="30">
        <f t="shared" si="193"/>
        <v>0</v>
      </c>
      <c r="FF65" s="30">
        <f t="shared" si="193"/>
        <v>0</v>
      </c>
      <c r="FG65" s="30">
        <f t="shared" si="193"/>
        <v>0</v>
      </c>
      <c r="FH65" s="30">
        <f t="shared" si="193"/>
        <v>0</v>
      </c>
      <c r="FI65" s="30">
        <f t="shared" si="193"/>
        <v>0</v>
      </c>
      <c r="FJ65" s="30">
        <f t="shared" si="193"/>
        <v>0</v>
      </c>
      <c r="FK65" s="30">
        <f t="shared" si="193"/>
        <v>0</v>
      </c>
      <c r="FL65" s="30">
        <f t="shared" si="193"/>
        <v>0</v>
      </c>
      <c r="FM65" s="30">
        <f t="shared" si="193"/>
        <v>0</v>
      </c>
      <c r="FN65" s="30">
        <f t="shared" si="193"/>
        <v>0</v>
      </c>
      <c r="FO65" s="30">
        <f t="shared" si="193"/>
        <v>0</v>
      </c>
      <c r="FP65" s="30">
        <f t="shared" si="193"/>
        <v>0</v>
      </c>
      <c r="FQ65" s="30">
        <f t="shared" si="193"/>
        <v>0</v>
      </c>
      <c r="FR65" s="30">
        <f t="shared" si="193"/>
        <v>0</v>
      </c>
      <c r="FS65" s="30">
        <f t="shared" si="193"/>
        <v>0</v>
      </c>
      <c r="FT65" s="30">
        <f t="shared" si="193"/>
        <v>0</v>
      </c>
      <c r="FU65" s="30">
        <f t="shared" si="193"/>
        <v>0</v>
      </c>
      <c r="FV65" s="30">
        <f t="shared" si="193"/>
        <v>0</v>
      </c>
      <c r="FW65" s="30">
        <f t="shared" si="193"/>
        <v>0</v>
      </c>
      <c r="FX65" s="30">
        <f t="shared" si="193"/>
        <v>0</v>
      </c>
      <c r="FY65" s="30">
        <f t="shared" si="193"/>
        <v>0</v>
      </c>
      <c r="FZ65" s="30">
        <f t="shared" si="193"/>
        <v>0</v>
      </c>
      <c r="GA65" s="30">
        <f t="shared" si="193"/>
        <v>0</v>
      </c>
      <c r="GB65" s="30">
        <f t="shared" ref="GB65:HG65" si="194">GA65-GB52</f>
        <v>0</v>
      </c>
      <c r="GC65" s="30">
        <f t="shared" si="194"/>
        <v>0</v>
      </c>
      <c r="GD65" s="30">
        <f t="shared" si="194"/>
        <v>0</v>
      </c>
      <c r="GE65" s="30">
        <f t="shared" si="194"/>
        <v>0</v>
      </c>
      <c r="GF65" s="30">
        <f t="shared" si="194"/>
        <v>0</v>
      </c>
      <c r="GG65" s="30">
        <f t="shared" si="194"/>
        <v>0</v>
      </c>
      <c r="GH65" s="30">
        <f t="shared" si="194"/>
        <v>0</v>
      </c>
      <c r="GI65" s="30">
        <f t="shared" si="194"/>
        <v>0</v>
      </c>
      <c r="GJ65" s="30">
        <f t="shared" si="194"/>
        <v>0</v>
      </c>
      <c r="GK65" s="30">
        <f t="shared" si="194"/>
        <v>0</v>
      </c>
      <c r="GL65" s="30">
        <f t="shared" si="194"/>
        <v>0</v>
      </c>
      <c r="GM65" s="30">
        <f t="shared" si="194"/>
        <v>0</v>
      </c>
      <c r="GN65" s="30">
        <f t="shared" si="194"/>
        <v>0</v>
      </c>
      <c r="GO65" s="30">
        <f t="shared" si="194"/>
        <v>0</v>
      </c>
      <c r="GP65" s="30">
        <f t="shared" si="194"/>
        <v>0</v>
      </c>
      <c r="GQ65" s="30">
        <f t="shared" si="194"/>
        <v>0</v>
      </c>
      <c r="GR65" s="30">
        <f t="shared" si="194"/>
        <v>0</v>
      </c>
      <c r="GS65" s="30">
        <f t="shared" si="194"/>
        <v>0</v>
      </c>
      <c r="GT65" s="30">
        <f t="shared" si="194"/>
        <v>0</v>
      </c>
      <c r="GU65" s="30">
        <f t="shared" si="194"/>
        <v>0</v>
      </c>
      <c r="GV65" s="30">
        <f t="shared" si="194"/>
        <v>0</v>
      </c>
      <c r="GW65" s="30">
        <f t="shared" si="194"/>
        <v>0</v>
      </c>
      <c r="GX65" s="30">
        <f t="shared" si="194"/>
        <v>0</v>
      </c>
      <c r="GY65" s="30">
        <f t="shared" si="194"/>
        <v>0</v>
      </c>
      <c r="GZ65" s="30">
        <f t="shared" si="194"/>
        <v>0</v>
      </c>
      <c r="HA65" s="30">
        <f t="shared" si="194"/>
        <v>0</v>
      </c>
      <c r="HB65" s="30">
        <f t="shared" si="194"/>
        <v>0</v>
      </c>
      <c r="HC65" s="30">
        <f t="shared" si="194"/>
        <v>0</v>
      </c>
      <c r="HD65" s="30">
        <f t="shared" si="194"/>
        <v>0</v>
      </c>
      <c r="HE65" s="30">
        <f t="shared" si="194"/>
        <v>0</v>
      </c>
      <c r="HF65" s="30">
        <f t="shared" si="194"/>
        <v>0</v>
      </c>
      <c r="HG65" s="30">
        <f t="shared" si="194"/>
        <v>0</v>
      </c>
      <c r="HH65" s="30">
        <f t="shared" ref="HH65:IM65" si="195">HG65-HH52</f>
        <v>0</v>
      </c>
      <c r="HI65" s="30">
        <f t="shared" si="195"/>
        <v>0</v>
      </c>
      <c r="HJ65" s="30">
        <f t="shared" si="195"/>
        <v>0</v>
      </c>
      <c r="HK65" s="30">
        <f t="shared" si="195"/>
        <v>0</v>
      </c>
      <c r="HL65" s="30">
        <f t="shared" si="195"/>
        <v>0</v>
      </c>
      <c r="HM65" s="30">
        <f t="shared" si="195"/>
        <v>0</v>
      </c>
      <c r="HN65" s="30">
        <f t="shared" si="195"/>
        <v>0</v>
      </c>
      <c r="HO65" s="30">
        <f t="shared" si="195"/>
        <v>0</v>
      </c>
      <c r="HP65" s="30">
        <f t="shared" si="195"/>
        <v>0</v>
      </c>
      <c r="HQ65" s="30">
        <f t="shared" si="195"/>
        <v>0</v>
      </c>
      <c r="HR65" s="30">
        <f t="shared" si="195"/>
        <v>0</v>
      </c>
      <c r="HS65" s="30">
        <f t="shared" si="195"/>
        <v>0</v>
      </c>
      <c r="HT65" s="30">
        <f t="shared" si="195"/>
        <v>0</v>
      </c>
      <c r="HU65" s="30">
        <f t="shared" si="195"/>
        <v>0</v>
      </c>
      <c r="HV65" s="30">
        <f t="shared" si="195"/>
        <v>0</v>
      </c>
      <c r="HW65" s="30">
        <f t="shared" si="195"/>
        <v>0</v>
      </c>
      <c r="HX65" s="30">
        <f t="shared" si="195"/>
        <v>0</v>
      </c>
      <c r="HY65" s="30">
        <f t="shared" si="195"/>
        <v>0</v>
      </c>
      <c r="HZ65" s="30">
        <f t="shared" si="195"/>
        <v>0</v>
      </c>
      <c r="IA65" s="30">
        <f t="shared" si="195"/>
        <v>0</v>
      </c>
      <c r="IB65" s="30">
        <f t="shared" si="195"/>
        <v>0</v>
      </c>
      <c r="IC65" s="30">
        <f t="shared" si="195"/>
        <v>0</v>
      </c>
      <c r="ID65" s="30">
        <f t="shared" si="195"/>
        <v>0</v>
      </c>
      <c r="IE65" s="30">
        <f t="shared" si="195"/>
        <v>0</v>
      </c>
      <c r="IF65" s="30">
        <f t="shared" si="195"/>
        <v>0</v>
      </c>
      <c r="IG65" s="30">
        <f t="shared" si="195"/>
        <v>0</v>
      </c>
      <c r="IH65" s="30">
        <f t="shared" si="195"/>
        <v>0</v>
      </c>
      <c r="II65" s="30">
        <f t="shared" si="195"/>
        <v>0</v>
      </c>
      <c r="IJ65" s="30">
        <f t="shared" si="195"/>
        <v>0</v>
      </c>
      <c r="IK65" s="30">
        <f t="shared" si="195"/>
        <v>0</v>
      </c>
      <c r="IL65" s="30">
        <f t="shared" si="195"/>
        <v>0</v>
      </c>
      <c r="IM65" s="30">
        <f t="shared" si="195"/>
        <v>0</v>
      </c>
      <c r="IN65" s="30">
        <f t="shared" ref="IN65:JX65" si="196">IM65-IN52</f>
        <v>0</v>
      </c>
      <c r="IO65" s="30">
        <f t="shared" si="196"/>
        <v>0</v>
      </c>
      <c r="IP65" s="30">
        <f t="shared" si="196"/>
        <v>0</v>
      </c>
      <c r="IQ65" s="30">
        <f t="shared" si="196"/>
        <v>0</v>
      </c>
      <c r="IR65" s="30">
        <f t="shared" si="196"/>
        <v>0</v>
      </c>
      <c r="IS65" s="30">
        <f t="shared" si="196"/>
        <v>0</v>
      </c>
      <c r="IT65" s="30">
        <f t="shared" si="196"/>
        <v>0</v>
      </c>
      <c r="IU65" s="30">
        <f t="shared" si="196"/>
        <v>0</v>
      </c>
      <c r="IV65" s="30">
        <f t="shared" si="196"/>
        <v>0</v>
      </c>
      <c r="IW65" s="30">
        <f t="shared" si="196"/>
        <v>0</v>
      </c>
      <c r="IX65" s="30">
        <f t="shared" si="196"/>
        <v>0</v>
      </c>
      <c r="IY65" s="30">
        <f t="shared" si="196"/>
        <v>0</v>
      </c>
      <c r="IZ65" s="30">
        <f t="shared" si="196"/>
        <v>0</v>
      </c>
      <c r="JA65" s="30">
        <f t="shared" si="196"/>
        <v>0</v>
      </c>
      <c r="JB65" s="30">
        <f t="shared" si="196"/>
        <v>0</v>
      </c>
      <c r="JC65" s="30">
        <f t="shared" si="196"/>
        <v>0</v>
      </c>
      <c r="JD65" s="30">
        <f t="shared" si="196"/>
        <v>0</v>
      </c>
      <c r="JE65" s="30">
        <f t="shared" si="196"/>
        <v>0</v>
      </c>
      <c r="JF65" s="30">
        <f t="shared" si="196"/>
        <v>0</v>
      </c>
      <c r="JG65" s="30">
        <f t="shared" si="196"/>
        <v>0</v>
      </c>
      <c r="JH65" s="30">
        <f t="shared" si="196"/>
        <v>0</v>
      </c>
      <c r="JI65" s="30">
        <f t="shared" si="196"/>
        <v>0</v>
      </c>
      <c r="JJ65" s="30">
        <f t="shared" si="196"/>
        <v>0</v>
      </c>
      <c r="JK65" s="30">
        <f t="shared" si="196"/>
        <v>0</v>
      </c>
      <c r="JL65" s="30">
        <f t="shared" si="196"/>
        <v>0</v>
      </c>
      <c r="JM65" s="30">
        <f t="shared" si="196"/>
        <v>0</v>
      </c>
      <c r="JN65" s="30">
        <f t="shared" si="196"/>
        <v>0</v>
      </c>
      <c r="JO65" s="30">
        <f t="shared" si="196"/>
        <v>0</v>
      </c>
      <c r="JP65" s="30">
        <f t="shared" si="196"/>
        <v>0</v>
      </c>
      <c r="JQ65" s="30">
        <f t="shared" si="196"/>
        <v>0</v>
      </c>
      <c r="JR65" s="30">
        <f t="shared" si="196"/>
        <v>0</v>
      </c>
      <c r="JS65" s="30">
        <f t="shared" si="196"/>
        <v>0</v>
      </c>
      <c r="JT65" s="30">
        <f t="shared" si="196"/>
        <v>0</v>
      </c>
      <c r="JU65" s="30">
        <f t="shared" si="196"/>
        <v>0</v>
      </c>
      <c r="JV65" s="30">
        <f t="shared" si="196"/>
        <v>0</v>
      </c>
      <c r="JW65" s="30">
        <f t="shared" si="196"/>
        <v>0</v>
      </c>
      <c r="JX65" s="30">
        <f t="shared" si="196"/>
        <v>0</v>
      </c>
    </row>
    <row r="66" spans="1:284" s="7" customFormat="1" ht="5.0999999999999996" customHeight="1" x14ac:dyDescent="0.2">
      <c r="A66" s="406"/>
      <c r="B66" s="147"/>
      <c r="C66" s="156"/>
      <c r="D66" s="120"/>
      <c r="E66" s="120"/>
      <c r="F66" s="120"/>
      <c r="G66" s="389"/>
      <c r="H66" s="120"/>
      <c r="I66" s="151"/>
      <c r="EP66" s="24" t="s">
        <v>71</v>
      </c>
      <c r="EQ66" s="24"/>
      <c r="ER66" s="24"/>
      <c r="ES66" s="24"/>
      <c r="ET66" s="33" t="s">
        <v>81</v>
      </c>
      <c r="EU66" s="47">
        <f>EU48+I49-EU52</f>
        <v>40569173.716195174</v>
      </c>
      <c r="EV66" s="30">
        <f t="shared" ref="EV66:GA66" si="197">EU66-EV53</f>
        <v>40569173.716195174</v>
      </c>
      <c r="EW66" s="30">
        <f t="shared" si="197"/>
        <v>40569173.716195174</v>
      </c>
      <c r="EX66" s="30">
        <f t="shared" si="197"/>
        <v>40569173.716195174</v>
      </c>
      <c r="EY66" s="30">
        <f t="shared" si="197"/>
        <v>40569173.716195174</v>
      </c>
      <c r="EZ66" s="30">
        <f t="shared" si="197"/>
        <v>40569173.716195174</v>
      </c>
      <c r="FA66" s="30">
        <f t="shared" si="197"/>
        <v>40569173.716195174</v>
      </c>
      <c r="FB66" s="30">
        <f t="shared" si="197"/>
        <v>40569173.716195174</v>
      </c>
      <c r="FC66" s="30">
        <f t="shared" si="197"/>
        <v>37704146.51930622</v>
      </c>
      <c r="FD66" s="30">
        <f t="shared" si="197"/>
        <v>32027036.897295743</v>
      </c>
      <c r="FE66" s="30">
        <f t="shared" si="197"/>
        <v>25726614.230328716</v>
      </c>
      <c r="FF66" s="30">
        <f t="shared" si="197"/>
        <v>19426191.563361686</v>
      </c>
      <c r="FG66" s="30">
        <f t="shared" si="197"/>
        <v>13749081.941351211</v>
      </c>
      <c r="FH66" s="30">
        <f t="shared" si="197"/>
        <v>9130448.6207021438</v>
      </c>
      <c r="FI66" s="30">
        <f t="shared" si="197"/>
        <v>5720590.4131408846</v>
      </c>
      <c r="FJ66" s="30">
        <f t="shared" si="197"/>
        <v>3410960.7396667181</v>
      </c>
      <c r="FK66" s="30">
        <f t="shared" si="197"/>
        <v>1943139.8357851936</v>
      </c>
      <c r="FL66" s="30">
        <f t="shared" si="197"/>
        <v>1029730.6521915429</v>
      </c>
      <c r="FM66" s="30">
        <f t="shared" si="197"/>
        <v>434615.43632993347</v>
      </c>
      <c r="FN66" s="30">
        <f t="shared" si="197"/>
        <v>1.1583324521780014E-8</v>
      </c>
      <c r="FO66" s="30">
        <f t="shared" si="197"/>
        <v>1.1583324521780014E-8</v>
      </c>
      <c r="FP66" s="30">
        <f t="shared" si="197"/>
        <v>1.1583324521780014E-8</v>
      </c>
      <c r="FQ66" s="30">
        <f t="shared" si="197"/>
        <v>1.1583324521780014E-8</v>
      </c>
      <c r="FR66" s="30">
        <f t="shared" si="197"/>
        <v>1.1583324521780014E-8</v>
      </c>
      <c r="FS66" s="30">
        <f t="shared" si="197"/>
        <v>1.1583324521780014E-8</v>
      </c>
      <c r="FT66" s="30">
        <f t="shared" si="197"/>
        <v>1.1583324521780014E-8</v>
      </c>
      <c r="FU66" s="30">
        <f t="shared" si="197"/>
        <v>1.1583324521780014E-8</v>
      </c>
      <c r="FV66" s="30">
        <f t="shared" si="197"/>
        <v>1.1583324521780014E-8</v>
      </c>
      <c r="FW66" s="30">
        <f t="shared" si="197"/>
        <v>1.1583324521780014E-8</v>
      </c>
      <c r="FX66" s="30">
        <f t="shared" si="197"/>
        <v>1.1583324521780014E-8</v>
      </c>
      <c r="FY66" s="30">
        <f t="shared" si="197"/>
        <v>1.1583324521780014E-8</v>
      </c>
      <c r="FZ66" s="30">
        <f t="shared" si="197"/>
        <v>1.1583324521780014E-8</v>
      </c>
      <c r="GA66" s="30">
        <f t="shared" si="197"/>
        <v>1.1583324521780014E-8</v>
      </c>
      <c r="GB66" s="30">
        <f t="shared" ref="GB66:HG66" si="198">GA66-GB53</f>
        <v>1.1583324521780014E-8</v>
      </c>
      <c r="GC66" s="30">
        <f t="shared" si="198"/>
        <v>1.1583324521780014E-8</v>
      </c>
      <c r="GD66" s="30">
        <f t="shared" si="198"/>
        <v>1.1583324521780014E-8</v>
      </c>
      <c r="GE66" s="30">
        <f t="shared" si="198"/>
        <v>1.1583324521780014E-8</v>
      </c>
      <c r="GF66" s="30">
        <f t="shared" si="198"/>
        <v>1.1583324521780014E-8</v>
      </c>
      <c r="GG66" s="30">
        <f t="shared" si="198"/>
        <v>1.1583324521780014E-8</v>
      </c>
      <c r="GH66" s="30">
        <f t="shared" si="198"/>
        <v>1.1583324521780014E-8</v>
      </c>
      <c r="GI66" s="30">
        <f t="shared" si="198"/>
        <v>1.1583324521780014E-8</v>
      </c>
      <c r="GJ66" s="30">
        <f t="shared" si="198"/>
        <v>1.1583324521780014E-8</v>
      </c>
      <c r="GK66" s="30">
        <f t="shared" si="198"/>
        <v>1.1583324521780014E-8</v>
      </c>
      <c r="GL66" s="30">
        <f t="shared" si="198"/>
        <v>1.1583324521780014E-8</v>
      </c>
      <c r="GM66" s="30">
        <f t="shared" si="198"/>
        <v>1.1583324521780014E-8</v>
      </c>
      <c r="GN66" s="30">
        <f t="shared" si="198"/>
        <v>1.1583324521780014E-8</v>
      </c>
      <c r="GO66" s="30">
        <f t="shared" si="198"/>
        <v>1.1583324521780014E-8</v>
      </c>
      <c r="GP66" s="30">
        <f t="shared" si="198"/>
        <v>1.1583324521780014E-8</v>
      </c>
      <c r="GQ66" s="30">
        <f t="shared" si="198"/>
        <v>1.1583324521780014E-8</v>
      </c>
      <c r="GR66" s="30">
        <f t="shared" si="198"/>
        <v>1.1583324521780014E-8</v>
      </c>
      <c r="GS66" s="30">
        <f t="shared" si="198"/>
        <v>1.1583324521780014E-8</v>
      </c>
      <c r="GT66" s="30">
        <f t="shared" si="198"/>
        <v>1.1583324521780014E-8</v>
      </c>
      <c r="GU66" s="30">
        <f t="shared" si="198"/>
        <v>1.1583324521780014E-8</v>
      </c>
      <c r="GV66" s="30">
        <f t="shared" si="198"/>
        <v>1.1583324521780014E-8</v>
      </c>
      <c r="GW66" s="30">
        <f t="shared" si="198"/>
        <v>1.1583324521780014E-8</v>
      </c>
      <c r="GX66" s="30">
        <f t="shared" si="198"/>
        <v>1.1583324521780014E-8</v>
      </c>
      <c r="GY66" s="30">
        <f t="shared" si="198"/>
        <v>1.1583324521780014E-8</v>
      </c>
      <c r="GZ66" s="30">
        <f t="shared" si="198"/>
        <v>1.1583324521780014E-8</v>
      </c>
      <c r="HA66" s="30">
        <f t="shared" si="198"/>
        <v>1.1583324521780014E-8</v>
      </c>
      <c r="HB66" s="30">
        <f t="shared" si="198"/>
        <v>1.1583324521780014E-8</v>
      </c>
      <c r="HC66" s="30">
        <f t="shared" si="198"/>
        <v>1.1583324521780014E-8</v>
      </c>
      <c r="HD66" s="30">
        <f t="shared" si="198"/>
        <v>1.1583324521780014E-8</v>
      </c>
      <c r="HE66" s="30">
        <f t="shared" si="198"/>
        <v>1.1583324521780014E-8</v>
      </c>
      <c r="HF66" s="30">
        <f t="shared" si="198"/>
        <v>1.1583324521780014E-8</v>
      </c>
      <c r="HG66" s="30">
        <f t="shared" si="198"/>
        <v>1.1583324521780014E-8</v>
      </c>
      <c r="HH66" s="30">
        <f t="shared" ref="HH66:IM66" si="199">HG66-HH53</f>
        <v>1.1583324521780014E-8</v>
      </c>
      <c r="HI66" s="30">
        <f t="shared" si="199"/>
        <v>1.1583324521780014E-8</v>
      </c>
      <c r="HJ66" s="30">
        <f t="shared" si="199"/>
        <v>1.1583324521780014E-8</v>
      </c>
      <c r="HK66" s="30">
        <f t="shared" si="199"/>
        <v>1.1583324521780014E-8</v>
      </c>
      <c r="HL66" s="30">
        <f t="shared" si="199"/>
        <v>1.1583324521780014E-8</v>
      </c>
      <c r="HM66" s="30">
        <f t="shared" si="199"/>
        <v>1.1583324521780014E-8</v>
      </c>
      <c r="HN66" s="30">
        <f t="shared" si="199"/>
        <v>1.1583324521780014E-8</v>
      </c>
      <c r="HO66" s="30">
        <f t="shared" si="199"/>
        <v>1.1583324521780014E-8</v>
      </c>
      <c r="HP66" s="30">
        <f t="shared" si="199"/>
        <v>1.1583324521780014E-8</v>
      </c>
      <c r="HQ66" s="30">
        <f t="shared" si="199"/>
        <v>1.1583324521780014E-8</v>
      </c>
      <c r="HR66" s="30">
        <f t="shared" si="199"/>
        <v>1.1583324521780014E-8</v>
      </c>
      <c r="HS66" s="30">
        <f t="shared" si="199"/>
        <v>1.1583324521780014E-8</v>
      </c>
      <c r="HT66" s="30">
        <f t="shared" si="199"/>
        <v>1.1583324521780014E-8</v>
      </c>
      <c r="HU66" s="30">
        <f t="shared" si="199"/>
        <v>1.1583324521780014E-8</v>
      </c>
      <c r="HV66" s="30">
        <f t="shared" si="199"/>
        <v>1.1583324521780014E-8</v>
      </c>
      <c r="HW66" s="30">
        <f t="shared" si="199"/>
        <v>1.1583324521780014E-8</v>
      </c>
      <c r="HX66" s="30">
        <f t="shared" si="199"/>
        <v>1.1583324521780014E-8</v>
      </c>
      <c r="HY66" s="30">
        <f t="shared" si="199"/>
        <v>1.1583324521780014E-8</v>
      </c>
      <c r="HZ66" s="30">
        <f t="shared" si="199"/>
        <v>1.1583324521780014E-8</v>
      </c>
      <c r="IA66" s="30">
        <f t="shared" si="199"/>
        <v>1.1583324521780014E-8</v>
      </c>
      <c r="IB66" s="30">
        <f t="shared" si="199"/>
        <v>1.1583324521780014E-8</v>
      </c>
      <c r="IC66" s="30">
        <f t="shared" si="199"/>
        <v>1.1583324521780014E-8</v>
      </c>
      <c r="ID66" s="30">
        <f t="shared" si="199"/>
        <v>1.1583324521780014E-8</v>
      </c>
      <c r="IE66" s="30">
        <f t="shared" si="199"/>
        <v>1.1583324521780014E-8</v>
      </c>
      <c r="IF66" s="30">
        <f t="shared" si="199"/>
        <v>1.1583324521780014E-8</v>
      </c>
      <c r="IG66" s="30">
        <f t="shared" si="199"/>
        <v>1.1583324521780014E-8</v>
      </c>
      <c r="IH66" s="30">
        <f t="shared" si="199"/>
        <v>1.1583324521780014E-8</v>
      </c>
      <c r="II66" s="30">
        <f t="shared" si="199"/>
        <v>1.1583324521780014E-8</v>
      </c>
      <c r="IJ66" s="30">
        <f t="shared" si="199"/>
        <v>1.1583324521780014E-8</v>
      </c>
      <c r="IK66" s="30">
        <f t="shared" si="199"/>
        <v>1.1583324521780014E-8</v>
      </c>
      <c r="IL66" s="30">
        <f t="shared" si="199"/>
        <v>1.1583324521780014E-8</v>
      </c>
      <c r="IM66" s="30">
        <f t="shared" si="199"/>
        <v>1.1583324521780014E-8</v>
      </c>
      <c r="IN66" s="30">
        <f t="shared" ref="IN66:JX66" si="200">IM66-IN53</f>
        <v>1.1583324521780014E-8</v>
      </c>
      <c r="IO66" s="30">
        <f t="shared" si="200"/>
        <v>1.1583324521780014E-8</v>
      </c>
      <c r="IP66" s="30">
        <f t="shared" si="200"/>
        <v>1.1583324521780014E-8</v>
      </c>
      <c r="IQ66" s="30">
        <f t="shared" si="200"/>
        <v>1.1583324521780014E-8</v>
      </c>
      <c r="IR66" s="30">
        <f t="shared" si="200"/>
        <v>1.1583324521780014E-8</v>
      </c>
      <c r="IS66" s="30">
        <f t="shared" si="200"/>
        <v>1.1583324521780014E-8</v>
      </c>
      <c r="IT66" s="30">
        <f t="shared" si="200"/>
        <v>1.1583324521780014E-8</v>
      </c>
      <c r="IU66" s="30">
        <f t="shared" si="200"/>
        <v>1.1583324521780014E-8</v>
      </c>
      <c r="IV66" s="30">
        <f t="shared" si="200"/>
        <v>1.1583324521780014E-8</v>
      </c>
      <c r="IW66" s="30">
        <f t="shared" si="200"/>
        <v>1.1583324521780014E-8</v>
      </c>
      <c r="IX66" s="30">
        <f t="shared" si="200"/>
        <v>1.1583324521780014E-8</v>
      </c>
      <c r="IY66" s="30">
        <f t="shared" si="200"/>
        <v>1.1583324521780014E-8</v>
      </c>
      <c r="IZ66" s="30">
        <f t="shared" si="200"/>
        <v>1.1583324521780014E-8</v>
      </c>
      <c r="JA66" s="30">
        <f t="shared" si="200"/>
        <v>1.1583324521780014E-8</v>
      </c>
      <c r="JB66" s="30">
        <f t="shared" si="200"/>
        <v>1.1583324521780014E-8</v>
      </c>
      <c r="JC66" s="30">
        <f t="shared" si="200"/>
        <v>1.1583324521780014E-8</v>
      </c>
      <c r="JD66" s="30">
        <f t="shared" si="200"/>
        <v>1.1583324521780014E-8</v>
      </c>
      <c r="JE66" s="30">
        <f t="shared" si="200"/>
        <v>1.1583324521780014E-8</v>
      </c>
      <c r="JF66" s="30">
        <f t="shared" si="200"/>
        <v>1.1583324521780014E-8</v>
      </c>
      <c r="JG66" s="30">
        <f t="shared" si="200"/>
        <v>1.1583324521780014E-8</v>
      </c>
      <c r="JH66" s="30">
        <f t="shared" si="200"/>
        <v>1.1583324521780014E-8</v>
      </c>
      <c r="JI66" s="30">
        <f t="shared" si="200"/>
        <v>1.1583324521780014E-8</v>
      </c>
      <c r="JJ66" s="30">
        <f t="shared" si="200"/>
        <v>1.1583324521780014E-8</v>
      </c>
      <c r="JK66" s="30">
        <f t="shared" si="200"/>
        <v>1.1583324521780014E-8</v>
      </c>
      <c r="JL66" s="30">
        <f t="shared" si="200"/>
        <v>1.1583324521780014E-8</v>
      </c>
      <c r="JM66" s="30">
        <f t="shared" si="200"/>
        <v>1.1583324521780014E-8</v>
      </c>
      <c r="JN66" s="30">
        <f t="shared" si="200"/>
        <v>1.1583324521780014E-8</v>
      </c>
      <c r="JO66" s="30">
        <f t="shared" si="200"/>
        <v>1.1583324521780014E-8</v>
      </c>
      <c r="JP66" s="30">
        <f t="shared" si="200"/>
        <v>1.1583324521780014E-8</v>
      </c>
      <c r="JQ66" s="30">
        <f t="shared" si="200"/>
        <v>1.1583324521780014E-8</v>
      </c>
      <c r="JR66" s="30">
        <f t="shared" si="200"/>
        <v>1.1583324521780014E-8</v>
      </c>
      <c r="JS66" s="30">
        <f t="shared" si="200"/>
        <v>1.1583324521780014E-8</v>
      </c>
      <c r="JT66" s="30">
        <f t="shared" si="200"/>
        <v>1.1583324521780014E-8</v>
      </c>
      <c r="JU66" s="30">
        <f t="shared" si="200"/>
        <v>1.1583324521780014E-8</v>
      </c>
      <c r="JV66" s="30">
        <f t="shared" si="200"/>
        <v>1.1583324521780014E-8</v>
      </c>
      <c r="JW66" s="30">
        <f t="shared" si="200"/>
        <v>1.1583324521780014E-8</v>
      </c>
      <c r="JX66" s="30">
        <f t="shared" si="200"/>
        <v>1.1583324521780014E-8</v>
      </c>
    </row>
    <row r="67" spans="1:284" s="7" customFormat="1" x14ac:dyDescent="0.2">
      <c r="A67" s="406"/>
      <c r="B67" s="92" t="s">
        <v>603</v>
      </c>
      <c r="C67" s="157"/>
      <c r="D67" s="120"/>
      <c r="E67" s="102"/>
      <c r="F67" s="120"/>
      <c r="G67" s="389"/>
      <c r="H67" s="120"/>
      <c r="I67" s="118"/>
      <c r="EP67" s="24" t="s">
        <v>72</v>
      </c>
      <c r="EQ67" s="24"/>
      <c r="ER67" s="24"/>
      <c r="ES67" s="24"/>
      <c r="ET67" s="33" t="s">
        <v>81</v>
      </c>
      <c r="EU67" s="47">
        <f>EU54</f>
        <v>2970160.4706887952</v>
      </c>
      <c r="EV67" s="30">
        <f t="shared" ref="EV67:GA67" si="201">EU67-EV54</f>
        <v>2970160.4706887952</v>
      </c>
      <c r="EW67" s="30">
        <f t="shared" si="201"/>
        <v>2970160.4706887952</v>
      </c>
      <c r="EX67" s="30">
        <f t="shared" si="201"/>
        <v>2970160.4706887952</v>
      </c>
      <c r="EY67" s="30">
        <f t="shared" si="201"/>
        <v>2970160.4706887952</v>
      </c>
      <c r="EZ67" s="30">
        <f t="shared" si="201"/>
        <v>2970160.4706887952</v>
      </c>
      <c r="FA67" s="30">
        <f t="shared" si="201"/>
        <v>2970160.4706887952</v>
      </c>
      <c r="FB67" s="30">
        <f t="shared" si="201"/>
        <v>2970160.4706887952</v>
      </c>
      <c r="FC67" s="30">
        <f t="shared" si="201"/>
        <v>2970160.4706887952</v>
      </c>
      <c r="FD67" s="30">
        <f t="shared" si="201"/>
        <v>2958222.8573684245</v>
      </c>
      <c r="FE67" s="30">
        <f t="shared" si="201"/>
        <v>2922580.8805675087</v>
      </c>
      <c r="FF67" s="30">
        <f t="shared" si="201"/>
        <v>2860538.63441756</v>
      </c>
      <c r="FG67" s="30">
        <f t="shared" si="201"/>
        <v>2771986.1177962902</v>
      </c>
      <c r="FH67" s="30">
        <f t="shared" si="201"/>
        <v>2659410.0089307213</v>
      </c>
      <c r="FI67" s="30">
        <f t="shared" si="201"/>
        <v>2521669.4986514063</v>
      </c>
      <c r="FJ67" s="30">
        <f t="shared" si="201"/>
        <v>2363430.0514642433</v>
      </c>
      <c r="FK67" s="30">
        <f t="shared" si="201"/>
        <v>2190993.2917582542</v>
      </c>
      <c r="FL67" s="30">
        <f t="shared" si="201"/>
        <v>2009154.8226231397</v>
      </c>
      <c r="FM67" s="30">
        <f t="shared" si="201"/>
        <v>1821029.8839302131</v>
      </c>
      <c r="FN67" s="30">
        <f t="shared" si="201"/>
        <v>1628372.6692193018</v>
      </c>
      <c r="FO67" s="30">
        <f t="shared" si="201"/>
        <v>1432788.1821368665</v>
      </c>
      <c r="FP67" s="30">
        <f t="shared" si="201"/>
        <v>1235651.5681899302</v>
      </c>
      <c r="FQ67" s="30">
        <f t="shared" si="201"/>
        <v>1037101.5373619717</v>
      </c>
      <c r="FR67" s="30">
        <f t="shared" si="201"/>
        <v>837277.44694972644</v>
      </c>
      <c r="FS67" s="30">
        <f t="shared" si="201"/>
        <v>636319.30458398128</v>
      </c>
      <c r="FT67" s="30">
        <f t="shared" si="201"/>
        <v>453732.11828965478</v>
      </c>
      <c r="FU67" s="30">
        <f t="shared" si="201"/>
        <v>301568.55321217701</v>
      </c>
      <c r="FV67" s="30">
        <f t="shared" si="201"/>
        <v>179970.58625055983</v>
      </c>
      <c r="FW67" s="30">
        <f t="shared" si="201"/>
        <v>89080.856862677334</v>
      </c>
      <c r="FX67" s="30">
        <f t="shared" si="201"/>
        <v>29042.670157206958</v>
      </c>
      <c r="FY67" s="30">
        <f t="shared" si="201"/>
        <v>0</v>
      </c>
      <c r="FZ67" s="30">
        <f t="shared" si="201"/>
        <v>0</v>
      </c>
      <c r="GA67" s="30">
        <f t="shared" si="201"/>
        <v>0</v>
      </c>
      <c r="GB67" s="30">
        <f t="shared" ref="GB67:HG67" si="202">GA67-GB54</f>
        <v>0</v>
      </c>
      <c r="GC67" s="30">
        <f t="shared" si="202"/>
        <v>0</v>
      </c>
      <c r="GD67" s="30">
        <f t="shared" si="202"/>
        <v>0</v>
      </c>
      <c r="GE67" s="30">
        <f t="shared" si="202"/>
        <v>0</v>
      </c>
      <c r="GF67" s="30">
        <f t="shared" si="202"/>
        <v>0</v>
      </c>
      <c r="GG67" s="30">
        <f t="shared" si="202"/>
        <v>0</v>
      </c>
      <c r="GH67" s="30">
        <f t="shared" si="202"/>
        <v>0</v>
      </c>
      <c r="GI67" s="30">
        <f t="shared" si="202"/>
        <v>0</v>
      </c>
      <c r="GJ67" s="30">
        <f t="shared" si="202"/>
        <v>0</v>
      </c>
      <c r="GK67" s="30">
        <f t="shared" si="202"/>
        <v>0</v>
      </c>
      <c r="GL67" s="30">
        <f t="shared" si="202"/>
        <v>0</v>
      </c>
      <c r="GM67" s="30">
        <f t="shared" si="202"/>
        <v>0</v>
      </c>
      <c r="GN67" s="30">
        <f t="shared" si="202"/>
        <v>0</v>
      </c>
      <c r="GO67" s="30">
        <f t="shared" si="202"/>
        <v>0</v>
      </c>
      <c r="GP67" s="30">
        <f t="shared" si="202"/>
        <v>0</v>
      </c>
      <c r="GQ67" s="30">
        <f t="shared" si="202"/>
        <v>0</v>
      </c>
      <c r="GR67" s="30">
        <f t="shared" si="202"/>
        <v>0</v>
      </c>
      <c r="GS67" s="30">
        <f t="shared" si="202"/>
        <v>0</v>
      </c>
      <c r="GT67" s="30">
        <f t="shared" si="202"/>
        <v>0</v>
      </c>
      <c r="GU67" s="30">
        <f t="shared" si="202"/>
        <v>0</v>
      </c>
      <c r="GV67" s="30">
        <f t="shared" si="202"/>
        <v>0</v>
      </c>
      <c r="GW67" s="30">
        <f t="shared" si="202"/>
        <v>0</v>
      </c>
      <c r="GX67" s="30">
        <f t="shared" si="202"/>
        <v>0</v>
      </c>
      <c r="GY67" s="30">
        <f t="shared" si="202"/>
        <v>0</v>
      </c>
      <c r="GZ67" s="30">
        <f t="shared" si="202"/>
        <v>0</v>
      </c>
      <c r="HA67" s="30">
        <f t="shared" si="202"/>
        <v>0</v>
      </c>
      <c r="HB67" s="30">
        <f t="shared" si="202"/>
        <v>0</v>
      </c>
      <c r="HC67" s="30">
        <f t="shared" si="202"/>
        <v>0</v>
      </c>
      <c r="HD67" s="30">
        <f t="shared" si="202"/>
        <v>0</v>
      </c>
      <c r="HE67" s="30">
        <f t="shared" si="202"/>
        <v>0</v>
      </c>
      <c r="HF67" s="30">
        <f t="shared" si="202"/>
        <v>0</v>
      </c>
      <c r="HG67" s="30">
        <f t="shared" si="202"/>
        <v>0</v>
      </c>
      <c r="HH67" s="30">
        <f t="shared" ref="HH67:IM67" si="203">HG67-HH54</f>
        <v>0</v>
      </c>
      <c r="HI67" s="30">
        <f t="shared" si="203"/>
        <v>0</v>
      </c>
      <c r="HJ67" s="30">
        <f t="shared" si="203"/>
        <v>0</v>
      </c>
      <c r="HK67" s="30">
        <f t="shared" si="203"/>
        <v>0</v>
      </c>
      <c r="HL67" s="30">
        <f t="shared" si="203"/>
        <v>0</v>
      </c>
      <c r="HM67" s="30">
        <f t="shared" si="203"/>
        <v>0</v>
      </c>
      <c r="HN67" s="30">
        <f t="shared" si="203"/>
        <v>0</v>
      </c>
      <c r="HO67" s="30">
        <f t="shared" si="203"/>
        <v>0</v>
      </c>
      <c r="HP67" s="30">
        <f t="shared" si="203"/>
        <v>0</v>
      </c>
      <c r="HQ67" s="30">
        <f t="shared" si="203"/>
        <v>0</v>
      </c>
      <c r="HR67" s="30">
        <f t="shared" si="203"/>
        <v>0</v>
      </c>
      <c r="HS67" s="30">
        <f t="shared" si="203"/>
        <v>0</v>
      </c>
      <c r="HT67" s="30">
        <f t="shared" si="203"/>
        <v>0</v>
      </c>
      <c r="HU67" s="30">
        <f t="shared" si="203"/>
        <v>0</v>
      </c>
      <c r="HV67" s="30">
        <f t="shared" si="203"/>
        <v>0</v>
      </c>
      <c r="HW67" s="30">
        <f t="shared" si="203"/>
        <v>0</v>
      </c>
      <c r="HX67" s="30">
        <f t="shared" si="203"/>
        <v>0</v>
      </c>
      <c r="HY67" s="30">
        <f t="shared" si="203"/>
        <v>0</v>
      </c>
      <c r="HZ67" s="30">
        <f t="shared" si="203"/>
        <v>0</v>
      </c>
      <c r="IA67" s="30">
        <f t="shared" si="203"/>
        <v>0</v>
      </c>
      <c r="IB67" s="30">
        <f t="shared" si="203"/>
        <v>0</v>
      </c>
      <c r="IC67" s="30">
        <f t="shared" si="203"/>
        <v>0</v>
      </c>
      <c r="ID67" s="30">
        <f t="shared" si="203"/>
        <v>0</v>
      </c>
      <c r="IE67" s="30">
        <f t="shared" si="203"/>
        <v>0</v>
      </c>
      <c r="IF67" s="30">
        <f t="shared" si="203"/>
        <v>0</v>
      </c>
      <c r="IG67" s="30">
        <f t="shared" si="203"/>
        <v>0</v>
      </c>
      <c r="IH67" s="30">
        <f t="shared" si="203"/>
        <v>0</v>
      </c>
      <c r="II67" s="30">
        <f t="shared" si="203"/>
        <v>0</v>
      </c>
      <c r="IJ67" s="30">
        <f t="shared" si="203"/>
        <v>0</v>
      </c>
      <c r="IK67" s="30">
        <f t="shared" si="203"/>
        <v>0</v>
      </c>
      <c r="IL67" s="30">
        <f t="shared" si="203"/>
        <v>0</v>
      </c>
      <c r="IM67" s="30">
        <f t="shared" si="203"/>
        <v>0</v>
      </c>
      <c r="IN67" s="30">
        <f t="shared" ref="IN67:JX67" si="204">IM67-IN54</f>
        <v>0</v>
      </c>
      <c r="IO67" s="30">
        <f t="shared" si="204"/>
        <v>0</v>
      </c>
      <c r="IP67" s="30">
        <f t="shared" si="204"/>
        <v>0</v>
      </c>
      <c r="IQ67" s="30">
        <f t="shared" si="204"/>
        <v>0</v>
      </c>
      <c r="IR67" s="30">
        <f t="shared" si="204"/>
        <v>0</v>
      </c>
      <c r="IS67" s="30">
        <f t="shared" si="204"/>
        <v>0</v>
      </c>
      <c r="IT67" s="30">
        <f t="shared" si="204"/>
        <v>0</v>
      </c>
      <c r="IU67" s="30">
        <f t="shared" si="204"/>
        <v>0</v>
      </c>
      <c r="IV67" s="30">
        <f t="shared" si="204"/>
        <v>0</v>
      </c>
      <c r="IW67" s="30">
        <f t="shared" si="204"/>
        <v>0</v>
      </c>
      <c r="IX67" s="30">
        <f t="shared" si="204"/>
        <v>0</v>
      </c>
      <c r="IY67" s="30">
        <f t="shared" si="204"/>
        <v>0</v>
      </c>
      <c r="IZ67" s="30">
        <f t="shared" si="204"/>
        <v>0</v>
      </c>
      <c r="JA67" s="30">
        <f t="shared" si="204"/>
        <v>0</v>
      </c>
      <c r="JB67" s="30">
        <f t="shared" si="204"/>
        <v>0</v>
      </c>
      <c r="JC67" s="30">
        <f t="shared" si="204"/>
        <v>0</v>
      </c>
      <c r="JD67" s="30">
        <f t="shared" si="204"/>
        <v>0</v>
      </c>
      <c r="JE67" s="30">
        <f t="shared" si="204"/>
        <v>0</v>
      </c>
      <c r="JF67" s="30">
        <f t="shared" si="204"/>
        <v>0</v>
      </c>
      <c r="JG67" s="30">
        <f t="shared" si="204"/>
        <v>0</v>
      </c>
      <c r="JH67" s="30">
        <f t="shared" si="204"/>
        <v>0</v>
      </c>
      <c r="JI67" s="30">
        <f t="shared" si="204"/>
        <v>0</v>
      </c>
      <c r="JJ67" s="30">
        <f t="shared" si="204"/>
        <v>0</v>
      </c>
      <c r="JK67" s="30">
        <f t="shared" si="204"/>
        <v>0</v>
      </c>
      <c r="JL67" s="30">
        <f t="shared" si="204"/>
        <v>0</v>
      </c>
      <c r="JM67" s="30">
        <f t="shared" si="204"/>
        <v>0</v>
      </c>
      <c r="JN67" s="30">
        <f t="shared" si="204"/>
        <v>0</v>
      </c>
      <c r="JO67" s="30">
        <f t="shared" si="204"/>
        <v>0</v>
      </c>
      <c r="JP67" s="30">
        <f t="shared" si="204"/>
        <v>0</v>
      </c>
      <c r="JQ67" s="30">
        <f t="shared" si="204"/>
        <v>0</v>
      </c>
      <c r="JR67" s="30">
        <f t="shared" si="204"/>
        <v>0</v>
      </c>
      <c r="JS67" s="30">
        <f t="shared" si="204"/>
        <v>0</v>
      </c>
      <c r="JT67" s="30">
        <f t="shared" si="204"/>
        <v>0</v>
      </c>
      <c r="JU67" s="30">
        <f t="shared" si="204"/>
        <v>0</v>
      </c>
      <c r="JV67" s="30">
        <f t="shared" si="204"/>
        <v>0</v>
      </c>
      <c r="JW67" s="30">
        <f t="shared" si="204"/>
        <v>0</v>
      </c>
      <c r="JX67" s="30">
        <f t="shared" si="204"/>
        <v>0</v>
      </c>
    </row>
    <row r="68" spans="1:284" s="7" customFormat="1" x14ac:dyDescent="0.2">
      <c r="A68" s="406"/>
      <c r="B68" s="147" t="s">
        <v>604</v>
      </c>
      <c r="C68" s="120"/>
      <c r="D68" s="120"/>
      <c r="E68" s="120"/>
      <c r="F68" s="148">
        <f>I68/Project_Cost_Total</f>
        <v>0.69291139451355765</v>
      </c>
      <c r="G68" s="389">
        <f>I68/Units_SF_M2</f>
        <v>159.09479888703993</v>
      </c>
      <c r="H68" s="123">
        <f>I68/Units</f>
        <v>135230.57905398394</v>
      </c>
      <c r="I68" s="123">
        <f>SUM(L68:EN68)</f>
        <v>40569173.716195181</v>
      </c>
      <c r="L68" s="38">
        <f t="shared" ref="L68:U70" si="205">EV53</f>
        <v>0</v>
      </c>
      <c r="M68" s="38">
        <f t="shared" si="205"/>
        <v>0</v>
      </c>
      <c r="N68" s="38">
        <f t="shared" si="205"/>
        <v>0</v>
      </c>
      <c r="O68" s="38">
        <f t="shared" si="205"/>
        <v>0</v>
      </c>
      <c r="P68" s="38">
        <f t="shared" si="205"/>
        <v>0</v>
      </c>
      <c r="Q68" s="38">
        <f t="shared" si="205"/>
        <v>0</v>
      </c>
      <c r="R68" s="38">
        <f t="shared" si="205"/>
        <v>0</v>
      </c>
      <c r="S68" s="38">
        <f t="shared" si="205"/>
        <v>2865027.1968889558</v>
      </c>
      <c r="T68" s="38">
        <f t="shared" si="205"/>
        <v>5677109.6220104769</v>
      </c>
      <c r="U68" s="38">
        <f t="shared" si="205"/>
        <v>6300422.6669670288</v>
      </c>
      <c r="V68" s="38">
        <f t="shared" ref="V68:AE70" si="206">FF53</f>
        <v>6300422.6669670306</v>
      </c>
      <c r="W68" s="38">
        <f t="shared" si="206"/>
        <v>5677109.622010475</v>
      </c>
      <c r="X68" s="38">
        <f t="shared" si="206"/>
        <v>4618633.3206490669</v>
      </c>
      <c r="Y68" s="38">
        <f t="shared" si="206"/>
        <v>3409858.2075612592</v>
      </c>
      <c r="Z68" s="38">
        <f t="shared" si="206"/>
        <v>2309629.6734741665</v>
      </c>
      <c r="AA68" s="38">
        <f t="shared" si="206"/>
        <v>1467820.9038815245</v>
      </c>
      <c r="AB68" s="38">
        <f t="shared" si="206"/>
        <v>913409.1835936507</v>
      </c>
      <c r="AC68" s="38">
        <f t="shared" si="206"/>
        <v>595115.21586160944</v>
      </c>
      <c r="AD68" s="38">
        <f t="shared" si="206"/>
        <v>434615.43632992188</v>
      </c>
      <c r="AE68" s="38">
        <f t="shared" si="206"/>
        <v>0</v>
      </c>
      <c r="AF68" s="38">
        <f t="shared" ref="AF68:AO70" si="207">FP53</f>
        <v>0</v>
      </c>
      <c r="AG68" s="38">
        <f t="shared" si="207"/>
        <v>0</v>
      </c>
      <c r="AH68" s="38">
        <f t="shared" si="207"/>
        <v>0</v>
      </c>
      <c r="AI68" s="38">
        <f t="shared" si="207"/>
        <v>0</v>
      </c>
      <c r="AJ68" s="38">
        <f t="shared" si="207"/>
        <v>0</v>
      </c>
      <c r="AK68" s="38">
        <f t="shared" si="207"/>
        <v>0</v>
      </c>
      <c r="AL68" s="38">
        <f t="shared" si="207"/>
        <v>0</v>
      </c>
      <c r="AM68" s="38">
        <f t="shared" si="207"/>
        <v>0</v>
      </c>
      <c r="AN68" s="38">
        <f t="shared" si="207"/>
        <v>0</v>
      </c>
      <c r="AO68" s="38">
        <f t="shared" si="207"/>
        <v>0</v>
      </c>
      <c r="AP68" s="38">
        <f t="shared" ref="AP68:AY70" si="208">FZ53</f>
        <v>0</v>
      </c>
      <c r="AQ68" s="38">
        <f t="shared" si="208"/>
        <v>0</v>
      </c>
      <c r="AR68" s="38">
        <f t="shared" si="208"/>
        <v>0</v>
      </c>
      <c r="AS68" s="38">
        <f t="shared" si="208"/>
        <v>0</v>
      </c>
      <c r="AT68" s="38">
        <f t="shared" si="208"/>
        <v>0</v>
      </c>
      <c r="AU68" s="38">
        <f t="shared" si="208"/>
        <v>0</v>
      </c>
      <c r="AV68" s="38">
        <f t="shared" si="208"/>
        <v>0</v>
      </c>
      <c r="AW68" s="38">
        <f t="shared" si="208"/>
        <v>0</v>
      </c>
      <c r="AX68" s="38">
        <f t="shared" si="208"/>
        <v>0</v>
      </c>
      <c r="AY68" s="38">
        <f t="shared" si="208"/>
        <v>0</v>
      </c>
      <c r="AZ68" s="38">
        <f t="shared" ref="AZ68:BI70" si="209">GJ53</f>
        <v>0</v>
      </c>
      <c r="BA68" s="38">
        <f t="shared" si="209"/>
        <v>0</v>
      </c>
      <c r="BB68" s="38">
        <f t="shared" si="209"/>
        <v>0</v>
      </c>
      <c r="BC68" s="38">
        <f t="shared" si="209"/>
        <v>0</v>
      </c>
      <c r="BD68" s="38">
        <f t="shared" si="209"/>
        <v>0</v>
      </c>
      <c r="BE68" s="38">
        <f t="shared" si="209"/>
        <v>0</v>
      </c>
      <c r="BF68" s="38">
        <f t="shared" si="209"/>
        <v>0</v>
      </c>
      <c r="BG68" s="38">
        <f t="shared" si="209"/>
        <v>0</v>
      </c>
      <c r="BH68" s="38">
        <f t="shared" si="209"/>
        <v>0</v>
      </c>
      <c r="BI68" s="38">
        <f t="shared" si="209"/>
        <v>0</v>
      </c>
      <c r="BJ68" s="38">
        <f t="shared" ref="BJ68:BS70" si="210">GT53</f>
        <v>0</v>
      </c>
      <c r="BK68" s="38">
        <f t="shared" si="210"/>
        <v>0</v>
      </c>
      <c r="BL68" s="38">
        <f t="shared" si="210"/>
        <v>0</v>
      </c>
      <c r="BM68" s="38">
        <f t="shared" si="210"/>
        <v>0</v>
      </c>
      <c r="BN68" s="38">
        <f t="shared" si="210"/>
        <v>0</v>
      </c>
      <c r="BO68" s="38">
        <f t="shared" si="210"/>
        <v>0</v>
      </c>
      <c r="BP68" s="38">
        <f t="shared" si="210"/>
        <v>0</v>
      </c>
      <c r="BQ68" s="38">
        <f t="shared" si="210"/>
        <v>0</v>
      </c>
      <c r="BR68" s="38">
        <f t="shared" si="210"/>
        <v>0</v>
      </c>
      <c r="BS68" s="38">
        <f t="shared" si="210"/>
        <v>0</v>
      </c>
      <c r="BT68" s="38">
        <f t="shared" ref="BT68:CC70" si="211">HD53</f>
        <v>0</v>
      </c>
      <c r="BU68" s="38">
        <f t="shared" si="211"/>
        <v>0</v>
      </c>
      <c r="BV68" s="38">
        <f t="shared" si="211"/>
        <v>0</v>
      </c>
      <c r="BW68" s="38">
        <f t="shared" si="211"/>
        <v>0</v>
      </c>
      <c r="BX68" s="38">
        <f t="shared" si="211"/>
        <v>0</v>
      </c>
      <c r="BY68" s="38">
        <f t="shared" si="211"/>
        <v>0</v>
      </c>
      <c r="BZ68" s="38">
        <f t="shared" si="211"/>
        <v>0</v>
      </c>
      <c r="CA68" s="38">
        <f t="shared" si="211"/>
        <v>0</v>
      </c>
      <c r="CB68" s="38">
        <f t="shared" si="211"/>
        <v>0</v>
      </c>
      <c r="CC68" s="38">
        <f t="shared" si="211"/>
        <v>0</v>
      </c>
      <c r="CD68" s="38">
        <f t="shared" ref="CD68:CM70" si="212">HN53</f>
        <v>0</v>
      </c>
      <c r="CE68" s="38">
        <f t="shared" si="212"/>
        <v>0</v>
      </c>
      <c r="CF68" s="38">
        <f t="shared" si="212"/>
        <v>0</v>
      </c>
      <c r="CG68" s="38">
        <f t="shared" si="212"/>
        <v>0</v>
      </c>
      <c r="CH68" s="38">
        <f t="shared" si="212"/>
        <v>0</v>
      </c>
      <c r="CI68" s="38">
        <f t="shared" si="212"/>
        <v>0</v>
      </c>
      <c r="CJ68" s="38">
        <f t="shared" si="212"/>
        <v>0</v>
      </c>
      <c r="CK68" s="38">
        <f t="shared" si="212"/>
        <v>0</v>
      </c>
      <c r="CL68" s="38">
        <f t="shared" si="212"/>
        <v>0</v>
      </c>
      <c r="CM68" s="38">
        <f t="shared" si="212"/>
        <v>0</v>
      </c>
      <c r="CN68" s="38">
        <f t="shared" ref="CN68:CW70" si="213">HX53</f>
        <v>0</v>
      </c>
      <c r="CO68" s="38">
        <f t="shared" si="213"/>
        <v>0</v>
      </c>
      <c r="CP68" s="38">
        <f t="shared" si="213"/>
        <v>0</v>
      </c>
      <c r="CQ68" s="38">
        <f t="shared" si="213"/>
        <v>0</v>
      </c>
      <c r="CR68" s="38">
        <f t="shared" si="213"/>
        <v>0</v>
      </c>
      <c r="CS68" s="38">
        <f t="shared" si="213"/>
        <v>0</v>
      </c>
      <c r="CT68" s="38">
        <f t="shared" si="213"/>
        <v>0</v>
      </c>
      <c r="CU68" s="38">
        <f t="shared" si="213"/>
        <v>0</v>
      </c>
      <c r="CV68" s="38">
        <f t="shared" si="213"/>
        <v>0</v>
      </c>
      <c r="CW68" s="38">
        <f t="shared" si="213"/>
        <v>0</v>
      </c>
      <c r="CX68" s="38">
        <f t="shared" ref="CX68:DG70" si="214">IH53</f>
        <v>0</v>
      </c>
      <c r="CY68" s="38">
        <f t="shared" si="214"/>
        <v>0</v>
      </c>
      <c r="CZ68" s="38">
        <f t="shared" si="214"/>
        <v>0</v>
      </c>
      <c r="DA68" s="38">
        <f t="shared" si="214"/>
        <v>0</v>
      </c>
      <c r="DB68" s="38">
        <f t="shared" si="214"/>
        <v>0</v>
      </c>
      <c r="DC68" s="38">
        <f t="shared" si="214"/>
        <v>0</v>
      </c>
      <c r="DD68" s="38">
        <f t="shared" si="214"/>
        <v>0</v>
      </c>
      <c r="DE68" s="38">
        <f t="shared" si="214"/>
        <v>0</v>
      </c>
      <c r="DF68" s="38">
        <f t="shared" si="214"/>
        <v>0</v>
      </c>
      <c r="DG68" s="38">
        <f t="shared" si="214"/>
        <v>0</v>
      </c>
      <c r="DH68" s="38">
        <f t="shared" ref="DH68:DQ70" si="215">IR53</f>
        <v>0</v>
      </c>
      <c r="DI68" s="38">
        <f t="shared" si="215"/>
        <v>0</v>
      </c>
      <c r="DJ68" s="38">
        <f t="shared" si="215"/>
        <v>0</v>
      </c>
      <c r="DK68" s="38">
        <f t="shared" si="215"/>
        <v>0</v>
      </c>
      <c r="DL68" s="38">
        <f t="shared" si="215"/>
        <v>0</v>
      </c>
      <c r="DM68" s="38">
        <f t="shared" si="215"/>
        <v>0</v>
      </c>
      <c r="DN68" s="38">
        <f t="shared" si="215"/>
        <v>0</v>
      </c>
      <c r="DO68" s="38">
        <f t="shared" si="215"/>
        <v>0</v>
      </c>
      <c r="DP68" s="38">
        <f t="shared" si="215"/>
        <v>0</v>
      </c>
      <c r="DQ68" s="38">
        <f t="shared" si="215"/>
        <v>0</v>
      </c>
      <c r="DR68" s="38">
        <f t="shared" ref="DR68:EA70" si="216">JB53</f>
        <v>0</v>
      </c>
      <c r="DS68" s="38">
        <f t="shared" si="216"/>
        <v>0</v>
      </c>
      <c r="DT68" s="38">
        <f t="shared" si="216"/>
        <v>0</v>
      </c>
      <c r="DU68" s="38">
        <f t="shared" si="216"/>
        <v>0</v>
      </c>
      <c r="DV68" s="38">
        <f t="shared" si="216"/>
        <v>0</v>
      </c>
      <c r="DW68" s="38">
        <f t="shared" si="216"/>
        <v>0</v>
      </c>
      <c r="DX68" s="38">
        <f t="shared" si="216"/>
        <v>0</v>
      </c>
      <c r="DY68" s="38">
        <f t="shared" si="216"/>
        <v>0</v>
      </c>
      <c r="DZ68" s="38">
        <f t="shared" si="216"/>
        <v>0</v>
      </c>
      <c r="EA68" s="38">
        <f t="shared" si="216"/>
        <v>0</v>
      </c>
      <c r="EB68" s="38">
        <f t="shared" ref="EB68:EK70" si="217">JL53</f>
        <v>0</v>
      </c>
      <c r="EC68" s="38">
        <f t="shared" si="217"/>
        <v>0</v>
      </c>
      <c r="ED68" s="38">
        <f t="shared" si="217"/>
        <v>0</v>
      </c>
      <c r="EE68" s="38">
        <f t="shared" si="217"/>
        <v>0</v>
      </c>
      <c r="EF68" s="38">
        <f t="shared" si="217"/>
        <v>0</v>
      </c>
      <c r="EG68" s="38">
        <f t="shared" si="217"/>
        <v>0</v>
      </c>
      <c r="EH68" s="38">
        <f t="shared" si="217"/>
        <v>0</v>
      </c>
      <c r="EI68" s="38">
        <f t="shared" si="217"/>
        <v>0</v>
      </c>
      <c r="EJ68" s="38">
        <f t="shared" si="217"/>
        <v>0</v>
      </c>
      <c r="EK68" s="38">
        <f t="shared" si="217"/>
        <v>0</v>
      </c>
      <c r="EL68" s="38">
        <f t="shared" ref="EL68:EN70" si="218">JV53</f>
        <v>0</v>
      </c>
      <c r="EM68" s="38">
        <f t="shared" si="218"/>
        <v>0</v>
      </c>
      <c r="EN68" s="38">
        <f t="shared" si="218"/>
        <v>0</v>
      </c>
      <c r="EP68" s="24" t="s">
        <v>79</v>
      </c>
      <c r="EQ68" s="24"/>
      <c r="ER68" s="24"/>
      <c r="ES68" s="34" t="s">
        <v>73</v>
      </c>
      <c r="ET68" s="33" t="s">
        <v>81</v>
      </c>
      <c r="EU68" s="47">
        <f>EU55</f>
        <v>372313.68616739311</v>
      </c>
      <c r="EV68" s="30">
        <f t="shared" ref="EV68:GA68" si="219">EU68-EV55</f>
        <v>372313.68616739311</v>
      </c>
      <c r="EW68" s="30">
        <f t="shared" si="219"/>
        <v>372313.68616739311</v>
      </c>
      <c r="EX68" s="30">
        <f t="shared" si="219"/>
        <v>372313.68616739311</v>
      </c>
      <c r="EY68" s="30">
        <f t="shared" si="219"/>
        <v>372313.68616739311</v>
      </c>
      <c r="EZ68" s="30">
        <f t="shared" si="219"/>
        <v>372313.68616739311</v>
      </c>
      <c r="FA68" s="30">
        <f t="shared" si="219"/>
        <v>372313.68616739311</v>
      </c>
      <c r="FB68" s="30">
        <f t="shared" si="219"/>
        <v>372313.68616739311</v>
      </c>
      <c r="FC68" s="30">
        <f t="shared" si="219"/>
        <v>372313.68616739311</v>
      </c>
      <c r="FD68" s="30">
        <f t="shared" si="219"/>
        <v>372313.68616739311</v>
      </c>
      <c r="FE68" s="30">
        <f t="shared" si="219"/>
        <v>372313.68616739311</v>
      </c>
      <c r="FF68" s="30">
        <f t="shared" si="219"/>
        <v>372313.68616739311</v>
      </c>
      <c r="FG68" s="30">
        <f t="shared" si="219"/>
        <v>372313.68616739311</v>
      </c>
      <c r="FH68" s="30">
        <f t="shared" si="219"/>
        <v>372313.68616739311</v>
      </c>
      <c r="FI68" s="30">
        <f t="shared" si="219"/>
        <v>372313.68616739311</v>
      </c>
      <c r="FJ68" s="30">
        <f t="shared" si="219"/>
        <v>372313.68616739311</v>
      </c>
      <c r="FK68" s="30">
        <f t="shared" si="219"/>
        <v>372313.68616739311</v>
      </c>
      <c r="FL68" s="30">
        <f t="shared" si="219"/>
        <v>372313.68616739311</v>
      </c>
      <c r="FM68" s="30">
        <f t="shared" si="219"/>
        <v>372313.68616739311</v>
      </c>
      <c r="FN68" s="30">
        <f t="shared" si="219"/>
        <v>372313.68616739311</v>
      </c>
      <c r="FO68" s="30">
        <f t="shared" si="219"/>
        <v>235299.55942813671</v>
      </c>
      <c r="FP68" s="30">
        <f t="shared" si="219"/>
        <v>129561.12744176922</v>
      </c>
      <c r="FQ68" s="30">
        <f t="shared" si="219"/>
        <v>55098.390208290555</v>
      </c>
      <c r="FR68" s="30">
        <f t="shared" si="219"/>
        <v>11911.347727700821</v>
      </c>
      <c r="FS68" s="30">
        <f t="shared" si="219"/>
        <v>0</v>
      </c>
      <c r="FT68" s="30">
        <f t="shared" si="219"/>
        <v>0</v>
      </c>
      <c r="FU68" s="30">
        <f t="shared" si="219"/>
        <v>0</v>
      </c>
      <c r="FV68" s="30">
        <f t="shared" si="219"/>
        <v>0</v>
      </c>
      <c r="FW68" s="30">
        <f t="shared" si="219"/>
        <v>0</v>
      </c>
      <c r="FX68" s="30">
        <f t="shared" si="219"/>
        <v>0</v>
      </c>
      <c r="FY68" s="30">
        <f t="shared" si="219"/>
        <v>0</v>
      </c>
      <c r="FZ68" s="30">
        <f t="shared" si="219"/>
        <v>0</v>
      </c>
      <c r="GA68" s="30">
        <f t="shared" si="219"/>
        <v>0</v>
      </c>
      <c r="GB68" s="30">
        <f t="shared" ref="GB68:HG68" si="220">GA68-GB55</f>
        <v>0</v>
      </c>
      <c r="GC68" s="30">
        <f t="shared" si="220"/>
        <v>0</v>
      </c>
      <c r="GD68" s="30">
        <f t="shared" si="220"/>
        <v>0</v>
      </c>
      <c r="GE68" s="30">
        <f t="shared" si="220"/>
        <v>0</v>
      </c>
      <c r="GF68" s="30">
        <f t="shared" si="220"/>
        <v>0</v>
      </c>
      <c r="GG68" s="30">
        <f t="shared" si="220"/>
        <v>0</v>
      </c>
      <c r="GH68" s="30">
        <f t="shared" si="220"/>
        <v>0</v>
      </c>
      <c r="GI68" s="30">
        <f t="shared" si="220"/>
        <v>0</v>
      </c>
      <c r="GJ68" s="30">
        <f t="shared" si="220"/>
        <v>0</v>
      </c>
      <c r="GK68" s="30">
        <f t="shared" si="220"/>
        <v>0</v>
      </c>
      <c r="GL68" s="30">
        <f t="shared" si="220"/>
        <v>0</v>
      </c>
      <c r="GM68" s="30">
        <f t="shared" si="220"/>
        <v>0</v>
      </c>
      <c r="GN68" s="30">
        <f t="shared" si="220"/>
        <v>0</v>
      </c>
      <c r="GO68" s="30">
        <f t="shared" si="220"/>
        <v>0</v>
      </c>
      <c r="GP68" s="30">
        <f t="shared" si="220"/>
        <v>0</v>
      </c>
      <c r="GQ68" s="30">
        <f t="shared" si="220"/>
        <v>0</v>
      </c>
      <c r="GR68" s="30">
        <f t="shared" si="220"/>
        <v>0</v>
      </c>
      <c r="GS68" s="30">
        <f t="shared" si="220"/>
        <v>0</v>
      </c>
      <c r="GT68" s="30">
        <f t="shared" si="220"/>
        <v>0</v>
      </c>
      <c r="GU68" s="30">
        <f t="shared" si="220"/>
        <v>0</v>
      </c>
      <c r="GV68" s="30">
        <f t="shared" si="220"/>
        <v>0</v>
      </c>
      <c r="GW68" s="30">
        <f t="shared" si="220"/>
        <v>0</v>
      </c>
      <c r="GX68" s="30">
        <f t="shared" si="220"/>
        <v>0</v>
      </c>
      <c r="GY68" s="30">
        <f t="shared" si="220"/>
        <v>0</v>
      </c>
      <c r="GZ68" s="30">
        <f t="shared" si="220"/>
        <v>0</v>
      </c>
      <c r="HA68" s="30">
        <f t="shared" si="220"/>
        <v>0</v>
      </c>
      <c r="HB68" s="30">
        <f t="shared" si="220"/>
        <v>0</v>
      </c>
      <c r="HC68" s="30">
        <f t="shared" si="220"/>
        <v>0</v>
      </c>
      <c r="HD68" s="30">
        <f t="shared" si="220"/>
        <v>0</v>
      </c>
      <c r="HE68" s="30">
        <f t="shared" si="220"/>
        <v>0</v>
      </c>
      <c r="HF68" s="30">
        <f t="shared" si="220"/>
        <v>0</v>
      </c>
      <c r="HG68" s="30">
        <f t="shared" si="220"/>
        <v>0</v>
      </c>
      <c r="HH68" s="30">
        <f t="shared" ref="HH68:IM68" si="221">HG68-HH55</f>
        <v>0</v>
      </c>
      <c r="HI68" s="30">
        <f t="shared" si="221"/>
        <v>0</v>
      </c>
      <c r="HJ68" s="30">
        <f t="shared" si="221"/>
        <v>0</v>
      </c>
      <c r="HK68" s="30">
        <f t="shared" si="221"/>
        <v>0</v>
      </c>
      <c r="HL68" s="30">
        <f t="shared" si="221"/>
        <v>0</v>
      </c>
      <c r="HM68" s="30">
        <f t="shared" si="221"/>
        <v>0</v>
      </c>
      <c r="HN68" s="30">
        <f t="shared" si="221"/>
        <v>0</v>
      </c>
      <c r="HO68" s="30">
        <f t="shared" si="221"/>
        <v>0</v>
      </c>
      <c r="HP68" s="30">
        <f t="shared" si="221"/>
        <v>0</v>
      </c>
      <c r="HQ68" s="30">
        <f t="shared" si="221"/>
        <v>0</v>
      </c>
      <c r="HR68" s="30">
        <f t="shared" si="221"/>
        <v>0</v>
      </c>
      <c r="HS68" s="30">
        <f t="shared" si="221"/>
        <v>0</v>
      </c>
      <c r="HT68" s="30">
        <f t="shared" si="221"/>
        <v>0</v>
      </c>
      <c r="HU68" s="30">
        <f t="shared" si="221"/>
        <v>0</v>
      </c>
      <c r="HV68" s="30">
        <f t="shared" si="221"/>
        <v>0</v>
      </c>
      <c r="HW68" s="30">
        <f t="shared" si="221"/>
        <v>0</v>
      </c>
      <c r="HX68" s="30">
        <f t="shared" si="221"/>
        <v>0</v>
      </c>
      <c r="HY68" s="30">
        <f t="shared" si="221"/>
        <v>0</v>
      </c>
      <c r="HZ68" s="30">
        <f t="shared" si="221"/>
        <v>0</v>
      </c>
      <c r="IA68" s="30">
        <f t="shared" si="221"/>
        <v>0</v>
      </c>
      <c r="IB68" s="30">
        <f t="shared" si="221"/>
        <v>0</v>
      </c>
      <c r="IC68" s="30">
        <f t="shared" si="221"/>
        <v>0</v>
      </c>
      <c r="ID68" s="30">
        <f t="shared" si="221"/>
        <v>0</v>
      </c>
      <c r="IE68" s="30">
        <f t="shared" si="221"/>
        <v>0</v>
      </c>
      <c r="IF68" s="30">
        <f t="shared" si="221"/>
        <v>0</v>
      </c>
      <c r="IG68" s="30">
        <f t="shared" si="221"/>
        <v>0</v>
      </c>
      <c r="IH68" s="30">
        <f t="shared" si="221"/>
        <v>0</v>
      </c>
      <c r="II68" s="30">
        <f t="shared" si="221"/>
        <v>0</v>
      </c>
      <c r="IJ68" s="30">
        <f t="shared" si="221"/>
        <v>0</v>
      </c>
      <c r="IK68" s="30">
        <f t="shared" si="221"/>
        <v>0</v>
      </c>
      <c r="IL68" s="30">
        <f t="shared" si="221"/>
        <v>0</v>
      </c>
      <c r="IM68" s="30">
        <f t="shared" si="221"/>
        <v>0</v>
      </c>
      <c r="IN68" s="30">
        <f t="shared" ref="IN68:JX68" si="222">IM68-IN55</f>
        <v>0</v>
      </c>
      <c r="IO68" s="30">
        <f t="shared" si="222"/>
        <v>0</v>
      </c>
      <c r="IP68" s="30">
        <f t="shared" si="222"/>
        <v>0</v>
      </c>
      <c r="IQ68" s="30">
        <f t="shared" si="222"/>
        <v>0</v>
      </c>
      <c r="IR68" s="30">
        <f t="shared" si="222"/>
        <v>0</v>
      </c>
      <c r="IS68" s="30">
        <f t="shared" si="222"/>
        <v>0</v>
      </c>
      <c r="IT68" s="30">
        <f t="shared" si="222"/>
        <v>0</v>
      </c>
      <c r="IU68" s="30">
        <f t="shared" si="222"/>
        <v>0</v>
      </c>
      <c r="IV68" s="30">
        <f t="shared" si="222"/>
        <v>0</v>
      </c>
      <c r="IW68" s="30">
        <f t="shared" si="222"/>
        <v>0</v>
      </c>
      <c r="IX68" s="30">
        <f t="shared" si="222"/>
        <v>0</v>
      </c>
      <c r="IY68" s="30">
        <f t="shared" si="222"/>
        <v>0</v>
      </c>
      <c r="IZ68" s="30">
        <f t="shared" si="222"/>
        <v>0</v>
      </c>
      <c r="JA68" s="30">
        <f t="shared" si="222"/>
        <v>0</v>
      </c>
      <c r="JB68" s="30">
        <f t="shared" si="222"/>
        <v>0</v>
      </c>
      <c r="JC68" s="30">
        <f t="shared" si="222"/>
        <v>0</v>
      </c>
      <c r="JD68" s="30">
        <f t="shared" si="222"/>
        <v>0</v>
      </c>
      <c r="JE68" s="30">
        <f t="shared" si="222"/>
        <v>0</v>
      </c>
      <c r="JF68" s="30">
        <f t="shared" si="222"/>
        <v>0</v>
      </c>
      <c r="JG68" s="30">
        <f t="shared" si="222"/>
        <v>0</v>
      </c>
      <c r="JH68" s="30">
        <f t="shared" si="222"/>
        <v>0</v>
      </c>
      <c r="JI68" s="30">
        <f t="shared" si="222"/>
        <v>0</v>
      </c>
      <c r="JJ68" s="30">
        <f t="shared" si="222"/>
        <v>0</v>
      </c>
      <c r="JK68" s="30">
        <f t="shared" si="222"/>
        <v>0</v>
      </c>
      <c r="JL68" s="30">
        <f t="shared" si="222"/>
        <v>0</v>
      </c>
      <c r="JM68" s="30">
        <f t="shared" si="222"/>
        <v>0</v>
      </c>
      <c r="JN68" s="30">
        <f t="shared" si="222"/>
        <v>0</v>
      </c>
      <c r="JO68" s="30">
        <f t="shared" si="222"/>
        <v>0</v>
      </c>
      <c r="JP68" s="30">
        <f t="shared" si="222"/>
        <v>0</v>
      </c>
      <c r="JQ68" s="30">
        <f t="shared" si="222"/>
        <v>0</v>
      </c>
      <c r="JR68" s="30">
        <f t="shared" si="222"/>
        <v>0</v>
      </c>
      <c r="JS68" s="30">
        <f t="shared" si="222"/>
        <v>0</v>
      </c>
      <c r="JT68" s="30">
        <f t="shared" si="222"/>
        <v>0</v>
      </c>
      <c r="JU68" s="30">
        <f t="shared" si="222"/>
        <v>0</v>
      </c>
      <c r="JV68" s="30">
        <f t="shared" si="222"/>
        <v>0</v>
      </c>
      <c r="JW68" s="30">
        <f t="shared" si="222"/>
        <v>0</v>
      </c>
      <c r="JX68" s="30">
        <f t="shared" si="222"/>
        <v>0</v>
      </c>
    </row>
    <row r="69" spans="1:284" s="7" customFormat="1" x14ac:dyDescent="0.2">
      <c r="A69" s="406"/>
      <c r="B69" s="147" t="s">
        <v>84</v>
      </c>
      <c r="C69" s="120"/>
      <c r="D69" s="120"/>
      <c r="E69" s="120"/>
      <c r="F69" s="148">
        <f>I69/Project_Cost_Total</f>
        <v>5.0729601940412282E-2</v>
      </c>
      <c r="G69" s="389">
        <f>I69/Units_SF_M2</f>
        <v>11.647688120348217</v>
      </c>
      <c r="H69" s="123">
        <f>I69/Units</f>
        <v>9900.5349022959836</v>
      </c>
      <c r="I69" s="123">
        <f>SUM(L69:EN69)</f>
        <v>2970160.4706887952</v>
      </c>
      <c r="L69" s="38">
        <f t="shared" si="205"/>
        <v>0</v>
      </c>
      <c r="M69" s="38">
        <f t="shared" si="205"/>
        <v>0</v>
      </c>
      <c r="N69" s="38">
        <f t="shared" si="205"/>
        <v>0</v>
      </c>
      <c r="O69" s="38">
        <f t="shared" si="205"/>
        <v>0</v>
      </c>
      <c r="P69" s="38">
        <f t="shared" si="205"/>
        <v>0</v>
      </c>
      <c r="Q69" s="38">
        <f t="shared" si="205"/>
        <v>0</v>
      </c>
      <c r="R69" s="38">
        <f t="shared" si="205"/>
        <v>0</v>
      </c>
      <c r="S69" s="38">
        <f t="shared" si="205"/>
        <v>0</v>
      </c>
      <c r="T69" s="38">
        <f t="shared" si="205"/>
        <v>11937.613320370649</v>
      </c>
      <c r="U69" s="38">
        <f t="shared" si="205"/>
        <v>35641.976800915851</v>
      </c>
      <c r="V69" s="38">
        <f t="shared" si="206"/>
        <v>62042.246149948951</v>
      </c>
      <c r="W69" s="38">
        <f t="shared" si="206"/>
        <v>88552.516621269693</v>
      </c>
      <c r="X69" s="38">
        <f t="shared" si="206"/>
        <v>112576.10886556865</v>
      </c>
      <c r="Y69" s="38">
        <f t="shared" si="206"/>
        <v>137740.51027931506</v>
      </c>
      <c r="Z69" s="38">
        <f t="shared" si="206"/>
        <v>158239.44718716296</v>
      </c>
      <c r="AA69" s="38">
        <f t="shared" si="206"/>
        <v>172436.75970598898</v>
      </c>
      <c r="AB69" s="38">
        <f t="shared" si="206"/>
        <v>181838.46913511437</v>
      </c>
      <c r="AC69" s="38">
        <f t="shared" si="206"/>
        <v>188124.93869292663</v>
      </c>
      <c r="AD69" s="38">
        <f t="shared" si="206"/>
        <v>192657.21471091127</v>
      </c>
      <c r="AE69" s="38">
        <f t="shared" si="206"/>
        <v>195584.4870824352</v>
      </c>
      <c r="AF69" s="38">
        <f t="shared" si="207"/>
        <v>197136.61394693644</v>
      </c>
      <c r="AG69" s="38">
        <f t="shared" si="207"/>
        <v>198550.03082795852</v>
      </c>
      <c r="AH69" s="38">
        <f t="shared" si="207"/>
        <v>199824.09041224525</v>
      </c>
      <c r="AI69" s="38">
        <f t="shared" si="207"/>
        <v>200958.14236574515</v>
      </c>
      <c r="AJ69" s="38">
        <f t="shared" si="207"/>
        <v>182587.1862943265</v>
      </c>
      <c r="AK69" s="38">
        <f t="shared" si="207"/>
        <v>152163.5650774778</v>
      </c>
      <c r="AL69" s="38">
        <f t="shared" si="207"/>
        <v>121597.96696161716</v>
      </c>
      <c r="AM69" s="38">
        <f t="shared" si="207"/>
        <v>90889.7293878825</v>
      </c>
      <c r="AN69" s="38">
        <f t="shared" si="207"/>
        <v>60038.186705470376</v>
      </c>
      <c r="AO69" s="38">
        <f t="shared" si="207"/>
        <v>29042.670157206972</v>
      </c>
      <c r="AP69" s="38">
        <f t="shared" si="208"/>
        <v>0</v>
      </c>
      <c r="AQ69" s="38">
        <f t="shared" si="208"/>
        <v>0</v>
      </c>
      <c r="AR69" s="38">
        <f t="shared" si="208"/>
        <v>0</v>
      </c>
      <c r="AS69" s="38">
        <f t="shared" si="208"/>
        <v>0</v>
      </c>
      <c r="AT69" s="38">
        <f t="shared" si="208"/>
        <v>0</v>
      </c>
      <c r="AU69" s="38">
        <f t="shared" si="208"/>
        <v>0</v>
      </c>
      <c r="AV69" s="38">
        <f t="shared" si="208"/>
        <v>0</v>
      </c>
      <c r="AW69" s="38">
        <f t="shared" si="208"/>
        <v>0</v>
      </c>
      <c r="AX69" s="38">
        <f t="shared" si="208"/>
        <v>0</v>
      </c>
      <c r="AY69" s="38">
        <f t="shared" si="208"/>
        <v>0</v>
      </c>
      <c r="AZ69" s="38">
        <f t="shared" si="209"/>
        <v>0</v>
      </c>
      <c r="BA69" s="38">
        <f t="shared" si="209"/>
        <v>0</v>
      </c>
      <c r="BB69" s="38">
        <f t="shared" si="209"/>
        <v>0</v>
      </c>
      <c r="BC69" s="38">
        <f t="shared" si="209"/>
        <v>0</v>
      </c>
      <c r="BD69" s="38">
        <f t="shared" si="209"/>
        <v>0</v>
      </c>
      <c r="BE69" s="38">
        <f t="shared" si="209"/>
        <v>0</v>
      </c>
      <c r="BF69" s="38">
        <f t="shared" si="209"/>
        <v>0</v>
      </c>
      <c r="BG69" s="38">
        <f t="shared" si="209"/>
        <v>0</v>
      </c>
      <c r="BH69" s="38">
        <f t="shared" si="209"/>
        <v>0</v>
      </c>
      <c r="BI69" s="38">
        <f t="shared" si="209"/>
        <v>0</v>
      </c>
      <c r="BJ69" s="38">
        <f t="shared" si="210"/>
        <v>0</v>
      </c>
      <c r="BK69" s="38">
        <f t="shared" si="210"/>
        <v>0</v>
      </c>
      <c r="BL69" s="38">
        <f t="shared" si="210"/>
        <v>0</v>
      </c>
      <c r="BM69" s="38">
        <f t="shared" si="210"/>
        <v>0</v>
      </c>
      <c r="BN69" s="38">
        <f t="shared" si="210"/>
        <v>0</v>
      </c>
      <c r="BO69" s="38">
        <f t="shared" si="210"/>
        <v>0</v>
      </c>
      <c r="BP69" s="38">
        <f t="shared" si="210"/>
        <v>0</v>
      </c>
      <c r="BQ69" s="38">
        <f t="shared" si="210"/>
        <v>0</v>
      </c>
      <c r="BR69" s="38">
        <f t="shared" si="210"/>
        <v>0</v>
      </c>
      <c r="BS69" s="38">
        <f t="shared" si="210"/>
        <v>0</v>
      </c>
      <c r="BT69" s="38">
        <f t="shared" si="211"/>
        <v>0</v>
      </c>
      <c r="BU69" s="38">
        <f t="shared" si="211"/>
        <v>0</v>
      </c>
      <c r="BV69" s="38">
        <f t="shared" si="211"/>
        <v>0</v>
      </c>
      <c r="BW69" s="38">
        <f t="shared" si="211"/>
        <v>0</v>
      </c>
      <c r="BX69" s="38">
        <f t="shared" si="211"/>
        <v>0</v>
      </c>
      <c r="BY69" s="38">
        <f t="shared" si="211"/>
        <v>0</v>
      </c>
      <c r="BZ69" s="38">
        <f t="shared" si="211"/>
        <v>0</v>
      </c>
      <c r="CA69" s="38">
        <f t="shared" si="211"/>
        <v>0</v>
      </c>
      <c r="CB69" s="38">
        <f t="shared" si="211"/>
        <v>0</v>
      </c>
      <c r="CC69" s="38">
        <f t="shared" si="211"/>
        <v>0</v>
      </c>
      <c r="CD69" s="38">
        <f t="shared" si="212"/>
        <v>0</v>
      </c>
      <c r="CE69" s="38">
        <f t="shared" si="212"/>
        <v>0</v>
      </c>
      <c r="CF69" s="38">
        <f t="shared" si="212"/>
        <v>0</v>
      </c>
      <c r="CG69" s="38">
        <f t="shared" si="212"/>
        <v>0</v>
      </c>
      <c r="CH69" s="38">
        <f t="shared" si="212"/>
        <v>0</v>
      </c>
      <c r="CI69" s="38">
        <f t="shared" si="212"/>
        <v>0</v>
      </c>
      <c r="CJ69" s="38">
        <f t="shared" si="212"/>
        <v>0</v>
      </c>
      <c r="CK69" s="38">
        <f t="shared" si="212"/>
        <v>0</v>
      </c>
      <c r="CL69" s="38">
        <f t="shared" si="212"/>
        <v>0</v>
      </c>
      <c r="CM69" s="38">
        <f t="shared" si="212"/>
        <v>0</v>
      </c>
      <c r="CN69" s="38">
        <f t="shared" si="213"/>
        <v>0</v>
      </c>
      <c r="CO69" s="38">
        <f t="shared" si="213"/>
        <v>0</v>
      </c>
      <c r="CP69" s="38">
        <f t="shared" si="213"/>
        <v>0</v>
      </c>
      <c r="CQ69" s="38">
        <f t="shared" si="213"/>
        <v>0</v>
      </c>
      <c r="CR69" s="38">
        <f t="shared" si="213"/>
        <v>0</v>
      </c>
      <c r="CS69" s="38">
        <f t="shared" si="213"/>
        <v>0</v>
      </c>
      <c r="CT69" s="38">
        <f t="shared" si="213"/>
        <v>0</v>
      </c>
      <c r="CU69" s="38">
        <f t="shared" si="213"/>
        <v>0</v>
      </c>
      <c r="CV69" s="38">
        <f t="shared" si="213"/>
        <v>0</v>
      </c>
      <c r="CW69" s="38">
        <f t="shared" si="213"/>
        <v>0</v>
      </c>
      <c r="CX69" s="38">
        <f t="shared" si="214"/>
        <v>0</v>
      </c>
      <c r="CY69" s="38">
        <f t="shared" si="214"/>
        <v>0</v>
      </c>
      <c r="CZ69" s="38">
        <f t="shared" si="214"/>
        <v>0</v>
      </c>
      <c r="DA69" s="38">
        <f t="shared" si="214"/>
        <v>0</v>
      </c>
      <c r="DB69" s="38">
        <f t="shared" si="214"/>
        <v>0</v>
      </c>
      <c r="DC69" s="38">
        <f t="shared" si="214"/>
        <v>0</v>
      </c>
      <c r="DD69" s="38">
        <f t="shared" si="214"/>
        <v>0</v>
      </c>
      <c r="DE69" s="38">
        <f t="shared" si="214"/>
        <v>0</v>
      </c>
      <c r="DF69" s="38">
        <f t="shared" si="214"/>
        <v>0</v>
      </c>
      <c r="DG69" s="38">
        <f t="shared" si="214"/>
        <v>0</v>
      </c>
      <c r="DH69" s="38">
        <f t="shared" si="215"/>
        <v>0</v>
      </c>
      <c r="DI69" s="38">
        <f t="shared" si="215"/>
        <v>0</v>
      </c>
      <c r="DJ69" s="38">
        <f t="shared" si="215"/>
        <v>0</v>
      </c>
      <c r="DK69" s="38">
        <f t="shared" si="215"/>
        <v>0</v>
      </c>
      <c r="DL69" s="38">
        <f t="shared" si="215"/>
        <v>0</v>
      </c>
      <c r="DM69" s="38">
        <f t="shared" si="215"/>
        <v>0</v>
      </c>
      <c r="DN69" s="38">
        <f t="shared" si="215"/>
        <v>0</v>
      </c>
      <c r="DO69" s="38">
        <f t="shared" si="215"/>
        <v>0</v>
      </c>
      <c r="DP69" s="38">
        <f t="shared" si="215"/>
        <v>0</v>
      </c>
      <c r="DQ69" s="38">
        <f t="shared" si="215"/>
        <v>0</v>
      </c>
      <c r="DR69" s="38">
        <f t="shared" si="216"/>
        <v>0</v>
      </c>
      <c r="DS69" s="38">
        <f t="shared" si="216"/>
        <v>0</v>
      </c>
      <c r="DT69" s="38">
        <f t="shared" si="216"/>
        <v>0</v>
      </c>
      <c r="DU69" s="38">
        <f t="shared" si="216"/>
        <v>0</v>
      </c>
      <c r="DV69" s="38">
        <f t="shared" si="216"/>
        <v>0</v>
      </c>
      <c r="DW69" s="38">
        <f t="shared" si="216"/>
        <v>0</v>
      </c>
      <c r="DX69" s="38">
        <f t="shared" si="216"/>
        <v>0</v>
      </c>
      <c r="DY69" s="38">
        <f t="shared" si="216"/>
        <v>0</v>
      </c>
      <c r="DZ69" s="38">
        <f t="shared" si="216"/>
        <v>0</v>
      </c>
      <c r="EA69" s="38">
        <f t="shared" si="216"/>
        <v>0</v>
      </c>
      <c r="EB69" s="38">
        <f t="shared" si="217"/>
        <v>0</v>
      </c>
      <c r="EC69" s="38">
        <f t="shared" si="217"/>
        <v>0</v>
      </c>
      <c r="ED69" s="38">
        <f t="shared" si="217"/>
        <v>0</v>
      </c>
      <c r="EE69" s="38">
        <f t="shared" si="217"/>
        <v>0</v>
      </c>
      <c r="EF69" s="38">
        <f t="shared" si="217"/>
        <v>0</v>
      </c>
      <c r="EG69" s="38">
        <f t="shared" si="217"/>
        <v>0</v>
      </c>
      <c r="EH69" s="38">
        <f t="shared" si="217"/>
        <v>0</v>
      </c>
      <c r="EI69" s="38">
        <f t="shared" si="217"/>
        <v>0</v>
      </c>
      <c r="EJ69" s="38">
        <f t="shared" si="217"/>
        <v>0</v>
      </c>
      <c r="EK69" s="38">
        <f t="shared" si="217"/>
        <v>0</v>
      </c>
      <c r="EL69" s="38">
        <f t="shared" si="218"/>
        <v>0</v>
      </c>
      <c r="EM69" s="38">
        <f t="shared" si="218"/>
        <v>0</v>
      </c>
      <c r="EN69" s="38">
        <f t="shared" si="218"/>
        <v>0</v>
      </c>
      <c r="EP69" s="24" t="s">
        <v>71</v>
      </c>
      <c r="EQ69" s="24"/>
      <c r="ER69" s="24"/>
      <c r="ES69" s="33" t="str">
        <f>IF(MAX(EV69:JX69)=SUM(EV53:JX53),"OK","ERROR")</f>
        <v>OK</v>
      </c>
      <c r="ET69" s="33" t="s">
        <v>82</v>
      </c>
      <c r="EU69" s="33">
        <v>0</v>
      </c>
      <c r="EV69" s="30">
        <f>(EV$51&lt;=Timing_Analysis_End_Month)*(EU69+EV53)</f>
        <v>0</v>
      </c>
      <c r="EW69" s="30">
        <f t="shared" ref="EW69:GA69" si="223">(EW$51&lt;=Timing_Analysis_End_Month)*(EV69+EW53)</f>
        <v>0</v>
      </c>
      <c r="EX69" s="30">
        <f t="shared" si="223"/>
        <v>0</v>
      </c>
      <c r="EY69" s="30">
        <f t="shared" si="223"/>
        <v>0</v>
      </c>
      <c r="EZ69" s="30">
        <f t="shared" si="223"/>
        <v>0</v>
      </c>
      <c r="FA69" s="30">
        <f t="shared" si="223"/>
        <v>0</v>
      </c>
      <c r="FB69" s="30">
        <f t="shared" si="223"/>
        <v>0</v>
      </c>
      <c r="FC69" s="30">
        <f t="shared" si="223"/>
        <v>2865027.1968889558</v>
      </c>
      <c r="FD69" s="30">
        <f t="shared" si="223"/>
        <v>8542136.8188994322</v>
      </c>
      <c r="FE69" s="30">
        <f t="shared" si="223"/>
        <v>14842559.485866461</v>
      </c>
      <c r="FF69" s="30">
        <f t="shared" si="223"/>
        <v>21142982.152833492</v>
      </c>
      <c r="FG69" s="30">
        <f t="shared" si="223"/>
        <v>26820091.774843968</v>
      </c>
      <c r="FH69" s="30">
        <f t="shared" si="223"/>
        <v>31438725.095493034</v>
      </c>
      <c r="FI69" s="30">
        <f t="shared" si="223"/>
        <v>34848583.303054295</v>
      </c>
      <c r="FJ69" s="30">
        <f t="shared" si="223"/>
        <v>37158212.976528466</v>
      </c>
      <c r="FK69" s="30">
        <f t="shared" si="223"/>
        <v>38626033.880409993</v>
      </c>
      <c r="FL69" s="30">
        <f t="shared" si="223"/>
        <v>39539443.064003646</v>
      </c>
      <c r="FM69" s="30">
        <f t="shared" si="223"/>
        <v>40134558.279865257</v>
      </c>
      <c r="FN69" s="30">
        <f t="shared" si="223"/>
        <v>40569173.716195181</v>
      </c>
      <c r="FO69" s="30">
        <f t="shared" si="223"/>
        <v>40569173.716195181</v>
      </c>
      <c r="FP69" s="30">
        <f t="shared" si="223"/>
        <v>40569173.716195181</v>
      </c>
      <c r="FQ69" s="30">
        <f t="shared" si="223"/>
        <v>40569173.716195181</v>
      </c>
      <c r="FR69" s="30">
        <f t="shared" si="223"/>
        <v>40569173.716195181</v>
      </c>
      <c r="FS69" s="30">
        <f t="shared" si="223"/>
        <v>40569173.716195181</v>
      </c>
      <c r="FT69" s="30">
        <f t="shared" si="223"/>
        <v>40569173.716195181</v>
      </c>
      <c r="FU69" s="30">
        <f t="shared" si="223"/>
        <v>40569173.716195181</v>
      </c>
      <c r="FV69" s="30">
        <f t="shared" si="223"/>
        <v>40569173.716195181</v>
      </c>
      <c r="FW69" s="30">
        <f t="shared" si="223"/>
        <v>40569173.716195181</v>
      </c>
      <c r="FX69" s="30">
        <f t="shared" si="223"/>
        <v>40569173.716195181</v>
      </c>
      <c r="FY69" s="30">
        <f t="shared" si="223"/>
        <v>40569173.716195181</v>
      </c>
      <c r="FZ69" s="30">
        <f t="shared" si="223"/>
        <v>40569173.716195181</v>
      </c>
      <c r="GA69" s="30">
        <f t="shared" si="223"/>
        <v>40569173.716195181</v>
      </c>
      <c r="GB69" s="30">
        <f t="shared" ref="GB69:HG69" si="224">(GB$51&lt;=Timing_Analysis_End_Month)*(GA69+GB53)</f>
        <v>40569173.716195181</v>
      </c>
      <c r="GC69" s="30">
        <f t="shared" si="224"/>
        <v>40569173.716195181</v>
      </c>
      <c r="GD69" s="30">
        <f t="shared" si="224"/>
        <v>40569173.716195181</v>
      </c>
      <c r="GE69" s="30">
        <f t="shared" si="224"/>
        <v>40569173.716195181</v>
      </c>
      <c r="GF69" s="30">
        <f t="shared" si="224"/>
        <v>40569173.716195181</v>
      </c>
      <c r="GG69" s="30">
        <f t="shared" si="224"/>
        <v>40569173.716195181</v>
      </c>
      <c r="GH69" s="30">
        <f t="shared" si="224"/>
        <v>40569173.716195181</v>
      </c>
      <c r="GI69" s="30">
        <f t="shared" si="224"/>
        <v>40569173.716195181</v>
      </c>
      <c r="GJ69" s="30">
        <f t="shared" si="224"/>
        <v>40569173.716195181</v>
      </c>
      <c r="GK69" s="30">
        <f t="shared" si="224"/>
        <v>40569173.716195181</v>
      </c>
      <c r="GL69" s="30">
        <f t="shared" si="224"/>
        <v>40569173.716195181</v>
      </c>
      <c r="GM69" s="30">
        <f t="shared" si="224"/>
        <v>40569173.716195181</v>
      </c>
      <c r="GN69" s="30">
        <f t="shared" si="224"/>
        <v>40569173.716195181</v>
      </c>
      <c r="GO69" s="30">
        <f t="shared" si="224"/>
        <v>40569173.716195181</v>
      </c>
      <c r="GP69" s="30">
        <f t="shared" si="224"/>
        <v>0</v>
      </c>
      <c r="GQ69" s="30">
        <f t="shared" si="224"/>
        <v>0</v>
      </c>
      <c r="GR69" s="30">
        <f t="shared" si="224"/>
        <v>0</v>
      </c>
      <c r="GS69" s="30">
        <f t="shared" si="224"/>
        <v>0</v>
      </c>
      <c r="GT69" s="30">
        <f t="shared" si="224"/>
        <v>0</v>
      </c>
      <c r="GU69" s="30">
        <f t="shared" si="224"/>
        <v>0</v>
      </c>
      <c r="GV69" s="30">
        <f t="shared" si="224"/>
        <v>0</v>
      </c>
      <c r="GW69" s="30">
        <f t="shared" si="224"/>
        <v>0</v>
      </c>
      <c r="GX69" s="30">
        <f t="shared" si="224"/>
        <v>0</v>
      </c>
      <c r="GY69" s="30">
        <f t="shared" si="224"/>
        <v>0</v>
      </c>
      <c r="GZ69" s="30">
        <f t="shared" si="224"/>
        <v>0</v>
      </c>
      <c r="HA69" s="30">
        <f t="shared" si="224"/>
        <v>0</v>
      </c>
      <c r="HB69" s="30">
        <f t="shared" si="224"/>
        <v>0</v>
      </c>
      <c r="HC69" s="30">
        <f t="shared" si="224"/>
        <v>0</v>
      </c>
      <c r="HD69" s="30">
        <f t="shared" si="224"/>
        <v>0</v>
      </c>
      <c r="HE69" s="30">
        <f t="shared" si="224"/>
        <v>0</v>
      </c>
      <c r="HF69" s="30">
        <f t="shared" si="224"/>
        <v>0</v>
      </c>
      <c r="HG69" s="30">
        <f t="shared" si="224"/>
        <v>0</v>
      </c>
      <c r="HH69" s="30">
        <f t="shared" ref="HH69:IM69" si="225">(HH$51&lt;=Timing_Analysis_End_Month)*(HG69+HH53)</f>
        <v>0</v>
      </c>
      <c r="HI69" s="30">
        <f t="shared" si="225"/>
        <v>0</v>
      </c>
      <c r="HJ69" s="30">
        <f t="shared" si="225"/>
        <v>0</v>
      </c>
      <c r="HK69" s="30">
        <f t="shared" si="225"/>
        <v>0</v>
      </c>
      <c r="HL69" s="30">
        <f t="shared" si="225"/>
        <v>0</v>
      </c>
      <c r="HM69" s="30">
        <f t="shared" si="225"/>
        <v>0</v>
      </c>
      <c r="HN69" s="30">
        <f t="shared" si="225"/>
        <v>0</v>
      </c>
      <c r="HO69" s="30">
        <f t="shared" si="225"/>
        <v>0</v>
      </c>
      <c r="HP69" s="30">
        <f t="shared" si="225"/>
        <v>0</v>
      </c>
      <c r="HQ69" s="30">
        <f t="shared" si="225"/>
        <v>0</v>
      </c>
      <c r="HR69" s="30">
        <f t="shared" si="225"/>
        <v>0</v>
      </c>
      <c r="HS69" s="30">
        <f t="shared" si="225"/>
        <v>0</v>
      </c>
      <c r="HT69" s="30">
        <f t="shared" si="225"/>
        <v>0</v>
      </c>
      <c r="HU69" s="30">
        <f t="shared" si="225"/>
        <v>0</v>
      </c>
      <c r="HV69" s="30">
        <f t="shared" si="225"/>
        <v>0</v>
      </c>
      <c r="HW69" s="30">
        <f t="shared" si="225"/>
        <v>0</v>
      </c>
      <c r="HX69" s="30">
        <f t="shared" si="225"/>
        <v>0</v>
      </c>
      <c r="HY69" s="30">
        <f t="shared" si="225"/>
        <v>0</v>
      </c>
      <c r="HZ69" s="30">
        <f t="shared" si="225"/>
        <v>0</v>
      </c>
      <c r="IA69" s="30">
        <f t="shared" si="225"/>
        <v>0</v>
      </c>
      <c r="IB69" s="30">
        <f t="shared" si="225"/>
        <v>0</v>
      </c>
      <c r="IC69" s="30">
        <f t="shared" si="225"/>
        <v>0</v>
      </c>
      <c r="ID69" s="30">
        <f t="shared" si="225"/>
        <v>0</v>
      </c>
      <c r="IE69" s="30">
        <f t="shared" si="225"/>
        <v>0</v>
      </c>
      <c r="IF69" s="30">
        <f t="shared" si="225"/>
        <v>0</v>
      </c>
      <c r="IG69" s="30">
        <f t="shared" si="225"/>
        <v>0</v>
      </c>
      <c r="IH69" s="30">
        <f t="shared" si="225"/>
        <v>0</v>
      </c>
      <c r="II69" s="30">
        <f t="shared" si="225"/>
        <v>0</v>
      </c>
      <c r="IJ69" s="30">
        <f t="shared" si="225"/>
        <v>0</v>
      </c>
      <c r="IK69" s="30">
        <f t="shared" si="225"/>
        <v>0</v>
      </c>
      <c r="IL69" s="30">
        <f t="shared" si="225"/>
        <v>0</v>
      </c>
      <c r="IM69" s="30">
        <f t="shared" si="225"/>
        <v>0</v>
      </c>
      <c r="IN69" s="30">
        <f t="shared" ref="IN69:JX69" si="226">(IN$51&lt;=Timing_Analysis_End_Month)*(IM69+IN53)</f>
        <v>0</v>
      </c>
      <c r="IO69" s="30">
        <f t="shared" si="226"/>
        <v>0</v>
      </c>
      <c r="IP69" s="30">
        <f t="shared" si="226"/>
        <v>0</v>
      </c>
      <c r="IQ69" s="30">
        <f t="shared" si="226"/>
        <v>0</v>
      </c>
      <c r="IR69" s="30">
        <f t="shared" si="226"/>
        <v>0</v>
      </c>
      <c r="IS69" s="30">
        <f t="shared" si="226"/>
        <v>0</v>
      </c>
      <c r="IT69" s="30">
        <f t="shared" si="226"/>
        <v>0</v>
      </c>
      <c r="IU69" s="30">
        <f t="shared" si="226"/>
        <v>0</v>
      </c>
      <c r="IV69" s="30">
        <f t="shared" si="226"/>
        <v>0</v>
      </c>
      <c r="IW69" s="30">
        <f t="shared" si="226"/>
        <v>0</v>
      </c>
      <c r="IX69" s="30">
        <f t="shared" si="226"/>
        <v>0</v>
      </c>
      <c r="IY69" s="30">
        <f t="shared" si="226"/>
        <v>0</v>
      </c>
      <c r="IZ69" s="30">
        <f t="shared" si="226"/>
        <v>0</v>
      </c>
      <c r="JA69" s="30">
        <f t="shared" si="226"/>
        <v>0</v>
      </c>
      <c r="JB69" s="30">
        <f t="shared" si="226"/>
        <v>0</v>
      </c>
      <c r="JC69" s="30">
        <f t="shared" si="226"/>
        <v>0</v>
      </c>
      <c r="JD69" s="30">
        <f t="shared" si="226"/>
        <v>0</v>
      </c>
      <c r="JE69" s="30">
        <f t="shared" si="226"/>
        <v>0</v>
      </c>
      <c r="JF69" s="30">
        <f t="shared" si="226"/>
        <v>0</v>
      </c>
      <c r="JG69" s="30">
        <f t="shared" si="226"/>
        <v>0</v>
      </c>
      <c r="JH69" s="30">
        <f t="shared" si="226"/>
        <v>0</v>
      </c>
      <c r="JI69" s="30">
        <f t="shared" si="226"/>
        <v>0</v>
      </c>
      <c r="JJ69" s="30">
        <f t="shared" si="226"/>
        <v>0</v>
      </c>
      <c r="JK69" s="30">
        <f t="shared" si="226"/>
        <v>0</v>
      </c>
      <c r="JL69" s="30">
        <f t="shared" si="226"/>
        <v>0</v>
      </c>
      <c r="JM69" s="30">
        <f t="shared" si="226"/>
        <v>0</v>
      </c>
      <c r="JN69" s="30">
        <f t="shared" si="226"/>
        <v>0</v>
      </c>
      <c r="JO69" s="30">
        <f t="shared" si="226"/>
        <v>0</v>
      </c>
      <c r="JP69" s="30">
        <f t="shared" si="226"/>
        <v>0</v>
      </c>
      <c r="JQ69" s="30">
        <f t="shared" si="226"/>
        <v>0</v>
      </c>
      <c r="JR69" s="30">
        <f t="shared" si="226"/>
        <v>0</v>
      </c>
      <c r="JS69" s="30">
        <f t="shared" si="226"/>
        <v>0</v>
      </c>
      <c r="JT69" s="30">
        <f t="shared" si="226"/>
        <v>0</v>
      </c>
      <c r="JU69" s="30">
        <f t="shared" si="226"/>
        <v>0</v>
      </c>
      <c r="JV69" s="30">
        <f t="shared" si="226"/>
        <v>0</v>
      </c>
      <c r="JW69" s="30">
        <f t="shared" si="226"/>
        <v>0</v>
      </c>
      <c r="JX69" s="30">
        <f t="shared" si="226"/>
        <v>0</v>
      </c>
    </row>
    <row r="70" spans="1:284" s="7" customFormat="1" ht="16.5" x14ac:dyDescent="0.35">
      <c r="A70" s="406"/>
      <c r="B70" s="147" t="s">
        <v>85</v>
      </c>
      <c r="C70" s="120"/>
      <c r="D70" s="120"/>
      <c r="E70" s="102" t="s">
        <v>626</v>
      </c>
      <c r="F70" s="150">
        <f>I70/Project_Cost_Total</f>
        <v>6.3590251377425976E-3</v>
      </c>
      <c r="G70" s="395">
        <f>I70/Units_SF_M2</f>
        <v>1.4600536712446788</v>
      </c>
      <c r="H70" s="126">
        <f>I70/Units</f>
        <v>1241.0456205579771</v>
      </c>
      <c r="I70" s="126">
        <f>SUM(L70:EN70)</f>
        <v>372313.68616739311</v>
      </c>
      <c r="L70" s="39">
        <f t="shared" si="205"/>
        <v>0</v>
      </c>
      <c r="M70" s="39">
        <f t="shared" si="205"/>
        <v>0</v>
      </c>
      <c r="N70" s="39">
        <f t="shared" si="205"/>
        <v>0</v>
      </c>
      <c r="O70" s="39">
        <f t="shared" si="205"/>
        <v>0</v>
      </c>
      <c r="P70" s="39">
        <f t="shared" si="205"/>
        <v>0</v>
      </c>
      <c r="Q70" s="39">
        <f t="shared" si="205"/>
        <v>0</v>
      </c>
      <c r="R70" s="39">
        <f t="shared" si="205"/>
        <v>0</v>
      </c>
      <c r="S70" s="39">
        <f t="shared" si="205"/>
        <v>0</v>
      </c>
      <c r="T70" s="39">
        <f t="shared" si="205"/>
        <v>0</v>
      </c>
      <c r="U70" s="39">
        <f t="shared" si="205"/>
        <v>0</v>
      </c>
      <c r="V70" s="39">
        <f t="shared" si="206"/>
        <v>0</v>
      </c>
      <c r="W70" s="39">
        <f t="shared" si="206"/>
        <v>0</v>
      </c>
      <c r="X70" s="39">
        <f t="shared" si="206"/>
        <v>0</v>
      </c>
      <c r="Y70" s="39">
        <f t="shared" si="206"/>
        <v>0</v>
      </c>
      <c r="Z70" s="39">
        <f t="shared" si="206"/>
        <v>0</v>
      </c>
      <c r="AA70" s="39">
        <f t="shared" si="206"/>
        <v>0</v>
      </c>
      <c r="AB70" s="39">
        <f t="shared" si="206"/>
        <v>0</v>
      </c>
      <c r="AC70" s="39">
        <f t="shared" si="206"/>
        <v>0</v>
      </c>
      <c r="AD70" s="39">
        <f t="shared" si="206"/>
        <v>0</v>
      </c>
      <c r="AE70" s="39">
        <f t="shared" si="206"/>
        <v>137014.1267392564</v>
      </c>
      <c r="AF70" s="39">
        <f t="shared" si="207"/>
        <v>105738.43198636749</v>
      </c>
      <c r="AG70" s="39">
        <f t="shared" si="207"/>
        <v>74462.737233478663</v>
      </c>
      <c r="AH70" s="39">
        <f t="shared" si="207"/>
        <v>43187.042480589735</v>
      </c>
      <c r="AI70" s="39">
        <f t="shared" si="207"/>
        <v>11911.347727700826</v>
      </c>
      <c r="AJ70" s="39">
        <f t="shared" si="207"/>
        <v>0</v>
      </c>
      <c r="AK70" s="39">
        <f t="shared" si="207"/>
        <v>0</v>
      </c>
      <c r="AL70" s="39">
        <f t="shared" si="207"/>
        <v>0</v>
      </c>
      <c r="AM70" s="39">
        <f t="shared" si="207"/>
        <v>0</v>
      </c>
      <c r="AN70" s="39">
        <f t="shared" si="207"/>
        <v>0</v>
      </c>
      <c r="AO70" s="39">
        <f t="shared" si="207"/>
        <v>0</v>
      </c>
      <c r="AP70" s="39">
        <f t="shared" si="208"/>
        <v>0</v>
      </c>
      <c r="AQ70" s="39">
        <f t="shared" si="208"/>
        <v>0</v>
      </c>
      <c r="AR70" s="39">
        <f t="shared" si="208"/>
        <v>0</v>
      </c>
      <c r="AS70" s="39">
        <f t="shared" si="208"/>
        <v>0</v>
      </c>
      <c r="AT70" s="39">
        <f t="shared" si="208"/>
        <v>0</v>
      </c>
      <c r="AU70" s="39">
        <f t="shared" si="208"/>
        <v>0</v>
      </c>
      <c r="AV70" s="39">
        <f t="shared" si="208"/>
        <v>0</v>
      </c>
      <c r="AW70" s="39">
        <f t="shared" si="208"/>
        <v>0</v>
      </c>
      <c r="AX70" s="39">
        <f t="shared" si="208"/>
        <v>0</v>
      </c>
      <c r="AY70" s="39">
        <f t="shared" si="208"/>
        <v>0</v>
      </c>
      <c r="AZ70" s="39">
        <f t="shared" si="209"/>
        <v>0</v>
      </c>
      <c r="BA70" s="39">
        <f t="shared" si="209"/>
        <v>0</v>
      </c>
      <c r="BB70" s="39">
        <f t="shared" si="209"/>
        <v>0</v>
      </c>
      <c r="BC70" s="39">
        <f t="shared" si="209"/>
        <v>0</v>
      </c>
      <c r="BD70" s="39">
        <f t="shared" si="209"/>
        <v>0</v>
      </c>
      <c r="BE70" s="39">
        <f t="shared" si="209"/>
        <v>0</v>
      </c>
      <c r="BF70" s="39">
        <f t="shared" si="209"/>
        <v>0</v>
      </c>
      <c r="BG70" s="39">
        <f t="shared" si="209"/>
        <v>0</v>
      </c>
      <c r="BH70" s="39">
        <f t="shared" si="209"/>
        <v>0</v>
      </c>
      <c r="BI70" s="39">
        <f t="shared" si="209"/>
        <v>0</v>
      </c>
      <c r="BJ70" s="39">
        <f t="shared" si="210"/>
        <v>0</v>
      </c>
      <c r="BK70" s="39">
        <f t="shared" si="210"/>
        <v>0</v>
      </c>
      <c r="BL70" s="39">
        <f t="shared" si="210"/>
        <v>0</v>
      </c>
      <c r="BM70" s="39">
        <f t="shared" si="210"/>
        <v>0</v>
      </c>
      <c r="BN70" s="39">
        <f t="shared" si="210"/>
        <v>0</v>
      </c>
      <c r="BO70" s="39">
        <f t="shared" si="210"/>
        <v>0</v>
      </c>
      <c r="BP70" s="39">
        <f t="shared" si="210"/>
        <v>0</v>
      </c>
      <c r="BQ70" s="39">
        <f t="shared" si="210"/>
        <v>0</v>
      </c>
      <c r="BR70" s="39">
        <f t="shared" si="210"/>
        <v>0</v>
      </c>
      <c r="BS70" s="39">
        <f t="shared" si="210"/>
        <v>0</v>
      </c>
      <c r="BT70" s="39">
        <f t="shared" si="211"/>
        <v>0</v>
      </c>
      <c r="BU70" s="39">
        <f t="shared" si="211"/>
        <v>0</v>
      </c>
      <c r="BV70" s="39">
        <f t="shared" si="211"/>
        <v>0</v>
      </c>
      <c r="BW70" s="39">
        <f t="shared" si="211"/>
        <v>0</v>
      </c>
      <c r="BX70" s="39">
        <f t="shared" si="211"/>
        <v>0</v>
      </c>
      <c r="BY70" s="39">
        <f t="shared" si="211"/>
        <v>0</v>
      </c>
      <c r="BZ70" s="39">
        <f t="shared" si="211"/>
        <v>0</v>
      </c>
      <c r="CA70" s="39">
        <f t="shared" si="211"/>
        <v>0</v>
      </c>
      <c r="CB70" s="39">
        <f t="shared" si="211"/>
        <v>0</v>
      </c>
      <c r="CC70" s="39">
        <f t="shared" si="211"/>
        <v>0</v>
      </c>
      <c r="CD70" s="39">
        <f t="shared" si="212"/>
        <v>0</v>
      </c>
      <c r="CE70" s="39">
        <f t="shared" si="212"/>
        <v>0</v>
      </c>
      <c r="CF70" s="39">
        <f t="shared" si="212"/>
        <v>0</v>
      </c>
      <c r="CG70" s="39">
        <f t="shared" si="212"/>
        <v>0</v>
      </c>
      <c r="CH70" s="39">
        <f t="shared" si="212"/>
        <v>0</v>
      </c>
      <c r="CI70" s="39">
        <f t="shared" si="212"/>
        <v>0</v>
      </c>
      <c r="CJ70" s="39">
        <f t="shared" si="212"/>
        <v>0</v>
      </c>
      <c r="CK70" s="39">
        <f t="shared" si="212"/>
        <v>0</v>
      </c>
      <c r="CL70" s="39">
        <f t="shared" si="212"/>
        <v>0</v>
      </c>
      <c r="CM70" s="39">
        <f t="shared" si="212"/>
        <v>0</v>
      </c>
      <c r="CN70" s="39">
        <f t="shared" si="213"/>
        <v>0</v>
      </c>
      <c r="CO70" s="39">
        <f t="shared" si="213"/>
        <v>0</v>
      </c>
      <c r="CP70" s="39">
        <f t="shared" si="213"/>
        <v>0</v>
      </c>
      <c r="CQ70" s="39">
        <f t="shared" si="213"/>
        <v>0</v>
      </c>
      <c r="CR70" s="39">
        <f t="shared" si="213"/>
        <v>0</v>
      </c>
      <c r="CS70" s="39">
        <f t="shared" si="213"/>
        <v>0</v>
      </c>
      <c r="CT70" s="39">
        <f t="shared" si="213"/>
        <v>0</v>
      </c>
      <c r="CU70" s="39">
        <f t="shared" si="213"/>
        <v>0</v>
      </c>
      <c r="CV70" s="39">
        <f t="shared" si="213"/>
        <v>0</v>
      </c>
      <c r="CW70" s="39">
        <f t="shared" si="213"/>
        <v>0</v>
      </c>
      <c r="CX70" s="39">
        <f t="shared" si="214"/>
        <v>0</v>
      </c>
      <c r="CY70" s="39">
        <f t="shared" si="214"/>
        <v>0</v>
      </c>
      <c r="CZ70" s="39">
        <f t="shared" si="214"/>
        <v>0</v>
      </c>
      <c r="DA70" s="39">
        <f t="shared" si="214"/>
        <v>0</v>
      </c>
      <c r="DB70" s="39">
        <f t="shared" si="214"/>
        <v>0</v>
      </c>
      <c r="DC70" s="39">
        <f t="shared" si="214"/>
        <v>0</v>
      </c>
      <c r="DD70" s="39">
        <f t="shared" si="214"/>
        <v>0</v>
      </c>
      <c r="DE70" s="39">
        <f t="shared" si="214"/>
        <v>0</v>
      </c>
      <c r="DF70" s="39">
        <f t="shared" si="214"/>
        <v>0</v>
      </c>
      <c r="DG70" s="39">
        <f t="shared" si="214"/>
        <v>0</v>
      </c>
      <c r="DH70" s="39">
        <f t="shared" si="215"/>
        <v>0</v>
      </c>
      <c r="DI70" s="39">
        <f t="shared" si="215"/>
        <v>0</v>
      </c>
      <c r="DJ70" s="39">
        <f t="shared" si="215"/>
        <v>0</v>
      </c>
      <c r="DK70" s="39">
        <f t="shared" si="215"/>
        <v>0</v>
      </c>
      <c r="DL70" s="39">
        <f t="shared" si="215"/>
        <v>0</v>
      </c>
      <c r="DM70" s="39">
        <f t="shared" si="215"/>
        <v>0</v>
      </c>
      <c r="DN70" s="39">
        <f t="shared" si="215"/>
        <v>0</v>
      </c>
      <c r="DO70" s="39">
        <f t="shared" si="215"/>
        <v>0</v>
      </c>
      <c r="DP70" s="39">
        <f t="shared" si="215"/>
        <v>0</v>
      </c>
      <c r="DQ70" s="39">
        <f t="shared" si="215"/>
        <v>0</v>
      </c>
      <c r="DR70" s="39">
        <f t="shared" si="216"/>
        <v>0</v>
      </c>
      <c r="DS70" s="39">
        <f t="shared" si="216"/>
        <v>0</v>
      </c>
      <c r="DT70" s="39">
        <f t="shared" si="216"/>
        <v>0</v>
      </c>
      <c r="DU70" s="39">
        <f t="shared" si="216"/>
        <v>0</v>
      </c>
      <c r="DV70" s="39">
        <f t="shared" si="216"/>
        <v>0</v>
      </c>
      <c r="DW70" s="39">
        <f t="shared" si="216"/>
        <v>0</v>
      </c>
      <c r="DX70" s="39">
        <f t="shared" si="216"/>
        <v>0</v>
      </c>
      <c r="DY70" s="39">
        <f t="shared" si="216"/>
        <v>0</v>
      </c>
      <c r="DZ70" s="39">
        <f t="shared" si="216"/>
        <v>0</v>
      </c>
      <c r="EA70" s="39">
        <f t="shared" si="216"/>
        <v>0</v>
      </c>
      <c r="EB70" s="39">
        <f t="shared" si="217"/>
        <v>0</v>
      </c>
      <c r="EC70" s="39">
        <f t="shared" si="217"/>
        <v>0</v>
      </c>
      <c r="ED70" s="39">
        <f t="shared" si="217"/>
        <v>0</v>
      </c>
      <c r="EE70" s="39">
        <f t="shared" si="217"/>
        <v>0</v>
      </c>
      <c r="EF70" s="39">
        <f t="shared" si="217"/>
        <v>0</v>
      </c>
      <c r="EG70" s="39">
        <f t="shared" si="217"/>
        <v>0</v>
      </c>
      <c r="EH70" s="39">
        <f t="shared" si="217"/>
        <v>0</v>
      </c>
      <c r="EI70" s="39">
        <f t="shared" si="217"/>
        <v>0</v>
      </c>
      <c r="EJ70" s="39">
        <f t="shared" si="217"/>
        <v>0</v>
      </c>
      <c r="EK70" s="39">
        <f t="shared" si="217"/>
        <v>0</v>
      </c>
      <c r="EL70" s="39">
        <f t="shared" si="218"/>
        <v>0</v>
      </c>
      <c r="EM70" s="39">
        <f t="shared" si="218"/>
        <v>0</v>
      </c>
      <c r="EN70" s="39">
        <f t="shared" si="218"/>
        <v>0</v>
      </c>
      <c r="EP70" s="24" t="s">
        <v>72</v>
      </c>
      <c r="EQ70" s="24"/>
      <c r="ER70" s="24"/>
      <c r="ES70" s="33" t="str">
        <f>IF(MAX(EV70:JX70)=SUM(EV54:JX54),"OK","ERROR")</f>
        <v>OK</v>
      </c>
      <c r="ET70" s="33" t="s">
        <v>82</v>
      </c>
      <c r="EU70" s="33">
        <v>0</v>
      </c>
      <c r="EV70" s="30">
        <f t="shared" ref="EV70:GA70" si="227">+EU70+EV54</f>
        <v>0</v>
      </c>
      <c r="EW70" s="30">
        <f t="shared" si="227"/>
        <v>0</v>
      </c>
      <c r="EX70" s="30">
        <f t="shared" si="227"/>
        <v>0</v>
      </c>
      <c r="EY70" s="30">
        <f t="shared" si="227"/>
        <v>0</v>
      </c>
      <c r="EZ70" s="30">
        <f t="shared" si="227"/>
        <v>0</v>
      </c>
      <c r="FA70" s="30">
        <f t="shared" si="227"/>
        <v>0</v>
      </c>
      <c r="FB70" s="30">
        <f t="shared" si="227"/>
        <v>0</v>
      </c>
      <c r="FC70" s="30">
        <f t="shared" si="227"/>
        <v>0</v>
      </c>
      <c r="FD70" s="30">
        <f t="shared" si="227"/>
        <v>11937.613320370649</v>
      </c>
      <c r="FE70" s="30">
        <f t="shared" si="227"/>
        <v>47579.590121286499</v>
      </c>
      <c r="FF70" s="30">
        <f t="shared" si="227"/>
        <v>109621.83627123546</v>
      </c>
      <c r="FG70" s="30">
        <f t="shared" si="227"/>
        <v>198174.35289250515</v>
      </c>
      <c r="FH70" s="30">
        <f t="shared" si="227"/>
        <v>310750.46175807377</v>
      </c>
      <c r="FI70" s="30">
        <f t="shared" si="227"/>
        <v>448490.97203738883</v>
      </c>
      <c r="FJ70" s="30">
        <f t="shared" si="227"/>
        <v>606730.41922455176</v>
      </c>
      <c r="FK70" s="30">
        <f t="shared" si="227"/>
        <v>779167.1789305408</v>
      </c>
      <c r="FL70" s="30">
        <f t="shared" si="227"/>
        <v>961005.64806565514</v>
      </c>
      <c r="FM70" s="30">
        <f t="shared" si="227"/>
        <v>1149130.5867585817</v>
      </c>
      <c r="FN70" s="30">
        <f t="shared" si="227"/>
        <v>1341787.801469493</v>
      </c>
      <c r="FO70" s="30">
        <f t="shared" si="227"/>
        <v>1537372.2885519282</v>
      </c>
      <c r="FP70" s="30">
        <f t="shared" si="227"/>
        <v>1734508.9024988646</v>
      </c>
      <c r="FQ70" s="30">
        <f t="shared" si="227"/>
        <v>1933058.9333268232</v>
      </c>
      <c r="FR70" s="30">
        <f t="shared" si="227"/>
        <v>2132883.0237390683</v>
      </c>
      <c r="FS70" s="30">
        <f t="shared" si="227"/>
        <v>2333841.1661048136</v>
      </c>
      <c r="FT70" s="30">
        <f t="shared" si="227"/>
        <v>2516428.3523991401</v>
      </c>
      <c r="FU70" s="30">
        <f t="shared" si="227"/>
        <v>2668591.9174766177</v>
      </c>
      <c r="FV70" s="30">
        <f t="shared" si="227"/>
        <v>2790189.8844382348</v>
      </c>
      <c r="FW70" s="30">
        <f t="shared" si="227"/>
        <v>2881079.6138261175</v>
      </c>
      <c r="FX70" s="30">
        <f t="shared" si="227"/>
        <v>2941117.800531588</v>
      </c>
      <c r="FY70" s="30">
        <f t="shared" si="227"/>
        <v>2970160.4706887952</v>
      </c>
      <c r="FZ70" s="30">
        <f t="shared" si="227"/>
        <v>2970160.4706887952</v>
      </c>
      <c r="GA70" s="30">
        <f t="shared" si="227"/>
        <v>2970160.4706887952</v>
      </c>
      <c r="GB70" s="30">
        <f t="shared" ref="GB70:HG70" si="228">+GA70+GB54</f>
        <v>2970160.4706887952</v>
      </c>
      <c r="GC70" s="30">
        <f t="shared" si="228"/>
        <v>2970160.4706887952</v>
      </c>
      <c r="GD70" s="30">
        <f t="shared" si="228"/>
        <v>2970160.4706887952</v>
      </c>
      <c r="GE70" s="30">
        <f t="shared" si="228"/>
        <v>2970160.4706887952</v>
      </c>
      <c r="GF70" s="30">
        <f t="shared" si="228"/>
        <v>2970160.4706887952</v>
      </c>
      <c r="GG70" s="30">
        <f t="shared" si="228"/>
        <v>2970160.4706887952</v>
      </c>
      <c r="GH70" s="30">
        <f t="shared" si="228"/>
        <v>2970160.4706887952</v>
      </c>
      <c r="GI70" s="30">
        <f t="shared" si="228"/>
        <v>2970160.4706887952</v>
      </c>
      <c r="GJ70" s="30">
        <f t="shared" si="228"/>
        <v>2970160.4706887952</v>
      </c>
      <c r="GK70" s="30">
        <f t="shared" si="228"/>
        <v>2970160.4706887952</v>
      </c>
      <c r="GL70" s="30">
        <f t="shared" si="228"/>
        <v>2970160.4706887952</v>
      </c>
      <c r="GM70" s="30">
        <f t="shared" si="228"/>
        <v>2970160.4706887952</v>
      </c>
      <c r="GN70" s="30">
        <f t="shared" si="228"/>
        <v>2970160.4706887952</v>
      </c>
      <c r="GO70" s="30">
        <f t="shared" si="228"/>
        <v>2970160.4706887952</v>
      </c>
      <c r="GP70" s="30">
        <f t="shared" si="228"/>
        <v>2970160.4706887952</v>
      </c>
      <c r="GQ70" s="30">
        <f t="shared" si="228"/>
        <v>2970160.4706887952</v>
      </c>
      <c r="GR70" s="30">
        <f t="shared" si="228"/>
        <v>2970160.4706887952</v>
      </c>
      <c r="GS70" s="30">
        <f t="shared" si="228"/>
        <v>2970160.4706887952</v>
      </c>
      <c r="GT70" s="30">
        <f t="shared" si="228"/>
        <v>2970160.4706887952</v>
      </c>
      <c r="GU70" s="30">
        <f t="shared" si="228"/>
        <v>2970160.4706887952</v>
      </c>
      <c r="GV70" s="30">
        <f t="shared" si="228"/>
        <v>2970160.4706887952</v>
      </c>
      <c r="GW70" s="30">
        <f t="shared" si="228"/>
        <v>2970160.4706887952</v>
      </c>
      <c r="GX70" s="30">
        <f t="shared" si="228"/>
        <v>2970160.4706887952</v>
      </c>
      <c r="GY70" s="30">
        <f t="shared" si="228"/>
        <v>2970160.4706887952</v>
      </c>
      <c r="GZ70" s="30">
        <f t="shared" si="228"/>
        <v>2970160.4706887952</v>
      </c>
      <c r="HA70" s="30">
        <f t="shared" si="228"/>
        <v>2970160.4706887952</v>
      </c>
      <c r="HB70" s="30">
        <f t="shared" si="228"/>
        <v>2970160.4706887952</v>
      </c>
      <c r="HC70" s="30">
        <f t="shared" si="228"/>
        <v>2970160.4706887952</v>
      </c>
      <c r="HD70" s="30">
        <f t="shared" si="228"/>
        <v>2970160.4706887952</v>
      </c>
      <c r="HE70" s="30">
        <f t="shared" si="228"/>
        <v>2970160.4706887952</v>
      </c>
      <c r="HF70" s="30">
        <f t="shared" si="228"/>
        <v>2970160.4706887952</v>
      </c>
      <c r="HG70" s="30">
        <f t="shared" si="228"/>
        <v>2970160.4706887952</v>
      </c>
      <c r="HH70" s="30">
        <f t="shared" ref="HH70:IM70" si="229">+HG70+HH54</f>
        <v>2970160.4706887952</v>
      </c>
      <c r="HI70" s="30">
        <f t="shared" si="229"/>
        <v>2970160.4706887952</v>
      </c>
      <c r="HJ70" s="30">
        <f t="shared" si="229"/>
        <v>2970160.4706887952</v>
      </c>
      <c r="HK70" s="30">
        <f t="shared" si="229"/>
        <v>2970160.4706887952</v>
      </c>
      <c r="HL70" s="30">
        <f t="shared" si="229"/>
        <v>2970160.4706887952</v>
      </c>
      <c r="HM70" s="30">
        <f t="shared" si="229"/>
        <v>2970160.4706887952</v>
      </c>
      <c r="HN70" s="30">
        <f t="shared" si="229"/>
        <v>2970160.4706887952</v>
      </c>
      <c r="HO70" s="30">
        <f t="shared" si="229"/>
        <v>2970160.4706887952</v>
      </c>
      <c r="HP70" s="30">
        <f t="shared" si="229"/>
        <v>2970160.4706887952</v>
      </c>
      <c r="HQ70" s="30">
        <f t="shared" si="229"/>
        <v>2970160.4706887952</v>
      </c>
      <c r="HR70" s="30">
        <f t="shared" si="229"/>
        <v>2970160.4706887952</v>
      </c>
      <c r="HS70" s="30">
        <f t="shared" si="229"/>
        <v>2970160.4706887952</v>
      </c>
      <c r="HT70" s="30">
        <f t="shared" si="229"/>
        <v>2970160.4706887952</v>
      </c>
      <c r="HU70" s="30">
        <f t="shared" si="229"/>
        <v>2970160.4706887952</v>
      </c>
      <c r="HV70" s="30">
        <f t="shared" si="229"/>
        <v>2970160.4706887952</v>
      </c>
      <c r="HW70" s="30">
        <f t="shared" si="229"/>
        <v>2970160.4706887952</v>
      </c>
      <c r="HX70" s="30">
        <f t="shared" si="229"/>
        <v>2970160.4706887952</v>
      </c>
      <c r="HY70" s="30">
        <f t="shared" si="229"/>
        <v>2970160.4706887952</v>
      </c>
      <c r="HZ70" s="30">
        <f t="shared" si="229"/>
        <v>2970160.4706887952</v>
      </c>
      <c r="IA70" s="30">
        <f t="shared" si="229"/>
        <v>2970160.4706887952</v>
      </c>
      <c r="IB70" s="30">
        <f t="shared" si="229"/>
        <v>2970160.4706887952</v>
      </c>
      <c r="IC70" s="30">
        <f t="shared" si="229"/>
        <v>2970160.4706887952</v>
      </c>
      <c r="ID70" s="30">
        <f t="shared" si="229"/>
        <v>2970160.4706887952</v>
      </c>
      <c r="IE70" s="30">
        <f t="shared" si="229"/>
        <v>2970160.4706887952</v>
      </c>
      <c r="IF70" s="30">
        <f t="shared" si="229"/>
        <v>2970160.4706887952</v>
      </c>
      <c r="IG70" s="30">
        <f t="shared" si="229"/>
        <v>2970160.4706887952</v>
      </c>
      <c r="IH70" s="30">
        <f t="shared" si="229"/>
        <v>2970160.4706887952</v>
      </c>
      <c r="II70" s="30">
        <f t="shared" si="229"/>
        <v>2970160.4706887952</v>
      </c>
      <c r="IJ70" s="30">
        <f t="shared" si="229"/>
        <v>2970160.4706887952</v>
      </c>
      <c r="IK70" s="30">
        <f t="shared" si="229"/>
        <v>2970160.4706887952</v>
      </c>
      <c r="IL70" s="30">
        <f t="shared" si="229"/>
        <v>2970160.4706887952</v>
      </c>
      <c r="IM70" s="30">
        <f t="shared" si="229"/>
        <v>2970160.4706887952</v>
      </c>
      <c r="IN70" s="30">
        <f t="shared" ref="IN70:JX70" si="230">+IM70+IN54</f>
        <v>2970160.4706887952</v>
      </c>
      <c r="IO70" s="30">
        <f t="shared" si="230"/>
        <v>2970160.4706887952</v>
      </c>
      <c r="IP70" s="30">
        <f t="shared" si="230"/>
        <v>2970160.4706887952</v>
      </c>
      <c r="IQ70" s="30">
        <f t="shared" si="230"/>
        <v>2970160.4706887952</v>
      </c>
      <c r="IR70" s="30">
        <f t="shared" si="230"/>
        <v>2970160.4706887952</v>
      </c>
      <c r="IS70" s="30">
        <f t="shared" si="230"/>
        <v>2970160.4706887952</v>
      </c>
      <c r="IT70" s="30">
        <f t="shared" si="230"/>
        <v>2970160.4706887952</v>
      </c>
      <c r="IU70" s="30">
        <f t="shared" si="230"/>
        <v>2970160.4706887952</v>
      </c>
      <c r="IV70" s="30">
        <f t="shared" si="230"/>
        <v>2970160.4706887952</v>
      </c>
      <c r="IW70" s="30">
        <f t="shared" si="230"/>
        <v>2970160.4706887952</v>
      </c>
      <c r="IX70" s="30">
        <f t="shared" si="230"/>
        <v>2970160.4706887952</v>
      </c>
      <c r="IY70" s="30">
        <f t="shared" si="230"/>
        <v>2970160.4706887952</v>
      </c>
      <c r="IZ70" s="30">
        <f t="shared" si="230"/>
        <v>2970160.4706887952</v>
      </c>
      <c r="JA70" s="30">
        <f t="shared" si="230"/>
        <v>2970160.4706887952</v>
      </c>
      <c r="JB70" s="30">
        <f t="shared" si="230"/>
        <v>2970160.4706887952</v>
      </c>
      <c r="JC70" s="30">
        <f t="shared" si="230"/>
        <v>2970160.4706887952</v>
      </c>
      <c r="JD70" s="30">
        <f t="shared" si="230"/>
        <v>2970160.4706887952</v>
      </c>
      <c r="JE70" s="30">
        <f t="shared" si="230"/>
        <v>2970160.4706887952</v>
      </c>
      <c r="JF70" s="30">
        <f t="shared" si="230"/>
        <v>2970160.4706887952</v>
      </c>
      <c r="JG70" s="30">
        <f t="shared" si="230"/>
        <v>2970160.4706887952</v>
      </c>
      <c r="JH70" s="30">
        <f t="shared" si="230"/>
        <v>2970160.4706887952</v>
      </c>
      <c r="JI70" s="30">
        <f t="shared" si="230"/>
        <v>2970160.4706887952</v>
      </c>
      <c r="JJ70" s="30">
        <f t="shared" si="230"/>
        <v>2970160.4706887952</v>
      </c>
      <c r="JK70" s="30">
        <f t="shared" si="230"/>
        <v>2970160.4706887952</v>
      </c>
      <c r="JL70" s="30">
        <f t="shared" si="230"/>
        <v>2970160.4706887952</v>
      </c>
      <c r="JM70" s="30">
        <f t="shared" si="230"/>
        <v>2970160.4706887952</v>
      </c>
      <c r="JN70" s="30">
        <f t="shared" si="230"/>
        <v>2970160.4706887952</v>
      </c>
      <c r="JO70" s="30">
        <f t="shared" si="230"/>
        <v>2970160.4706887952</v>
      </c>
      <c r="JP70" s="30">
        <f t="shared" si="230"/>
        <v>2970160.4706887952</v>
      </c>
      <c r="JQ70" s="30">
        <f t="shared" si="230"/>
        <v>2970160.4706887952</v>
      </c>
      <c r="JR70" s="30">
        <f t="shared" si="230"/>
        <v>2970160.4706887952</v>
      </c>
      <c r="JS70" s="30">
        <f t="shared" si="230"/>
        <v>2970160.4706887952</v>
      </c>
      <c r="JT70" s="30">
        <f t="shared" si="230"/>
        <v>2970160.4706887952</v>
      </c>
      <c r="JU70" s="30">
        <f t="shared" si="230"/>
        <v>2970160.4706887952</v>
      </c>
      <c r="JV70" s="30">
        <f t="shared" si="230"/>
        <v>2970160.4706887952</v>
      </c>
      <c r="JW70" s="30">
        <f t="shared" si="230"/>
        <v>2970160.4706887952</v>
      </c>
      <c r="JX70" s="30">
        <f t="shared" si="230"/>
        <v>2970160.4706887952</v>
      </c>
    </row>
    <row r="71" spans="1:284" s="7" customFormat="1" x14ac:dyDescent="0.2">
      <c r="A71" s="406"/>
      <c r="B71" s="92" t="s">
        <v>605</v>
      </c>
      <c r="C71" s="120"/>
      <c r="D71" s="120"/>
      <c r="E71" s="135">
        <f>IF(Perm_Debt?,C78,Timing_Reversion_Month)</f>
        <v>45</v>
      </c>
      <c r="F71" s="148">
        <f>I71/Project_Cost_Total</f>
        <v>0.75000002159171264</v>
      </c>
      <c r="G71" s="389">
        <f>SUM(G68:G70)</f>
        <v>172.20254067863283</v>
      </c>
      <c r="H71" s="123">
        <f>SUM(H68:H70)</f>
        <v>146372.15957683788</v>
      </c>
      <c r="I71" s="123">
        <f>SUM(I68:I70)</f>
        <v>43911647.873051375</v>
      </c>
      <c r="K71" s="63" t="str">
        <f>IF(AND(ROUND(SUM(L71:EN71),0)=ROUND(Debt_Total,0),ROUND(SUM(L57:EN58),0)=ROUND(SUM(I61:I62),0)),"","ERROR")</f>
        <v/>
      </c>
      <c r="L71" s="38">
        <f>SUM(L68:L70)</f>
        <v>0</v>
      </c>
      <c r="M71" s="38">
        <f t="shared" ref="M71:BX71" si="231">SUM(M68:M70)</f>
        <v>0</v>
      </c>
      <c r="N71" s="38">
        <f t="shared" si="231"/>
        <v>0</v>
      </c>
      <c r="O71" s="38">
        <f t="shared" si="231"/>
        <v>0</v>
      </c>
      <c r="P71" s="38">
        <f t="shared" si="231"/>
        <v>0</v>
      </c>
      <c r="Q71" s="38">
        <f t="shared" si="231"/>
        <v>0</v>
      </c>
      <c r="R71" s="38">
        <f t="shared" si="231"/>
        <v>0</v>
      </c>
      <c r="S71" s="38">
        <f t="shared" si="231"/>
        <v>2865027.1968889558</v>
      </c>
      <c r="T71" s="38">
        <f t="shared" si="231"/>
        <v>5689047.2353308471</v>
      </c>
      <c r="U71" s="38">
        <f t="shared" si="231"/>
        <v>6336064.6437679445</v>
      </c>
      <c r="V71" s="38">
        <f t="shared" si="231"/>
        <v>6362464.9131169794</v>
      </c>
      <c r="W71" s="38">
        <f t="shared" si="231"/>
        <v>5765662.1386317443</v>
      </c>
      <c r="X71" s="38">
        <f t="shared" si="231"/>
        <v>4731209.4295146354</v>
      </c>
      <c r="Y71" s="38">
        <f t="shared" si="231"/>
        <v>3547598.7178405742</v>
      </c>
      <c r="Z71" s="38">
        <f t="shared" si="231"/>
        <v>2467869.1206613295</v>
      </c>
      <c r="AA71" s="38">
        <f t="shared" si="231"/>
        <v>1640257.6635875134</v>
      </c>
      <c r="AB71" s="38">
        <f t="shared" si="231"/>
        <v>1095247.652728765</v>
      </c>
      <c r="AC71" s="38">
        <f t="shared" si="231"/>
        <v>783240.1545545361</v>
      </c>
      <c r="AD71" s="38">
        <f t="shared" si="231"/>
        <v>627272.65104083321</v>
      </c>
      <c r="AE71" s="38">
        <f t="shared" si="231"/>
        <v>332598.6138216916</v>
      </c>
      <c r="AF71" s="38">
        <f t="shared" si="231"/>
        <v>302875.04593330395</v>
      </c>
      <c r="AG71" s="38">
        <f t="shared" si="231"/>
        <v>273012.76806143718</v>
      </c>
      <c r="AH71" s="38">
        <f t="shared" si="231"/>
        <v>243011.13289283498</v>
      </c>
      <c r="AI71" s="38">
        <f t="shared" si="231"/>
        <v>212869.49009344599</v>
      </c>
      <c r="AJ71" s="38">
        <f t="shared" si="231"/>
        <v>182587.1862943265</v>
      </c>
      <c r="AK71" s="38">
        <f t="shared" si="231"/>
        <v>152163.5650774778</v>
      </c>
      <c r="AL71" s="38">
        <f t="shared" si="231"/>
        <v>121597.96696161716</v>
      </c>
      <c r="AM71" s="38">
        <f t="shared" si="231"/>
        <v>90889.7293878825</v>
      </c>
      <c r="AN71" s="38">
        <f t="shared" si="231"/>
        <v>60038.186705470376</v>
      </c>
      <c r="AO71" s="38">
        <f t="shared" si="231"/>
        <v>29042.670157206972</v>
      </c>
      <c r="AP71" s="38">
        <f t="shared" si="231"/>
        <v>0</v>
      </c>
      <c r="AQ71" s="38">
        <f t="shared" si="231"/>
        <v>0</v>
      </c>
      <c r="AR71" s="38">
        <f t="shared" si="231"/>
        <v>0</v>
      </c>
      <c r="AS71" s="38">
        <f t="shared" si="231"/>
        <v>0</v>
      </c>
      <c r="AT71" s="38">
        <f t="shared" si="231"/>
        <v>0</v>
      </c>
      <c r="AU71" s="38">
        <f t="shared" si="231"/>
        <v>0</v>
      </c>
      <c r="AV71" s="38">
        <f t="shared" si="231"/>
        <v>0</v>
      </c>
      <c r="AW71" s="38">
        <f t="shared" si="231"/>
        <v>0</v>
      </c>
      <c r="AX71" s="38">
        <f t="shared" si="231"/>
        <v>0</v>
      </c>
      <c r="AY71" s="38">
        <f t="shared" si="231"/>
        <v>0</v>
      </c>
      <c r="AZ71" s="38">
        <f t="shared" si="231"/>
        <v>0</v>
      </c>
      <c r="BA71" s="38">
        <f t="shared" si="231"/>
        <v>0</v>
      </c>
      <c r="BB71" s="38">
        <f t="shared" si="231"/>
        <v>0</v>
      </c>
      <c r="BC71" s="38">
        <f t="shared" si="231"/>
        <v>0</v>
      </c>
      <c r="BD71" s="38">
        <f t="shared" si="231"/>
        <v>0</v>
      </c>
      <c r="BE71" s="38">
        <f t="shared" si="231"/>
        <v>0</v>
      </c>
      <c r="BF71" s="38">
        <f t="shared" si="231"/>
        <v>0</v>
      </c>
      <c r="BG71" s="38">
        <f t="shared" si="231"/>
        <v>0</v>
      </c>
      <c r="BH71" s="38">
        <f t="shared" si="231"/>
        <v>0</v>
      </c>
      <c r="BI71" s="38">
        <f t="shared" si="231"/>
        <v>0</v>
      </c>
      <c r="BJ71" s="38">
        <f t="shared" si="231"/>
        <v>0</v>
      </c>
      <c r="BK71" s="38">
        <f t="shared" si="231"/>
        <v>0</v>
      </c>
      <c r="BL71" s="38">
        <f t="shared" si="231"/>
        <v>0</v>
      </c>
      <c r="BM71" s="38">
        <f t="shared" si="231"/>
        <v>0</v>
      </c>
      <c r="BN71" s="38">
        <f t="shared" si="231"/>
        <v>0</v>
      </c>
      <c r="BO71" s="38">
        <f t="shared" si="231"/>
        <v>0</v>
      </c>
      <c r="BP71" s="38">
        <f t="shared" si="231"/>
        <v>0</v>
      </c>
      <c r="BQ71" s="38">
        <f t="shared" si="231"/>
        <v>0</v>
      </c>
      <c r="BR71" s="38">
        <f t="shared" si="231"/>
        <v>0</v>
      </c>
      <c r="BS71" s="38">
        <f t="shared" si="231"/>
        <v>0</v>
      </c>
      <c r="BT71" s="38">
        <f t="shared" si="231"/>
        <v>0</v>
      </c>
      <c r="BU71" s="38">
        <f t="shared" si="231"/>
        <v>0</v>
      </c>
      <c r="BV71" s="38">
        <f t="shared" si="231"/>
        <v>0</v>
      </c>
      <c r="BW71" s="38">
        <f t="shared" si="231"/>
        <v>0</v>
      </c>
      <c r="BX71" s="38">
        <f t="shared" si="231"/>
        <v>0</v>
      </c>
      <c r="BY71" s="38">
        <f t="shared" ref="BY71:EJ71" si="232">SUM(BY68:BY70)</f>
        <v>0</v>
      </c>
      <c r="BZ71" s="38">
        <f t="shared" si="232"/>
        <v>0</v>
      </c>
      <c r="CA71" s="38">
        <f t="shared" si="232"/>
        <v>0</v>
      </c>
      <c r="CB71" s="38">
        <f t="shared" si="232"/>
        <v>0</v>
      </c>
      <c r="CC71" s="38">
        <f t="shared" si="232"/>
        <v>0</v>
      </c>
      <c r="CD71" s="38">
        <f t="shared" si="232"/>
        <v>0</v>
      </c>
      <c r="CE71" s="38">
        <f t="shared" si="232"/>
        <v>0</v>
      </c>
      <c r="CF71" s="38">
        <f t="shared" si="232"/>
        <v>0</v>
      </c>
      <c r="CG71" s="38">
        <f t="shared" si="232"/>
        <v>0</v>
      </c>
      <c r="CH71" s="38">
        <f t="shared" si="232"/>
        <v>0</v>
      </c>
      <c r="CI71" s="38">
        <f t="shared" si="232"/>
        <v>0</v>
      </c>
      <c r="CJ71" s="38">
        <f t="shared" si="232"/>
        <v>0</v>
      </c>
      <c r="CK71" s="38">
        <f t="shared" si="232"/>
        <v>0</v>
      </c>
      <c r="CL71" s="38">
        <f t="shared" si="232"/>
        <v>0</v>
      </c>
      <c r="CM71" s="38">
        <f t="shared" si="232"/>
        <v>0</v>
      </c>
      <c r="CN71" s="38">
        <f t="shared" si="232"/>
        <v>0</v>
      </c>
      <c r="CO71" s="38">
        <f t="shared" si="232"/>
        <v>0</v>
      </c>
      <c r="CP71" s="38">
        <f t="shared" si="232"/>
        <v>0</v>
      </c>
      <c r="CQ71" s="38">
        <f t="shared" si="232"/>
        <v>0</v>
      </c>
      <c r="CR71" s="38">
        <f t="shared" si="232"/>
        <v>0</v>
      </c>
      <c r="CS71" s="38">
        <f t="shared" si="232"/>
        <v>0</v>
      </c>
      <c r="CT71" s="38">
        <f t="shared" si="232"/>
        <v>0</v>
      </c>
      <c r="CU71" s="38">
        <f t="shared" si="232"/>
        <v>0</v>
      </c>
      <c r="CV71" s="38">
        <f t="shared" si="232"/>
        <v>0</v>
      </c>
      <c r="CW71" s="38">
        <f t="shared" si="232"/>
        <v>0</v>
      </c>
      <c r="CX71" s="38">
        <f t="shared" si="232"/>
        <v>0</v>
      </c>
      <c r="CY71" s="38">
        <f t="shared" si="232"/>
        <v>0</v>
      </c>
      <c r="CZ71" s="38">
        <f t="shared" si="232"/>
        <v>0</v>
      </c>
      <c r="DA71" s="38">
        <f t="shared" si="232"/>
        <v>0</v>
      </c>
      <c r="DB71" s="38">
        <f t="shared" si="232"/>
        <v>0</v>
      </c>
      <c r="DC71" s="38">
        <f t="shared" si="232"/>
        <v>0</v>
      </c>
      <c r="DD71" s="38">
        <f t="shared" si="232"/>
        <v>0</v>
      </c>
      <c r="DE71" s="38">
        <f t="shared" si="232"/>
        <v>0</v>
      </c>
      <c r="DF71" s="38">
        <f t="shared" si="232"/>
        <v>0</v>
      </c>
      <c r="DG71" s="38">
        <f t="shared" si="232"/>
        <v>0</v>
      </c>
      <c r="DH71" s="38">
        <f t="shared" si="232"/>
        <v>0</v>
      </c>
      <c r="DI71" s="38">
        <f t="shared" si="232"/>
        <v>0</v>
      </c>
      <c r="DJ71" s="38">
        <f t="shared" si="232"/>
        <v>0</v>
      </c>
      <c r="DK71" s="38">
        <f t="shared" si="232"/>
        <v>0</v>
      </c>
      <c r="DL71" s="38">
        <f t="shared" si="232"/>
        <v>0</v>
      </c>
      <c r="DM71" s="38">
        <f t="shared" si="232"/>
        <v>0</v>
      </c>
      <c r="DN71" s="38">
        <f t="shared" si="232"/>
        <v>0</v>
      </c>
      <c r="DO71" s="38">
        <f t="shared" si="232"/>
        <v>0</v>
      </c>
      <c r="DP71" s="38">
        <f t="shared" si="232"/>
        <v>0</v>
      </c>
      <c r="DQ71" s="38">
        <f t="shared" si="232"/>
        <v>0</v>
      </c>
      <c r="DR71" s="38">
        <f t="shared" si="232"/>
        <v>0</v>
      </c>
      <c r="DS71" s="38">
        <f t="shared" si="232"/>
        <v>0</v>
      </c>
      <c r="DT71" s="38">
        <f t="shared" si="232"/>
        <v>0</v>
      </c>
      <c r="DU71" s="38">
        <f t="shared" si="232"/>
        <v>0</v>
      </c>
      <c r="DV71" s="38">
        <f t="shared" si="232"/>
        <v>0</v>
      </c>
      <c r="DW71" s="38">
        <f t="shared" si="232"/>
        <v>0</v>
      </c>
      <c r="DX71" s="38">
        <f t="shared" si="232"/>
        <v>0</v>
      </c>
      <c r="DY71" s="38">
        <f t="shared" si="232"/>
        <v>0</v>
      </c>
      <c r="DZ71" s="38">
        <f t="shared" si="232"/>
        <v>0</v>
      </c>
      <c r="EA71" s="38">
        <f t="shared" si="232"/>
        <v>0</v>
      </c>
      <c r="EB71" s="38">
        <f t="shared" si="232"/>
        <v>0</v>
      </c>
      <c r="EC71" s="38">
        <f t="shared" si="232"/>
        <v>0</v>
      </c>
      <c r="ED71" s="38">
        <f t="shared" si="232"/>
        <v>0</v>
      </c>
      <c r="EE71" s="38">
        <f t="shared" si="232"/>
        <v>0</v>
      </c>
      <c r="EF71" s="38">
        <f t="shared" si="232"/>
        <v>0</v>
      </c>
      <c r="EG71" s="38">
        <f t="shared" si="232"/>
        <v>0</v>
      </c>
      <c r="EH71" s="38">
        <f t="shared" si="232"/>
        <v>0</v>
      </c>
      <c r="EI71" s="38">
        <f t="shared" si="232"/>
        <v>0</v>
      </c>
      <c r="EJ71" s="38">
        <f t="shared" si="232"/>
        <v>0</v>
      </c>
      <c r="EK71" s="38">
        <f>SUM(EK68:EK70)</f>
        <v>0</v>
      </c>
      <c r="EL71" s="38">
        <f>SUM(EL68:EL70)</f>
        <v>0</v>
      </c>
      <c r="EM71" s="38">
        <f>SUM(EM68:EM70)</f>
        <v>0</v>
      </c>
      <c r="EN71" s="38">
        <f>SUM(EN68:EN70)</f>
        <v>0</v>
      </c>
      <c r="EP71" s="24" t="s">
        <v>79</v>
      </c>
      <c r="EQ71" s="24"/>
      <c r="ER71" s="24"/>
      <c r="ES71" s="33" t="str">
        <f>IF(MAX(EV71:JX71)=SUM(EV55:JX55),"OK","ERROR")</f>
        <v>OK</v>
      </c>
      <c r="ET71" s="33" t="s">
        <v>82</v>
      </c>
      <c r="EU71" s="33">
        <v>0</v>
      </c>
      <c r="EV71" s="30">
        <f t="shared" ref="EV71:GA71" si="233">+EU71+EV55</f>
        <v>0</v>
      </c>
      <c r="EW71" s="30">
        <f t="shared" si="233"/>
        <v>0</v>
      </c>
      <c r="EX71" s="30">
        <f t="shared" si="233"/>
        <v>0</v>
      </c>
      <c r="EY71" s="30">
        <f t="shared" si="233"/>
        <v>0</v>
      </c>
      <c r="EZ71" s="30">
        <f t="shared" si="233"/>
        <v>0</v>
      </c>
      <c r="FA71" s="30">
        <f t="shared" si="233"/>
        <v>0</v>
      </c>
      <c r="FB71" s="30">
        <f t="shared" si="233"/>
        <v>0</v>
      </c>
      <c r="FC71" s="30">
        <f t="shared" si="233"/>
        <v>0</v>
      </c>
      <c r="FD71" s="30">
        <f t="shared" si="233"/>
        <v>0</v>
      </c>
      <c r="FE71" s="30">
        <f t="shared" si="233"/>
        <v>0</v>
      </c>
      <c r="FF71" s="30">
        <f t="shared" si="233"/>
        <v>0</v>
      </c>
      <c r="FG71" s="30">
        <f t="shared" si="233"/>
        <v>0</v>
      </c>
      <c r="FH71" s="30">
        <f t="shared" si="233"/>
        <v>0</v>
      </c>
      <c r="FI71" s="30">
        <f t="shared" si="233"/>
        <v>0</v>
      </c>
      <c r="FJ71" s="30">
        <f t="shared" si="233"/>
        <v>0</v>
      </c>
      <c r="FK71" s="30">
        <f t="shared" si="233"/>
        <v>0</v>
      </c>
      <c r="FL71" s="30">
        <f t="shared" si="233"/>
        <v>0</v>
      </c>
      <c r="FM71" s="30">
        <f t="shared" si="233"/>
        <v>0</v>
      </c>
      <c r="FN71" s="30">
        <f t="shared" si="233"/>
        <v>0</v>
      </c>
      <c r="FO71" s="30">
        <f t="shared" si="233"/>
        <v>137014.1267392564</v>
      </c>
      <c r="FP71" s="30">
        <f t="shared" si="233"/>
        <v>242752.55872562388</v>
      </c>
      <c r="FQ71" s="30">
        <f t="shared" si="233"/>
        <v>317215.29595910257</v>
      </c>
      <c r="FR71" s="30">
        <f t="shared" si="233"/>
        <v>360402.33843969228</v>
      </c>
      <c r="FS71" s="30">
        <f t="shared" si="233"/>
        <v>372313.68616739311</v>
      </c>
      <c r="FT71" s="30">
        <f t="shared" si="233"/>
        <v>372313.68616739311</v>
      </c>
      <c r="FU71" s="30">
        <f t="shared" si="233"/>
        <v>372313.68616739311</v>
      </c>
      <c r="FV71" s="30">
        <f t="shared" si="233"/>
        <v>372313.68616739311</v>
      </c>
      <c r="FW71" s="30">
        <f t="shared" si="233"/>
        <v>372313.68616739311</v>
      </c>
      <c r="FX71" s="30">
        <f t="shared" si="233"/>
        <v>372313.68616739311</v>
      </c>
      <c r="FY71" s="30">
        <f t="shared" si="233"/>
        <v>372313.68616739311</v>
      </c>
      <c r="FZ71" s="30">
        <f t="shared" si="233"/>
        <v>372313.68616739311</v>
      </c>
      <c r="GA71" s="30">
        <f t="shared" si="233"/>
        <v>372313.68616739311</v>
      </c>
      <c r="GB71" s="30">
        <f t="shared" ref="GB71:HG71" si="234">+GA71+GB55</f>
        <v>372313.68616739311</v>
      </c>
      <c r="GC71" s="30">
        <f t="shared" si="234"/>
        <v>372313.68616739311</v>
      </c>
      <c r="GD71" s="30">
        <f t="shared" si="234"/>
        <v>372313.68616739311</v>
      </c>
      <c r="GE71" s="30">
        <f t="shared" si="234"/>
        <v>372313.68616739311</v>
      </c>
      <c r="GF71" s="30">
        <f t="shared" si="234"/>
        <v>372313.68616739311</v>
      </c>
      <c r="GG71" s="30">
        <f t="shared" si="234"/>
        <v>372313.68616739311</v>
      </c>
      <c r="GH71" s="30">
        <f t="shared" si="234"/>
        <v>372313.68616739311</v>
      </c>
      <c r="GI71" s="30">
        <f t="shared" si="234"/>
        <v>372313.68616739311</v>
      </c>
      <c r="GJ71" s="30">
        <f t="shared" si="234"/>
        <v>372313.68616739311</v>
      </c>
      <c r="GK71" s="30">
        <f t="shared" si="234"/>
        <v>372313.68616739311</v>
      </c>
      <c r="GL71" s="30">
        <f t="shared" si="234"/>
        <v>372313.68616739311</v>
      </c>
      <c r="GM71" s="30">
        <f t="shared" si="234"/>
        <v>372313.68616739311</v>
      </c>
      <c r="GN71" s="30">
        <f t="shared" si="234"/>
        <v>372313.68616739311</v>
      </c>
      <c r="GO71" s="30">
        <f t="shared" si="234"/>
        <v>372313.68616739311</v>
      </c>
      <c r="GP71" s="30">
        <f t="shared" si="234"/>
        <v>372313.68616739311</v>
      </c>
      <c r="GQ71" s="30">
        <f t="shared" si="234"/>
        <v>372313.68616739311</v>
      </c>
      <c r="GR71" s="30">
        <f t="shared" si="234"/>
        <v>372313.68616739311</v>
      </c>
      <c r="GS71" s="30">
        <f t="shared" si="234"/>
        <v>372313.68616739311</v>
      </c>
      <c r="GT71" s="30">
        <f t="shared" si="234"/>
        <v>372313.68616739311</v>
      </c>
      <c r="GU71" s="30">
        <f t="shared" si="234"/>
        <v>372313.68616739311</v>
      </c>
      <c r="GV71" s="30">
        <f t="shared" si="234"/>
        <v>372313.68616739311</v>
      </c>
      <c r="GW71" s="30">
        <f t="shared" si="234"/>
        <v>372313.68616739311</v>
      </c>
      <c r="GX71" s="30">
        <f t="shared" si="234"/>
        <v>372313.68616739311</v>
      </c>
      <c r="GY71" s="30">
        <f t="shared" si="234"/>
        <v>372313.68616739311</v>
      </c>
      <c r="GZ71" s="30">
        <f t="shared" si="234"/>
        <v>372313.68616739311</v>
      </c>
      <c r="HA71" s="30">
        <f t="shared" si="234"/>
        <v>372313.68616739311</v>
      </c>
      <c r="HB71" s="30">
        <f t="shared" si="234"/>
        <v>372313.68616739311</v>
      </c>
      <c r="HC71" s="30">
        <f t="shared" si="234"/>
        <v>372313.68616739311</v>
      </c>
      <c r="HD71" s="30">
        <f t="shared" si="234"/>
        <v>372313.68616739311</v>
      </c>
      <c r="HE71" s="30">
        <f t="shared" si="234"/>
        <v>372313.68616739311</v>
      </c>
      <c r="HF71" s="30">
        <f t="shared" si="234"/>
        <v>372313.68616739311</v>
      </c>
      <c r="HG71" s="30">
        <f t="shared" si="234"/>
        <v>372313.68616739311</v>
      </c>
      <c r="HH71" s="30">
        <f t="shared" ref="HH71:IM71" si="235">+HG71+HH55</f>
        <v>372313.68616739311</v>
      </c>
      <c r="HI71" s="30">
        <f t="shared" si="235"/>
        <v>372313.68616739311</v>
      </c>
      <c r="HJ71" s="30">
        <f t="shared" si="235"/>
        <v>372313.68616739311</v>
      </c>
      <c r="HK71" s="30">
        <f t="shared" si="235"/>
        <v>372313.68616739311</v>
      </c>
      <c r="HL71" s="30">
        <f t="shared" si="235"/>
        <v>372313.68616739311</v>
      </c>
      <c r="HM71" s="30">
        <f t="shared" si="235"/>
        <v>372313.68616739311</v>
      </c>
      <c r="HN71" s="30">
        <f t="shared" si="235"/>
        <v>372313.68616739311</v>
      </c>
      <c r="HO71" s="30">
        <f t="shared" si="235"/>
        <v>372313.68616739311</v>
      </c>
      <c r="HP71" s="30">
        <f t="shared" si="235"/>
        <v>372313.68616739311</v>
      </c>
      <c r="HQ71" s="30">
        <f t="shared" si="235"/>
        <v>372313.68616739311</v>
      </c>
      <c r="HR71" s="30">
        <f t="shared" si="235"/>
        <v>372313.68616739311</v>
      </c>
      <c r="HS71" s="30">
        <f t="shared" si="235"/>
        <v>372313.68616739311</v>
      </c>
      <c r="HT71" s="30">
        <f t="shared" si="235"/>
        <v>372313.68616739311</v>
      </c>
      <c r="HU71" s="30">
        <f t="shared" si="235"/>
        <v>372313.68616739311</v>
      </c>
      <c r="HV71" s="30">
        <f t="shared" si="235"/>
        <v>372313.68616739311</v>
      </c>
      <c r="HW71" s="30">
        <f t="shared" si="235"/>
        <v>372313.68616739311</v>
      </c>
      <c r="HX71" s="30">
        <f t="shared" si="235"/>
        <v>372313.68616739311</v>
      </c>
      <c r="HY71" s="30">
        <f t="shared" si="235"/>
        <v>372313.68616739311</v>
      </c>
      <c r="HZ71" s="30">
        <f t="shared" si="235"/>
        <v>372313.68616739311</v>
      </c>
      <c r="IA71" s="30">
        <f t="shared" si="235"/>
        <v>372313.68616739311</v>
      </c>
      <c r="IB71" s="30">
        <f t="shared" si="235"/>
        <v>372313.68616739311</v>
      </c>
      <c r="IC71" s="30">
        <f t="shared" si="235"/>
        <v>372313.68616739311</v>
      </c>
      <c r="ID71" s="30">
        <f t="shared" si="235"/>
        <v>372313.68616739311</v>
      </c>
      <c r="IE71" s="30">
        <f t="shared" si="235"/>
        <v>372313.68616739311</v>
      </c>
      <c r="IF71" s="30">
        <f t="shared" si="235"/>
        <v>372313.68616739311</v>
      </c>
      <c r="IG71" s="30">
        <f t="shared" si="235"/>
        <v>372313.68616739311</v>
      </c>
      <c r="IH71" s="30">
        <f t="shared" si="235"/>
        <v>372313.68616739311</v>
      </c>
      <c r="II71" s="30">
        <f t="shared" si="235"/>
        <v>372313.68616739311</v>
      </c>
      <c r="IJ71" s="30">
        <f t="shared" si="235"/>
        <v>372313.68616739311</v>
      </c>
      <c r="IK71" s="30">
        <f t="shared" si="235"/>
        <v>372313.68616739311</v>
      </c>
      <c r="IL71" s="30">
        <f t="shared" si="235"/>
        <v>372313.68616739311</v>
      </c>
      <c r="IM71" s="30">
        <f t="shared" si="235"/>
        <v>372313.68616739311</v>
      </c>
      <c r="IN71" s="30">
        <f t="shared" ref="IN71:JX71" si="236">+IM71+IN55</f>
        <v>372313.68616739311</v>
      </c>
      <c r="IO71" s="30">
        <f t="shared" si="236"/>
        <v>372313.68616739311</v>
      </c>
      <c r="IP71" s="30">
        <f t="shared" si="236"/>
        <v>372313.68616739311</v>
      </c>
      <c r="IQ71" s="30">
        <f t="shared" si="236"/>
        <v>372313.68616739311</v>
      </c>
      <c r="IR71" s="30">
        <f t="shared" si="236"/>
        <v>372313.68616739311</v>
      </c>
      <c r="IS71" s="30">
        <f t="shared" si="236"/>
        <v>372313.68616739311</v>
      </c>
      <c r="IT71" s="30">
        <f t="shared" si="236"/>
        <v>372313.68616739311</v>
      </c>
      <c r="IU71" s="30">
        <f t="shared" si="236"/>
        <v>372313.68616739311</v>
      </c>
      <c r="IV71" s="30">
        <f t="shared" si="236"/>
        <v>372313.68616739311</v>
      </c>
      <c r="IW71" s="30">
        <f t="shared" si="236"/>
        <v>372313.68616739311</v>
      </c>
      <c r="IX71" s="30">
        <f t="shared" si="236"/>
        <v>372313.68616739311</v>
      </c>
      <c r="IY71" s="30">
        <f t="shared" si="236"/>
        <v>372313.68616739311</v>
      </c>
      <c r="IZ71" s="30">
        <f t="shared" si="236"/>
        <v>372313.68616739311</v>
      </c>
      <c r="JA71" s="30">
        <f t="shared" si="236"/>
        <v>372313.68616739311</v>
      </c>
      <c r="JB71" s="30">
        <f t="shared" si="236"/>
        <v>372313.68616739311</v>
      </c>
      <c r="JC71" s="30">
        <f t="shared" si="236"/>
        <v>372313.68616739311</v>
      </c>
      <c r="JD71" s="30">
        <f t="shared" si="236"/>
        <v>372313.68616739311</v>
      </c>
      <c r="JE71" s="30">
        <f t="shared" si="236"/>
        <v>372313.68616739311</v>
      </c>
      <c r="JF71" s="30">
        <f t="shared" si="236"/>
        <v>372313.68616739311</v>
      </c>
      <c r="JG71" s="30">
        <f t="shared" si="236"/>
        <v>372313.68616739311</v>
      </c>
      <c r="JH71" s="30">
        <f t="shared" si="236"/>
        <v>372313.68616739311</v>
      </c>
      <c r="JI71" s="30">
        <f t="shared" si="236"/>
        <v>372313.68616739311</v>
      </c>
      <c r="JJ71" s="30">
        <f t="shared" si="236"/>
        <v>372313.68616739311</v>
      </c>
      <c r="JK71" s="30">
        <f t="shared" si="236"/>
        <v>372313.68616739311</v>
      </c>
      <c r="JL71" s="30">
        <f t="shared" si="236"/>
        <v>372313.68616739311</v>
      </c>
      <c r="JM71" s="30">
        <f t="shared" si="236"/>
        <v>372313.68616739311</v>
      </c>
      <c r="JN71" s="30">
        <f t="shared" si="236"/>
        <v>372313.68616739311</v>
      </c>
      <c r="JO71" s="30">
        <f t="shared" si="236"/>
        <v>372313.68616739311</v>
      </c>
      <c r="JP71" s="30">
        <f t="shared" si="236"/>
        <v>372313.68616739311</v>
      </c>
      <c r="JQ71" s="30">
        <f t="shared" si="236"/>
        <v>372313.68616739311</v>
      </c>
      <c r="JR71" s="30">
        <f t="shared" si="236"/>
        <v>372313.68616739311</v>
      </c>
      <c r="JS71" s="30">
        <f t="shared" si="236"/>
        <v>372313.68616739311</v>
      </c>
      <c r="JT71" s="30">
        <f t="shared" si="236"/>
        <v>372313.68616739311</v>
      </c>
      <c r="JU71" s="30">
        <f t="shared" si="236"/>
        <v>372313.68616739311</v>
      </c>
      <c r="JV71" s="30">
        <f t="shared" si="236"/>
        <v>372313.68616739311</v>
      </c>
      <c r="JW71" s="30">
        <f t="shared" si="236"/>
        <v>372313.68616739311</v>
      </c>
      <c r="JX71" s="30">
        <f t="shared" si="236"/>
        <v>372313.68616739311</v>
      </c>
    </row>
    <row r="72" spans="1:284" s="7" customFormat="1" ht="4.9000000000000004" customHeight="1" x14ac:dyDescent="0.2">
      <c r="A72" s="406"/>
      <c r="B72" s="92"/>
      <c r="C72" s="120"/>
      <c r="D72" s="120"/>
      <c r="E72" s="120"/>
      <c r="F72" s="120"/>
      <c r="G72" s="389"/>
      <c r="H72" s="120"/>
      <c r="I72" s="120"/>
      <c r="EP72" s="24"/>
      <c r="EQ72" s="24"/>
      <c r="ER72" s="24"/>
      <c r="ES72" s="24"/>
      <c r="ET72" s="24"/>
      <c r="EU72" s="33"/>
      <c r="EV72" s="24"/>
      <c r="EW72" s="24"/>
      <c r="EX72" s="24"/>
      <c r="EY72" s="24"/>
      <c r="EZ72" s="24"/>
      <c r="FA72" s="24"/>
      <c r="FB72" s="24"/>
      <c r="FC72" s="24"/>
      <c r="FD72" s="24"/>
      <c r="FE72" s="24"/>
      <c r="FF72" s="24"/>
      <c r="FG72" s="24"/>
      <c r="FH72" s="24"/>
      <c r="FI72" s="24"/>
      <c r="FJ72" s="24"/>
      <c r="FK72" s="24"/>
      <c r="FL72" s="24"/>
      <c r="FM72" s="24"/>
      <c r="FN72" s="24"/>
      <c r="FO72" s="24"/>
      <c r="FP72" s="24"/>
      <c r="FQ72" s="24"/>
      <c r="FR72" s="24"/>
      <c r="FS72" s="24"/>
      <c r="FT72" s="24"/>
      <c r="FU72" s="24"/>
      <c r="FV72" s="24"/>
      <c r="FW72" s="24"/>
      <c r="FX72" s="24"/>
      <c r="FY72" s="24"/>
      <c r="FZ72" s="24"/>
      <c r="GA72" s="24"/>
      <c r="GB72" s="24"/>
      <c r="GC72" s="24"/>
      <c r="GD72" s="24"/>
      <c r="GE72" s="24"/>
      <c r="GF72" s="24"/>
      <c r="GG72" s="24"/>
      <c r="GH72" s="24"/>
      <c r="GI72" s="24"/>
      <c r="GJ72" s="24"/>
      <c r="GK72" s="24"/>
      <c r="GL72" s="24"/>
      <c r="GM72" s="24"/>
      <c r="GN72" s="24"/>
      <c r="GO72" s="24"/>
      <c r="GP72" s="24"/>
      <c r="GQ72" s="24"/>
      <c r="GR72" s="24"/>
      <c r="GS72" s="24"/>
      <c r="GT72" s="24"/>
      <c r="GU72" s="24"/>
      <c r="GV72" s="24"/>
      <c r="GW72" s="24"/>
      <c r="GX72" s="24"/>
      <c r="GY72" s="24"/>
      <c r="GZ72" s="24"/>
      <c r="HA72" s="24"/>
      <c r="HB72" s="24"/>
      <c r="HC72" s="24"/>
      <c r="HD72" s="24"/>
      <c r="HE72" s="24"/>
      <c r="HF72" s="24"/>
      <c r="HG72" s="24"/>
      <c r="HH72" s="24"/>
      <c r="HI72" s="24"/>
      <c r="HJ72" s="24"/>
      <c r="HK72" s="24"/>
      <c r="HL72" s="24"/>
      <c r="HM72" s="24"/>
      <c r="HN72" s="24"/>
      <c r="HO72" s="24"/>
      <c r="HP72" s="24"/>
      <c r="HQ72" s="24"/>
      <c r="HR72" s="24"/>
      <c r="HS72" s="24"/>
      <c r="HT72" s="24"/>
      <c r="HU72" s="24"/>
      <c r="HV72" s="24"/>
      <c r="HW72" s="24"/>
      <c r="HX72" s="24"/>
      <c r="HY72" s="24"/>
      <c r="HZ72" s="24"/>
      <c r="IA72" s="24"/>
      <c r="IB72" s="24"/>
      <c r="IC72" s="24"/>
      <c r="ID72" s="24"/>
      <c r="IE72" s="24"/>
      <c r="IF72" s="24"/>
      <c r="IG72" s="24"/>
      <c r="IH72" s="24"/>
      <c r="II72" s="24"/>
      <c r="IJ72" s="24"/>
      <c r="IK72" s="24"/>
      <c r="IL72" s="24"/>
      <c r="IM72" s="24"/>
      <c r="IN72" s="24"/>
      <c r="IO72" s="24"/>
      <c r="IP72" s="24"/>
      <c r="IQ72" s="24"/>
      <c r="IR72" s="24"/>
      <c r="IS72" s="24"/>
      <c r="IT72" s="24"/>
      <c r="IU72" s="24"/>
      <c r="IV72" s="24"/>
      <c r="IW72" s="24"/>
      <c r="IX72" s="24"/>
      <c r="IY72" s="24"/>
      <c r="IZ72" s="24"/>
      <c r="JA72" s="24"/>
      <c r="JB72" s="24"/>
      <c r="JC72" s="24"/>
      <c r="JD72" s="24"/>
      <c r="JE72" s="24"/>
      <c r="JF72" s="24"/>
      <c r="JG72" s="24"/>
      <c r="JH72" s="24"/>
      <c r="JI72" s="24"/>
      <c r="JJ72" s="24"/>
      <c r="JK72" s="24"/>
      <c r="JL72" s="24"/>
      <c r="JM72" s="24"/>
      <c r="JN72" s="24"/>
      <c r="JO72" s="24"/>
      <c r="JP72" s="24"/>
      <c r="JQ72" s="24"/>
      <c r="JR72" s="24"/>
      <c r="JS72" s="24"/>
      <c r="JT72" s="24"/>
      <c r="JU72" s="24"/>
      <c r="JV72" s="24"/>
      <c r="JW72" s="24"/>
      <c r="JX72" s="24"/>
    </row>
    <row r="73" spans="1:284" s="58" customFormat="1" x14ac:dyDescent="0.2">
      <c r="A73" s="409"/>
      <c r="B73" s="158" t="s">
        <v>63</v>
      </c>
      <c r="C73" s="159"/>
      <c r="D73" s="159"/>
      <c r="E73" s="159"/>
      <c r="F73" s="160">
        <f>I73/Project_Cost_Total</f>
        <v>1.0000000000000004</v>
      </c>
      <c r="G73" s="396">
        <f>G71+G65</f>
        <v>229.60338096147024</v>
      </c>
      <c r="H73" s="182">
        <f>H71+H65</f>
        <v>195162.87381724967</v>
      </c>
      <c r="I73" s="161">
        <f>I71+I65</f>
        <v>58548862.145174913</v>
      </c>
      <c r="L73" s="65">
        <f>+L71+L65</f>
        <v>3753159.5276612928</v>
      </c>
      <c r="M73" s="65">
        <f t="shared" ref="M73:BX73" si="237">+M71+M65</f>
        <v>434615.43632992054</v>
      </c>
      <c r="N73" s="65">
        <f t="shared" si="237"/>
        <v>595115.21586161223</v>
      </c>
      <c r="O73" s="65">
        <f t="shared" si="237"/>
        <v>913409.18359364895</v>
      </c>
      <c r="P73" s="65">
        <f t="shared" si="237"/>
        <v>1467820.9038815256</v>
      </c>
      <c r="Q73" s="65">
        <f t="shared" si="237"/>
        <v>2309629.6734741665</v>
      </c>
      <c r="R73" s="65">
        <f t="shared" si="237"/>
        <v>3409858.2075612606</v>
      </c>
      <c r="S73" s="65">
        <f t="shared" si="237"/>
        <v>4618633.3206490651</v>
      </c>
      <c r="T73" s="65">
        <f t="shared" si="237"/>
        <v>5689047.2353308471</v>
      </c>
      <c r="U73" s="65">
        <f t="shared" si="237"/>
        <v>6336064.6437679445</v>
      </c>
      <c r="V73" s="65">
        <f t="shared" si="237"/>
        <v>6362464.9131169794</v>
      </c>
      <c r="W73" s="65">
        <f t="shared" si="237"/>
        <v>5765662.1386317443</v>
      </c>
      <c r="X73" s="65">
        <f t="shared" si="237"/>
        <v>4731209.4295146354</v>
      </c>
      <c r="Y73" s="65">
        <f t="shared" si="237"/>
        <v>3547598.7178405742</v>
      </c>
      <c r="Z73" s="65">
        <f t="shared" si="237"/>
        <v>2467869.1206613295</v>
      </c>
      <c r="AA73" s="65">
        <f t="shared" si="237"/>
        <v>1640257.6635875134</v>
      </c>
      <c r="AB73" s="65">
        <f t="shared" si="237"/>
        <v>1095247.652728765</v>
      </c>
      <c r="AC73" s="65">
        <f t="shared" si="237"/>
        <v>783240.1545545361</v>
      </c>
      <c r="AD73" s="65">
        <f t="shared" si="237"/>
        <v>627272.65104083321</v>
      </c>
      <c r="AE73" s="65">
        <f t="shared" si="237"/>
        <v>332598.6138216916</v>
      </c>
      <c r="AF73" s="65">
        <f t="shared" si="237"/>
        <v>302875.04593330395</v>
      </c>
      <c r="AG73" s="65">
        <f t="shared" si="237"/>
        <v>273012.76806143718</v>
      </c>
      <c r="AH73" s="65">
        <f t="shared" si="237"/>
        <v>243011.13289283498</v>
      </c>
      <c r="AI73" s="65">
        <f t="shared" si="237"/>
        <v>212869.49009344599</v>
      </c>
      <c r="AJ73" s="65">
        <f t="shared" si="237"/>
        <v>182587.1862943265</v>
      </c>
      <c r="AK73" s="65">
        <f t="shared" si="237"/>
        <v>152163.5650774778</v>
      </c>
      <c r="AL73" s="65">
        <f t="shared" si="237"/>
        <v>121597.96696161716</v>
      </c>
      <c r="AM73" s="65">
        <f t="shared" si="237"/>
        <v>90889.7293878825</v>
      </c>
      <c r="AN73" s="65">
        <f t="shared" si="237"/>
        <v>60038.186705470376</v>
      </c>
      <c r="AO73" s="65">
        <f t="shared" si="237"/>
        <v>29042.670157206972</v>
      </c>
      <c r="AP73" s="65">
        <f t="shared" si="237"/>
        <v>0</v>
      </c>
      <c r="AQ73" s="65">
        <f t="shared" si="237"/>
        <v>0</v>
      </c>
      <c r="AR73" s="65">
        <f t="shared" si="237"/>
        <v>0</v>
      </c>
      <c r="AS73" s="65">
        <f t="shared" si="237"/>
        <v>0</v>
      </c>
      <c r="AT73" s="65">
        <f t="shared" si="237"/>
        <v>0</v>
      </c>
      <c r="AU73" s="65">
        <f t="shared" si="237"/>
        <v>0</v>
      </c>
      <c r="AV73" s="65">
        <f t="shared" si="237"/>
        <v>0</v>
      </c>
      <c r="AW73" s="65">
        <f t="shared" si="237"/>
        <v>0</v>
      </c>
      <c r="AX73" s="65">
        <f t="shared" si="237"/>
        <v>0</v>
      </c>
      <c r="AY73" s="65">
        <f t="shared" si="237"/>
        <v>0</v>
      </c>
      <c r="AZ73" s="65">
        <f t="shared" si="237"/>
        <v>0</v>
      </c>
      <c r="BA73" s="65">
        <f t="shared" si="237"/>
        <v>0</v>
      </c>
      <c r="BB73" s="65">
        <f t="shared" si="237"/>
        <v>0</v>
      </c>
      <c r="BC73" s="65">
        <f t="shared" si="237"/>
        <v>0</v>
      </c>
      <c r="BD73" s="65">
        <f t="shared" si="237"/>
        <v>0</v>
      </c>
      <c r="BE73" s="65">
        <f t="shared" si="237"/>
        <v>0</v>
      </c>
      <c r="BF73" s="65">
        <f t="shared" si="237"/>
        <v>0</v>
      </c>
      <c r="BG73" s="65">
        <f t="shared" si="237"/>
        <v>0</v>
      </c>
      <c r="BH73" s="65">
        <f t="shared" si="237"/>
        <v>0</v>
      </c>
      <c r="BI73" s="65">
        <f t="shared" si="237"/>
        <v>0</v>
      </c>
      <c r="BJ73" s="65">
        <f t="shared" si="237"/>
        <v>0</v>
      </c>
      <c r="BK73" s="65">
        <f t="shared" si="237"/>
        <v>0</v>
      </c>
      <c r="BL73" s="65">
        <f t="shared" si="237"/>
        <v>0</v>
      </c>
      <c r="BM73" s="65">
        <f t="shared" si="237"/>
        <v>0</v>
      </c>
      <c r="BN73" s="65">
        <f t="shared" si="237"/>
        <v>0</v>
      </c>
      <c r="BO73" s="65">
        <f t="shared" si="237"/>
        <v>0</v>
      </c>
      <c r="BP73" s="65">
        <f t="shared" si="237"/>
        <v>0</v>
      </c>
      <c r="BQ73" s="65">
        <f t="shared" si="237"/>
        <v>0</v>
      </c>
      <c r="BR73" s="65">
        <f t="shared" si="237"/>
        <v>0</v>
      </c>
      <c r="BS73" s="65">
        <f t="shared" si="237"/>
        <v>0</v>
      </c>
      <c r="BT73" s="65">
        <f t="shared" si="237"/>
        <v>0</v>
      </c>
      <c r="BU73" s="65">
        <f t="shared" si="237"/>
        <v>0</v>
      </c>
      <c r="BV73" s="65">
        <f t="shared" si="237"/>
        <v>0</v>
      </c>
      <c r="BW73" s="65">
        <f t="shared" si="237"/>
        <v>0</v>
      </c>
      <c r="BX73" s="65">
        <f t="shared" si="237"/>
        <v>0</v>
      </c>
      <c r="BY73" s="65">
        <f t="shared" ref="BY73:EJ73" si="238">+BY71+BY65</f>
        <v>0</v>
      </c>
      <c r="BZ73" s="65">
        <f t="shared" si="238"/>
        <v>0</v>
      </c>
      <c r="CA73" s="65">
        <f t="shared" si="238"/>
        <v>0</v>
      </c>
      <c r="CB73" s="65">
        <f t="shared" si="238"/>
        <v>0</v>
      </c>
      <c r="CC73" s="65">
        <f t="shared" si="238"/>
        <v>0</v>
      </c>
      <c r="CD73" s="65">
        <f t="shared" si="238"/>
        <v>0</v>
      </c>
      <c r="CE73" s="65">
        <f t="shared" si="238"/>
        <v>0</v>
      </c>
      <c r="CF73" s="65">
        <f t="shared" si="238"/>
        <v>0</v>
      </c>
      <c r="CG73" s="65">
        <f t="shared" si="238"/>
        <v>0</v>
      </c>
      <c r="CH73" s="65">
        <f t="shared" si="238"/>
        <v>0</v>
      </c>
      <c r="CI73" s="65">
        <f t="shared" si="238"/>
        <v>0</v>
      </c>
      <c r="CJ73" s="65">
        <f t="shared" si="238"/>
        <v>0</v>
      </c>
      <c r="CK73" s="65">
        <f t="shared" si="238"/>
        <v>0</v>
      </c>
      <c r="CL73" s="65">
        <f t="shared" si="238"/>
        <v>0</v>
      </c>
      <c r="CM73" s="65">
        <f t="shared" si="238"/>
        <v>0</v>
      </c>
      <c r="CN73" s="65">
        <f t="shared" si="238"/>
        <v>0</v>
      </c>
      <c r="CO73" s="65">
        <f t="shared" si="238"/>
        <v>0</v>
      </c>
      <c r="CP73" s="65">
        <f t="shared" si="238"/>
        <v>0</v>
      </c>
      <c r="CQ73" s="65">
        <f t="shared" si="238"/>
        <v>0</v>
      </c>
      <c r="CR73" s="65">
        <f t="shared" si="238"/>
        <v>0</v>
      </c>
      <c r="CS73" s="65">
        <f t="shared" si="238"/>
        <v>0</v>
      </c>
      <c r="CT73" s="65">
        <f t="shared" si="238"/>
        <v>0</v>
      </c>
      <c r="CU73" s="65">
        <f t="shared" si="238"/>
        <v>0</v>
      </c>
      <c r="CV73" s="65">
        <f t="shared" si="238"/>
        <v>0</v>
      </c>
      <c r="CW73" s="65">
        <f t="shared" si="238"/>
        <v>0</v>
      </c>
      <c r="CX73" s="65">
        <f t="shared" si="238"/>
        <v>0</v>
      </c>
      <c r="CY73" s="65">
        <f t="shared" si="238"/>
        <v>0</v>
      </c>
      <c r="CZ73" s="65">
        <f t="shared" si="238"/>
        <v>0</v>
      </c>
      <c r="DA73" s="65">
        <f t="shared" si="238"/>
        <v>0</v>
      </c>
      <c r="DB73" s="65">
        <f t="shared" si="238"/>
        <v>0</v>
      </c>
      <c r="DC73" s="65">
        <f t="shared" si="238"/>
        <v>0</v>
      </c>
      <c r="DD73" s="65">
        <f t="shared" si="238"/>
        <v>0</v>
      </c>
      <c r="DE73" s="65">
        <f t="shared" si="238"/>
        <v>0</v>
      </c>
      <c r="DF73" s="65">
        <f t="shared" si="238"/>
        <v>0</v>
      </c>
      <c r="DG73" s="65">
        <f t="shared" si="238"/>
        <v>0</v>
      </c>
      <c r="DH73" s="65">
        <f t="shared" si="238"/>
        <v>0</v>
      </c>
      <c r="DI73" s="65">
        <f t="shared" si="238"/>
        <v>0</v>
      </c>
      <c r="DJ73" s="65">
        <f t="shared" si="238"/>
        <v>0</v>
      </c>
      <c r="DK73" s="65">
        <f t="shared" si="238"/>
        <v>0</v>
      </c>
      <c r="DL73" s="65">
        <f t="shared" si="238"/>
        <v>0</v>
      </c>
      <c r="DM73" s="65">
        <f t="shared" si="238"/>
        <v>0</v>
      </c>
      <c r="DN73" s="65">
        <f t="shared" si="238"/>
        <v>0</v>
      </c>
      <c r="DO73" s="65">
        <f t="shared" si="238"/>
        <v>0</v>
      </c>
      <c r="DP73" s="65">
        <f t="shared" si="238"/>
        <v>0</v>
      </c>
      <c r="DQ73" s="65">
        <f t="shared" si="238"/>
        <v>0</v>
      </c>
      <c r="DR73" s="65">
        <f t="shared" si="238"/>
        <v>0</v>
      </c>
      <c r="DS73" s="65">
        <f t="shared" si="238"/>
        <v>0</v>
      </c>
      <c r="DT73" s="65">
        <f t="shared" si="238"/>
        <v>0</v>
      </c>
      <c r="DU73" s="65">
        <f t="shared" si="238"/>
        <v>0</v>
      </c>
      <c r="DV73" s="65">
        <f t="shared" si="238"/>
        <v>0</v>
      </c>
      <c r="DW73" s="65">
        <f t="shared" si="238"/>
        <v>0</v>
      </c>
      <c r="DX73" s="65">
        <f t="shared" si="238"/>
        <v>0</v>
      </c>
      <c r="DY73" s="65">
        <f t="shared" si="238"/>
        <v>0</v>
      </c>
      <c r="DZ73" s="65">
        <f t="shared" si="238"/>
        <v>0</v>
      </c>
      <c r="EA73" s="65">
        <f t="shared" si="238"/>
        <v>0</v>
      </c>
      <c r="EB73" s="65">
        <f t="shared" si="238"/>
        <v>0</v>
      </c>
      <c r="EC73" s="65">
        <f t="shared" si="238"/>
        <v>0</v>
      </c>
      <c r="ED73" s="65">
        <f t="shared" si="238"/>
        <v>0</v>
      </c>
      <c r="EE73" s="65">
        <f t="shared" si="238"/>
        <v>0</v>
      </c>
      <c r="EF73" s="65">
        <f t="shared" si="238"/>
        <v>0</v>
      </c>
      <c r="EG73" s="65">
        <f t="shared" si="238"/>
        <v>0</v>
      </c>
      <c r="EH73" s="65">
        <f t="shared" si="238"/>
        <v>0</v>
      </c>
      <c r="EI73" s="65">
        <f t="shared" si="238"/>
        <v>0</v>
      </c>
      <c r="EJ73" s="65">
        <f t="shared" si="238"/>
        <v>0</v>
      </c>
      <c r="EK73" s="65">
        <f>+EK71+EK65</f>
        <v>0</v>
      </c>
      <c r="EL73" s="65">
        <f>+EL71+EL65</f>
        <v>0</v>
      </c>
      <c r="EM73" s="65">
        <f>+EM71+EM65</f>
        <v>0</v>
      </c>
      <c r="EN73" s="65">
        <f>+EN71+EN65</f>
        <v>0</v>
      </c>
      <c r="EP73" s="24" t="s">
        <v>202</v>
      </c>
      <c r="EQ73" s="24">
        <f>MAX(EV73:JX73)</f>
        <v>7</v>
      </c>
      <c r="ER73" s="24"/>
      <c r="ES73" s="24"/>
      <c r="ET73" s="24"/>
      <c r="EU73" s="33"/>
      <c r="EV73" s="24">
        <f>AND(EV69&gt;0,SUM($EU$73:EU73)=0)*EV47</f>
        <v>0</v>
      </c>
      <c r="EW73" s="24">
        <f>AND(EW69&gt;0,SUM($EU$73:EV73)=0)*EW47</f>
        <v>0</v>
      </c>
      <c r="EX73" s="24">
        <f>AND(EX69&gt;0,SUM($EU$73:EW73)=0)*EX47</f>
        <v>0</v>
      </c>
      <c r="EY73" s="24">
        <f>AND(EY69&gt;0,SUM($EU$73:EX73)=0)*EY47</f>
        <v>0</v>
      </c>
      <c r="EZ73" s="24">
        <f>AND(EZ69&gt;0,SUM($EU$73:EY73)=0)*EZ47</f>
        <v>0</v>
      </c>
      <c r="FA73" s="24">
        <f>AND(FA69&gt;0,SUM($EU$73:EZ73)=0)*FA47</f>
        <v>0</v>
      </c>
      <c r="FB73" s="24">
        <f>AND(FB69&gt;0,SUM($EU$73:FA73)=0)*FB47</f>
        <v>0</v>
      </c>
      <c r="FC73" s="24">
        <f>AND(FC69&gt;0,SUM($EU$73:FB73)=0)*FC47</f>
        <v>7</v>
      </c>
      <c r="FD73" s="24">
        <f>AND(FD69&gt;0,SUM($EU$73:FC73)=0)*FD47</f>
        <v>0</v>
      </c>
      <c r="FE73" s="24">
        <f>AND(FE69&gt;0,SUM($EU$73:FD73)=0)*FE47</f>
        <v>0</v>
      </c>
      <c r="FF73" s="24">
        <f>AND(FF69&gt;0,SUM($EU$73:FE73)=0)*FF47</f>
        <v>0</v>
      </c>
      <c r="FG73" s="24">
        <f>AND(FG69&gt;0,SUM($EU$73:FF73)=0)*FG47</f>
        <v>0</v>
      </c>
      <c r="FH73" s="24">
        <f>AND(FH69&gt;0,SUM($EU$73:FG73)=0)*FH47</f>
        <v>0</v>
      </c>
      <c r="FI73" s="24">
        <f>AND(FI69&gt;0,SUM($EU$73:FH73)=0)*FI47</f>
        <v>0</v>
      </c>
      <c r="FJ73" s="24">
        <f>AND(FJ69&gt;0,SUM($EU$73:FI73)=0)*FJ47</f>
        <v>0</v>
      </c>
      <c r="FK73" s="24">
        <f>AND(FK69&gt;0,SUM($EU$73:FJ73)=0)*FK47</f>
        <v>0</v>
      </c>
      <c r="FL73" s="24">
        <f>AND(FL69&gt;0,SUM($EU$73:FK73)=0)*FL47</f>
        <v>0</v>
      </c>
      <c r="FM73" s="24">
        <f>AND(FM69&gt;0,SUM($EU$73:FL73)=0)*FM47</f>
        <v>0</v>
      </c>
      <c r="FN73" s="24">
        <f>AND(FN69&gt;0,SUM($EU$73:FM73)=0)*FN47</f>
        <v>0</v>
      </c>
      <c r="FO73" s="24">
        <f>AND(FO69&gt;0,SUM($EU$73:FN73)=0)*FO47</f>
        <v>0</v>
      </c>
      <c r="FP73" s="24">
        <f>AND(FP69&gt;0,SUM($EU$73:FO73)=0)*FP47</f>
        <v>0</v>
      </c>
      <c r="FQ73" s="24">
        <f>AND(FQ69&gt;0,SUM($EU$73:FP73)=0)*FQ47</f>
        <v>0</v>
      </c>
      <c r="FR73" s="24">
        <f>AND(FR69&gt;0,SUM($EU$73:FQ73)=0)*FR47</f>
        <v>0</v>
      </c>
      <c r="FS73" s="24">
        <f>AND(FS69&gt;0,SUM($EU$73:FR73)=0)*FS47</f>
        <v>0</v>
      </c>
      <c r="FT73" s="24">
        <f>AND(FT69&gt;0,SUM($EU$73:FS73)=0)*FT47</f>
        <v>0</v>
      </c>
      <c r="FU73" s="24">
        <f>AND(FU69&gt;0,SUM($EU$73:FT73)=0)*FU47</f>
        <v>0</v>
      </c>
      <c r="FV73" s="24">
        <f>AND(FV69&gt;0,SUM($EU$73:FU73)=0)*FV47</f>
        <v>0</v>
      </c>
      <c r="FW73" s="24">
        <f>AND(FW69&gt;0,SUM($EU$73:FV73)=0)*FW47</f>
        <v>0</v>
      </c>
      <c r="FX73" s="24">
        <f>AND(FX69&gt;0,SUM($EU$73:FW73)=0)*FX47</f>
        <v>0</v>
      </c>
      <c r="FY73" s="24">
        <f>AND(FY69&gt;0,SUM($EU$73:FX73)=0)*FY47</f>
        <v>0</v>
      </c>
      <c r="FZ73" s="24">
        <f>AND(FZ69&gt;0,SUM($EU$73:FY73)=0)*FZ47</f>
        <v>0</v>
      </c>
      <c r="GA73" s="24">
        <f>AND(GA69&gt;0,SUM($EU$73:FZ73)=0)*GA47</f>
        <v>0</v>
      </c>
      <c r="GB73" s="24">
        <f>AND(GB69&gt;0,SUM($EU$73:GA73)=0)*GB47</f>
        <v>0</v>
      </c>
      <c r="GC73" s="24">
        <f>AND(GC69&gt;0,SUM($EU$73:GB73)=0)*GC47</f>
        <v>0</v>
      </c>
      <c r="GD73" s="24">
        <f>AND(GD69&gt;0,SUM($EU$73:GC73)=0)*GD47</f>
        <v>0</v>
      </c>
      <c r="GE73" s="24">
        <f>AND(GE69&gt;0,SUM($EU$73:GD73)=0)*GE47</f>
        <v>0</v>
      </c>
      <c r="GF73" s="24">
        <f>AND(GF69&gt;0,SUM($EU$73:GE73)=0)*GF47</f>
        <v>0</v>
      </c>
      <c r="GG73" s="24">
        <f>AND(GG69&gt;0,SUM($EU$73:GF73)=0)*GG47</f>
        <v>0</v>
      </c>
      <c r="GH73" s="24">
        <f>AND(GH69&gt;0,SUM($EU$73:GG73)=0)*GH47</f>
        <v>0</v>
      </c>
      <c r="GI73" s="24">
        <f>AND(GI69&gt;0,SUM($EU$73:GH73)=0)*GI47</f>
        <v>0</v>
      </c>
      <c r="GJ73" s="24">
        <f>AND(GJ69&gt;0,SUM($EU$73:GI73)=0)*GJ47</f>
        <v>0</v>
      </c>
      <c r="GK73" s="24">
        <f>AND(GK69&gt;0,SUM($EU$73:GJ73)=0)*GK47</f>
        <v>0</v>
      </c>
      <c r="GL73" s="24">
        <f>AND(GL69&gt;0,SUM($EU$73:GK73)=0)*GL47</f>
        <v>0</v>
      </c>
      <c r="GM73" s="24">
        <f>AND(GM69&gt;0,SUM($EU$73:GL73)=0)*GM47</f>
        <v>0</v>
      </c>
      <c r="GN73" s="24">
        <f>AND(GN69&gt;0,SUM($EU$73:GM73)=0)*GN47</f>
        <v>0</v>
      </c>
      <c r="GO73" s="24">
        <f>AND(GO69&gt;0,SUM($EU$73:GN73)=0)*GO47</f>
        <v>0</v>
      </c>
      <c r="GP73" s="24">
        <f>AND(GP69&gt;0,SUM($EU$73:GO73)=0)*GP47</f>
        <v>0</v>
      </c>
      <c r="GQ73" s="24">
        <f>AND(GQ69&gt;0,SUM($EU$73:GP73)=0)*GQ47</f>
        <v>0</v>
      </c>
      <c r="GR73" s="24">
        <f>AND(GR69&gt;0,SUM($EU$73:GQ73)=0)*GR47</f>
        <v>0</v>
      </c>
      <c r="GS73" s="24">
        <f>AND(GS69&gt;0,SUM($EU$73:GR73)=0)*GS47</f>
        <v>0</v>
      </c>
      <c r="GT73" s="24">
        <f>AND(GT69&gt;0,SUM($EU$73:GS73)=0)*GT47</f>
        <v>0</v>
      </c>
      <c r="GU73" s="24">
        <f>AND(GU69&gt;0,SUM($EU$73:GT73)=0)*GU47</f>
        <v>0</v>
      </c>
      <c r="GV73" s="24">
        <f>AND(GV69&gt;0,SUM($EU$73:GU73)=0)*GV47</f>
        <v>0</v>
      </c>
      <c r="GW73" s="24">
        <f>AND(GW69&gt;0,SUM($EU$73:GV73)=0)*GW47</f>
        <v>0</v>
      </c>
      <c r="GX73" s="24">
        <f>AND(GX69&gt;0,SUM($EU$73:GW73)=0)*GX47</f>
        <v>0</v>
      </c>
      <c r="GY73" s="24">
        <f>AND(GY69&gt;0,SUM($EU$73:GX73)=0)*GY47</f>
        <v>0</v>
      </c>
      <c r="GZ73" s="24">
        <f>AND(GZ69&gt;0,SUM($EU$73:GY73)=0)*GZ47</f>
        <v>0</v>
      </c>
      <c r="HA73" s="24">
        <f>AND(HA69&gt;0,SUM($EU$73:GZ73)=0)*HA47</f>
        <v>0</v>
      </c>
      <c r="HB73" s="24">
        <f>AND(HB69&gt;0,SUM($EU$73:HA73)=0)*HB47</f>
        <v>0</v>
      </c>
      <c r="HC73" s="24">
        <f>AND(HC69&gt;0,SUM($EU$73:HB73)=0)*HC47</f>
        <v>0</v>
      </c>
      <c r="HD73" s="24">
        <f>AND(HD69&gt;0,SUM($EU$73:HC73)=0)*HD47</f>
        <v>0</v>
      </c>
      <c r="HE73" s="24">
        <f>AND(HE69&gt;0,SUM($EU$73:HD73)=0)*HE47</f>
        <v>0</v>
      </c>
      <c r="HF73" s="24">
        <f>AND(HF69&gt;0,SUM($EU$73:HE73)=0)*HF47</f>
        <v>0</v>
      </c>
      <c r="HG73" s="24">
        <f>AND(HG69&gt;0,SUM($EU$73:HF73)=0)*HG47</f>
        <v>0</v>
      </c>
      <c r="HH73" s="24">
        <f>AND(HH69&gt;0,SUM($EU$73:HG73)=0)*HH47</f>
        <v>0</v>
      </c>
      <c r="HI73" s="24">
        <f>AND(HI69&gt;0,SUM($EU$73:HH73)=0)*HI47</f>
        <v>0</v>
      </c>
      <c r="HJ73" s="24">
        <f>AND(HJ69&gt;0,SUM($EU$73:HI73)=0)*HJ47</f>
        <v>0</v>
      </c>
      <c r="HK73" s="24">
        <f>AND(HK69&gt;0,SUM($EU$73:HJ73)=0)*HK47</f>
        <v>0</v>
      </c>
      <c r="HL73" s="24">
        <f>AND(HL69&gt;0,SUM($EU$73:HK73)=0)*HL47</f>
        <v>0</v>
      </c>
      <c r="HM73" s="24">
        <f>AND(HM69&gt;0,SUM($EU$73:HL73)=0)*HM47</f>
        <v>0</v>
      </c>
      <c r="HN73" s="24">
        <f>AND(HN69&gt;0,SUM($EU$73:HM73)=0)*HN47</f>
        <v>0</v>
      </c>
      <c r="HO73" s="24">
        <f>AND(HO69&gt;0,SUM($EU$73:HN73)=0)*HO47</f>
        <v>0</v>
      </c>
      <c r="HP73" s="24">
        <f>AND(HP69&gt;0,SUM($EU$73:HO73)=0)*HP47</f>
        <v>0</v>
      </c>
      <c r="HQ73" s="24">
        <f>AND(HQ69&gt;0,SUM($EU$73:HP73)=0)*HQ47</f>
        <v>0</v>
      </c>
      <c r="HR73" s="24">
        <f>AND(HR69&gt;0,SUM($EU$73:HQ73)=0)*HR47</f>
        <v>0</v>
      </c>
      <c r="HS73" s="24">
        <f>AND(HS69&gt;0,SUM($EU$73:HR73)=0)*HS47</f>
        <v>0</v>
      </c>
      <c r="HT73" s="24">
        <f>AND(HT69&gt;0,SUM($EU$73:HS73)=0)*HT47</f>
        <v>0</v>
      </c>
      <c r="HU73" s="24">
        <f>AND(HU69&gt;0,SUM($EU$73:HT73)=0)*HU47</f>
        <v>0</v>
      </c>
      <c r="HV73" s="24">
        <f>AND(HV69&gt;0,SUM($EU$73:HU73)=0)*HV47</f>
        <v>0</v>
      </c>
      <c r="HW73" s="24">
        <f>AND(HW69&gt;0,SUM($EU$73:HV73)=0)*HW47</f>
        <v>0</v>
      </c>
      <c r="HX73" s="24">
        <f>AND(HX69&gt;0,SUM($EU$73:HW73)=0)*HX47</f>
        <v>0</v>
      </c>
      <c r="HY73" s="24">
        <f>AND(HY69&gt;0,SUM($EU$73:HX73)=0)*HY47</f>
        <v>0</v>
      </c>
      <c r="HZ73" s="24">
        <f>AND(HZ69&gt;0,SUM($EU$73:HY73)=0)*HZ47</f>
        <v>0</v>
      </c>
      <c r="IA73" s="24">
        <f>AND(IA69&gt;0,SUM($EU$73:HZ73)=0)*IA47</f>
        <v>0</v>
      </c>
      <c r="IB73" s="24">
        <f>AND(IB69&gt;0,SUM($EU$73:IA73)=0)*IB47</f>
        <v>0</v>
      </c>
      <c r="IC73" s="24">
        <f>AND(IC69&gt;0,SUM($EU$73:IB73)=0)*IC47</f>
        <v>0</v>
      </c>
      <c r="ID73" s="24">
        <f>AND(ID69&gt;0,SUM($EU$73:IC73)=0)*ID47</f>
        <v>0</v>
      </c>
      <c r="IE73" s="24">
        <f>AND(IE69&gt;0,SUM($EU$73:ID73)=0)*IE47</f>
        <v>0</v>
      </c>
      <c r="IF73" s="24">
        <f>AND(IF69&gt;0,SUM($EU$73:IE73)=0)*IF47</f>
        <v>0</v>
      </c>
      <c r="IG73" s="24">
        <f>AND(IG69&gt;0,SUM($EU$73:IF73)=0)*IG47</f>
        <v>0</v>
      </c>
      <c r="IH73" s="24">
        <f>AND(IH69&gt;0,SUM($EU$73:IG73)=0)*IH47</f>
        <v>0</v>
      </c>
      <c r="II73" s="24">
        <f>AND(II69&gt;0,SUM($EU$73:IH73)=0)*II47</f>
        <v>0</v>
      </c>
      <c r="IJ73" s="24">
        <f>AND(IJ69&gt;0,SUM($EU$73:II73)=0)*IJ47</f>
        <v>0</v>
      </c>
      <c r="IK73" s="24">
        <f>AND(IK69&gt;0,SUM($EU$73:IJ73)=0)*IK47</f>
        <v>0</v>
      </c>
      <c r="IL73" s="24">
        <f>AND(IL69&gt;0,SUM($EU$73:IK73)=0)*IL47</f>
        <v>0</v>
      </c>
      <c r="IM73" s="24">
        <f>AND(IM69&gt;0,SUM($EU$73:IL73)=0)*IM47</f>
        <v>0</v>
      </c>
      <c r="IN73" s="24">
        <f>AND(IN69&gt;0,SUM($EU$73:IM73)=0)*IN47</f>
        <v>0</v>
      </c>
      <c r="IO73" s="24">
        <f>AND(IO69&gt;0,SUM($EU$73:IN73)=0)*IO47</f>
        <v>0</v>
      </c>
      <c r="IP73" s="24">
        <f>AND(IP69&gt;0,SUM($EU$73:IO73)=0)*IP47</f>
        <v>0</v>
      </c>
      <c r="IQ73" s="24">
        <f>AND(IQ69&gt;0,SUM($EU$73:IP73)=0)*IQ47</f>
        <v>0</v>
      </c>
      <c r="IR73" s="24">
        <f>AND(IR69&gt;0,SUM($EU$73:IQ73)=0)*IR47</f>
        <v>0</v>
      </c>
      <c r="IS73" s="24">
        <f>AND(IS69&gt;0,SUM($EU$73:IR73)=0)*IS47</f>
        <v>0</v>
      </c>
      <c r="IT73" s="24">
        <f>AND(IT69&gt;0,SUM($EU$73:IS73)=0)*IT47</f>
        <v>0</v>
      </c>
      <c r="IU73" s="24">
        <f>AND(IU69&gt;0,SUM($EU$73:IT73)=0)*IU47</f>
        <v>0</v>
      </c>
      <c r="IV73" s="24">
        <f>AND(IV69&gt;0,SUM($EU$73:IU73)=0)*IV47</f>
        <v>0</v>
      </c>
      <c r="IW73" s="24">
        <f>AND(IW69&gt;0,SUM($EU$73:IV73)=0)*IW47</f>
        <v>0</v>
      </c>
      <c r="IX73" s="24">
        <f>AND(IX69&gt;0,SUM($EU$73:IW73)=0)*IX47</f>
        <v>0</v>
      </c>
      <c r="IY73" s="24">
        <f>AND(IY69&gt;0,SUM($EU$73:IX73)=0)*IY47</f>
        <v>0</v>
      </c>
      <c r="IZ73" s="24">
        <f>AND(IZ69&gt;0,SUM($EU$73:IY73)=0)*IZ47</f>
        <v>0</v>
      </c>
      <c r="JA73" s="24">
        <f>AND(JA69&gt;0,SUM($EU$73:IZ73)=0)*JA47</f>
        <v>0</v>
      </c>
      <c r="JB73" s="24">
        <f>AND(JB69&gt;0,SUM($EU$73:JA73)=0)*JB47</f>
        <v>0</v>
      </c>
      <c r="JC73" s="24">
        <f>AND(JC69&gt;0,SUM($EU$73:JB73)=0)*JC47</f>
        <v>0</v>
      </c>
      <c r="JD73" s="24">
        <f>AND(JD69&gt;0,SUM($EU$73:JC73)=0)*JD47</f>
        <v>0</v>
      </c>
      <c r="JE73" s="24">
        <f>AND(JE69&gt;0,SUM($EU$73:JD73)=0)*JE47</f>
        <v>0</v>
      </c>
      <c r="JF73" s="24">
        <f>AND(JF69&gt;0,SUM($EU$73:JE73)=0)*JF47</f>
        <v>0</v>
      </c>
      <c r="JG73" s="24">
        <f>AND(JG69&gt;0,SUM($EU$73:JF73)=0)*JG47</f>
        <v>0</v>
      </c>
      <c r="JH73" s="24">
        <f>AND(JH69&gt;0,SUM($EU$73:JG73)=0)*JH47</f>
        <v>0</v>
      </c>
      <c r="JI73" s="24">
        <f>AND(JI69&gt;0,SUM($EU$73:JH73)=0)*JI47</f>
        <v>0</v>
      </c>
      <c r="JJ73" s="24">
        <f>AND(JJ69&gt;0,SUM($EU$73:JI73)=0)*JJ47</f>
        <v>0</v>
      </c>
      <c r="JK73" s="24">
        <f>AND(JK69&gt;0,SUM($EU$73:JJ73)=0)*JK47</f>
        <v>0</v>
      </c>
      <c r="JL73" s="24">
        <f>AND(JL69&gt;0,SUM($EU$73:JK73)=0)*JL47</f>
        <v>0</v>
      </c>
      <c r="JM73" s="24">
        <f>AND(JM69&gt;0,SUM($EU$73:JL73)=0)*JM47</f>
        <v>0</v>
      </c>
      <c r="JN73" s="24">
        <f>AND(JN69&gt;0,SUM($EU$73:JM73)=0)*JN47</f>
        <v>0</v>
      </c>
      <c r="JO73" s="24">
        <f>AND(JO69&gt;0,SUM($EU$73:JN73)=0)*JO47</f>
        <v>0</v>
      </c>
      <c r="JP73" s="24">
        <f>AND(JP69&gt;0,SUM($EU$73:JO73)=0)*JP47</f>
        <v>0</v>
      </c>
      <c r="JQ73" s="24">
        <f>AND(JQ69&gt;0,SUM($EU$73:JP73)=0)*JQ47</f>
        <v>0</v>
      </c>
      <c r="JR73" s="24">
        <f>AND(JR69&gt;0,SUM($EU$73:JQ73)=0)*JR47</f>
        <v>0</v>
      </c>
      <c r="JS73" s="24">
        <f>AND(JS69&gt;0,SUM($EU$73:JR73)=0)*JS47</f>
        <v>0</v>
      </c>
      <c r="JT73" s="24">
        <f>AND(JT69&gt;0,SUM($EU$73:JS73)=0)*JT47</f>
        <v>0</v>
      </c>
      <c r="JU73" s="24">
        <f>AND(JU69&gt;0,SUM($EU$73:JT73)=0)*JU47</f>
        <v>0</v>
      </c>
      <c r="JV73" s="24">
        <f>AND(JV69&gt;0,SUM($EU$73:JU73)=0)*JV47</f>
        <v>0</v>
      </c>
      <c r="JW73" s="24">
        <f>AND(JW69&gt;0,SUM($EU$73:JV73)=0)*JW47</f>
        <v>0</v>
      </c>
      <c r="JX73" s="24">
        <f>AND(JX69&gt;0,SUM($EU$73:JW73)=0)*JX47</f>
        <v>0</v>
      </c>
    </row>
    <row r="74" spans="1:284" s="58" customFormat="1" x14ac:dyDescent="0.2">
      <c r="A74" s="409"/>
      <c r="B74" s="10" t="str">
        <f>IF(Perm_Debt?=0,"PERMANENT DEBT - NOT IN USE","PERMANENT DEBT - ACTIVE")</f>
        <v>PERMANENT DEBT - NOT IN USE</v>
      </c>
      <c r="C74" s="66"/>
      <c r="D74" s="66"/>
      <c r="E74" s="66"/>
      <c r="F74" s="66"/>
      <c r="G74" s="66"/>
      <c r="H74" s="196" t="s">
        <v>606</v>
      </c>
      <c r="I74" s="82" t="s">
        <v>607</v>
      </c>
      <c r="L74" s="65"/>
      <c r="M74" s="65"/>
      <c r="N74" s="65"/>
      <c r="O74" s="65"/>
      <c r="P74" s="65"/>
      <c r="Q74" s="65"/>
      <c r="R74" s="65"/>
      <c r="S74" s="65"/>
      <c r="T74" s="65"/>
      <c r="U74" s="65"/>
      <c r="V74" s="65"/>
      <c r="W74" s="65"/>
      <c r="X74" s="65"/>
      <c r="Y74" s="65"/>
      <c r="Z74" s="65"/>
      <c r="AA74" s="65"/>
      <c r="AB74" s="65"/>
      <c r="AC74" s="65"/>
      <c r="AD74" s="65"/>
      <c r="AE74" s="65"/>
      <c r="AF74" s="65"/>
      <c r="AG74" s="65"/>
      <c r="AH74" s="65"/>
      <c r="AI74" s="65"/>
      <c r="AJ74" s="65"/>
      <c r="AK74" s="65"/>
      <c r="AL74" s="65"/>
      <c r="AM74" s="65"/>
      <c r="AN74" s="65"/>
      <c r="AO74" s="65"/>
      <c r="AP74" s="65"/>
      <c r="AQ74" s="65"/>
      <c r="AR74" s="65"/>
      <c r="AS74" s="65"/>
      <c r="AT74" s="65"/>
      <c r="AU74" s="65"/>
      <c r="AV74" s="65"/>
      <c r="AW74" s="65"/>
      <c r="AX74" s="65"/>
      <c r="AY74" s="65"/>
      <c r="AZ74" s="65"/>
      <c r="BA74" s="65"/>
      <c r="BB74" s="65"/>
      <c r="BC74" s="65"/>
      <c r="BD74" s="65"/>
      <c r="BE74" s="65"/>
      <c r="BF74" s="65"/>
      <c r="BG74" s="65"/>
      <c r="BH74" s="65"/>
      <c r="BI74" s="65"/>
      <c r="BJ74" s="65"/>
      <c r="BK74" s="65"/>
      <c r="BL74" s="65"/>
      <c r="BM74" s="65"/>
      <c r="BN74" s="65"/>
      <c r="BO74" s="65"/>
      <c r="BP74" s="65"/>
      <c r="BQ74" s="65"/>
      <c r="BR74" s="65"/>
      <c r="BS74" s="65"/>
      <c r="BT74" s="65"/>
      <c r="BU74" s="65"/>
      <c r="BV74" s="65"/>
      <c r="BW74" s="65"/>
      <c r="BX74" s="65"/>
      <c r="BY74" s="65"/>
      <c r="BZ74" s="65"/>
      <c r="CA74" s="65"/>
      <c r="CB74" s="65"/>
      <c r="CC74" s="65"/>
      <c r="CD74" s="65"/>
      <c r="CE74" s="65"/>
      <c r="CF74" s="65"/>
      <c r="CG74" s="65"/>
      <c r="CH74" s="65"/>
      <c r="CI74" s="65"/>
      <c r="CJ74" s="65"/>
      <c r="CK74" s="65"/>
      <c r="CL74" s="65"/>
      <c r="CM74" s="65"/>
      <c r="CN74" s="65"/>
      <c r="CO74" s="65"/>
      <c r="CP74" s="65"/>
      <c r="CQ74" s="65"/>
      <c r="CR74" s="65"/>
      <c r="CS74" s="65"/>
      <c r="CT74" s="65"/>
      <c r="CU74" s="65"/>
      <c r="CV74" s="65"/>
      <c r="CW74" s="65"/>
      <c r="CX74" s="65"/>
      <c r="CY74" s="65"/>
      <c r="CZ74" s="65"/>
      <c r="DA74" s="65"/>
      <c r="DB74" s="65"/>
      <c r="DC74" s="65"/>
      <c r="DD74" s="65"/>
      <c r="DE74" s="65"/>
      <c r="DF74" s="65"/>
      <c r="DG74" s="65"/>
      <c r="DH74" s="65"/>
      <c r="DI74" s="65"/>
      <c r="DJ74" s="65"/>
      <c r="DK74" s="65"/>
      <c r="DL74" s="65"/>
      <c r="DM74" s="65"/>
      <c r="DN74" s="65"/>
      <c r="DO74" s="65"/>
      <c r="DP74" s="65"/>
      <c r="DQ74" s="65"/>
      <c r="DR74" s="65"/>
      <c r="DS74" s="65"/>
      <c r="DT74" s="65"/>
      <c r="DU74" s="65"/>
      <c r="DV74" s="65"/>
      <c r="DW74" s="65"/>
      <c r="DX74" s="65"/>
      <c r="DY74" s="65"/>
      <c r="DZ74" s="65"/>
      <c r="EA74" s="65"/>
      <c r="EB74" s="65"/>
      <c r="EC74" s="65"/>
      <c r="ED74" s="65"/>
      <c r="EE74" s="65"/>
      <c r="EF74" s="65"/>
      <c r="EG74" s="65"/>
      <c r="EH74" s="65"/>
      <c r="EI74" s="65"/>
      <c r="EJ74" s="65"/>
      <c r="EK74" s="65"/>
      <c r="EL74" s="65"/>
      <c r="EM74" s="65"/>
      <c r="EN74" s="65"/>
      <c r="EP74" s="24"/>
      <c r="EQ74" s="24"/>
      <c r="ER74" s="34"/>
      <c r="ES74" s="34" t="s">
        <v>73</v>
      </c>
      <c r="ET74" s="34" t="s">
        <v>214</v>
      </c>
      <c r="EU74" s="34" t="s">
        <v>674</v>
      </c>
      <c r="EV74" s="24"/>
      <c r="EW74" s="24"/>
      <c r="EX74" s="24"/>
      <c r="EY74" s="24"/>
      <c r="EZ74" s="24"/>
      <c r="FA74" s="24"/>
      <c r="FB74" s="24"/>
      <c r="FC74" s="24"/>
      <c r="FD74" s="24"/>
      <c r="FE74" s="24"/>
      <c r="FF74" s="24"/>
      <c r="FG74" s="24"/>
      <c r="FH74" s="24"/>
      <c r="FI74" s="24"/>
      <c r="FJ74" s="24"/>
      <c r="FK74" s="24"/>
      <c r="FL74" s="24"/>
      <c r="FM74" s="24"/>
      <c r="FN74" s="24"/>
      <c r="FO74" s="24"/>
      <c r="FP74" s="24"/>
      <c r="FQ74" s="24"/>
      <c r="FR74" s="24"/>
      <c r="FS74" s="24"/>
      <c r="FT74" s="24"/>
      <c r="FU74" s="24"/>
      <c r="FV74" s="24"/>
      <c r="FW74" s="24"/>
      <c r="FX74" s="24"/>
      <c r="FY74" s="24"/>
      <c r="FZ74" s="24"/>
      <c r="GA74" s="24"/>
      <c r="GB74" s="24"/>
      <c r="GC74" s="24"/>
      <c r="GD74" s="24"/>
      <c r="GE74" s="24"/>
      <c r="GF74" s="24"/>
      <c r="GG74" s="24"/>
      <c r="GH74" s="24"/>
      <c r="GI74" s="24"/>
      <c r="GJ74" s="24"/>
      <c r="GK74" s="24"/>
      <c r="GL74" s="24"/>
      <c r="GM74" s="24"/>
      <c r="GN74" s="24"/>
      <c r="GO74" s="24"/>
      <c r="GP74" s="24"/>
      <c r="GQ74" s="24"/>
      <c r="GR74" s="24"/>
      <c r="GS74" s="24"/>
      <c r="GT74" s="24"/>
      <c r="GU74" s="24"/>
      <c r="GV74" s="24"/>
      <c r="GW74" s="24"/>
      <c r="GX74" s="24"/>
      <c r="GY74" s="24"/>
      <c r="GZ74" s="24"/>
      <c r="HA74" s="24"/>
      <c r="HB74" s="24"/>
      <c r="HC74" s="24"/>
      <c r="HD74" s="24"/>
      <c r="HE74" s="24"/>
      <c r="HF74" s="24"/>
      <c r="HG74" s="24"/>
      <c r="HH74" s="24"/>
      <c r="HI74" s="24"/>
      <c r="HJ74" s="24"/>
      <c r="HK74" s="24"/>
      <c r="HL74" s="24"/>
      <c r="HM74" s="24"/>
      <c r="HN74" s="24"/>
      <c r="HO74" s="24"/>
      <c r="HP74" s="24"/>
      <c r="HQ74" s="24"/>
      <c r="HR74" s="24"/>
      <c r="HS74" s="24"/>
      <c r="HT74" s="24"/>
      <c r="HU74" s="24"/>
      <c r="HV74" s="24"/>
      <c r="HW74" s="24"/>
      <c r="HX74" s="24"/>
      <c r="HY74" s="24"/>
      <c r="HZ74" s="24"/>
      <c r="IA74" s="24"/>
      <c r="IB74" s="24"/>
      <c r="IC74" s="24"/>
      <c r="ID74" s="24"/>
      <c r="IE74" s="24"/>
      <c r="IF74" s="24"/>
      <c r="IG74" s="24"/>
      <c r="IH74" s="24"/>
      <c r="II74" s="24"/>
      <c r="IJ74" s="24"/>
      <c r="IK74" s="24"/>
      <c r="IL74" s="24"/>
      <c r="IM74" s="24"/>
      <c r="IN74" s="24"/>
      <c r="IO74" s="24"/>
      <c r="IP74" s="24"/>
      <c r="IQ74" s="24"/>
      <c r="IR74" s="24"/>
      <c r="IS74" s="24"/>
      <c r="IT74" s="24"/>
      <c r="IU74" s="24"/>
      <c r="IV74" s="24"/>
      <c r="IW74" s="24"/>
      <c r="IX74" s="24"/>
      <c r="IY74" s="24"/>
      <c r="IZ74" s="24"/>
      <c r="JA74" s="24"/>
      <c r="JB74" s="24"/>
      <c r="JC74" s="24"/>
      <c r="JD74" s="24"/>
      <c r="JE74" s="24"/>
      <c r="JF74" s="24"/>
      <c r="JG74" s="24"/>
      <c r="JH74" s="24"/>
      <c r="JI74" s="24"/>
      <c r="JJ74" s="24"/>
      <c r="JK74" s="24"/>
      <c r="JL74" s="24"/>
      <c r="JM74" s="24"/>
      <c r="JN74" s="24"/>
      <c r="JO74" s="24"/>
      <c r="JP74" s="24"/>
      <c r="JQ74" s="24"/>
      <c r="JR74" s="24"/>
      <c r="JS74" s="24"/>
      <c r="JT74" s="24"/>
      <c r="JU74" s="24"/>
      <c r="JV74" s="24"/>
      <c r="JW74" s="24"/>
      <c r="JX74" s="24"/>
    </row>
    <row r="75" spans="1:284" s="58" customFormat="1" x14ac:dyDescent="0.2">
      <c r="A75" s="566">
        <v>0</v>
      </c>
      <c r="B75" s="160"/>
      <c r="C75" s="160"/>
      <c r="D75" s="160"/>
      <c r="E75" s="160"/>
      <c r="F75" s="160"/>
      <c r="G75" s="396"/>
      <c r="H75" s="396"/>
      <c r="I75" s="396"/>
      <c r="L75" s="65"/>
      <c r="M75" s="65"/>
      <c r="N75" s="65"/>
      <c r="O75" s="65"/>
      <c r="P75" s="65"/>
      <c r="Q75" s="65"/>
      <c r="R75" s="65"/>
      <c r="S75" s="65"/>
      <c r="T75" s="65"/>
      <c r="U75" s="65"/>
      <c r="V75" s="65"/>
      <c r="W75" s="65"/>
      <c r="X75" s="65"/>
      <c r="Y75" s="65"/>
      <c r="Z75" s="65"/>
      <c r="AA75" s="65"/>
      <c r="AB75" s="65"/>
      <c r="AC75" s="65"/>
      <c r="AD75" s="65"/>
      <c r="AE75" s="65"/>
      <c r="AF75" s="65"/>
      <c r="AG75" s="65"/>
      <c r="AH75" s="65"/>
      <c r="AI75" s="65"/>
      <c r="AJ75" s="65"/>
      <c r="AK75" s="65"/>
      <c r="AL75" s="65"/>
      <c r="AM75" s="65"/>
      <c r="AN75" s="65"/>
      <c r="AO75" s="65"/>
      <c r="AP75" s="65"/>
      <c r="AQ75" s="65"/>
      <c r="AR75" s="65"/>
      <c r="AS75" s="65"/>
      <c r="AT75" s="65"/>
      <c r="AU75" s="65"/>
      <c r="AV75" s="65"/>
      <c r="AW75" s="65"/>
      <c r="AX75" s="65"/>
      <c r="AY75" s="65"/>
      <c r="AZ75" s="65"/>
      <c r="BA75" s="65"/>
      <c r="BB75" s="65"/>
      <c r="BC75" s="65"/>
      <c r="BD75" s="65"/>
      <c r="BE75" s="65"/>
      <c r="BF75" s="65"/>
      <c r="BG75" s="65"/>
      <c r="BH75" s="65"/>
      <c r="BI75" s="65"/>
      <c r="BJ75" s="65"/>
      <c r="BK75" s="65"/>
      <c r="BL75" s="65"/>
      <c r="BM75" s="65"/>
      <c r="BN75" s="65"/>
      <c r="BO75" s="65"/>
      <c r="BP75" s="65"/>
      <c r="BQ75" s="65"/>
      <c r="BR75" s="65"/>
      <c r="BS75" s="65"/>
      <c r="BT75" s="65"/>
      <c r="BU75" s="65"/>
      <c r="BV75" s="65"/>
      <c r="BW75" s="65"/>
      <c r="BX75" s="65"/>
      <c r="BY75" s="65"/>
      <c r="BZ75" s="65"/>
      <c r="CA75" s="65"/>
      <c r="CB75" s="65"/>
      <c r="CC75" s="65"/>
      <c r="CD75" s="65"/>
      <c r="CE75" s="65"/>
      <c r="CF75" s="65"/>
      <c r="CG75" s="65"/>
      <c r="CH75" s="65"/>
      <c r="CI75" s="65"/>
      <c r="CJ75" s="65"/>
      <c r="CK75" s="65"/>
      <c r="CL75" s="65"/>
      <c r="CM75" s="65"/>
      <c r="CN75" s="65"/>
      <c r="CO75" s="65"/>
      <c r="CP75" s="65"/>
      <c r="CQ75" s="65"/>
      <c r="CR75" s="65"/>
      <c r="CS75" s="65"/>
      <c r="CT75" s="65"/>
      <c r="CU75" s="65"/>
      <c r="CV75" s="65"/>
      <c r="CW75" s="65"/>
      <c r="CX75" s="65"/>
      <c r="CY75" s="65"/>
      <c r="CZ75" s="65"/>
      <c r="DA75" s="65"/>
      <c r="DB75" s="65"/>
      <c r="DC75" s="65"/>
      <c r="DD75" s="65"/>
      <c r="DE75" s="65"/>
      <c r="DF75" s="65"/>
      <c r="DG75" s="65"/>
      <c r="DH75" s="65"/>
      <c r="DI75" s="65"/>
      <c r="DJ75" s="65"/>
      <c r="DK75" s="65"/>
      <c r="DL75" s="65"/>
      <c r="DM75" s="65"/>
      <c r="DN75" s="65"/>
      <c r="DO75" s="65"/>
      <c r="DP75" s="65"/>
      <c r="DQ75" s="65"/>
      <c r="DR75" s="65"/>
      <c r="DS75" s="65"/>
      <c r="DT75" s="65"/>
      <c r="DU75" s="65"/>
      <c r="DV75" s="65"/>
      <c r="DW75" s="65"/>
      <c r="DX75" s="65"/>
      <c r="DY75" s="65"/>
      <c r="DZ75" s="65"/>
      <c r="EA75" s="65"/>
      <c r="EB75" s="65"/>
      <c r="EC75" s="65"/>
      <c r="ED75" s="65"/>
      <c r="EE75" s="65"/>
      <c r="EF75" s="65"/>
      <c r="EG75" s="65"/>
      <c r="EH75" s="65"/>
      <c r="EI75" s="65"/>
      <c r="EJ75" s="65"/>
      <c r="EK75" s="65"/>
      <c r="EL75" s="65"/>
      <c r="EM75" s="65"/>
      <c r="EN75" s="65"/>
      <c r="EP75" s="24" t="s">
        <v>672</v>
      </c>
      <c r="EQ75" s="24"/>
      <c r="ER75" s="47"/>
      <c r="ES75" s="47" t="str">
        <f>IF(ROUND(MAX(EV75:JX75),0)=ROUND(EU75,0),"OK","ERROR")</f>
        <v>OK</v>
      </c>
      <c r="ET75" s="582">
        <f>+C61/Debt_LTC_Target</f>
        <v>0.79999999999999993</v>
      </c>
      <c r="EU75" s="30">
        <f>+$I$68*ET75</f>
        <v>32455338.972956143</v>
      </c>
      <c r="EV75" s="30">
        <f t="shared" ref="EV75:GA75" si="239">MIN(EV69,$EU$75)</f>
        <v>0</v>
      </c>
      <c r="EW75" s="30">
        <f t="shared" si="239"/>
        <v>0</v>
      </c>
      <c r="EX75" s="30">
        <f t="shared" si="239"/>
        <v>0</v>
      </c>
      <c r="EY75" s="30">
        <f t="shared" si="239"/>
        <v>0</v>
      </c>
      <c r="EZ75" s="30">
        <f t="shared" si="239"/>
        <v>0</v>
      </c>
      <c r="FA75" s="30">
        <f t="shared" si="239"/>
        <v>0</v>
      </c>
      <c r="FB75" s="30">
        <f t="shared" si="239"/>
        <v>0</v>
      </c>
      <c r="FC75" s="30">
        <f t="shared" si="239"/>
        <v>2865027.1968889558</v>
      </c>
      <c r="FD75" s="30">
        <f t="shared" si="239"/>
        <v>8542136.8188994322</v>
      </c>
      <c r="FE75" s="30">
        <f t="shared" si="239"/>
        <v>14842559.485866461</v>
      </c>
      <c r="FF75" s="30">
        <f t="shared" si="239"/>
        <v>21142982.152833492</v>
      </c>
      <c r="FG75" s="30">
        <f t="shared" si="239"/>
        <v>26820091.774843968</v>
      </c>
      <c r="FH75" s="30">
        <f t="shared" si="239"/>
        <v>31438725.095493034</v>
      </c>
      <c r="FI75" s="30">
        <f t="shared" si="239"/>
        <v>32455338.972956143</v>
      </c>
      <c r="FJ75" s="30">
        <f t="shared" si="239"/>
        <v>32455338.972956143</v>
      </c>
      <c r="FK75" s="30">
        <f t="shared" si="239"/>
        <v>32455338.972956143</v>
      </c>
      <c r="FL75" s="30">
        <f t="shared" si="239"/>
        <v>32455338.972956143</v>
      </c>
      <c r="FM75" s="30">
        <f t="shared" si="239"/>
        <v>32455338.972956143</v>
      </c>
      <c r="FN75" s="30">
        <f t="shared" si="239"/>
        <v>32455338.972956143</v>
      </c>
      <c r="FO75" s="30">
        <f t="shared" si="239"/>
        <v>32455338.972956143</v>
      </c>
      <c r="FP75" s="30">
        <f t="shared" si="239"/>
        <v>32455338.972956143</v>
      </c>
      <c r="FQ75" s="30">
        <f t="shared" si="239"/>
        <v>32455338.972956143</v>
      </c>
      <c r="FR75" s="30">
        <f t="shared" si="239"/>
        <v>32455338.972956143</v>
      </c>
      <c r="FS75" s="30">
        <f t="shared" si="239"/>
        <v>32455338.972956143</v>
      </c>
      <c r="FT75" s="30">
        <f t="shared" si="239"/>
        <v>32455338.972956143</v>
      </c>
      <c r="FU75" s="30">
        <f t="shared" si="239"/>
        <v>32455338.972956143</v>
      </c>
      <c r="FV75" s="30">
        <f t="shared" si="239"/>
        <v>32455338.972956143</v>
      </c>
      <c r="FW75" s="30">
        <f t="shared" si="239"/>
        <v>32455338.972956143</v>
      </c>
      <c r="FX75" s="30">
        <f t="shared" si="239"/>
        <v>32455338.972956143</v>
      </c>
      <c r="FY75" s="30">
        <f t="shared" si="239"/>
        <v>32455338.972956143</v>
      </c>
      <c r="FZ75" s="30">
        <f t="shared" si="239"/>
        <v>32455338.972956143</v>
      </c>
      <c r="GA75" s="30">
        <f t="shared" si="239"/>
        <v>32455338.972956143</v>
      </c>
      <c r="GB75" s="30">
        <f t="shared" ref="GB75:HG75" si="240">MIN(GB69,$EU$75)</f>
        <v>32455338.972956143</v>
      </c>
      <c r="GC75" s="30">
        <f t="shared" si="240"/>
        <v>32455338.972956143</v>
      </c>
      <c r="GD75" s="30">
        <f t="shared" si="240"/>
        <v>32455338.972956143</v>
      </c>
      <c r="GE75" s="30">
        <f t="shared" si="240"/>
        <v>32455338.972956143</v>
      </c>
      <c r="GF75" s="30">
        <f t="shared" si="240"/>
        <v>32455338.972956143</v>
      </c>
      <c r="GG75" s="30">
        <f t="shared" si="240"/>
        <v>32455338.972956143</v>
      </c>
      <c r="GH75" s="30">
        <f t="shared" si="240"/>
        <v>32455338.972956143</v>
      </c>
      <c r="GI75" s="30">
        <f t="shared" si="240"/>
        <v>32455338.972956143</v>
      </c>
      <c r="GJ75" s="30">
        <f t="shared" si="240"/>
        <v>32455338.972956143</v>
      </c>
      <c r="GK75" s="30">
        <f t="shared" si="240"/>
        <v>32455338.972956143</v>
      </c>
      <c r="GL75" s="30">
        <f t="shared" si="240"/>
        <v>32455338.972956143</v>
      </c>
      <c r="GM75" s="30">
        <f t="shared" si="240"/>
        <v>32455338.972956143</v>
      </c>
      <c r="GN75" s="30">
        <f t="shared" si="240"/>
        <v>32455338.972956143</v>
      </c>
      <c r="GO75" s="30">
        <f t="shared" si="240"/>
        <v>32455338.972956143</v>
      </c>
      <c r="GP75" s="30">
        <f t="shared" si="240"/>
        <v>0</v>
      </c>
      <c r="GQ75" s="30">
        <f t="shared" si="240"/>
        <v>0</v>
      </c>
      <c r="GR75" s="30">
        <f t="shared" si="240"/>
        <v>0</v>
      </c>
      <c r="GS75" s="30">
        <f t="shared" si="240"/>
        <v>0</v>
      </c>
      <c r="GT75" s="30">
        <f t="shared" si="240"/>
        <v>0</v>
      </c>
      <c r="GU75" s="30">
        <f t="shared" si="240"/>
        <v>0</v>
      </c>
      <c r="GV75" s="30">
        <f t="shared" si="240"/>
        <v>0</v>
      </c>
      <c r="GW75" s="30">
        <f t="shared" si="240"/>
        <v>0</v>
      </c>
      <c r="GX75" s="30">
        <f t="shared" si="240"/>
        <v>0</v>
      </c>
      <c r="GY75" s="30">
        <f t="shared" si="240"/>
        <v>0</v>
      </c>
      <c r="GZ75" s="30">
        <f t="shared" si="240"/>
        <v>0</v>
      </c>
      <c r="HA75" s="30">
        <f t="shared" si="240"/>
        <v>0</v>
      </c>
      <c r="HB75" s="30">
        <f t="shared" si="240"/>
        <v>0</v>
      </c>
      <c r="HC75" s="30">
        <f t="shared" si="240"/>
        <v>0</v>
      </c>
      <c r="HD75" s="30">
        <f t="shared" si="240"/>
        <v>0</v>
      </c>
      <c r="HE75" s="30">
        <f t="shared" si="240"/>
        <v>0</v>
      </c>
      <c r="HF75" s="30">
        <f t="shared" si="240"/>
        <v>0</v>
      </c>
      <c r="HG75" s="30">
        <f t="shared" si="240"/>
        <v>0</v>
      </c>
      <c r="HH75" s="30">
        <f t="shared" ref="HH75:IM75" si="241">MIN(HH69,$EU$75)</f>
        <v>0</v>
      </c>
      <c r="HI75" s="30">
        <f t="shared" si="241"/>
        <v>0</v>
      </c>
      <c r="HJ75" s="30">
        <f t="shared" si="241"/>
        <v>0</v>
      </c>
      <c r="HK75" s="30">
        <f t="shared" si="241"/>
        <v>0</v>
      </c>
      <c r="HL75" s="30">
        <f t="shared" si="241"/>
        <v>0</v>
      </c>
      <c r="HM75" s="30">
        <f t="shared" si="241"/>
        <v>0</v>
      </c>
      <c r="HN75" s="30">
        <f t="shared" si="241"/>
        <v>0</v>
      </c>
      <c r="HO75" s="30">
        <f t="shared" si="241"/>
        <v>0</v>
      </c>
      <c r="HP75" s="30">
        <f t="shared" si="241"/>
        <v>0</v>
      </c>
      <c r="HQ75" s="30">
        <f t="shared" si="241"/>
        <v>0</v>
      </c>
      <c r="HR75" s="30">
        <f t="shared" si="241"/>
        <v>0</v>
      </c>
      <c r="HS75" s="30">
        <f t="shared" si="241"/>
        <v>0</v>
      </c>
      <c r="HT75" s="30">
        <f t="shared" si="241"/>
        <v>0</v>
      </c>
      <c r="HU75" s="30">
        <f t="shared" si="241"/>
        <v>0</v>
      </c>
      <c r="HV75" s="30">
        <f t="shared" si="241"/>
        <v>0</v>
      </c>
      <c r="HW75" s="30">
        <f t="shared" si="241"/>
        <v>0</v>
      </c>
      <c r="HX75" s="30">
        <f t="shared" si="241"/>
        <v>0</v>
      </c>
      <c r="HY75" s="30">
        <f t="shared" si="241"/>
        <v>0</v>
      </c>
      <c r="HZ75" s="30">
        <f t="shared" si="241"/>
        <v>0</v>
      </c>
      <c r="IA75" s="30">
        <f t="shared" si="241"/>
        <v>0</v>
      </c>
      <c r="IB75" s="30">
        <f t="shared" si="241"/>
        <v>0</v>
      </c>
      <c r="IC75" s="30">
        <f t="shared" si="241"/>
        <v>0</v>
      </c>
      <c r="ID75" s="30">
        <f t="shared" si="241"/>
        <v>0</v>
      </c>
      <c r="IE75" s="30">
        <f t="shared" si="241"/>
        <v>0</v>
      </c>
      <c r="IF75" s="30">
        <f t="shared" si="241"/>
        <v>0</v>
      </c>
      <c r="IG75" s="30">
        <f t="shared" si="241"/>
        <v>0</v>
      </c>
      <c r="IH75" s="30">
        <f t="shared" si="241"/>
        <v>0</v>
      </c>
      <c r="II75" s="30">
        <f t="shared" si="241"/>
        <v>0</v>
      </c>
      <c r="IJ75" s="30">
        <f t="shared" si="241"/>
        <v>0</v>
      </c>
      <c r="IK75" s="30">
        <f t="shared" si="241"/>
        <v>0</v>
      </c>
      <c r="IL75" s="30">
        <f t="shared" si="241"/>
        <v>0</v>
      </c>
      <c r="IM75" s="30">
        <f t="shared" si="241"/>
        <v>0</v>
      </c>
      <c r="IN75" s="30">
        <f t="shared" ref="IN75:JX75" si="242">MIN(IN69,$EU$75)</f>
        <v>0</v>
      </c>
      <c r="IO75" s="30">
        <f t="shared" si="242"/>
        <v>0</v>
      </c>
      <c r="IP75" s="30">
        <f t="shared" si="242"/>
        <v>0</v>
      </c>
      <c r="IQ75" s="30">
        <f t="shared" si="242"/>
        <v>0</v>
      </c>
      <c r="IR75" s="30">
        <f t="shared" si="242"/>
        <v>0</v>
      </c>
      <c r="IS75" s="30">
        <f t="shared" si="242"/>
        <v>0</v>
      </c>
      <c r="IT75" s="30">
        <f t="shared" si="242"/>
        <v>0</v>
      </c>
      <c r="IU75" s="30">
        <f t="shared" si="242"/>
        <v>0</v>
      </c>
      <c r="IV75" s="30">
        <f t="shared" si="242"/>
        <v>0</v>
      </c>
      <c r="IW75" s="30">
        <f t="shared" si="242"/>
        <v>0</v>
      </c>
      <c r="IX75" s="30">
        <f t="shared" si="242"/>
        <v>0</v>
      </c>
      <c r="IY75" s="30">
        <f t="shared" si="242"/>
        <v>0</v>
      </c>
      <c r="IZ75" s="30">
        <f t="shared" si="242"/>
        <v>0</v>
      </c>
      <c r="JA75" s="30">
        <f t="shared" si="242"/>
        <v>0</v>
      </c>
      <c r="JB75" s="30">
        <f t="shared" si="242"/>
        <v>0</v>
      </c>
      <c r="JC75" s="30">
        <f t="shared" si="242"/>
        <v>0</v>
      </c>
      <c r="JD75" s="30">
        <f t="shared" si="242"/>
        <v>0</v>
      </c>
      <c r="JE75" s="30">
        <f t="shared" si="242"/>
        <v>0</v>
      </c>
      <c r="JF75" s="30">
        <f t="shared" si="242"/>
        <v>0</v>
      </c>
      <c r="JG75" s="30">
        <f t="shared" si="242"/>
        <v>0</v>
      </c>
      <c r="JH75" s="30">
        <f t="shared" si="242"/>
        <v>0</v>
      </c>
      <c r="JI75" s="30">
        <f t="shared" si="242"/>
        <v>0</v>
      </c>
      <c r="JJ75" s="30">
        <f t="shared" si="242"/>
        <v>0</v>
      </c>
      <c r="JK75" s="30">
        <f t="shared" si="242"/>
        <v>0</v>
      </c>
      <c r="JL75" s="30">
        <f t="shared" si="242"/>
        <v>0</v>
      </c>
      <c r="JM75" s="30">
        <f t="shared" si="242"/>
        <v>0</v>
      </c>
      <c r="JN75" s="30">
        <f t="shared" si="242"/>
        <v>0</v>
      </c>
      <c r="JO75" s="30">
        <f t="shared" si="242"/>
        <v>0</v>
      </c>
      <c r="JP75" s="30">
        <f t="shared" si="242"/>
        <v>0</v>
      </c>
      <c r="JQ75" s="30">
        <f t="shared" si="242"/>
        <v>0</v>
      </c>
      <c r="JR75" s="30">
        <f t="shared" si="242"/>
        <v>0</v>
      </c>
      <c r="JS75" s="30">
        <f t="shared" si="242"/>
        <v>0</v>
      </c>
      <c r="JT75" s="30">
        <f t="shared" si="242"/>
        <v>0</v>
      </c>
      <c r="JU75" s="30">
        <f t="shared" si="242"/>
        <v>0</v>
      </c>
      <c r="JV75" s="30">
        <f t="shared" si="242"/>
        <v>0</v>
      </c>
      <c r="JW75" s="30">
        <f t="shared" si="242"/>
        <v>0</v>
      </c>
      <c r="JX75" s="30">
        <f t="shared" si="242"/>
        <v>0</v>
      </c>
    </row>
    <row r="76" spans="1:284" s="58" customFormat="1" ht="0.6" customHeight="1" x14ac:dyDescent="0.2">
      <c r="A76" s="409"/>
      <c r="B76" s="128"/>
      <c r="C76" s="102" t="s">
        <v>618</v>
      </c>
      <c r="D76" s="102" t="s">
        <v>617</v>
      </c>
      <c r="E76" s="102" t="s">
        <v>65</v>
      </c>
      <c r="F76" s="394" t="s">
        <v>627</v>
      </c>
      <c r="G76" s="394" t="s">
        <v>629</v>
      </c>
      <c r="H76" s="116" t="s">
        <v>630</v>
      </c>
      <c r="I76" s="102" t="s">
        <v>22</v>
      </c>
      <c r="K76" s="565"/>
      <c r="L76" s="565"/>
      <c r="M76" s="65"/>
      <c r="N76" s="65"/>
      <c r="O76" s="65"/>
      <c r="P76" s="65"/>
      <c r="Q76" s="65"/>
      <c r="R76" s="65"/>
      <c r="S76" s="65"/>
      <c r="T76" s="65"/>
      <c r="U76" s="65"/>
      <c r="V76" s="65"/>
      <c r="W76" s="65"/>
      <c r="X76" s="65"/>
      <c r="Y76" s="65"/>
      <c r="Z76" s="65"/>
      <c r="AA76" s="65"/>
      <c r="AB76" s="65"/>
      <c r="AC76" s="65"/>
      <c r="AD76" s="65"/>
      <c r="AE76" s="65"/>
      <c r="AF76" s="65"/>
      <c r="AG76" s="65"/>
      <c r="AH76" s="65"/>
      <c r="AI76" s="65"/>
      <c r="AJ76" s="65"/>
      <c r="AK76" s="65"/>
      <c r="AL76" s="65"/>
      <c r="AM76" s="65"/>
      <c r="AN76" s="65"/>
      <c r="AO76" s="65"/>
      <c r="AP76" s="65"/>
      <c r="AQ76" s="65"/>
      <c r="AR76" s="65"/>
      <c r="AS76" s="65"/>
      <c r="AT76" s="65"/>
      <c r="AU76" s="65"/>
      <c r="AV76" s="65"/>
      <c r="AW76" s="65"/>
      <c r="AX76" s="65"/>
      <c r="AY76" s="65"/>
      <c r="AZ76" s="65"/>
      <c r="BA76" s="65"/>
      <c r="BB76" s="65"/>
      <c r="BC76" s="65"/>
      <c r="BD76" s="65"/>
      <c r="BE76" s="65"/>
      <c r="BF76" s="65"/>
      <c r="BG76" s="65"/>
      <c r="BH76" s="65"/>
      <c r="BI76" s="65"/>
      <c r="BJ76" s="65"/>
      <c r="BK76" s="65"/>
      <c r="BL76" s="65"/>
      <c r="BM76" s="65"/>
      <c r="BN76" s="65"/>
      <c r="BO76" s="65"/>
      <c r="BP76" s="65"/>
      <c r="BQ76" s="65"/>
      <c r="BR76" s="65"/>
      <c r="BS76" s="65"/>
      <c r="BT76" s="65"/>
      <c r="BU76" s="65"/>
      <c r="BV76" s="65"/>
      <c r="BW76" s="65"/>
      <c r="BX76" s="65"/>
      <c r="BY76" s="65"/>
      <c r="BZ76" s="65"/>
      <c r="CA76" s="65"/>
      <c r="CB76" s="65"/>
      <c r="CC76" s="65"/>
      <c r="CD76" s="65"/>
      <c r="CE76" s="65"/>
      <c r="CF76" s="65"/>
      <c r="CG76" s="65"/>
      <c r="CH76" s="65"/>
      <c r="CI76" s="65"/>
      <c r="CJ76" s="65"/>
      <c r="CK76" s="65"/>
      <c r="CL76" s="65"/>
      <c r="CM76" s="65"/>
      <c r="CN76" s="65"/>
      <c r="CO76" s="65"/>
      <c r="CP76" s="65"/>
      <c r="CQ76" s="65"/>
      <c r="CR76" s="65"/>
      <c r="CS76" s="65"/>
      <c r="CT76" s="65"/>
      <c r="CU76" s="65"/>
      <c r="CV76" s="65"/>
      <c r="CW76" s="65"/>
      <c r="CX76" s="65"/>
      <c r="CY76" s="65"/>
      <c r="CZ76" s="65"/>
      <c r="DA76" s="65"/>
      <c r="DB76" s="65"/>
      <c r="DC76" s="65"/>
      <c r="DD76" s="65"/>
      <c r="DE76" s="65"/>
      <c r="DF76" s="65"/>
      <c r="DG76" s="65"/>
      <c r="DH76" s="65"/>
      <c r="DI76" s="65"/>
      <c r="DJ76" s="65"/>
      <c r="DK76" s="65"/>
      <c r="DL76" s="65"/>
      <c r="DM76" s="65"/>
      <c r="DN76" s="65"/>
      <c r="DO76" s="65"/>
      <c r="DP76" s="65"/>
      <c r="DQ76" s="65"/>
      <c r="DR76" s="65"/>
      <c r="DS76" s="65"/>
      <c r="DT76" s="65"/>
      <c r="DU76" s="65"/>
      <c r="DV76" s="65"/>
      <c r="DW76" s="65"/>
      <c r="DX76" s="65"/>
      <c r="DY76" s="65"/>
      <c r="DZ76" s="65"/>
      <c r="EA76" s="65"/>
      <c r="EB76" s="65"/>
      <c r="EC76" s="65"/>
      <c r="ED76" s="65"/>
      <c r="EE76" s="65"/>
      <c r="EF76" s="65"/>
      <c r="EG76" s="65"/>
      <c r="EH76" s="65"/>
      <c r="EI76" s="65"/>
      <c r="EJ76" s="65"/>
      <c r="EK76" s="65"/>
      <c r="EL76" s="65"/>
      <c r="EM76" s="65"/>
      <c r="EN76" s="65"/>
      <c r="EP76" s="24" t="s">
        <v>673</v>
      </c>
      <c r="EQ76" s="24"/>
      <c r="ER76" s="47"/>
      <c r="ES76" s="47" t="str">
        <f>IF(ROUND(MAX(EV76:JX76),0)=ROUND(EU76,0),"OK","ERROR")</f>
        <v>OK</v>
      </c>
      <c r="ET76" s="582">
        <f>1-ET75</f>
        <v>0.20000000000000007</v>
      </c>
      <c r="EU76" s="30">
        <f>+$I$68*ET76</f>
        <v>8113834.7432390386</v>
      </c>
      <c r="EV76" s="30">
        <f>EV69-EV75</f>
        <v>0</v>
      </c>
      <c r="EW76" s="30">
        <f t="shared" ref="EW76:HH76" si="243">EW69-EW75</f>
        <v>0</v>
      </c>
      <c r="EX76" s="30">
        <f t="shared" si="243"/>
        <v>0</v>
      </c>
      <c r="EY76" s="30">
        <f t="shared" si="243"/>
        <v>0</v>
      </c>
      <c r="EZ76" s="30">
        <f t="shared" si="243"/>
        <v>0</v>
      </c>
      <c r="FA76" s="30">
        <f t="shared" si="243"/>
        <v>0</v>
      </c>
      <c r="FB76" s="30">
        <f t="shared" si="243"/>
        <v>0</v>
      </c>
      <c r="FC76" s="30">
        <f t="shared" si="243"/>
        <v>0</v>
      </c>
      <c r="FD76" s="30">
        <f t="shared" si="243"/>
        <v>0</v>
      </c>
      <c r="FE76" s="30">
        <f t="shared" si="243"/>
        <v>0</v>
      </c>
      <c r="FF76" s="30">
        <f t="shared" si="243"/>
        <v>0</v>
      </c>
      <c r="FG76" s="30">
        <f t="shared" si="243"/>
        <v>0</v>
      </c>
      <c r="FH76" s="30">
        <f t="shared" si="243"/>
        <v>0</v>
      </c>
      <c r="FI76" s="30">
        <f t="shared" si="243"/>
        <v>2393244.3300981522</v>
      </c>
      <c r="FJ76" s="30">
        <f t="shared" si="243"/>
        <v>4702874.0035723224</v>
      </c>
      <c r="FK76" s="30">
        <f t="shared" si="243"/>
        <v>6170694.9074538499</v>
      </c>
      <c r="FL76" s="30">
        <f t="shared" si="243"/>
        <v>7084104.0910475031</v>
      </c>
      <c r="FM76" s="30">
        <f t="shared" si="243"/>
        <v>7679219.3069091141</v>
      </c>
      <c r="FN76" s="30">
        <f t="shared" si="243"/>
        <v>8113834.7432390377</v>
      </c>
      <c r="FO76" s="30">
        <f t="shared" si="243"/>
        <v>8113834.7432390377</v>
      </c>
      <c r="FP76" s="30">
        <f t="shared" si="243"/>
        <v>8113834.7432390377</v>
      </c>
      <c r="FQ76" s="30">
        <f t="shared" si="243"/>
        <v>8113834.7432390377</v>
      </c>
      <c r="FR76" s="30">
        <f t="shared" si="243"/>
        <v>8113834.7432390377</v>
      </c>
      <c r="FS76" s="30">
        <f t="shared" si="243"/>
        <v>8113834.7432390377</v>
      </c>
      <c r="FT76" s="30">
        <f t="shared" si="243"/>
        <v>8113834.7432390377</v>
      </c>
      <c r="FU76" s="30">
        <f t="shared" si="243"/>
        <v>8113834.7432390377</v>
      </c>
      <c r="FV76" s="30">
        <f t="shared" si="243"/>
        <v>8113834.7432390377</v>
      </c>
      <c r="FW76" s="30">
        <f t="shared" si="243"/>
        <v>8113834.7432390377</v>
      </c>
      <c r="FX76" s="30">
        <f t="shared" si="243"/>
        <v>8113834.7432390377</v>
      </c>
      <c r="FY76" s="30">
        <f t="shared" si="243"/>
        <v>8113834.7432390377</v>
      </c>
      <c r="FZ76" s="30">
        <f t="shared" si="243"/>
        <v>8113834.7432390377</v>
      </c>
      <c r="GA76" s="30">
        <f t="shared" si="243"/>
        <v>8113834.7432390377</v>
      </c>
      <c r="GB76" s="30">
        <f t="shared" si="243"/>
        <v>8113834.7432390377</v>
      </c>
      <c r="GC76" s="30">
        <f t="shared" si="243"/>
        <v>8113834.7432390377</v>
      </c>
      <c r="GD76" s="30">
        <f t="shared" si="243"/>
        <v>8113834.7432390377</v>
      </c>
      <c r="GE76" s="30">
        <f t="shared" si="243"/>
        <v>8113834.7432390377</v>
      </c>
      <c r="GF76" s="30">
        <f t="shared" si="243"/>
        <v>8113834.7432390377</v>
      </c>
      <c r="GG76" s="30">
        <f t="shared" si="243"/>
        <v>8113834.7432390377</v>
      </c>
      <c r="GH76" s="30">
        <f t="shared" si="243"/>
        <v>8113834.7432390377</v>
      </c>
      <c r="GI76" s="30">
        <f t="shared" si="243"/>
        <v>8113834.7432390377</v>
      </c>
      <c r="GJ76" s="30">
        <f t="shared" si="243"/>
        <v>8113834.7432390377</v>
      </c>
      <c r="GK76" s="30">
        <f t="shared" si="243"/>
        <v>8113834.7432390377</v>
      </c>
      <c r="GL76" s="30">
        <f t="shared" si="243"/>
        <v>8113834.7432390377</v>
      </c>
      <c r="GM76" s="30">
        <f t="shared" si="243"/>
        <v>8113834.7432390377</v>
      </c>
      <c r="GN76" s="30">
        <f t="shared" si="243"/>
        <v>8113834.7432390377</v>
      </c>
      <c r="GO76" s="30">
        <f t="shared" si="243"/>
        <v>8113834.7432390377</v>
      </c>
      <c r="GP76" s="30">
        <f t="shared" si="243"/>
        <v>0</v>
      </c>
      <c r="GQ76" s="30">
        <f t="shared" si="243"/>
        <v>0</v>
      </c>
      <c r="GR76" s="30">
        <f t="shared" si="243"/>
        <v>0</v>
      </c>
      <c r="GS76" s="30">
        <f t="shared" si="243"/>
        <v>0</v>
      </c>
      <c r="GT76" s="30">
        <f t="shared" si="243"/>
        <v>0</v>
      </c>
      <c r="GU76" s="30">
        <f t="shared" si="243"/>
        <v>0</v>
      </c>
      <c r="GV76" s="30">
        <f t="shared" si="243"/>
        <v>0</v>
      </c>
      <c r="GW76" s="30">
        <f t="shared" si="243"/>
        <v>0</v>
      </c>
      <c r="GX76" s="30">
        <f t="shared" si="243"/>
        <v>0</v>
      </c>
      <c r="GY76" s="30">
        <f t="shared" si="243"/>
        <v>0</v>
      </c>
      <c r="GZ76" s="30">
        <f t="shared" si="243"/>
        <v>0</v>
      </c>
      <c r="HA76" s="30">
        <f t="shared" si="243"/>
        <v>0</v>
      </c>
      <c r="HB76" s="30">
        <f t="shared" si="243"/>
        <v>0</v>
      </c>
      <c r="HC76" s="30">
        <f t="shared" si="243"/>
        <v>0</v>
      </c>
      <c r="HD76" s="30">
        <f t="shared" si="243"/>
        <v>0</v>
      </c>
      <c r="HE76" s="30">
        <f t="shared" si="243"/>
        <v>0</v>
      </c>
      <c r="HF76" s="30">
        <f t="shared" si="243"/>
        <v>0</v>
      </c>
      <c r="HG76" s="30">
        <f t="shared" si="243"/>
        <v>0</v>
      </c>
      <c r="HH76" s="30">
        <f t="shared" si="243"/>
        <v>0</v>
      </c>
      <c r="HI76" s="30">
        <f t="shared" ref="HI76:JT76" si="244">HI69-HI75</f>
        <v>0</v>
      </c>
      <c r="HJ76" s="30">
        <f t="shared" si="244"/>
        <v>0</v>
      </c>
      <c r="HK76" s="30">
        <f t="shared" si="244"/>
        <v>0</v>
      </c>
      <c r="HL76" s="30">
        <f t="shared" si="244"/>
        <v>0</v>
      </c>
      <c r="HM76" s="30">
        <f t="shared" si="244"/>
        <v>0</v>
      </c>
      <c r="HN76" s="30">
        <f t="shared" si="244"/>
        <v>0</v>
      </c>
      <c r="HO76" s="30">
        <f t="shared" si="244"/>
        <v>0</v>
      </c>
      <c r="HP76" s="30">
        <f t="shared" si="244"/>
        <v>0</v>
      </c>
      <c r="HQ76" s="30">
        <f t="shared" si="244"/>
        <v>0</v>
      </c>
      <c r="HR76" s="30">
        <f t="shared" si="244"/>
        <v>0</v>
      </c>
      <c r="HS76" s="30">
        <f t="shared" si="244"/>
        <v>0</v>
      </c>
      <c r="HT76" s="30">
        <f t="shared" si="244"/>
        <v>0</v>
      </c>
      <c r="HU76" s="30">
        <f t="shared" si="244"/>
        <v>0</v>
      </c>
      <c r="HV76" s="30">
        <f t="shared" si="244"/>
        <v>0</v>
      </c>
      <c r="HW76" s="30">
        <f t="shared" si="244"/>
        <v>0</v>
      </c>
      <c r="HX76" s="30">
        <f t="shared" si="244"/>
        <v>0</v>
      </c>
      <c r="HY76" s="30">
        <f t="shared" si="244"/>
        <v>0</v>
      </c>
      <c r="HZ76" s="30">
        <f t="shared" si="244"/>
        <v>0</v>
      </c>
      <c r="IA76" s="30">
        <f t="shared" si="244"/>
        <v>0</v>
      </c>
      <c r="IB76" s="30">
        <f t="shared" si="244"/>
        <v>0</v>
      </c>
      <c r="IC76" s="30">
        <f t="shared" si="244"/>
        <v>0</v>
      </c>
      <c r="ID76" s="30">
        <f t="shared" si="244"/>
        <v>0</v>
      </c>
      <c r="IE76" s="30">
        <f t="shared" si="244"/>
        <v>0</v>
      </c>
      <c r="IF76" s="30">
        <f t="shared" si="244"/>
        <v>0</v>
      </c>
      <c r="IG76" s="30">
        <f t="shared" si="244"/>
        <v>0</v>
      </c>
      <c r="IH76" s="30">
        <f t="shared" si="244"/>
        <v>0</v>
      </c>
      <c r="II76" s="30">
        <f t="shared" si="244"/>
        <v>0</v>
      </c>
      <c r="IJ76" s="30">
        <f t="shared" si="244"/>
        <v>0</v>
      </c>
      <c r="IK76" s="30">
        <f t="shared" si="244"/>
        <v>0</v>
      </c>
      <c r="IL76" s="30">
        <f t="shared" si="244"/>
        <v>0</v>
      </c>
      <c r="IM76" s="30">
        <f t="shared" si="244"/>
        <v>0</v>
      </c>
      <c r="IN76" s="30">
        <f t="shared" si="244"/>
        <v>0</v>
      </c>
      <c r="IO76" s="30">
        <f t="shared" si="244"/>
        <v>0</v>
      </c>
      <c r="IP76" s="30">
        <f t="shared" si="244"/>
        <v>0</v>
      </c>
      <c r="IQ76" s="30">
        <f t="shared" si="244"/>
        <v>0</v>
      </c>
      <c r="IR76" s="30">
        <f t="shared" si="244"/>
        <v>0</v>
      </c>
      <c r="IS76" s="30">
        <f t="shared" si="244"/>
        <v>0</v>
      </c>
      <c r="IT76" s="30">
        <f t="shared" si="244"/>
        <v>0</v>
      </c>
      <c r="IU76" s="30">
        <f t="shared" si="244"/>
        <v>0</v>
      </c>
      <c r="IV76" s="30">
        <f t="shared" si="244"/>
        <v>0</v>
      </c>
      <c r="IW76" s="30">
        <f t="shared" si="244"/>
        <v>0</v>
      </c>
      <c r="IX76" s="30">
        <f t="shared" si="244"/>
        <v>0</v>
      </c>
      <c r="IY76" s="30">
        <f t="shared" si="244"/>
        <v>0</v>
      </c>
      <c r="IZ76" s="30">
        <f t="shared" si="244"/>
        <v>0</v>
      </c>
      <c r="JA76" s="30">
        <f t="shared" si="244"/>
        <v>0</v>
      </c>
      <c r="JB76" s="30">
        <f t="shared" si="244"/>
        <v>0</v>
      </c>
      <c r="JC76" s="30">
        <f t="shared" si="244"/>
        <v>0</v>
      </c>
      <c r="JD76" s="30">
        <f t="shared" si="244"/>
        <v>0</v>
      </c>
      <c r="JE76" s="30">
        <f t="shared" si="244"/>
        <v>0</v>
      </c>
      <c r="JF76" s="30">
        <f t="shared" si="244"/>
        <v>0</v>
      </c>
      <c r="JG76" s="30">
        <f t="shared" si="244"/>
        <v>0</v>
      </c>
      <c r="JH76" s="30">
        <f t="shared" si="244"/>
        <v>0</v>
      </c>
      <c r="JI76" s="30">
        <f t="shared" si="244"/>
        <v>0</v>
      </c>
      <c r="JJ76" s="30">
        <f t="shared" si="244"/>
        <v>0</v>
      </c>
      <c r="JK76" s="30">
        <f t="shared" si="244"/>
        <v>0</v>
      </c>
      <c r="JL76" s="30">
        <f t="shared" si="244"/>
        <v>0</v>
      </c>
      <c r="JM76" s="30">
        <f t="shared" si="244"/>
        <v>0</v>
      </c>
      <c r="JN76" s="30">
        <f t="shared" si="244"/>
        <v>0</v>
      </c>
      <c r="JO76" s="30">
        <f t="shared" si="244"/>
        <v>0</v>
      </c>
      <c r="JP76" s="30">
        <f t="shared" si="244"/>
        <v>0</v>
      </c>
      <c r="JQ76" s="30">
        <f t="shared" si="244"/>
        <v>0</v>
      </c>
      <c r="JR76" s="30">
        <f t="shared" si="244"/>
        <v>0</v>
      </c>
      <c r="JS76" s="30">
        <f t="shared" si="244"/>
        <v>0</v>
      </c>
      <c r="JT76" s="30">
        <f t="shared" si="244"/>
        <v>0</v>
      </c>
      <c r="JU76" s="30">
        <f t="shared" ref="JU76:JX76" si="245">JU69-JU75</f>
        <v>0</v>
      </c>
      <c r="JV76" s="30">
        <f t="shared" si="245"/>
        <v>0</v>
      </c>
      <c r="JW76" s="30">
        <f t="shared" si="245"/>
        <v>0</v>
      </c>
      <c r="JX76" s="30">
        <f t="shared" si="245"/>
        <v>0</v>
      </c>
    </row>
    <row r="77" spans="1:284" s="58" customFormat="1" ht="0.6" customHeight="1" x14ac:dyDescent="0.2">
      <c r="A77" s="409"/>
      <c r="B77" s="128" t="s">
        <v>608</v>
      </c>
      <c r="C77" s="148">
        <f ca="1">+I77/Valuation_Trended</f>
        <v>0.66355847062782947</v>
      </c>
      <c r="D77" s="148">
        <f>+I77/Project_Cost_Total</f>
        <v>0.7575757793855683</v>
      </c>
      <c r="E77" s="130">
        <f>Interest_Const_Loan</f>
        <v>0.05</v>
      </c>
      <c r="F77" s="397" t="s">
        <v>628</v>
      </c>
      <c r="G77" s="447">
        <v>30</v>
      </c>
      <c r="H77" s="123">
        <f>IF(F77="Yes",I77*E77,PMT(E77/12,G77*12,-I77)*12)</f>
        <v>2217759.9935884532</v>
      </c>
      <c r="I77" s="124">
        <f>+I71/(1-H78)</f>
        <v>44355199.871769063</v>
      </c>
      <c r="K77" s="565"/>
      <c r="L77" s="52">
        <f>+L3</f>
        <v>0</v>
      </c>
      <c r="M77" s="52">
        <f t="shared" ref="M77:BX77" si="246">+M3</f>
        <v>1</v>
      </c>
      <c r="N77" s="52">
        <f t="shared" si="246"/>
        <v>2</v>
      </c>
      <c r="O77" s="52">
        <f t="shared" si="246"/>
        <v>3</v>
      </c>
      <c r="P77" s="52">
        <f t="shared" si="246"/>
        <v>4</v>
      </c>
      <c r="Q77" s="52">
        <f t="shared" si="246"/>
        <v>5</v>
      </c>
      <c r="R77" s="52">
        <f t="shared" si="246"/>
        <v>6</v>
      </c>
      <c r="S77" s="52">
        <f t="shared" si="246"/>
        <v>7</v>
      </c>
      <c r="T77" s="52">
        <f t="shared" si="246"/>
        <v>8</v>
      </c>
      <c r="U77" s="52">
        <f t="shared" si="246"/>
        <v>9</v>
      </c>
      <c r="V77" s="52">
        <f t="shared" si="246"/>
        <v>10</v>
      </c>
      <c r="W77" s="52">
        <f t="shared" si="246"/>
        <v>11</v>
      </c>
      <c r="X77" s="52">
        <f t="shared" si="246"/>
        <v>12</v>
      </c>
      <c r="Y77" s="52">
        <f t="shared" si="246"/>
        <v>13</v>
      </c>
      <c r="Z77" s="52">
        <f t="shared" si="246"/>
        <v>14</v>
      </c>
      <c r="AA77" s="52">
        <f t="shared" si="246"/>
        <v>15</v>
      </c>
      <c r="AB77" s="52">
        <f t="shared" si="246"/>
        <v>16</v>
      </c>
      <c r="AC77" s="52">
        <f t="shared" si="246"/>
        <v>17</v>
      </c>
      <c r="AD77" s="52">
        <f t="shared" si="246"/>
        <v>18</v>
      </c>
      <c r="AE77" s="52">
        <f t="shared" si="246"/>
        <v>19</v>
      </c>
      <c r="AF77" s="52">
        <f t="shared" si="246"/>
        <v>20</v>
      </c>
      <c r="AG77" s="52">
        <f t="shared" si="246"/>
        <v>21</v>
      </c>
      <c r="AH77" s="52">
        <f t="shared" si="246"/>
        <v>22</v>
      </c>
      <c r="AI77" s="52">
        <f t="shared" si="246"/>
        <v>23</v>
      </c>
      <c r="AJ77" s="52">
        <f t="shared" si="246"/>
        <v>24</v>
      </c>
      <c r="AK77" s="52">
        <f t="shared" si="246"/>
        <v>25</v>
      </c>
      <c r="AL77" s="52">
        <f t="shared" si="246"/>
        <v>26</v>
      </c>
      <c r="AM77" s="52">
        <f t="shared" si="246"/>
        <v>27</v>
      </c>
      <c r="AN77" s="52">
        <f t="shared" si="246"/>
        <v>28</v>
      </c>
      <c r="AO77" s="52">
        <f t="shared" si="246"/>
        <v>29</v>
      </c>
      <c r="AP77" s="52">
        <f t="shared" si="246"/>
        <v>30</v>
      </c>
      <c r="AQ77" s="52">
        <f t="shared" si="246"/>
        <v>31</v>
      </c>
      <c r="AR77" s="52">
        <f t="shared" si="246"/>
        <v>32</v>
      </c>
      <c r="AS77" s="52">
        <f t="shared" si="246"/>
        <v>33</v>
      </c>
      <c r="AT77" s="52">
        <f t="shared" si="246"/>
        <v>34</v>
      </c>
      <c r="AU77" s="52">
        <f t="shared" si="246"/>
        <v>35</v>
      </c>
      <c r="AV77" s="52">
        <f t="shared" si="246"/>
        <v>36</v>
      </c>
      <c r="AW77" s="52">
        <f t="shared" si="246"/>
        <v>37</v>
      </c>
      <c r="AX77" s="52">
        <f t="shared" si="246"/>
        <v>38</v>
      </c>
      <c r="AY77" s="52">
        <f t="shared" si="246"/>
        <v>39</v>
      </c>
      <c r="AZ77" s="52">
        <f t="shared" si="246"/>
        <v>40</v>
      </c>
      <c r="BA77" s="52">
        <f t="shared" si="246"/>
        <v>41</v>
      </c>
      <c r="BB77" s="52">
        <f t="shared" si="246"/>
        <v>42</v>
      </c>
      <c r="BC77" s="52">
        <f t="shared" si="246"/>
        <v>43</v>
      </c>
      <c r="BD77" s="52">
        <f t="shared" si="246"/>
        <v>44</v>
      </c>
      <c r="BE77" s="52">
        <f t="shared" si="246"/>
        <v>45</v>
      </c>
      <c r="BF77" s="52">
        <f t="shared" si="246"/>
        <v>46</v>
      </c>
      <c r="BG77" s="52">
        <f t="shared" si="246"/>
        <v>47</v>
      </c>
      <c r="BH77" s="52">
        <f t="shared" si="246"/>
        <v>48</v>
      </c>
      <c r="BI77" s="52">
        <f t="shared" si="246"/>
        <v>49</v>
      </c>
      <c r="BJ77" s="52">
        <f t="shared" si="246"/>
        <v>50</v>
      </c>
      <c r="BK77" s="52">
        <f t="shared" si="246"/>
        <v>51</v>
      </c>
      <c r="BL77" s="52">
        <f t="shared" si="246"/>
        <v>52</v>
      </c>
      <c r="BM77" s="52">
        <f t="shared" si="246"/>
        <v>53</v>
      </c>
      <c r="BN77" s="52">
        <f t="shared" si="246"/>
        <v>54</v>
      </c>
      <c r="BO77" s="52">
        <f t="shared" si="246"/>
        <v>55</v>
      </c>
      <c r="BP77" s="52">
        <f t="shared" si="246"/>
        <v>56</v>
      </c>
      <c r="BQ77" s="52">
        <f t="shared" si="246"/>
        <v>57</v>
      </c>
      <c r="BR77" s="52">
        <f t="shared" si="246"/>
        <v>58</v>
      </c>
      <c r="BS77" s="52">
        <f t="shared" si="246"/>
        <v>59</v>
      </c>
      <c r="BT77" s="52">
        <f t="shared" si="246"/>
        <v>60</v>
      </c>
      <c r="BU77" s="52">
        <f t="shared" si="246"/>
        <v>61</v>
      </c>
      <c r="BV77" s="52">
        <f t="shared" si="246"/>
        <v>62</v>
      </c>
      <c r="BW77" s="52">
        <f t="shared" si="246"/>
        <v>63</v>
      </c>
      <c r="BX77" s="52">
        <f t="shared" si="246"/>
        <v>64</v>
      </c>
      <c r="BY77" s="52">
        <f t="shared" ref="BY77:EJ77" si="247">+BY3</f>
        <v>65</v>
      </c>
      <c r="BZ77" s="52">
        <f t="shared" si="247"/>
        <v>66</v>
      </c>
      <c r="CA77" s="52">
        <f t="shared" si="247"/>
        <v>67</v>
      </c>
      <c r="CB77" s="52">
        <f t="shared" si="247"/>
        <v>68</v>
      </c>
      <c r="CC77" s="52">
        <f t="shared" si="247"/>
        <v>69</v>
      </c>
      <c r="CD77" s="52">
        <f t="shared" si="247"/>
        <v>70</v>
      </c>
      <c r="CE77" s="52">
        <f t="shared" si="247"/>
        <v>71</v>
      </c>
      <c r="CF77" s="52">
        <f t="shared" si="247"/>
        <v>72</v>
      </c>
      <c r="CG77" s="52">
        <f t="shared" si="247"/>
        <v>73</v>
      </c>
      <c r="CH77" s="52">
        <f t="shared" si="247"/>
        <v>74</v>
      </c>
      <c r="CI77" s="52">
        <f t="shared" si="247"/>
        <v>75</v>
      </c>
      <c r="CJ77" s="52">
        <f t="shared" si="247"/>
        <v>76</v>
      </c>
      <c r="CK77" s="52">
        <f t="shared" si="247"/>
        <v>77</v>
      </c>
      <c r="CL77" s="52">
        <f t="shared" si="247"/>
        <v>78</v>
      </c>
      <c r="CM77" s="52">
        <f t="shared" si="247"/>
        <v>79</v>
      </c>
      <c r="CN77" s="52">
        <f t="shared" si="247"/>
        <v>80</v>
      </c>
      <c r="CO77" s="52">
        <f t="shared" si="247"/>
        <v>81</v>
      </c>
      <c r="CP77" s="52">
        <f t="shared" si="247"/>
        <v>82</v>
      </c>
      <c r="CQ77" s="52">
        <f t="shared" si="247"/>
        <v>83</v>
      </c>
      <c r="CR77" s="52">
        <f t="shared" si="247"/>
        <v>84</v>
      </c>
      <c r="CS77" s="52">
        <f t="shared" si="247"/>
        <v>85</v>
      </c>
      <c r="CT77" s="52">
        <f t="shared" si="247"/>
        <v>86</v>
      </c>
      <c r="CU77" s="52">
        <f t="shared" si="247"/>
        <v>87</v>
      </c>
      <c r="CV77" s="52">
        <f t="shared" si="247"/>
        <v>88</v>
      </c>
      <c r="CW77" s="52">
        <f t="shared" si="247"/>
        <v>89</v>
      </c>
      <c r="CX77" s="52">
        <f t="shared" si="247"/>
        <v>90</v>
      </c>
      <c r="CY77" s="52">
        <f t="shared" si="247"/>
        <v>91</v>
      </c>
      <c r="CZ77" s="52">
        <f t="shared" si="247"/>
        <v>92</v>
      </c>
      <c r="DA77" s="52">
        <f t="shared" si="247"/>
        <v>93</v>
      </c>
      <c r="DB77" s="52">
        <f t="shared" si="247"/>
        <v>94</v>
      </c>
      <c r="DC77" s="52">
        <f t="shared" si="247"/>
        <v>95</v>
      </c>
      <c r="DD77" s="52">
        <f t="shared" si="247"/>
        <v>96</v>
      </c>
      <c r="DE77" s="52">
        <f t="shared" si="247"/>
        <v>97</v>
      </c>
      <c r="DF77" s="52">
        <f t="shared" si="247"/>
        <v>98</v>
      </c>
      <c r="DG77" s="52">
        <f t="shared" si="247"/>
        <v>99</v>
      </c>
      <c r="DH77" s="52">
        <f t="shared" si="247"/>
        <v>100</v>
      </c>
      <c r="DI77" s="52">
        <f t="shared" si="247"/>
        <v>101</v>
      </c>
      <c r="DJ77" s="52">
        <f t="shared" si="247"/>
        <v>102</v>
      </c>
      <c r="DK77" s="52">
        <f t="shared" si="247"/>
        <v>103</v>
      </c>
      <c r="DL77" s="52">
        <f t="shared" si="247"/>
        <v>104</v>
      </c>
      <c r="DM77" s="52">
        <f t="shared" si="247"/>
        <v>105</v>
      </c>
      <c r="DN77" s="52">
        <f t="shared" si="247"/>
        <v>106</v>
      </c>
      <c r="DO77" s="52">
        <f t="shared" si="247"/>
        <v>107</v>
      </c>
      <c r="DP77" s="52">
        <f t="shared" si="247"/>
        <v>108</v>
      </c>
      <c r="DQ77" s="52">
        <f t="shared" si="247"/>
        <v>109</v>
      </c>
      <c r="DR77" s="52">
        <f t="shared" si="247"/>
        <v>110</v>
      </c>
      <c r="DS77" s="52">
        <f t="shared" si="247"/>
        <v>111</v>
      </c>
      <c r="DT77" s="52">
        <f t="shared" si="247"/>
        <v>112</v>
      </c>
      <c r="DU77" s="52">
        <f t="shared" si="247"/>
        <v>113</v>
      </c>
      <c r="DV77" s="52">
        <f t="shared" si="247"/>
        <v>114</v>
      </c>
      <c r="DW77" s="52">
        <f t="shared" si="247"/>
        <v>115</v>
      </c>
      <c r="DX77" s="52">
        <f t="shared" si="247"/>
        <v>116</v>
      </c>
      <c r="DY77" s="52">
        <f t="shared" si="247"/>
        <v>117</v>
      </c>
      <c r="DZ77" s="52">
        <f t="shared" si="247"/>
        <v>118</v>
      </c>
      <c r="EA77" s="52">
        <f t="shared" si="247"/>
        <v>119</v>
      </c>
      <c r="EB77" s="52">
        <f t="shared" si="247"/>
        <v>120</v>
      </c>
      <c r="EC77" s="52">
        <f t="shared" si="247"/>
        <v>121</v>
      </c>
      <c r="ED77" s="52">
        <f t="shared" si="247"/>
        <v>122</v>
      </c>
      <c r="EE77" s="52">
        <f t="shared" si="247"/>
        <v>123</v>
      </c>
      <c r="EF77" s="52">
        <f t="shared" si="247"/>
        <v>124</v>
      </c>
      <c r="EG77" s="52">
        <f t="shared" si="247"/>
        <v>125</v>
      </c>
      <c r="EH77" s="52">
        <f t="shared" si="247"/>
        <v>126</v>
      </c>
      <c r="EI77" s="52">
        <f t="shared" si="247"/>
        <v>127</v>
      </c>
      <c r="EJ77" s="52">
        <f t="shared" si="247"/>
        <v>128</v>
      </c>
      <c r="EK77" s="52">
        <f t="shared" ref="EK77:EN77" si="248">+EK3</f>
        <v>129</v>
      </c>
      <c r="EL77" s="52">
        <f t="shared" si="248"/>
        <v>130</v>
      </c>
      <c r="EM77" s="52">
        <f t="shared" si="248"/>
        <v>131</v>
      </c>
      <c r="EN77" s="52">
        <f t="shared" si="248"/>
        <v>132</v>
      </c>
      <c r="EP77" s="24" t="s">
        <v>683</v>
      </c>
      <c r="EQ77" s="24"/>
      <c r="ER77" s="24"/>
      <c r="ES77" s="24"/>
      <c r="ET77" s="24"/>
      <c r="EU77" s="33"/>
      <c r="EV77" s="587">
        <f>IFERROR(EV75/EV53,0)</f>
        <v>0</v>
      </c>
      <c r="EW77" s="59">
        <f>IFERROR((EW75-EV75)/EW53,0)</f>
        <v>0</v>
      </c>
      <c r="EX77" s="59">
        <f t="shared" ref="EX77:HI77" si="249">IFERROR((EX75-EW75)/EX53,0)</f>
        <v>0</v>
      </c>
      <c r="EY77" s="59">
        <f t="shared" si="249"/>
        <v>0</v>
      </c>
      <c r="EZ77" s="59">
        <f t="shared" si="249"/>
        <v>0</v>
      </c>
      <c r="FA77" s="59">
        <f t="shared" si="249"/>
        <v>0</v>
      </c>
      <c r="FB77" s="59">
        <f t="shared" si="249"/>
        <v>0</v>
      </c>
      <c r="FC77" s="59">
        <f t="shared" si="249"/>
        <v>1</v>
      </c>
      <c r="FD77" s="59">
        <f t="shared" si="249"/>
        <v>1</v>
      </c>
      <c r="FE77" s="59">
        <f t="shared" si="249"/>
        <v>1</v>
      </c>
      <c r="FF77" s="59">
        <f t="shared" si="249"/>
        <v>1</v>
      </c>
      <c r="FG77" s="59">
        <f t="shared" si="249"/>
        <v>1.0000000000000002</v>
      </c>
      <c r="FH77" s="59">
        <f t="shared" si="249"/>
        <v>0.99999999999999956</v>
      </c>
      <c r="FI77" s="59">
        <f t="shared" si="249"/>
        <v>0.29813963384424569</v>
      </c>
      <c r="FJ77" s="59">
        <f t="shared" si="249"/>
        <v>0</v>
      </c>
      <c r="FK77" s="59">
        <f t="shared" si="249"/>
        <v>0</v>
      </c>
      <c r="FL77" s="59">
        <f t="shared" si="249"/>
        <v>0</v>
      </c>
      <c r="FM77" s="59">
        <f t="shared" si="249"/>
        <v>0</v>
      </c>
      <c r="FN77" s="59">
        <f t="shared" si="249"/>
        <v>0</v>
      </c>
      <c r="FO77" s="59">
        <f t="shared" si="249"/>
        <v>0</v>
      </c>
      <c r="FP77" s="59">
        <f t="shared" si="249"/>
        <v>0</v>
      </c>
      <c r="FQ77" s="59">
        <f t="shared" si="249"/>
        <v>0</v>
      </c>
      <c r="FR77" s="59">
        <f t="shared" si="249"/>
        <v>0</v>
      </c>
      <c r="FS77" s="59">
        <f t="shared" si="249"/>
        <v>0</v>
      </c>
      <c r="FT77" s="59">
        <f t="shared" si="249"/>
        <v>0</v>
      </c>
      <c r="FU77" s="59">
        <f t="shared" si="249"/>
        <v>0</v>
      </c>
      <c r="FV77" s="59">
        <f t="shared" si="249"/>
        <v>0</v>
      </c>
      <c r="FW77" s="59">
        <f t="shared" si="249"/>
        <v>0</v>
      </c>
      <c r="FX77" s="59">
        <f t="shared" si="249"/>
        <v>0</v>
      </c>
      <c r="FY77" s="59">
        <f t="shared" si="249"/>
        <v>0</v>
      </c>
      <c r="FZ77" s="59">
        <f t="shared" si="249"/>
        <v>0</v>
      </c>
      <c r="GA77" s="59">
        <f t="shared" si="249"/>
        <v>0</v>
      </c>
      <c r="GB77" s="59">
        <f t="shared" si="249"/>
        <v>0</v>
      </c>
      <c r="GC77" s="59">
        <f t="shared" si="249"/>
        <v>0</v>
      </c>
      <c r="GD77" s="59">
        <f t="shared" si="249"/>
        <v>0</v>
      </c>
      <c r="GE77" s="59">
        <f t="shared" si="249"/>
        <v>0</v>
      </c>
      <c r="GF77" s="59">
        <f t="shared" si="249"/>
        <v>0</v>
      </c>
      <c r="GG77" s="59">
        <f t="shared" si="249"/>
        <v>0</v>
      </c>
      <c r="GH77" s="59">
        <f t="shared" si="249"/>
        <v>0</v>
      </c>
      <c r="GI77" s="59">
        <f t="shared" si="249"/>
        <v>0</v>
      </c>
      <c r="GJ77" s="59">
        <f t="shared" si="249"/>
        <v>0</v>
      </c>
      <c r="GK77" s="59">
        <f t="shared" si="249"/>
        <v>0</v>
      </c>
      <c r="GL77" s="59">
        <f t="shared" si="249"/>
        <v>0</v>
      </c>
      <c r="GM77" s="59">
        <f t="shared" si="249"/>
        <v>0</v>
      </c>
      <c r="GN77" s="59">
        <f t="shared" si="249"/>
        <v>0</v>
      </c>
      <c r="GO77" s="59">
        <f t="shared" si="249"/>
        <v>0</v>
      </c>
      <c r="GP77" s="59">
        <f t="shared" si="249"/>
        <v>0</v>
      </c>
      <c r="GQ77" s="59">
        <f t="shared" si="249"/>
        <v>0</v>
      </c>
      <c r="GR77" s="59">
        <f t="shared" si="249"/>
        <v>0</v>
      </c>
      <c r="GS77" s="59">
        <f t="shared" si="249"/>
        <v>0</v>
      </c>
      <c r="GT77" s="59">
        <f t="shared" si="249"/>
        <v>0</v>
      </c>
      <c r="GU77" s="59">
        <f t="shared" si="249"/>
        <v>0</v>
      </c>
      <c r="GV77" s="59">
        <f t="shared" si="249"/>
        <v>0</v>
      </c>
      <c r="GW77" s="59">
        <f t="shared" si="249"/>
        <v>0</v>
      </c>
      <c r="GX77" s="59">
        <f t="shared" si="249"/>
        <v>0</v>
      </c>
      <c r="GY77" s="59">
        <f t="shared" si="249"/>
        <v>0</v>
      </c>
      <c r="GZ77" s="59">
        <f t="shared" si="249"/>
        <v>0</v>
      </c>
      <c r="HA77" s="59">
        <f t="shared" si="249"/>
        <v>0</v>
      </c>
      <c r="HB77" s="59">
        <f t="shared" si="249"/>
        <v>0</v>
      </c>
      <c r="HC77" s="59">
        <f t="shared" si="249"/>
        <v>0</v>
      </c>
      <c r="HD77" s="59">
        <f t="shared" si="249"/>
        <v>0</v>
      </c>
      <c r="HE77" s="59">
        <f t="shared" si="249"/>
        <v>0</v>
      </c>
      <c r="HF77" s="59">
        <f t="shared" si="249"/>
        <v>0</v>
      </c>
      <c r="HG77" s="59">
        <f t="shared" si="249"/>
        <v>0</v>
      </c>
      <c r="HH77" s="59">
        <f t="shared" si="249"/>
        <v>0</v>
      </c>
      <c r="HI77" s="59">
        <f t="shared" si="249"/>
        <v>0</v>
      </c>
      <c r="HJ77" s="59">
        <f t="shared" ref="HJ77:JU77" si="250">IFERROR((HJ75-HI75)/HJ53,0)</f>
        <v>0</v>
      </c>
      <c r="HK77" s="59">
        <f t="shared" si="250"/>
        <v>0</v>
      </c>
      <c r="HL77" s="59">
        <f t="shared" si="250"/>
        <v>0</v>
      </c>
      <c r="HM77" s="59">
        <f t="shared" si="250"/>
        <v>0</v>
      </c>
      <c r="HN77" s="59">
        <f t="shared" si="250"/>
        <v>0</v>
      </c>
      <c r="HO77" s="59">
        <f t="shared" si="250"/>
        <v>0</v>
      </c>
      <c r="HP77" s="59">
        <f t="shared" si="250"/>
        <v>0</v>
      </c>
      <c r="HQ77" s="59">
        <f t="shared" si="250"/>
        <v>0</v>
      </c>
      <c r="HR77" s="59">
        <f t="shared" si="250"/>
        <v>0</v>
      </c>
      <c r="HS77" s="59">
        <f t="shared" si="250"/>
        <v>0</v>
      </c>
      <c r="HT77" s="59">
        <f t="shared" si="250"/>
        <v>0</v>
      </c>
      <c r="HU77" s="59">
        <f t="shared" si="250"/>
        <v>0</v>
      </c>
      <c r="HV77" s="59">
        <f t="shared" si="250"/>
        <v>0</v>
      </c>
      <c r="HW77" s="59">
        <f t="shared" si="250"/>
        <v>0</v>
      </c>
      <c r="HX77" s="59">
        <f t="shared" si="250"/>
        <v>0</v>
      </c>
      <c r="HY77" s="59">
        <f t="shared" si="250"/>
        <v>0</v>
      </c>
      <c r="HZ77" s="59">
        <f t="shared" si="250"/>
        <v>0</v>
      </c>
      <c r="IA77" s="59">
        <f t="shared" si="250"/>
        <v>0</v>
      </c>
      <c r="IB77" s="59">
        <f t="shared" si="250"/>
        <v>0</v>
      </c>
      <c r="IC77" s="59">
        <f t="shared" si="250"/>
        <v>0</v>
      </c>
      <c r="ID77" s="59">
        <f t="shared" si="250"/>
        <v>0</v>
      </c>
      <c r="IE77" s="59">
        <f t="shared" si="250"/>
        <v>0</v>
      </c>
      <c r="IF77" s="59">
        <f t="shared" si="250"/>
        <v>0</v>
      </c>
      <c r="IG77" s="59">
        <f t="shared" si="250"/>
        <v>0</v>
      </c>
      <c r="IH77" s="59">
        <f t="shared" si="250"/>
        <v>0</v>
      </c>
      <c r="II77" s="59">
        <f t="shared" si="250"/>
        <v>0</v>
      </c>
      <c r="IJ77" s="59">
        <f t="shared" si="250"/>
        <v>0</v>
      </c>
      <c r="IK77" s="59">
        <f t="shared" si="250"/>
        <v>0</v>
      </c>
      <c r="IL77" s="59">
        <f t="shared" si="250"/>
        <v>0</v>
      </c>
      <c r="IM77" s="59">
        <f t="shared" si="250"/>
        <v>0</v>
      </c>
      <c r="IN77" s="59">
        <f t="shared" si="250"/>
        <v>0</v>
      </c>
      <c r="IO77" s="59">
        <f t="shared" si="250"/>
        <v>0</v>
      </c>
      <c r="IP77" s="59">
        <f t="shared" si="250"/>
        <v>0</v>
      </c>
      <c r="IQ77" s="59">
        <f t="shared" si="250"/>
        <v>0</v>
      </c>
      <c r="IR77" s="59">
        <f t="shared" si="250"/>
        <v>0</v>
      </c>
      <c r="IS77" s="59">
        <f t="shared" si="250"/>
        <v>0</v>
      </c>
      <c r="IT77" s="59">
        <f t="shared" si="250"/>
        <v>0</v>
      </c>
      <c r="IU77" s="59">
        <f t="shared" si="250"/>
        <v>0</v>
      </c>
      <c r="IV77" s="59">
        <f t="shared" si="250"/>
        <v>0</v>
      </c>
      <c r="IW77" s="59">
        <f t="shared" si="250"/>
        <v>0</v>
      </c>
      <c r="IX77" s="59">
        <f t="shared" si="250"/>
        <v>0</v>
      </c>
      <c r="IY77" s="59">
        <f t="shared" si="250"/>
        <v>0</v>
      </c>
      <c r="IZ77" s="59">
        <f t="shared" si="250"/>
        <v>0</v>
      </c>
      <c r="JA77" s="59">
        <f t="shared" si="250"/>
        <v>0</v>
      </c>
      <c r="JB77" s="59">
        <f t="shared" si="250"/>
        <v>0</v>
      </c>
      <c r="JC77" s="59">
        <f t="shared" si="250"/>
        <v>0</v>
      </c>
      <c r="JD77" s="59">
        <f t="shared" si="250"/>
        <v>0</v>
      </c>
      <c r="JE77" s="59">
        <f t="shared" si="250"/>
        <v>0</v>
      </c>
      <c r="JF77" s="59">
        <f t="shared" si="250"/>
        <v>0</v>
      </c>
      <c r="JG77" s="59">
        <f t="shared" si="250"/>
        <v>0</v>
      </c>
      <c r="JH77" s="59">
        <f t="shared" si="250"/>
        <v>0</v>
      </c>
      <c r="JI77" s="59">
        <f t="shared" si="250"/>
        <v>0</v>
      </c>
      <c r="JJ77" s="59">
        <f t="shared" si="250"/>
        <v>0</v>
      </c>
      <c r="JK77" s="59">
        <f t="shared" si="250"/>
        <v>0</v>
      </c>
      <c r="JL77" s="59">
        <f t="shared" si="250"/>
        <v>0</v>
      </c>
      <c r="JM77" s="59">
        <f t="shared" si="250"/>
        <v>0</v>
      </c>
      <c r="JN77" s="59">
        <f t="shared" si="250"/>
        <v>0</v>
      </c>
      <c r="JO77" s="59">
        <f t="shared" si="250"/>
        <v>0</v>
      </c>
      <c r="JP77" s="59">
        <f t="shared" si="250"/>
        <v>0</v>
      </c>
      <c r="JQ77" s="59">
        <f t="shared" si="250"/>
        <v>0</v>
      </c>
      <c r="JR77" s="59">
        <f t="shared" si="250"/>
        <v>0</v>
      </c>
      <c r="JS77" s="59">
        <f t="shared" si="250"/>
        <v>0</v>
      </c>
      <c r="JT77" s="59">
        <f t="shared" si="250"/>
        <v>0</v>
      </c>
      <c r="JU77" s="59">
        <f t="shared" si="250"/>
        <v>0</v>
      </c>
      <c r="JV77" s="59">
        <f t="shared" ref="JV77:JX77" si="251">IFERROR((JV75-JU75)/JV53,0)</f>
        <v>0</v>
      </c>
      <c r="JW77" s="59">
        <f t="shared" si="251"/>
        <v>0</v>
      </c>
      <c r="JX77" s="59">
        <f t="shared" si="251"/>
        <v>0</v>
      </c>
    </row>
    <row r="78" spans="1:284" s="58" customFormat="1" ht="0.6" customHeight="1" x14ac:dyDescent="0.2">
      <c r="A78" s="409"/>
      <c r="B78" s="141" t="s">
        <v>619</v>
      </c>
      <c r="C78" s="132">
        <f>Stabilization_1st_Month</f>
        <v>33</v>
      </c>
      <c r="D78" s="159"/>
      <c r="E78" s="159"/>
      <c r="F78" s="160"/>
      <c r="G78" s="148" t="s">
        <v>696</v>
      </c>
      <c r="H78" s="601">
        <v>0.01</v>
      </c>
      <c r="I78" s="123">
        <f>-H78*I77</f>
        <v>-443551.99871769064</v>
      </c>
      <c r="L78" s="38">
        <f t="shared" ref="L78:AQ78" si="252">(PermDebt_Fund=L3)*Perm_Debt?*$I77*(1-$H$78)</f>
        <v>0</v>
      </c>
      <c r="M78" s="38">
        <f t="shared" si="252"/>
        <v>0</v>
      </c>
      <c r="N78" s="38">
        <f t="shared" si="252"/>
        <v>0</v>
      </c>
      <c r="O78" s="38">
        <f t="shared" si="252"/>
        <v>0</v>
      </c>
      <c r="P78" s="38">
        <f t="shared" si="252"/>
        <v>0</v>
      </c>
      <c r="Q78" s="38">
        <f t="shared" si="252"/>
        <v>0</v>
      </c>
      <c r="R78" s="38">
        <f t="shared" si="252"/>
        <v>0</v>
      </c>
      <c r="S78" s="38">
        <f t="shared" si="252"/>
        <v>0</v>
      </c>
      <c r="T78" s="38">
        <f t="shared" si="252"/>
        <v>0</v>
      </c>
      <c r="U78" s="38">
        <f t="shared" si="252"/>
        <v>0</v>
      </c>
      <c r="V78" s="38">
        <f t="shared" si="252"/>
        <v>0</v>
      </c>
      <c r="W78" s="38">
        <f t="shared" si="252"/>
        <v>0</v>
      </c>
      <c r="X78" s="38">
        <f t="shared" si="252"/>
        <v>0</v>
      </c>
      <c r="Y78" s="38">
        <f t="shared" si="252"/>
        <v>0</v>
      </c>
      <c r="Z78" s="38">
        <f t="shared" si="252"/>
        <v>0</v>
      </c>
      <c r="AA78" s="38">
        <f t="shared" si="252"/>
        <v>0</v>
      </c>
      <c r="AB78" s="38">
        <f t="shared" si="252"/>
        <v>0</v>
      </c>
      <c r="AC78" s="38">
        <f t="shared" si="252"/>
        <v>0</v>
      </c>
      <c r="AD78" s="38">
        <f t="shared" si="252"/>
        <v>0</v>
      </c>
      <c r="AE78" s="38">
        <f t="shared" si="252"/>
        <v>0</v>
      </c>
      <c r="AF78" s="38">
        <f t="shared" si="252"/>
        <v>0</v>
      </c>
      <c r="AG78" s="38">
        <f t="shared" si="252"/>
        <v>0</v>
      </c>
      <c r="AH78" s="38">
        <f t="shared" si="252"/>
        <v>0</v>
      </c>
      <c r="AI78" s="38">
        <f t="shared" si="252"/>
        <v>0</v>
      </c>
      <c r="AJ78" s="38">
        <f t="shared" si="252"/>
        <v>0</v>
      </c>
      <c r="AK78" s="38">
        <f t="shared" si="252"/>
        <v>0</v>
      </c>
      <c r="AL78" s="38">
        <f t="shared" si="252"/>
        <v>0</v>
      </c>
      <c r="AM78" s="38">
        <f t="shared" si="252"/>
        <v>0</v>
      </c>
      <c r="AN78" s="38">
        <f t="shared" si="252"/>
        <v>0</v>
      </c>
      <c r="AO78" s="38">
        <f t="shared" si="252"/>
        <v>0</v>
      </c>
      <c r="AP78" s="38">
        <f t="shared" si="252"/>
        <v>0</v>
      </c>
      <c r="AQ78" s="38">
        <f t="shared" si="252"/>
        <v>0</v>
      </c>
      <c r="AR78" s="38">
        <f t="shared" ref="AR78:BW78" si="253">(PermDebt_Fund=AR3)*Perm_Debt?*$I77*(1-$H$78)</f>
        <v>0</v>
      </c>
      <c r="AS78" s="38">
        <f t="shared" si="253"/>
        <v>0</v>
      </c>
      <c r="AT78" s="38">
        <f t="shared" si="253"/>
        <v>0</v>
      </c>
      <c r="AU78" s="38">
        <f t="shared" si="253"/>
        <v>0</v>
      </c>
      <c r="AV78" s="38">
        <f t="shared" si="253"/>
        <v>0</v>
      </c>
      <c r="AW78" s="38">
        <f t="shared" si="253"/>
        <v>0</v>
      </c>
      <c r="AX78" s="38">
        <f t="shared" si="253"/>
        <v>0</v>
      </c>
      <c r="AY78" s="38">
        <f t="shared" si="253"/>
        <v>0</v>
      </c>
      <c r="AZ78" s="38">
        <f t="shared" si="253"/>
        <v>0</v>
      </c>
      <c r="BA78" s="38">
        <f t="shared" si="253"/>
        <v>0</v>
      </c>
      <c r="BB78" s="38">
        <f t="shared" si="253"/>
        <v>0</v>
      </c>
      <c r="BC78" s="38">
        <f t="shared" si="253"/>
        <v>0</v>
      </c>
      <c r="BD78" s="38">
        <f t="shared" si="253"/>
        <v>0</v>
      </c>
      <c r="BE78" s="38">
        <f t="shared" si="253"/>
        <v>0</v>
      </c>
      <c r="BF78" s="38">
        <f t="shared" si="253"/>
        <v>0</v>
      </c>
      <c r="BG78" s="38">
        <f t="shared" si="253"/>
        <v>0</v>
      </c>
      <c r="BH78" s="38">
        <f t="shared" si="253"/>
        <v>0</v>
      </c>
      <c r="BI78" s="38">
        <f t="shared" si="253"/>
        <v>0</v>
      </c>
      <c r="BJ78" s="38">
        <f t="shared" si="253"/>
        <v>0</v>
      </c>
      <c r="BK78" s="38">
        <f t="shared" si="253"/>
        <v>0</v>
      </c>
      <c r="BL78" s="38">
        <f t="shared" si="253"/>
        <v>0</v>
      </c>
      <c r="BM78" s="38">
        <f t="shared" si="253"/>
        <v>0</v>
      </c>
      <c r="BN78" s="38">
        <f t="shared" si="253"/>
        <v>0</v>
      </c>
      <c r="BO78" s="38">
        <f t="shared" si="253"/>
        <v>0</v>
      </c>
      <c r="BP78" s="38">
        <f t="shared" si="253"/>
        <v>0</v>
      </c>
      <c r="BQ78" s="38">
        <f t="shared" si="253"/>
        <v>0</v>
      </c>
      <c r="BR78" s="38">
        <f t="shared" si="253"/>
        <v>0</v>
      </c>
      <c r="BS78" s="38">
        <f t="shared" si="253"/>
        <v>0</v>
      </c>
      <c r="BT78" s="38">
        <f t="shared" si="253"/>
        <v>0</v>
      </c>
      <c r="BU78" s="38">
        <f t="shared" si="253"/>
        <v>0</v>
      </c>
      <c r="BV78" s="38">
        <f t="shared" si="253"/>
        <v>0</v>
      </c>
      <c r="BW78" s="38">
        <f t="shared" si="253"/>
        <v>0</v>
      </c>
      <c r="BX78" s="38">
        <f t="shared" ref="BX78:DC78" si="254">(PermDebt_Fund=BX3)*Perm_Debt?*$I77*(1-$H$78)</f>
        <v>0</v>
      </c>
      <c r="BY78" s="38">
        <f t="shared" si="254"/>
        <v>0</v>
      </c>
      <c r="BZ78" s="38">
        <f t="shared" si="254"/>
        <v>0</v>
      </c>
      <c r="CA78" s="38">
        <f t="shared" si="254"/>
        <v>0</v>
      </c>
      <c r="CB78" s="38">
        <f t="shared" si="254"/>
        <v>0</v>
      </c>
      <c r="CC78" s="38">
        <f t="shared" si="254"/>
        <v>0</v>
      </c>
      <c r="CD78" s="38">
        <f t="shared" si="254"/>
        <v>0</v>
      </c>
      <c r="CE78" s="38">
        <f t="shared" si="254"/>
        <v>0</v>
      </c>
      <c r="CF78" s="38">
        <f t="shared" si="254"/>
        <v>0</v>
      </c>
      <c r="CG78" s="38">
        <f t="shared" si="254"/>
        <v>0</v>
      </c>
      <c r="CH78" s="38">
        <f t="shared" si="254"/>
        <v>0</v>
      </c>
      <c r="CI78" s="38">
        <f t="shared" si="254"/>
        <v>0</v>
      </c>
      <c r="CJ78" s="38">
        <f t="shared" si="254"/>
        <v>0</v>
      </c>
      <c r="CK78" s="38">
        <f t="shared" si="254"/>
        <v>0</v>
      </c>
      <c r="CL78" s="38">
        <f t="shared" si="254"/>
        <v>0</v>
      </c>
      <c r="CM78" s="38">
        <f t="shared" si="254"/>
        <v>0</v>
      </c>
      <c r="CN78" s="38">
        <f t="shared" si="254"/>
        <v>0</v>
      </c>
      <c r="CO78" s="38">
        <f t="shared" si="254"/>
        <v>0</v>
      </c>
      <c r="CP78" s="38">
        <f t="shared" si="254"/>
        <v>0</v>
      </c>
      <c r="CQ78" s="38">
        <f t="shared" si="254"/>
        <v>0</v>
      </c>
      <c r="CR78" s="38">
        <f t="shared" si="254"/>
        <v>0</v>
      </c>
      <c r="CS78" s="38">
        <f t="shared" si="254"/>
        <v>0</v>
      </c>
      <c r="CT78" s="38">
        <f t="shared" si="254"/>
        <v>0</v>
      </c>
      <c r="CU78" s="38">
        <f t="shared" si="254"/>
        <v>0</v>
      </c>
      <c r="CV78" s="38">
        <f t="shared" si="254"/>
        <v>0</v>
      </c>
      <c r="CW78" s="38">
        <f t="shared" si="254"/>
        <v>0</v>
      </c>
      <c r="CX78" s="38">
        <f t="shared" si="254"/>
        <v>0</v>
      </c>
      <c r="CY78" s="38">
        <f t="shared" si="254"/>
        <v>0</v>
      </c>
      <c r="CZ78" s="38">
        <f t="shared" si="254"/>
        <v>0</v>
      </c>
      <c r="DA78" s="38">
        <f t="shared" si="254"/>
        <v>0</v>
      </c>
      <c r="DB78" s="38">
        <f t="shared" si="254"/>
        <v>0</v>
      </c>
      <c r="DC78" s="38">
        <f t="shared" si="254"/>
        <v>0</v>
      </c>
      <c r="DD78" s="38">
        <f t="shared" ref="DD78:EI78" si="255">(PermDebt_Fund=DD3)*Perm_Debt?*$I77*(1-$H$78)</f>
        <v>0</v>
      </c>
      <c r="DE78" s="38">
        <f t="shared" si="255"/>
        <v>0</v>
      </c>
      <c r="DF78" s="38">
        <f t="shared" si="255"/>
        <v>0</v>
      </c>
      <c r="DG78" s="38">
        <f t="shared" si="255"/>
        <v>0</v>
      </c>
      <c r="DH78" s="38">
        <f t="shared" si="255"/>
        <v>0</v>
      </c>
      <c r="DI78" s="38">
        <f t="shared" si="255"/>
        <v>0</v>
      </c>
      <c r="DJ78" s="38">
        <f t="shared" si="255"/>
        <v>0</v>
      </c>
      <c r="DK78" s="38">
        <f t="shared" si="255"/>
        <v>0</v>
      </c>
      <c r="DL78" s="38">
        <f t="shared" si="255"/>
        <v>0</v>
      </c>
      <c r="DM78" s="38">
        <f t="shared" si="255"/>
        <v>0</v>
      </c>
      <c r="DN78" s="38">
        <f t="shared" si="255"/>
        <v>0</v>
      </c>
      <c r="DO78" s="38">
        <f t="shared" si="255"/>
        <v>0</v>
      </c>
      <c r="DP78" s="38">
        <f t="shared" si="255"/>
        <v>0</v>
      </c>
      <c r="DQ78" s="38">
        <f t="shared" si="255"/>
        <v>0</v>
      </c>
      <c r="DR78" s="38">
        <f t="shared" si="255"/>
        <v>0</v>
      </c>
      <c r="DS78" s="38">
        <f t="shared" si="255"/>
        <v>0</v>
      </c>
      <c r="DT78" s="38">
        <f t="shared" si="255"/>
        <v>0</v>
      </c>
      <c r="DU78" s="38">
        <f t="shared" si="255"/>
        <v>0</v>
      </c>
      <c r="DV78" s="38">
        <f t="shared" si="255"/>
        <v>0</v>
      </c>
      <c r="DW78" s="38">
        <f t="shared" si="255"/>
        <v>0</v>
      </c>
      <c r="DX78" s="38">
        <f t="shared" si="255"/>
        <v>0</v>
      </c>
      <c r="DY78" s="38">
        <f t="shared" si="255"/>
        <v>0</v>
      </c>
      <c r="DZ78" s="38">
        <f t="shared" si="255"/>
        <v>0</v>
      </c>
      <c r="EA78" s="38">
        <f t="shared" si="255"/>
        <v>0</v>
      </c>
      <c r="EB78" s="38">
        <f t="shared" si="255"/>
        <v>0</v>
      </c>
      <c r="EC78" s="38">
        <f t="shared" si="255"/>
        <v>0</v>
      </c>
      <c r="ED78" s="38">
        <f t="shared" si="255"/>
        <v>0</v>
      </c>
      <c r="EE78" s="38">
        <f t="shared" si="255"/>
        <v>0</v>
      </c>
      <c r="EF78" s="38">
        <f t="shared" si="255"/>
        <v>0</v>
      </c>
      <c r="EG78" s="38">
        <f t="shared" si="255"/>
        <v>0</v>
      </c>
      <c r="EH78" s="38">
        <f t="shared" si="255"/>
        <v>0</v>
      </c>
      <c r="EI78" s="38">
        <f t="shared" si="255"/>
        <v>0</v>
      </c>
      <c r="EJ78" s="38">
        <f t="shared" ref="EJ78:EN78" si="256">(PermDebt_Fund=EJ3)*Perm_Debt?*$I77*(1-$H$78)</f>
        <v>0</v>
      </c>
      <c r="EK78" s="38">
        <f t="shared" si="256"/>
        <v>0</v>
      </c>
      <c r="EL78" s="38">
        <f t="shared" si="256"/>
        <v>0</v>
      </c>
      <c r="EM78" s="38">
        <f t="shared" si="256"/>
        <v>0</v>
      </c>
      <c r="EN78" s="38">
        <f t="shared" si="256"/>
        <v>0</v>
      </c>
      <c r="EP78" s="24"/>
      <c r="EQ78" s="24"/>
      <c r="ER78" s="24"/>
      <c r="ES78" s="24"/>
      <c r="ET78" s="24"/>
      <c r="EU78" s="33"/>
      <c r="EV78" s="24"/>
      <c r="EW78" s="24"/>
      <c r="EX78" s="24"/>
      <c r="EY78" s="24"/>
      <c r="EZ78" s="24"/>
      <c r="FA78" s="24"/>
      <c r="FB78" s="24"/>
      <c r="FC78" s="24"/>
      <c r="FD78" s="24"/>
      <c r="FE78" s="24"/>
      <c r="FF78" s="24"/>
      <c r="FG78" s="24"/>
      <c r="FH78" s="24"/>
      <c r="FI78" s="24"/>
      <c r="FJ78" s="24"/>
      <c r="FK78" s="24"/>
      <c r="FL78" s="24"/>
      <c r="FM78" s="24"/>
      <c r="FN78" s="24"/>
      <c r="FO78" s="24"/>
      <c r="FP78" s="24"/>
      <c r="FQ78" s="24"/>
      <c r="FR78" s="24"/>
      <c r="FS78" s="24"/>
      <c r="FT78" s="24"/>
      <c r="FU78" s="24"/>
      <c r="FV78" s="24"/>
      <c r="FW78" s="24"/>
      <c r="FX78" s="24"/>
      <c r="FY78" s="24"/>
      <c r="FZ78" s="24"/>
      <c r="GA78" s="24"/>
      <c r="GB78" s="24"/>
      <c r="GC78" s="24"/>
      <c r="GD78" s="24"/>
      <c r="GE78" s="24"/>
      <c r="GF78" s="24"/>
      <c r="GG78" s="24"/>
      <c r="GH78" s="24"/>
      <c r="GI78" s="24"/>
      <c r="GJ78" s="24"/>
      <c r="GK78" s="24"/>
      <c r="GL78" s="24"/>
      <c r="GM78" s="24"/>
      <c r="GN78" s="24"/>
      <c r="GO78" s="24"/>
      <c r="GP78" s="24"/>
      <c r="GQ78" s="24"/>
      <c r="GR78" s="24"/>
      <c r="GS78" s="24"/>
      <c r="GT78" s="24"/>
      <c r="GU78" s="24"/>
      <c r="GV78" s="24"/>
      <c r="GW78" s="24"/>
      <c r="GX78" s="24"/>
      <c r="GY78" s="24"/>
      <c r="GZ78" s="24"/>
      <c r="HA78" s="24"/>
      <c r="HB78" s="24"/>
      <c r="HC78" s="24"/>
      <c r="HD78" s="24"/>
      <c r="HE78" s="24"/>
      <c r="HF78" s="24"/>
      <c r="HG78" s="24"/>
      <c r="HH78" s="24"/>
      <c r="HI78" s="24"/>
      <c r="HJ78" s="24"/>
      <c r="HK78" s="24"/>
      <c r="HL78" s="24"/>
      <c r="HM78" s="24"/>
      <c r="HN78" s="24"/>
      <c r="HO78" s="24"/>
      <c r="HP78" s="24"/>
      <c r="HQ78" s="24"/>
      <c r="HR78" s="24"/>
      <c r="HS78" s="24"/>
      <c r="HT78" s="24"/>
      <c r="HU78" s="24"/>
      <c r="HV78" s="24"/>
      <c r="HW78" s="24"/>
      <c r="HX78" s="24"/>
      <c r="HY78" s="24"/>
      <c r="HZ78" s="24"/>
      <c r="IA78" s="24"/>
      <c r="IB78" s="24"/>
      <c r="IC78" s="24"/>
      <c r="ID78" s="24"/>
      <c r="IE78" s="24"/>
      <c r="IF78" s="24"/>
      <c r="IG78" s="24"/>
      <c r="IH78" s="24"/>
      <c r="II78" s="24"/>
      <c r="IJ78" s="24"/>
      <c r="IK78" s="24"/>
      <c r="IL78" s="24"/>
      <c r="IM78" s="24"/>
      <c r="IN78" s="24"/>
      <c r="IO78" s="24"/>
      <c r="IP78" s="24"/>
      <c r="IQ78" s="24"/>
      <c r="IR78" s="24"/>
      <c r="IS78" s="24"/>
      <c r="IT78" s="24"/>
      <c r="IU78" s="24"/>
      <c r="IV78" s="24"/>
      <c r="IW78" s="24"/>
      <c r="IX78" s="24"/>
      <c r="IY78" s="24"/>
      <c r="IZ78" s="24"/>
      <c r="JA78" s="24"/>
      <c r="JB78" s="24"/>
      <c r="JC78" s="24"/>
      <c r="JD78" s="24"/>
      <c r="JE78" s="24"/>
      <c r="JF78" s="24"/>
      <c r="JG78" s="24"/>
      <c r="JH78" s="24"/>
      <c r="JI78" s="24"/>
      <c r="JJ78" s="24"/>
      <c r="JK78" s="24"/>
      <c r="JL78" s="24"/>
      <c r="JM78" s="24"/>
      <c r="JN78" s="24"/>
      <c r="JO78" s="24"/>
      <c r="JP78" s="24"/>
      <c r="JQ78" s="24"/>
      <c r="JR78" s="24"/>
      <c r="JS78" s="24"/>
      <c r="JT78" s="24"/>
      <c r="JU78" s="24"/>
      <c r="JV78" s="24"/>
      <c r="JW78" s="24"/>
      <c r="JX78" s="24"/>
    </row>
    <row r="79" spans="1:284" s="58" customFormat="1" ht="0.6" customHeight="1" x14ac:dyDescent="0.2">
      <c r="A79" s="409"/>
      <c r="B79" s="141" t="s">
        <v>620</v>
      </c>
      <c r="C79" s="135">
        <f>Timing_Reversion_Month</f>
        <v>45</v>
      </c>
      <c r="D79" s="159"/>
      <c r="E79" s="159"/>
      <c r="F79" s="160"/>
      <c r="G79" s="389" t="str">
        <f>"Debt Service Coverage Ratio (Month "&amp;PermDebt_Fund+1&amp;"):"</f>
        <v>Debt Service Coverage Ratio (Month 34):</v>
      </c>
      <c r="H79" s="600" t="str">
        <f ca="1">IF(Perm_Debt?=0,"",SUM(OFFSET(INDEX($M$130:$EN$130,1,PermDebt_Fund+1),0,0,1,12))/H77)</f>
        <v/>
      </c>
      <c r="I79" s="123">
        <f>IF(F77="No",PV(E77/12,G77*12-(PermDebt_Payoff-PermDebt_Fund),H77/12),-I77)</f>
        <v>-44355199.871769063</v>
      </c>
      <c r="L79" s="38">
        <f t="shared" ref="L79:AQ79" si="257">(PermDebt_Payoff=L3)*Perm_Debt?*$I79</f>
        <v>0</v>
      </c>
      <c r="M79" s="38">
        <f t="shared" si="257"/>
        <v>0</v>
      </c>
      <c r="N79" s="38">
        <f t="shared" si="257"/>
        <v>0</v>
      </c>
      <c r="O79" s="38">
        <f t="shared" si="257"/>
        <v>0</v>
      </c>
      <c r="P79" s="38">
        <f t="shared" si="257"/>
        <v>0</v>
      </c>
      <c r="Q79" s="38">
        <f t="shared" si="257"/>
        <v>0</v>
      </c>
      <c r="R79" s="38">
        <f t="shared" si="257"/>
        <v>0</v>
      </c>
      <c r="S79" s="38">
        <f t="shared" si="257"/>
        <v>0</v>
      </c>
      <c r="T79" s="38">
        <f t="shared" si="257"/>
        <v>0</v>
      </c>
      <c r="U79" s="38">
        <f t="shared" si="257"/>
        <v>0</v>
      </c>
      <c r="V79" s="38">
        <f t="shared" si="257"/>
        <v>0</v>
      </c>
      <c r="W79" s="38">
        <f t="shared" si="257"/>
        <v>0</v>
      </c>
      <c r="X79" s="38">
        <f t="shared" si="257"/>
        <v>0</v>
      </c>
      <c r="Y79" s="38">
        <f t="shared" si="257"/>
        <v>0</v>
      </c>
      <c r="Z79" s="38">
        <f t="shared" si="257"/>
        <v>0</v>
      </c>
      <c r="AA79" s="38">
        <f t="shared" si="257"/>
        <v>0</v>
      </c>
      <c r="AB79" s="38">
        <f t="shared" si="257"/>
        <v>0</v>
      </c>
      <c r="AC79" s="38">
        <f t="shared" si="257"/>
        <v>0</v>
      </c>
      <c r="AD79" s="38">
        <f t="shared" si="257"/>
        <v>0</v>
      </c>
      <c r="AE79" s="38">
        <f t="shared" si="257"/>
        <v>0</v>
      </c>
      <c r="AF79" s="38">
        <f t="shared" si="257"/>
        <v>0</v>
      </c>
      <c r="AG79" s="38">
        <f t="shared" si="257"/>
        <v>0</v>
      </c>
      <c r="AH79" s="38">
        <f t="shared" si="257"/>
        <v>0</v>
      </c>
      <c r="AI79" s="38">
        <f t="shared" si="257"/>
        <v>0</v>
      </c>
      <c r="AJ79" s="38">
        <f t="shared" si="257"/>
        <v>0</v>
      </c>
      <c r="AK79" s="38">
        <f t="shared" si="257"/>
        <v>0</v>
      </c>
      <c r="AL79" s="38">
        <f t="shared" si="257"/>
        <v>0</v>
      </c>
      <c r="AM79" s="38">
        <f t="shared" si="257"/>
        <v>0</v>
      </c>
      <c r="AN79" s="38">
        <f t="shared" si="257"/>
        <v>0</v>
      </c>
      <c r="AO79" s="38">
        <f t="shared" si="257"/>
        <v>0</v>
      </c>
      <c r="AP79" s="38">
        <f t="shared" si="257"/>
        <v>0</v>
      </c>
      <c r="AQ79" s="38">
        <f t="shared" si="257"/>
        <v>0</v>
      </c>
      <c r="AR79" s="38">
        <f t="shared" ref="AR79:BW79" si="258">(PermDebt_Payoff=AR3)*Perm_Debt?*$I79</f>
        <v>0</v>
      </c>
      <c r="AS79" s="38">
        <f t="shared" si="258"/>
        <v>0</v>
      </c>
      <c r="AT79" s="38">
        <f t="shared" si="258"/>
        <v>0</v>
      </c>
      <c r="AU79" s="38">
        <f t="shared" si="258"/>
        <v>0</v>
      </c>
      <c r="AV79" s="38">
        <f t="shared" si="258"/>
        <v>0</v>
      </c>
      <c r="AW79" s="38">
        <f t="shared" si="258"/>
        <v>0</v>
      </c>
      <c r="AX79" s="38">
        <f t="shared" si="258"/>
        <v>0</v>
      </c>
      <c r="AY79" s="38">
        <f t="shared" si="258"/>
        <v>0</v>
      </c>
      <c r="AZ79" s="38">
        <f t="shared" si="258"/>
        <v>0</v>
      </c>
      <c r="BA79" s="38">
        <f t="shared" si="258"/>
        <v>0</v>
      </c>
      <c r="BB79" s="38">
        <f t="shared" si="258"/>
        <v>0</v>
      </c>
      <c r="BC79" s="38">
        <f t="shared" si="258"/>
        <v>0</v>
      </c>
      <c r="BD79" s="38">
        <f t="shared" si="258"/>
        <v>0</v>
      </c>
      <c r="BE79" s="38">
        <f t="shared" si="258"/>
        <v>0</v>
      </c>
      <c r="BF79" s="38">
        <f t="shared" si="258"/>
        <v>0</v>
      </c>
      <c r="BG79" s="38">
        <f t="shared" si="258"/>
        <v>0</v>
      </c>
      <c r="BH79" s="38">
        <f t="shared" si="258"/>
        <v>0</v>
      </c>
      <c r="BI79" s="38">
        <f t="shared" si="258"/>
        <v>0</v>
      </c>
      <c r="BJ79" s="38">
        <f t="shared" si="258"/>
        <v>0</v>
      </c>
      <c r="BK79" s="38">
        <f t="shared" si="258"/>
        <v>0</v>
      </c>
      <c r="BL79" s="38">
        <f t="shared" si="258"/>
        <v>0</v>
      </c>
      <c r="BM79" s="38">
        <f t="shared" si="258"/>
        <v>0</v>
      </c>
      <c r="BN79" s="38">
        <f t="shared" si="258"/>
        <v>0</v>
      </c>
      <c r="BO79" s="38">
        <f t="shared" si="258"/>
        <v>0</v>
      </c>
      <c r="BP79" s="38">
        <f t="shared" si="258"/>
        <v>0</v>
      </c>
      <c r="BQ79" s="38">
        <f t="shared" si="258"/>
        <v>0</v>
      </c>
      <c r="BR79" s="38">
        <f t="shared" si="258"/>
        <v>0</v>
      </c>
      <c r="BS79" s="38">
        <f t="shared" si="258"/>
        <v>0</v>
      </c>
      <c r="BT79" s="38">
        <f t="shared" si="258"/>
        <v>0</v>
      </c>
      <c r="BU79" s="38">
        <f t="shared" si="258"/>
        <v>0</v>
      </c>
      <c r="BV79" s="38">
        <f t="shared" si="258"/>
        <v>0</v>
      </c>
      <c r="BW79" s="38">
        <f t="shared" si="258"/>
        <v>0</v>
      </c>
      <c r="BX79" s="38">
        <f t="shared" ref="BX79:DC79" si="259">(PermDebt_Payoff=BX3)*Perm_Debt?*$I79</f>
        <v>0</v>
      </c>
      <c r="BY79" s="38">
        <f t="shared" si="259"/>
        <v>0</v>
      </c>
      <c r="BZ79" s="38">
        <f t="shared" si="259"/>
        <v>0</v>
      </c>
      <c r="CA79" s="38">
        <f t="shared" si="259"/>
        <v>0</v>
      </c>
      <c r="CB79" s="38">
        <f t="shared" si="259"/>
        <v>0</v>
      </c>
      <c r="CC79" s="38">
        <f t="shared" si="259"/>
        <v>0</v>
      </c>
      <c r="CD79" s="38">
        <f t="shared" si="259"/>
        <v>0</v>
      </c>
      <c r="CE79" s="38">
        <f t="shared" si="259"/>
        <v>0</v>
      </c>
      <c r="CF79" s="38">
        <f t="shared" si="259"/>
        <v>0</v>
      </c>
      <c r="CG79" s="38">
        <f t="shared" si="259"/>
        <v>0</v>
      </c>
      <c r="CH79" s="38">
        <f t="shared" si="259"/>
        <v>0</v>
      </c>
      <c r="CI79" s="38">
        <f t="shared" si="259"/>
        <v>0</v>
      </c>
      <c r="CJ79" s="38">
        <f t="shared" si="259"/>
        <v>0</v>
      </c>
      <c r="CK79" s="38">
        <f t="shared" si="259"/>
        <v>0</v>
      </c>
      <c r="CL79" s="38">
        <f t="shared" si="259"/>
        <v>0</v>
      </c>
      <c r="CM79" s="38">
        <f t="shared" si="259"/>
        <v>0</v>
      </c>
      <c r="CN79" s="38">
        <f t="shared" si="259"/>
        <v>0</v>
      </c>
      <c r="CO79" s="38">
        <f t="shared" si="259"/>
        <v>0</v>
      </c>
      <c r="CP79" s="38">
        <f t="shared" si="259"/>
        <v>0</v>
      </c>
      <c r="CQ79" s="38">
        <f t="shared" si="259"/>
        <v>0</v>
      </c>
      <c r="CR79" s="38">
        <f t="shared" si="259"/>
        <v>0</v>
      </c>
      <c r="CS79" s="38">
        <f t="shared" si="259"/>
        <v>0</v>
      </c>
      <c r="CT79" s="38">
        <f t="shared" si="259"/>
        <v>0</v>
      </c>
      <c r="CU79" s="38">
        <f t="shared" si="259"/>
        <v>0</v>
      </c>
      <c r="CV79" s="38">
        <f t="shared" si="259"/>
        <v>0</v>
      </c>
      <c r="CW79" s="38">
        <f t="shared" si="259"/>
        <v>0</v>
      </c>
      <c r="CX79" s="38">
        <f t="shared" si="259"/>
        <v>0</v>
      </c>
      <c r="CY79" s="38">
        <f t="shared" si="259"/>
        <v>0</v>
      </c>
      <c r="CZ79" s="38">
        <f t="shared" si="259"/>
        <v>0</v>
      </c>
      <c r="DA79" s="38">
        <f t="shared" si="259"/>
        <v>0</v>
      </c>
      <c r="DB79" s="38">
        <f t="shared" si="259"/>
        <v>0</v>
      </c>
      <c r="DC79" s="38">
        <f t="shared" si="259"/>
        <v>0</v>
      </c>
      <c r="DD79" s="38">
        <f t="shared" ref="DD79:EN79" si="260">(PermDebt_Payoff=DD3)*Perm_Debt?*$I79</f>
        <v>0</v>
      </c>
      <c r="DE79" s="38">
        <f t="shared" si="260"/>
        <v>0</v>
      </c>
      <c r="DF79" s="38">
        <f t="shared" si="260"/>
        <v>0</v>
      </c>
      <c r="DG79" s="38">
        <f t="shared" si="260"/>
        <v>0</v>
      </c>
      <c r="DH79" s="38">
        <f t="shared" si="260"/>
        <v>0</v>
      </c>
      <c r="DI79" s="38">
        <f t="shared" si="260"/>
        <v>0</v>
      </c>
      <c r="DJ79" s="38">
        <f t="shared" si="260"/>
        <v>0</v>
      </c>
      <c r="DK79" s="38">
        <f t="shared" si="260"/>
        <v>0</v>
      </c>
      <c r="DL79" s="38">
        <f t="shared" si="260"/>
        <v>0</v>
      </c>
      <c r="DM79" s="38">
        <f t="shared" si="260"/>
        <v>0</v>
      </c>
      <c r="DN79" s="38">
        <f t="shared" si="260"/>
        <v>0</v>
      </c>
      <c r="DO79" s="38">
        <f t="shared" si="260"/>
        <v>0</v>
      </c>
      <c r="DP79" s="38">
        <f t="shared" si="260"/>
        <v>0</v>
      </c>
      <c r="DQ79" s="38">
        <f t="shared" si="260"/>
        <v>0</v>
      </c>
      <c r="DR79" s="38">
        <f t="shared" si="260"/>
        <v>0</v>
      </c>
      <c r="DS79" s="38">
        <f t="shared" si="260"/>
        <v>0</v>
      </c>
      <c r="DT79" s="38">
        <f t="shared" si="260"/>
        <v>0</v>
      </c>
      <c r="DU79" s="38">
        <f t="shared" si="260"/>
        <v>0</v>
      </c>
      <c r="DV79" s="38">
        <f t="shared" si="260"/>
        <v>0</v>
      </c>
      <c r="DW79" s="38">
        <f t="shared" si="260"/>
        <v>0</v>
      </c>
      <c r="DX79" s="38">
        <f t="shared" si="260"/>
        <v>0</v>
      </c>
      <c r="DY79" s="38">
        <f t="shared" si="260"/>
        <v>0</v>
      </c>
      <c r="DZ79" s="38">
        <f t="shared" si="260"/>
        <v>0</v>
      </c>
      <c r="EA79" s="38">
        <f t="shared" si="260"/>
        <v>0</v>
      </c>
      <c r="EB79" s="38">
        <f t="shared" si="260"/>
        <v>0</v>
      </c>
      <c r="EC79" s="38">
        <f t="shared" si="260"/>
        <v>0</v>
      </c>
      <c r="ED79" s="38">
        <f t="shared" si="260"/>
        <v>0</v>
      </c>
      <c r="EE79" s="38">
        <f t="shared" si="260"/>
        <v>0</v>
      </c>
      <c r="EF79" s="38">
        <f t="shared" si="260"/>
        <v>0</v>
      </c>
      <c r="EG79" s="38">
        <f t="shared" si="260"/>
        <v>0</v>
      </c>
      <c r="EH79" s="38">
        <f t="shared" si="260"/>
        <v>0</v>
      </c>
      <c r="EI79" s="38">
        <f t="shared" si="260"/>
        <v>0</v>
      </c>
      <c r="EJ79" s="38">
        <f t="shared" si="260"/>
        <v>0</v>
      </c>
      <c r="EK79" s="38">
        <f t="shared" si="260"/>
        <v>0</v>
      </c>
      <c r="EL79" s="38">
        <f t="shared" si="260"/>
        <v>0</v>
      </c>
      <c r="EM79" s="38">
        <f t="shared" si="260"/>
        <v>0</v>
      </c>
      <c r="EN79" s="38">
        <f t="shared" si="260"/>
        <v>0</v>
      </c>
      <c r="EP79" s="24"/>
      <c r="EQ79" s="24"/>
      <c r="ER79" s="24"/>
      <c r="ES79" s="24"/>
      <c r="ET79" s="24"/>
      <c r="EU79" s="33"/>
      <c r="EV79" s="24"/>
      <c r="EW79" s="24"/>
      <c r="EX79" s="24"/>
      <c r="EY79" s="24"/>
      <c r="EZ79" s="24"/>
      <c r="FA79" s="24"/>
      <c r="FB79" s="24"/>
      <c r="FC79" s="24"/>
      <c r="FD79" s="24"/>
      <c r="FE79" s="24"/>
      <c r="FF79" s="24"/>
      <c r="FG79" s="24"/>
      <c r="FH79" s="24"/>
      <c r="FI79" s="24"/>
      <c r="FJ79" s="24"/>
      <c r="FK79" s="24"/>
      <c r="FL79" s="24"/>
      <c r="FM79" s="24"/>
      <c r="FN79" s="24"/>
      <c r="FO79" s="24"/>
      <c r="FP79" s="24"/>
      <c r="FQ79" s="24"/>
      <c r="FR79" s="24"/>
      <c r="FS79" s="24"/>
      <c r="FT79" s="24"/>
      <c r="FU79" s="24"/>
      <c r="FV79" s="24"/>
      <c r="FW79" s="24"/>
      <c r="FX79" s="24"/>
      <c r="FY79" s="24"/>
      <c r="FZ79" s="24"/>
      <c r="GA79" s="24"/>
      <c r="GB79" s="24"/>
      <c r="GC79" s="24"/>
      <c r="GD79" s="24"/>
      <c r="GE79" s="24"/>
      <c r="GF79" s="24"/>
      <c r="GG79" s="24"/>
      <c r="GH79" s="24"/>
      <c r="GI79" s="24"/>
      <c r="GJ79" s="24"/>
      <c r="GK79" s="24"/>
      <c r="GL79" s="24"/>
      <c r="GM79" s="24"/>
      <c r="GN79" s="24"/>
      <c r="GO79" s="24"/>
      <c r="GP79" s="24"/>
      <c r="GQ79" s="24"/>
      <c r="GR79" s="24"/>
      <c r="GS79" s="24"/>
      <c r="GT79" s="24"/>
      <c r="GU79" s="24"/>
      <c r="GV79" s="24"/>
      <c r="GW79" s="24"/>
      <c r="GX79" s="24"/>
      <c r="GY79" s="24"/>
      <c r="GZ79" s="24"/>
      <c r="HA79" s="24"/>
      <c r="HB79" s="24"/>
      <c r="HC79" s="24"/>
      <c r="HD79" s="24"/>
      <c r="HE79" s="24"/>
      <c r="HF79" s="24"/>
      <c r="HG79" s="24"/>
      <c r="HH79" s="24"/>
      <c r="HI79" s="24"/>
      <c r="HJ79" s="24"/>
      <c r="HK79" s="24"/>
      <c r="HL79" s="24"/>
      <c r="HM79" s="24"/>
      <c r="HN79" s="24"/>
      <c r="HO79" s="24"/>
      <c r="HP79" s="24"/>
      <c r="HQ79" s="24"/>
      <c r="HR79" s="24"/>
      <c r="HS79" s="24"/>
      <c r="HT79" s="24"/>
      <c r="HU79" s="24"/>
      <c r="HV79" s="24"/>
      <c r="HW79" s="24"/>
      <c r="HX79" s="24"/>
      <c r="HY79" s="24"/>
      <c r="HZ79" s="24"/>
      <c r="IA79" s="24"/>
      <c r="IB79" s="24"/>
      <c r="IC79" s="24"/>
      <c r="ID79" s="24"/>
      <c r="IE79" s="24"/>
      <c r="IF79" s="24"/>
      <c r="IG79" s="24"/>
      <c r="IH79" s="24"/>
      <c r="II79" s="24"/>
      <c r="IJ79" s="24"/>
      <c r="IK79" s="24"/>
      <c r="IL79" s="24"/>
      <c r="IM79" s="24"/>
      <c r="IN79" s="24"/>
      <c r="IO79" s="24"/>
      <c r="IP79" s="24"/>
      <c r="IQ79" s="24"/>
      <c r="IR79" s="24"/>
      <c r="IS79" s="24"/>
      <c r="IT79" s="24"/>
      <c r="IU79" s="24"/>
      <c r="IV79" s="24"/>
      <c r="IW79" s="24"/>
      <c r="IX79" s="24"/>
      <c r="IY79" s="24"/>
      <c r="IZ79" s="24"/>
      <c r="JA79" s="24"/>
      <c r="JB79" s="24"/>
      <c r="JC79" s="24"/>
      <c r="JD79" s="24"/>
      <c r="JE79" s="24"/>
      <c r="JF79" s="24"/>
      <c r="JG79" s="24"/>
      <c r="JH79" s="24"/>
      <c r="JI79" s="24"/>
      <c r="JJ79" s="24"/>
      <c r="JK79" s="24"/>
      <c r="JL79" s="24"/>
      <c r="JM79" s="24"/>
      <c r="JN79" s="24"/>
      <c r="JO79" s="24"/>
      <c r="JP79" s="24"/>
      <c r="JQ79" s="24"/>
      <c r="JR79" s="24"/>
      <c r="JS79" s="24"/>
      <c r="JT79" s="24"/>
      <c r="JU79" s="24"/>
      <c r="JV79" s="24"/>
      <c r="JW79" s="24"/>
      <c r="JX79" s="24"/>
    </row>
    <row r="80" spans="1:284" s="58" customFormat="1" ht="0.6" customHeight="1" x14ac:dyDescent="0.2">
      <c r="A80" s="409"/>
      <c r="B80" s="158"/>
      <c r="C80" s="159"/>
      <c r="D80" s="159"/>
      <c r="E80" s="159"/>
      <c r="F80" s="160"/>
      <c r="G80" s="160"/>
      <c r="H80" s="160"/>
      <c r="I80" s="161"/>
      <c r="L80" s="65"/>
      <c r="M80" s="65"/>
      <c r="N80" s="65"/>
      <c r="O80" s="65"/>
      <c r="P80" s="65"/>
      <c r="Q80" s="65"/>
      <c r="R80" s="65"/>
      <c r="S80" s="65"/>
      <c r="T80" s="65"/>
      <c r="U80" s="65"/>
      <c r="V80" s="65"/>
      <c r="W80" s="65"/>
      <c r="X80" s="65"/>
      <c r="Y80" s="65"/>
      <c r="Z80" s="65"/>
      <c r="AA80" s="65"/>
      <c r="AB80" s="65"/>
      <c r="AC80" s="65"/>
      <c r="AD80" s="65"/>
      <c r="AE80" s="65"/>
      <c r="AF80" s="65"/>
      <c r="AG80" s="65"/>
      <c r="AH80" s="65"/>
      <c r="AI80" s="65"/>
      <c r="AJ80" s="65"/>
      <c r="AK80" s="65"/>
      <c r="AL80" s="65"/>
      <c r="AM80" s="65"/>
      <c r="AN80" s="65"/>
      <c r="AO80" s="65"/>
      <c r="AP80" s="65"/>
      <c r="AQ80" s="65"/>
      <c r="AR80" s="65"/>
      <c r="AS80" s="65"/>
      <c r="AT80" s="65"/>
      <c r="AU80" s="65"/>
      <c r="AV80" s="65"/>
      <c r="AW80" s="65"/>
      <c r="AX80" s="65"/>
      <c r="AY80" s="65"/>
      <c r="AZ80" s="65"/>
      <c r="BA80" s="65"/>
      <c r="BB80" s="65"/>
      <c r="BC80" s="65"/>
      <c r="BD80" s="65"/>
      <c r="BE80" s="65"/>
      <c r="BF80" s="65"/>
      <c r="BG80" s="65"/>
      <c r="BH80" s="65"/>
      <c r="BI80" s="65"/>
      <c r="BJ80" s="65"/>
      <c r="BK80" s="65"/>
      <c r="BL80" s="65"/>
      <c r="BM80" s="65"/>
      <c r="BN80" s="65"/>
      <c r="BO80" s="65"/>
      <c r="BP80" s="65"/>
      <c r="BQ80" s="65"/>
      <c r="BR80" s="65"/>
      <c r="BS80" s="65"/>
      <c r="BT80" s="65"/>
      <c r="BU80" s="65"/>
      <c r="BV80" s="65"/>
      <c r="BW80" s="65"/>
      <c r="BX80" s="65"/>
      <c r="BY80" s="65"/>
      <c r="BZ80" s="65"/>
      <c r="CA80" s="65"/>
      <c r="CB80" s="65"/>
      <c r="CC80" s="65"/>
      <c r="CD80" s="65"/>
      <c r="CE80" s="65"/>
      <c r="CF80" s="65"/>
      <c r="CG80" s="65"/>
      <c r="CH80" s="65"/>
      <c r="CI80" s="65"/>
      <c r="CJ80" s="65"/>
      <c r="CK80" s="65"/>
      <c r="CL80" s="65"/>
      <c r="CM80" s="65"/>
      <c r="CN80" s="65"/>
      <c r="CO80" s="65"/>
      <c r="CP80" s="65"/>
      <c r="CQ80" s="65"/>
      <c r="CR80" s="65"/>
      <c r="CS80" s="65"/>
      <c r="CT80" s="65"/>
      <c r="CU80" s="65"/>
      <c r="CV80" s="65"/>
      <c r="CW80" s="65"/>
      <c r="CX80" s="65"/>
      <c r="CY80" s="65"/>
      <c r="CZ80" s="65"/>
      <c r="DA80" s="65"/>
      <c r="DB80" s="65"/>
      <c r="DC80" s="65"/>
      <c r="DD80" s="65"/>
      <c r="DE80" s="65"/>
      <c r="DF80" s="65"/>
      <c r="DG80" s="65"/>
      <c r="DH80" s="65"/>
      <c r="DI80" s="65"/>
      <c r="DJ80" s="65"/>
      <c r="DK80" s="65"/>
      <c r="DL80" s="65"/>
      <c r="DM80" s="65"/>
      <c r="DN80" s="65"/>
      <c r="DO80" s="65"/>
      <c r="DP80" s="65"/>
      <c r="DQ80" s="65"/>
      <c r="DR80" s="65"/>
      <c r="DS80" s="65"/>
      <c r="DT80" s="65"/>
      <c r="DU80" s="65"/>
      <c r="DV80" s="65"/>
      <c r="DW80" s="65"/>
      <c r="DX80" s="65"/>
      <c r="DY80" s="65"/>
      <c r="DZ80" s="65"/>
      <c r="EA80" s="65"/>
      <c r="EB80" s="65"/>
      <c r="EC80" s="65"/>
      <c r="ED80" s="65"/>
      <c r="EE80" s="65"/>
      <c r="EF80" s="65"/>
      <c r="EG80" s="65"/>
      <c r="EH80" s="65"/>
      <c r="EI80" s="65"/>
      <c r="EJ80" s="65"/>
      <c r="EK80" s="65"/>
      <c r="EL80" s="65"/>
      <c r="EM80" s="65"/>
      <c r="EN80" s="65"/>
      <c r="EP80" s="24"/>
      <c r="EQ80" s="24"/>
      <c r="ER80" s="24"/>
      <c r="ES80" s="24"/>
      <c r="ET80" s="24"/>
      <c r="EU80" s="33"/>
      <c r="EV80" s="24"/>
      <c r="EW80" s="24"/>
      <c r="EX80" s="24"/>
      <c r="EY80" s="24"/>
      <c r="EZ80" s="24"/>
      <c r="FA80" s="24"/>
      <c r="FB80" s="24"/>
      <c r="FC80" s="24"/>
      <c r="FD80" s="24"/>
      <c r="FE80" s="24"/>
      <c r="FF80" s="24"/>
      <c r="FG80" s="24"/>
      <c r="FH80" s="24"/>
      <c r="FI80" s="24"/>
      <c r="FJ80" s="24"/>
      <c r="FK80" s="24"/>
      <c r="FL80" s="24"/>
      <c r="FM80" s="24"/>
      <c r="FN80" s="24"/>
      <c r="FO80" s="24"/>
      <c r="FP80" s="24"/>
      <c r="FQ80" s="24"/>
      <c r="FR80" s="24"/>
      <c r="FS80" s="24"/>
      <c r="FT80" s="24"/>
      <c r="FU80" s="24"/>
      <c r="FV80" s="24"/>
      <c r="FW80" s="24"/>
      <c r="FX80" s="24"/>
      <c r="FY80" s="24"/>
      <c r="FZ80" s="24"/>
      <c r="GA80" s="24"/>
      <c r="GB80" s="24"/>
      <c r="GC80" s="24"/>
      <c r="GD80" s="24"/>
      <c r="GE80" s="24"/>
      <c r="GF80" s="24"/>
      <c r="GG80" s="24"/>
      <c r="GH80" s="24"/>
      <c r="GI80" s="24"/>
      <c r="GJ80" s="24"/>
      <c r="GK80" s="24"/>
      <c r="GL80" s="24"/>
      <c r="GM80" s="24"/>
      <c r="GN80" s="24"/>
      <c r="GO80" s="24"/>
      <c r="GP80" s="24"/>
      <c r="GQ80" s="24"/>
      <c r="GR80" s="24"/>
      <c r="GS80" s="24"/>
      <c r="GT80" s="24"/>
      <c r="GU80" s="24"/>
      <c r="GV80" s="24"/>
      <c r="GW80" s="24"/>
      <c r="GX80" s="24"/>
      <c r="GY80" s="24"/>
      <c r="GZ80" s="24"/>
      <c r="HA80" s="24"/>
      <c r="HB80" s="24"/>
      <c r="HC80" s="24"/>
      <c r="HD80" s="24"/>
      <c r="HE80" s="24"/>
      <c r="HF80" s="24"/>
      <c r="HG80" s="24"/>
      <c r="HH80" s="24"/>
      <c r="HI80" s="24"/>
      <c r="HJ80" s="24"/>
      <c r="HK80" s="24"/>
      <c r="HL80" s="24"/>
      <c r="HM80" s="24"/>
      <c r="HN80" s="24"/>
      <c r="HO80" s="24"/>
      <c r="HP80" s="24"/>
      <c r="HQ80" s="24"/>
      <c r="HR80" s="24"/>
      <c r="HS80" s="24"/>
      <c r="HT80" s="24"/>
      <c r="HU80" s="24"/>
      <c r="HV80" s="24"/>
      <c r="HW80" s="24"/>
      <c r="HX80" s="24"/>
      <c r="HY80" s="24"/>
      <c r="HZ80" s="24"/>
      <c r="IA80" s="24"/>
      <c r="IB80" s="24"/>
      <c r="IC80" s="24"/>
      <c r="ID80" s="24"/>
      <c r="IE80" s="24"/>
      <c r="IF80" s="24"/>
      <c r="IG80" s="24"/>
      <c r="IH80" s="24"/>
      <c r="II80" s="24"/>
      <c r="IJ80" s="24"/>
      <c r="IK80" s="24"/>
      <c r="IL80" s="24"/>
      <c r="IM80" s="24"/>
      <c r="IN80" s="24"/>
      <c r="IO80" s="24"/>
      <c r="IP80" s="24"/>
      <c r="IQ80" s="24"/>
      <c r="IR80" s="24"/>
      <c r="IS80" s="24"/>
      <c r="IT80" s="24"/>
      <c r="IU80" s="24"/>
      <c r="IV80" s="24"/>
      <c r="IW80" s="24"/>
      <c r="IX80" s="24"/>
      <c r="IY80" s="24"/>
      <c r="IZ80" s="24"/>
      <c r="JA80" s="24"/>
      <c r="JB80" s="24"/>
      <c r="JC80" s="24"/>
      <c r="JD80" s="24"/>
      <c r="JE80" s="24"/>
      <c r="JF80" s="24"/>
      <c r="JG80" s="24"/>
      <c r="JH80" s="24"/>
      <c r="JI80" s="24"/>
      <c r="JJ80" s="24"/>
      <c r="JK80" s="24"/>
      <c r="JL80" s="24"/>
      <c r="JM80" s="24"/>
      <c r="JN80" s="24"/>
      <c r="JO80" s="24"/>
      <c r="JP80" s="24"/>
      <c r="JQ80" s="24"/>
      <c r="JR80" s="24"/>
      <c r="JS80" s="24"/>
      <c r="JT80" s="24"/>
      <c r="JU80" s="24"/>
      <c r="JV80" s="24"/>
      <c r="JW80" s="24"/>
      <c r="JX80" s="24"/>
    </row>
    <row r="81" spans="1:284" s="7" customFormat="1" x14ac:dyDescent="0.2">
      <c r="A81" s="406"/>
      <c r="B81" s="1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BG81" s="41"/>
      <c r="BH81" s="41"/>
      <c r="BI81" s="41"/>
      <c r="BJ81" s="41"/>
      <c r="BK81" s="41"/>
      <c r="BL81" s="41"/>
      <c r="BM81" s="41"/>
      <c r="BN81" s="41"/>
      <c r="BO81" s="41"/>
      <c r="BP81" s="41"/>
      <c r="BQ81" s="41"/>
      <c r="BR81" s="41"/>
      <c r="BS81" s="41"/>
      <c r="BT81" s="41"/>
      <c r="BU81" s="41"/>
      <c r="BV81" s="41"/>
      <c r="BW81" s="41"/>
      <c r="BX81" s="41"/>
      <c r="BY81" s="41"/>
      <c r="BZ81" s="41"/>
      <c r="CA81" s="41"/>
      <c r="CB81" s="41"/>
      <c r="CC81" s="41"/>
      <c r="CD81" s="41"/>
      <c r="CE81" s="41"/>
      <c r="CF81" s="41"/>
      <c r="CG81" s="41"/>
      <c r="CH81" s="41"/>
      <c r="CI81" s="41"/>
      <c r="CJ81" s="41"/>
      <c r="CK81" s="41"/>
      <c r="CL81" s="41"/>
      <c r="CM81" s="41"/>
      <c r="CN81" s="41"/>
      <c r="CO81" s="41"/>
      <c r="CP81" s="41"/>
      <c r="CQ81" s="41"/>
      <c r="CR81" s="41"/>
      <c r="CS81" s="41"/>
      <c r="CT81" s="41"/>
      <c r="CU81" s="41"/>
      <c r="CV81" s="41"/>
      <c r="CW81" s="41"/>
      <c r="CX81" s="41"/>
      <c r="CY81" s="41"/>
      <c r="CZ81" s="41"/>
      <c r="DA81" s="41"/>
      <c r="DB81" s="41"/>
      <c r="DC81" s="41"/>
      <c r="DD81" s="41"/>
      <c r="DE81" s="41"/>
      <c r="DF81" s="41"/>
      <c r="DG81" s="41"/>
      <c r="DH81" s="41"/>
      <c r="DI81" s="41"/>
      <c r="DJ81" s="41"/>
      <c r="DK81" s="41"/>
      <c r="DL81" s="41"/>
      <c r="DM81" s="41"/>
      <c r="DN81" s="41"/>
      <c r="DO81" s="41"/>
      <c r="DP81" s="41"/>
      <c r="DQ81" s="41"/>
      <c r="DR81" s="41"/>
      <c r="DS81" s="41"/>
      <c r="DT81" s="41"/>
      <c r="DU81" s="41"/>
      <c r="DV81" s="41"/>
      <c r="DW81" s="41"/>
      <c r="DX81" s="41"/>
      <c r="DY81" s="41"/>
      <c r="DZ81" s="41"/>
      <c r="EA81" s="41"/>
      <c r="EB81" s="41"/>
      <c r="EC81" s="41"/>
      <c r="ED81" s="41"/>
      <c r="EE81" s="41"/>
      <c r="EF81" s="41"/>
      <c r="EG81" s="41"/>
      <c r="EH81" s="41"/>
      <c r="EI81" s="41"/>
      <c r="EJ81" s="41"/>
      <c r="EK81" s="41"/>
      <c r="EL81" s="41"/>
      <c r="EM81" s="41"/>
      <c r="EN81" s="41"/>
      <c r="EO81" s="41"/>
      <c r="EP81" s="42"/>
      <c r="EQ81" s="42"/>
      <c r="ER81" s="42"/>
      <c r="ES81" s="42"/>
      <c r="ET81" s="42"/>
      <c r="EU81" s="216"/>
      <c r="EV81" s="42"/>
      <c r="EW81" s="42"/>
      <c r="EX81" s="42"/>
      <c r="EY81" s="42"/>
      <c r="EZ81" s="42"/>
      <c r="FA81" s="42"/>
      <c r="FB81" s="42"/>
      <c r="FC81" s="42"/>
      <c r="FD81" s="42"/>
      <c r="FE81" s="42"/>
      <c r="FF81" s="42"/>
      <c r="FG81" s="42"/>
      <c r="FH81" s="42"/>
      <c r="FI81" s="42"/>
      <c r="FJ81" s="42"/>
      <c r="FK81" s="42"/>
      <c r="FL81" s="42"/>
      <c r="FM81" s="42"/>
      <c r="FN81" s="42"/>
      <c r="FO81" s="42"/>
      <c r="FP81" s="42"/>
      <c r="FQ81" s="42"/>
      <c r="FR81" s="42"/>
      <c r="FS81" s="42"/>
      <c r="FT81" s="42"/>
      <c r="FU81" s="42"/>
      <c r="FV81" s="42"/>
      <c r="FW81" s="42"/>
      <c r="FX81" s="42"/>
      <c r="FY81" s="42"/>
      <c r="FZ81" s="42"/>
      <c r="GA81" s="42"/>
      <c r="GB81" s="42"/>
      <c r="GC81" s="42"/>
      <c r="GD81" s="42"/>
      <c r="GE81" s="42"/>
      <c r="GF81" s="42"/>
      <c r="GG81" s="42"/>
      <c r="GH81" s="42"/>
      <c r="GI81" s="42"/>
      <c r="GJ81" s="42"/>
      <c r="GK81" s="42"/>
      <c r="GL81" s="42"/>
      <c r="GM81" s="42"/>
      <c r="GN81" s="42"/>
      <c r="GO81" s="42"/>
      <c r="GP81" s="42"/>
      <c r="GQ81" s="42"/>
      <c r="GR81" s="42"/>
      <c r="GS81" s="42"/>
      <c r="GT81" s="42"/>
      <c r="GU81" s="42"/>
      <c r="GV81" s="42"/>
      <c r="GW81" s="42"/>
      <c r="GX81" s="42"/>
      <c r="GY81" s="42"/>
      <c r="GZ81" s="42"/>
      <c r="HA81" s="42"/>
      <c r="HB81" s="42"/>
      <c r="HC81" s="42"/>
      <c r="HD81" s="42"/>
      <c r="HE81" s="42"/>
      <c r="HF81" s="42"/>
      <c r="HG81" s="42"/>
      <c r="HH81" s="42"/>
      <c r="HI81" s="42"/>
      <c r="HJ81" s="42"/>
      <c r="HK81" s="42"/>
      <c r="HL81" s="42"/>
      <c r="HM81" s="42"/>
      <c r="HN81" s="42"/>
      <c r="HO81" s="42"/>
      <c r="HP81" s="42"/>
      <c r="HQ81" s="42"/>
      <c r="HR81" s="42"/>
      <c r="HS81" s="42"/>
      <c r="HT81" s="42"/>
      <c r="HU81" s="42"/>
      <c r="HV81" s="42"/>
      <c r="HW81" s="42"/>
      <c r="HX81" s="42"/>
      <c r="HY81" s="42"/>
      <c r="HZ81" s="42"/>
      <c r="IA81" s="42"/>
      <c r="IB81" s="42"/>
      <c r="IC81" s="42"/>
      <c r="ID81" s="42"/>
      <c r="IE81" s="42"/>
      <c r="IF81" s="42"/>
      <c r="IG81" s="42"/>
      <c r="IH81" s="42"/>
      <c r="II81" s="42"/>
      <c r="IJ81" s="42"/>
      <c r="IK81" s="42"/>
      <c r="IL81" s="42"/>
      <c r="IM81" s="42"/>
      <c r="IN81" s="42"/>
      <c r="IO81" s="42"/>
      <c r="IP81" s="42"/>
      <c r="IQ81" s="42"/>
      <c r="IR81" s="42"/>
      <c r="IS81" s="42"/>
      <c r="IT81" s="42"/>
      <c r="IU81" s="42"/>
      <c r="IV81" s="42"/>
      <c r="IW81" s="42"/>
      <c r="IX81" s="42"/>
      <c r="IY81" s="42"/>
      <c r="IZ81" s="42"/>
      <c r="JA81" s="42"/>
      <c r="JB81" s="42"/>
      <c r="JC81" s="42"/>
      <c r="JD81" s="42"/>
      <c r="JE81" s="42"/>
      <c r="JF81" s="42"/>
      <c r="JG81" s="42"/>
      <c r="JH81" s="42"/>
      <c r="JI81" s="42"/>
      <c r="JJ81" s="42"/>
      <c r="JK81" s="42"/>
      <c r="JL81" s="42"/>
      <c r="JM81" s="42"/>
      <c r="JN81" s="42"/>
      <c r="JO81" s="42"/>
      <c r="JP81" s="42"/>
      <c r="JQ81" s="42"/>
      <c r="JR81" s="42"/>
      <c r="JS81" s="42"/>
      <c r="JT81" s="42"/>
      <c r="JU81" s="42"/>
      <c r="JV81" s="42"/>
      <c r="JW81" s="42"/>
      <c r="JX81" s="42"/>
    </row>
    <row r="82" spans="1:284" s="7" customFormat="1" x14ac:dyDescent="0.2">
      <c r="A82" s="406"/>
      <c r="B82" s="2" t="s">
        <v>1</v>
      </c>
      <c r="C82" s="41"/>
      <c r="D82" s="41"/>
      <c r="E82" s="41"/>
      <c r="F82" s="41"/>
      <c r="G82" s="41"/>
      <c r="H82" s="41"/>
      <c r="I82" s="41"/>
      <c r="J82" s="464"/>
      <c r="K82" s="464" t="s">
        <v>504</v>
      </c>
      <c r="L82" s="8">
        <f t="shared" ref="L82:AQ82" si="261">L22</f>
        <v>0</v>
      </c>
      <c r="M82" s="8">
        <f t="shared" si="261"/>
        <v>1</v>
      </c>
      <c r="N82" s="8">
        <f t="shared" si="261"/>
        <v>2</v>
      </c>
      <c r="O82" s="8">
        <f t="shared" si="261"/>
        <v>3</v>
      </c>
      <c r="P82" s="8">
        <f t="shared" si="261"/>
        <v>4</v>
      </c>
      <c r="Q82" s="8">
        <f t="shared" si="261"/>
        <v>5</v>
      </c>
      <c r="R82" s="8">
        <f t="shared" si="261"/>
        <v>6</v>
      </c>
      <c r="S82" s="8">
        <f t="shared" si="261"/>
        <v>7</v>
      </c>
      <c r="T82" s="8">
        <f t="shared" si="261"/>
        <v>8</v>
      </c>
      <c r="U82" s="8">
        <f t="shared" si="261"/>
        <v>9</v>
      </c>
      <c r="V82" s="8">
        <f t="shared" si="261"/>
        <v>10</v>
      </c>
      <c r="W82" s="8">
        <f t="shared" si="261"/>
        <v>11</v>
      </c>
      <c r="X82" s="8">
        <f t="shared" si="261"/>
        <v>12</v>
      </c>
      <c r="Y82" s="8">
        <f t="shared" si="261"/>
        <v>13</v>
      </c>
      <c r="Z82" s="8">
        <f t="shared" si="261"/>
        <v>14</v>
      </c>
      <c r="AA82" s="8">
        <f t="shared" si="261"/>
        <v>15</v>
      </c>
      <c r="AB82" s="8">
        <f t="shared" si="261"/>
        <v>16</v>
      </c>
      <c r="AC82" s="8">
        <f t="shared" si="261"/>
        <v>17</v>
      </c>
      <c r="AD82" s="8">
        <f t="shared" si="261"/>
        <v>18</v>
      </c>
      <c r="AE82" s="8">
        <f t="shared" si="261"/>
        <v>19</v>
      </c>
      <c r="AF82" s="8">
        <f t="shared" si="261"/>
        <v>20</v>
      </c>
      <c r="AG82" s="8">
        <f t="shared" si="261"/>
        <v>21</v>
      </c>
      <c r="AH82" s="8">
        <f t="shared" si="261"/>
        <v>22</v>
      </c>
      <c r="AI82" s="8">
        <f t="shared" si="261"/>
        <v>23</v>
      </c>
      <c r="AJ82" s="8">
        <f t="shared" si="261"/>
        <v>24</v>
      </c>
      <c r="AK82" s="8">
        <f t="shared" si="261"/>
        <v>25</v>
      </c>
      <c r="AL82" s="8">
        <f t="shared" si="261"/>
        <v>26</v>
      </c>
      <c r="AM82" s="8">
        <f t="shared" si="261"/>
        <v>27</v>
      </c>
      <c r="AN82" s="8">
        <f t="shared" si="261"/>
        <v>28</v>
      </c>
      <c r="AO82" s="8">
        <f t="shared" si="261"/>
        <v>29</v>
      </c>
      <c r="AP82" s="8">
        <f t="shared" si="261"/>
        <v>30</v>
      </c>
      <c r="AQ82" s="8">
        <f t="shared" si="261"/>
        <v>31</v>
      </c>
      <c r="AR82" s="8">
        <f t="shared" ref="AR82:BW82" si="262">AR22</f>
        <v>32</v>
      </c>
      <c r="AS82" s="8">
        <f t="shared" si="262"/>
        <v>33</v>
      </c>
      <c r="AT82" s="8">
        <f t="shared" si="262"/>
        <v>34</v>
      </c>
      <c r="AU82" s="8">
        <f t="shared" si="262"/>
        <v>35</v>
      </c>
      <c r="AV82" s="8">
        <f t="shared" si="262"/>
        <v>36</v>
      </c>
      <c r="AW82" s="8">
        <f t="shared" si="262"/>
        <v>37</v>
      </c>
      <c r="AX82" s="8">
        <f t="shared" si="262"/>
        <v>38</v>
      </c>
      <c r="AY82" s="8">
        <f t="shared" si="262"/>
        <v>39</v>
      </c>
      <c r="AZ82" s="8">
        <f t="shared" si="262"/>
        <v>40</v>
      </c>
      <c r="BA82" s="8">
        <f t="shared" si="262"/>
        <v>41</v>
      </c>
      <c r="BB82" s="8">
        <f t="shared" si="262"/>
        <v>42</v>
      </c>
      <c r="BC82" s="8">
        <f t="shared" si="262"/>
        <v>43</v>
      </c>
      <c r="BD82" s="8">
        <f t="shared" si="262"/>
        <v>44</v>
      </c>
      <c r="BE82" s="8">
        <f t="shared" si="262"/>
        <v>45</v>
      </c>
      <c r="BF82" s="8">
        <f t="shared" si="262"/>
        <v>46</v>
      </c>
      <c r="BG82" s="8">
        <f t="shared" si="262"/>
        <v>47</v>
      </c>
      <c r="BH82" s="8">
        <f t="shared" si="262"/>
        <v>48</v>
      </c>
      <c r="BI82" s="8">
        <f t="shared" si="262"/>
        <v>49</v>
      </c>
      <c r="BJ82" s="8">
        <f t="shared" si="262"/>
        <v>50</v>
      </c>
      <c r="BK82" s="8">
        <f t="shared" si="262"/>
        <v>51</v>
      </c>
      <c r="BL82" s="8">
        <f t="shared" si="262"/>
        <v>52</v>
      </c>
      <c r="BM82" s="8">
        <f t="shared" si="262"/>
        <v>53</v>
      </c>
      <c r="BN82" s="8">
        <f t="shared" si="262"/>
        <v>54</v>
      </c>
      <c r="BO82" s="8">
        <f t="shared" si="262"/>
        <v>55</v>
      </c>
      <c r="BP82" s="8">
        <f t="shared" si="262"/>
        <v>56</v>
      </c>
      <c r="BQ82" s="8">
        <f t="shared" si="262"/>
        <v>57</v>
      </c>
      <c r="BR82" s="8">
        <f t="shared" si="262"/>
        <v>58</v>
      </c>
      <c r="BS82" s="8">
        <f t="shared" si="262"/>
        <v>59</v>
      </c>
      <c r="BT82" s="8">
        <f t="shared" si="262"/>
        <v>60</v>
      </c>
      <c r="BU82" s="8">
        <f t="shared" si="262"/>
        <v>61</v>
      </c>
      <c r="BV82" s="8">
        <f t="shared" si="262"/>
        <v>62</v>
      </c>
      <c r="BW82" s="8">
        <f t="shared" si="262"/>
        <v>63</v>
      </c>
      <c r="BX82" s="8">
        <f t="shared" ref="BX82:DC82" si="263">BX22</f>
        <v>64</v>
      </c>
      <c r="BY82" s="8">
        <f t="shared" si="263"/>
        <v>65</v>
      </c>
      <c r="BZ82" s="8">
        <f t="shared" si="263"/>
        <v>66</v>
      </c>
      <c r="CA82" s="8">
        <f t="shared" si="263"/>
        <v>67</v>
      </c>
      <c r="CB82" s="8">
        <f t="shared" si="263"/>
        <v>68</v>
      </c>
      <c r="CC82" s="8">
        <f t="shared" si="263"/>
        <v>69</v>
      </c>
      <c r="CD82" s="8">
        <f t="shared" si="263"/>
        <v>70</v>
      </c>
      <c r="CE82" s="8">
        <f t="shared" si="263"/>
        <v>71</v>
      </c>
      <c r="CF82" s="8">
        <f t="shared" si="263"/>
        <v>72</v>
      </c>
      <c r="CG82" s="8">
        <f t="shared" si="263"/>
        <v>73</v>
      </c>
      <c r="CH82" s="8">
        <f t="shared" si="263"/>
        <v>74</v>
      </c>
      <c r="CI82" s="8">
        <f t="shared" si="263"/>
        <v>75</v>
      </c>
      <c r="CJ82" s="8">
        <f t="shared" si="263"/>
        <v>76</v>
      </c>
      <c r="CK82" s="8">
        <f t="shared" si="263"/>
        <v>77</v>
      </c>
      <c r="CL82" s="8">
        <f t="shared" si="263"/>
        <v>78</v>
      </c>
      <c r="CM82" s="8">
        <f t="shared" si="263"/>
        <v>79</v>
      </c>
      <c r="CN82" s="8">
        <f t="shared" si="263"/>
        <v>80</v>
      </c>
      <c r="CO82" s="8">
        <f t="shared" si="263"/>
        <v>81</v>
      </c>
      <c r="CP82" s="8">
        <f t="shared" si="263"/>
        <v>82</v>
      </c>
      <c r="CQ82" s="8">
        <f t="shared" si="263"/>
        <v>83</v>
      </c>
      <c r="CR82" s="8">
        <f t="shared" si="263"/>
        <v>84</v>
      </c>
      <c r="CS82" s="8">
        <f t="shared" si="263"/>
        <v>85</v>
      </c>
      <c r="CT82" s="8">
        <f t="shared" si="263"/>
        <v>86</v>
      </c>
      <c r="CU82" s="8">
        <f t="shared" si="263"/>
        <v>87</v>
      </c>
      <c r="CV82" s="8">
        <f t="shared" si="263"/>
        <v>88</v>
      </c>
      <c r="CW82" s="8">
        <f t="shared" si="263"/>
        <v>89</v>
      </c>
      <c r="CX82" s="8">
        <f t="shared" si="263"/>
        <v>90</v>
      </c>
      <c r="CY82" s="8">
        <f t="shared" si="263"/>
        <v>91</v>
      </c>
      <c r="CZ82" s="8">
        <f t="shared" si="263"/>
        <v>92</v>
      </c>
      <c r="DA82" s="8">
        <f t="shared" si="263"/>
        <v>93</v>
      </c>
      <c r="DB82" s="8">
        <f t="shared" si="263"/>
        <v>94</v>
      </c>
      <c r="DC82" s="8">
        <f t="shared" si="263"/>
        <v>95</v>
      </c>
      <c r="DD82" s="8">
        <f t="shared" ref="DD82:EN82" si="264">DD22</f>
        <v>96</v>
      </c>
      <c r="DE82" s="8">
        <f t="shared" si="264"/>
        <v>97</v>
      </c>
      <c r="DF82" s="8">
        <f t="shared" si="264"/>
        <v>98</v>
      </c>
      <c r="DG82" s="8">
        <f t="shared" si="264"/>
        <v>99</v>
      </c>
      <c r="DH82" s="8">
        <f t="shared" si="264"/>
        <v>100</v>
      </c>
      <c r="DI82" s="8">
        <f t="shared" si="264"/>
        <v>101</v>
      </c>
      <c r="DJ82" s="8">
        <f t="shared" si="264"/>
        <v>102</v>
      </c>
      <c r="DK82" s="8">
        <f t="shared" si="264"/>
        <v>103</v>
      </c>
      <c r="DL82" s="8">
        <f t="shared" si="264"/>
        <v>104</v>
      </c>
      <c r="DM82" s="8">
        <f t="shared" si="264"/>
        <v>105</v>
      </c>
      <c r="DN82" s="8">
        <f t="shared" si="264"/>
        <v>106</v>
      </c>
      <c r="DO82" s="8">
        <f t="shared" si="264"/>
        <v>107</v>
      </c>
      <c r="DP82" s="8">
        <f t="shared" si="264"/>
        <v>108</v>
      </c>
      <c r="DQ82" s="8">
        <f t="shared" si="264"/>
        <v>109</v>
      </c>
      <c r="DR82" s="8">
        <f t="shared" si="264"/>
        <v>110</v>
      </c>
      <c r="DS82" s="8">
        <f t="shared" si="264"/>
        <v>111</v>
      </c>
      <c r="DT82" s="8">
        <f t="shared" si="264"/>
        <v>112</v>
      </c>
      <c r="DU82" s="8">
        <f t="shared" si="264"/>
        <v>113</v>
      </c>
      <c r="DV82" s="8">
        <f t="shared" si="264"/>
        <v>114</v>
      </c>
      <c r="DW82" s="8">
        <f t="shared" si="264"/>
        <v>115</v>
      </c>
      <c r="DX82" s="8">
        <f t="shared" si="264"/>
        <v>116</v>
      </c>
      <c r="DY82" s="8">
        <f t="shared" si="264"/>
        <v>117</v>
      </c>
      <c r="DZ82" s="8">
        <f t="shared" si="264"/>
        <v>118</v>
      </c>
      <c r="EA82" s="8">
        <f t="shared" si="264"/>
        <v>119</v>
      </c>
      <c r="EB82" s="8">
        <f t="shared" si="264"/>
        <v>120</v>
      </c>
      <c r="EC82" s="8">
        <f t="shared" si="264"/>
        <v>121</v>
      </c>
      <c r="ED82" s="8">
        <f t="shared" si="264"/>
        <v>122</v>
      </c>
      <c r="EE82" s="8">
        <f t="shared" si="264"/>
        <v>123</v>
      </c>
      <c r="EF82" s="8">
        <f t="shared" si="264"/>
        <v>124</v>
      </c>
      <c r="EG82" s="8">
        <f t="shared" si="264"/>
        <v>125</v>
      </c>
      <c r="EH82" s="8">
        <f t="shared" si="264"/>
        <v>126</v>
      </c>
      <c r="EI82" s="8">
        <f t="shared" si="264"/>
        <v>127</v>
      </c>
      <c r="EJ82" s="8">
        <f t="shared" si="264"/>
        <v>128</v>
      </c>
      <c r="EK82" s="8">
        <f t="shared" si="264"/>
        <v>129</v>
      </c>
      <c r="EL82" s="8">
        <f t="shared" si="264"/>
        <v>130</v>
      </c>
      <c r="EM82" s="8">
        <f t="shared" si="264"/>
        <v>131</v>
      </c>
      <c r="EN82" s="8">
        <f t="shared" si="264"/>
        <v>132</v>
      </c>
      <c r="EP82" s="24"/>
      <c r="EQ82" s="24"/>
      <c r="ER82" s="24"/>
      <c r="ES82" s="24"/>
      <c r="ET82" s="24"/>
      <c r="EU82" s="33"/>
      <c r="EV82" s="30"/>
      <c r="EW82" s="30"/>
      <c r="EX82" s="30"/>
      <c r="EY82" s="30"/>
      <c r="EZ82" s="30"/>
      <c r="FA82" s="30"/>
      <c r="FB82" s="30"/>
      <c r="FC82" s="30"/>
      <c r="FD82" s="30"/>
      <c r="FE82" s="30"/>
      <c r="FF82" s="30"/>
      <c r="FG82" s="30"/>
      <c r="FH82" s="30"/>
      <c r="FI82" s="30"/>
      <c r="FJ82" s="30"/>
      <c r="FK82" s="30"/>
      <c r="FL82" s="30"/>
      <c r="FM82" s="30"/>
      <c r="FN82" s="30"/>
      <c r="FO82" s="30"/>
      <c r="FP82" s="30"/>
      <c r="FQ82" s="30"/>
      <c r="FR82" s="30"/>
      <c r="FS82" s="30"/>
      <c r="FT82" s="30"/>
      <c r="FU82" s="30"/>
      <c r="FV82" s="30"/>
      <c r="FW82" s="30"/>
      <c r="FX82" s="30"/>
      <c r="FY82" s="30"/>
      <c r="FZ82" s="30"/>
      <c r="GA82" s="30"/>
      <c r="GB82" s="30"/>
      <c r="GC82" s="30"/>
      <c r="GD82" s="30"/>
      <c r="GE82" s="30"/>
      <c r="GF82" s="30"/>
      <c r="GG82" s="30"/>
      <c r="GH82" s="30"/>
      <c r="GI82" s="30"/>
      <c r="GJ82" s="30"/>
      <c r="GK82" s="30"/>
      <c r="GL82" s="30"/>
      <c r="GM82" s="30"/>
      <c r="GN82" s="30"/>
      <c r="GO82" s="30"/>
      <c r="GP82" s="30"/>
      <c r="GQ82" s="30"/>
      <c r="GR82" s="30"/>
      <c r="GS82" s="30"/>
      <c r="GT82" s="30"/>
      <c r="GU82" s="30"/>
      <c r="GV82" s="30"/>
      <c r="GW82" s="30"/>
      <c r="GX82" s="30"/>
      <c r="GY82" s="30"/>
      <c r="GZ82" s="30"/>
      <c r="HA82" s="30"/>
      <c r="HB82" s="30"/>
      <c r="HC82" s="30"/>
      <c r="HD82" s="30"/>
      <c r="HE82" s="30"/>
      <c r="HF82" s="30"/>
      <c r="HG82" s="30"/>
      <c r="HH82" s="30"/>
      <c r="HI82" s="30"/>
      <c r="HJ82" s="30"/>
      <c r="HK82" s="30"/>
      <c r="HL82" s="30"/>
      <c r="HM82" s="30"/>
      <c r="HN82" s="30"/>
      <c r="HO82" s="30"/>
      <c r="HP82" s="30"/>
      <c r="HQ82" s="30"/>
      <c r="HR82" s="30"/>
      <c r="HS82" s="30"/>
      <c r="HT82" s="30"/>
      <c r="HU82" s="30"/>
      <c r="HV82" s="30"/>
      <c r="HW82" s="30"/>
      <c r="HX82" s="30"/>
      <c r="HY82" s="30"/>
      <c r="HZ82" s="30"/>
      <c r="IA82" s="30"/>
      <c r="IB82" s="30"/>
      <c r="IC82" s="30"/>
      <c r="ID82" s="30"/>
      <c r="IE82" s="30"/>
      <c r="IF82" s="30"/>
      <c r="IG82" s="30"/>
      <c r="IH82" s="30"/>
      <c r="II82" s="30"/>
      <c r="IJ82" s="30"/>
      <c r="IK82" s="30"/>
      <c r="IL82" s="30"/>
      <c r="IM82" s="30"/>
      <c r="IN82" s="30"/>
      <c r="IO82" s="30"/>
      <c r="IP82" s="30"/>
      <c r="IQ82" s="30"/>
      <c r="IR82" s="30"/>
      <c r="IS82" s="30"/>
      <c r="IT82" s="30"/>
      <c r="IU82" s="30"/>
      <c r="IV82" s="30"/>
      <c r="IW82" s="30"/>
      <c r="IX82" s="30"/>
      <c r="IY82" s="30"/>
      <c r="IZ82" s="30"/>
      <c r="JA82" s="30"/>
      <c r="JB82" s="30"/>
      <c r="JC82" s="30"/>
      <c r="JD82" s="30"/>
      <c r="JE82" s="30"/>
      <c r="JF82" s="30"/>
      <c r="JG82" s="30"/>
      <c r="JH82" s="30"/>
      <c r="JI82" s="30"/>
      <c r="JJ82" s="30"/>
      <c r="JK82" s="30"/>
      <c r="JL82" s="30"/>
      <c r="JM82" s="30"/>
      <c r="JN82" s="30"/>
      <c r="JO82" s="30"/>
      <c r="JP82" s="30"/>
      <c r="JQ82" s="30"/>
      <c r="JR82" s="30"/>
      <c r="JS82" s="30"/>
      <c r="JT82" s="30"/>
      <c r="JU82" s="30"/>
      <c r="JV82" s="30"/>
      <c r="JW82" s="30"/>
      <c r="JX82" s="30"/>
    </row>
    <row r="83" spans="1:284" s="7" customFormat="1" x14ac:dyDescent="0.2">
      <c r="A83" s="406"/>
      <c r="B83" s="10" t="s">
        <v>105</v>
      </c>
      <c r="C83" s="66"/>
      <c r="D83" s="66"/>
      <c r="E83" s="66"/>
      <c r="F83" s="66"/>
      <c r="G83" s="66" t="str">
        <f>IF(LeaseUp_Method=1,"Detailed Lease Up Method","Basic Lease Up Method")</f>
        <v>Basic Lease Up Method</v>
      </c>
      <c r="H83" s="66"/>
      <c r="I83" s="66"/>
      <c r="J83" s="463"/>
      <c r="K83" s="463" t="s">
        <v>505</v>
      </c>
      <c r="L83" s="36">
        <f t="shared" ref="L83:AQ83" si="265">L23</f>
        <v>44561</v>
      </c>
      <c r="M83" s="36">
        <f t="shared" si="265"/>
        <v>44592</v>
      </c>
      <c r="N83" s="36">
        <f t="shared" si="265"/>
        <v>44620</v>
      </c>
      <c r="O83" s="36">
        <f t="shared" si="265"/>
        <v>44651</v>
      </c>
      <c r="P83" s="36">
        <f t="shared" si="265"/>
        <v>44681</v>
      </c>
      <c r="Q83" s="36">
        <f t="shared" si="265"/>
        <v>44712</v>
      </c>
      <c r="R83" s="36">
        <f t="shared" si="265"/>
        <v>44742</v>
      </c>
      <c r="S83" s="36">
        <f t="shared" si="265"/>
        <v>44773</v>
      </c>
      <c r="T83" s="36">
        <f t="shared" si="265"/>
        <v>44804</v>
      </c>
      <c r="U83" s="36">
        <f t="shared" si="265"/>
        <v>44834</v>
      </c>
      <c r="V83" s="36">
        <f t="shared" si="265"/>
        <v>44865</v>
      </c>
      <c r="W83" s="36">
        <f t="shared" si="265"/>
        <v>44895</v>
      </c>
      <c r="X83" s="36">
        <f t="shared" si="265"/>
        <v>44926</v>
      </c>
      <c r="Y83" s="36">
        <f t="shared" si="265"/>
        <v>44957</v>
      </c>
      <c r="Z83" s="36">
        <f t="shared" si="265"/>
        <v>44985</v>
      </c>
      <c r="AA83" s="36">
        <f t="shared" si="265"/>
        <v>45016</v>
      </c>
      <c r="AB83" s="36">
        <f t="shared" si="265"/>
        <v>45046</v>
      </c>
      <c r="AC83" s="36">
        <f t="shared" si="265"/>
        <v>45077</v>
      </c>
      <c r="AD83" s="36">
        <f t="shared" si="265"/>
        <v>45107</v>
      </c>
      <c r="AE83" s="36">
        <f t="shared" si="265"/>
        <v>45138</v>
      </c>
      <c r="AF83" s="36">
        <f t="shared" si="265"/>
        <v>45169</v>
      </c>
      <c r="AG83" s="36">
        <f t="shared" si="265"/>
        <v>45199</v>
      </c>
      <c r="AH83" s="36">
        <f t="shared" si="265"/>
        <v>45230</v>
      </c>
      <c r="AI83" s="36">
        <f t="shared" si="265"/>
        <v>45260</v>
      </c>
      <c r="AJ83" s="36">
        <f t="shared" si="265"/>
        <v>45291</v>
      </c>
      <c r="AK83" s="36">
        <f t="shared" si="265"/>
        <v>45322</v>
      </c>
      <c r="AL83" s="36">
        <f t="shared" si="265"/>
        <v>45351</v>
      </c>
      <c r="AM83" s="36">
        <f t="shared" si="265"/>
        <v>45382</v>
      </c>
      <c r="AN83" s="36">
        <f t="shared" si="265"/>
        <v>45412</v>
      </c>
      <c r="AO83" s="36">
        <f t="shared" si="265"/>
        <v>45443</v>
      </c>
      <c r="AP83" s="36">
        <f t="shared" si="265"/>
        <v>45473</v>
      </c>
      <c r="AQ83" s="36">
        <f t="shared" si="265"/>
        <v>45504</v>
      </c>
      <c r="AR83" s="36">
        <f t="shared" ref="AR83:BW83" si="266">AR23</f>
        <v>45535</v>
      </c>
      <c r="AS83" s="36">
        <f t="shared" si="266"/>
        <v>45565</v>
      </c>
      <c r="AT83" s="36">
        <f t="shared" si="266"/>
        <v>45596</v>
      </c>
      <c r="AU83" s="36">
        <f t="shared" si="266"/>
        <v>45626</v>
      </c>
      <c r="AV83" s="36">
        <f t="shared" si="266"/>
        <v>45657</v>
      </c>
      <c r="AW83" s="36">
        <f t="shared" si="266"/>
        <v>45688</v>
      </c>
      <c r="AX83" s="36">
        <f t="shared" si="266"/>
        <v>45716</v>
      </c>
      <c r="AY83" s="36">
        <f t="shared" si="266"/>
        <v>45747</v>
      </c>
      <c r="AZ83" s="36">
        <f t="shared" si="266"/>
        <v>45777</v>
      </c>
      <c r="BA83" s="36">
        <f t="shared" si="266"/>
        <v>45808</v>
      </c>
      <c r="BB83" s="36">
        <f t="shared" si="266"/>
        <v>45838</v>
      </c>
      <c r="BC83" s="36">
        <f t="shared" si="266"/>
        <v>45869</v>
      </c>
      <c r="BD83" s="36">
        <f t="shared" si="266"/>
        <v>45900</v>
      </c>
      <c r="BE83" s="36">
        <f t="shared" si="266"/>
        <v>45930</v>
      </c>
      <c r="BF83" s="36">
        <f t="shared" si="266"/>
        <v>45961</v>
      </c>
      <c r="BG83" s="36">
        <f t="shared" si="266"/>
        <v>45991</v>
      </c>
      <c r="BH83" s="36">
        <f t="shared" si="266"/>
        <v>46022</v>
      </c>
      <c r="BI83" s="36">
        <f t="shared" si="266"/>
        <v>46053</v>
      </c>
      <c r="BJ83" s="36">
        <f t="shared" si="266"/>
        <v>46081</v>
      </c>
      <c r="BK83" s="36">
        <f t="shared" si="266"/>
        <v>46112</v>
      </c>
      <c r="BL83" s="36">
        <f t="shared" si="266"/>
        <v>46142</v>
      </c>
      <c r="BM83" s="36">
        <f t="shared" si="266"/>
        <v>46173</v>
      </c>
      <c r="BN83" s="36">
        <f t="shared" si="266"/>
        <v>46203</v>
      </c>
      <c r="BO83" s="36">
        <f t="shared" si="266"/>
        <v>46234</v>
      </c>
      <c r="BP83" s="36">
        <f t="shared" si="266"/>
        <v>46265</v>
      </c>
      <c r="BQ83" s="36">
        <f t="shared" si="266"/>
        <v>46295</v>
      </c>
      <c r="BR83" s="36">
        <f t="shared" si="266"/>
        <v>46326</v>
      </c>
      <c r="BS83" s="36">
        <f t="shared" si="266"/>
        <v>46356</v>
      </c>
      <c r="BT83" s="36">
        <f t="shared" si="266"/>
        <v>46387</v>
      </c>
      <c r="BU83" s="36">
        <f t="shared" si="266"/>
        <v>46418</v>
      </c>
      <c r="BV83" s="36">
        <f t="shared" si="266"/>
        <v>46446</v>
      </c>
      <c r="BW83" s="36">
        <f t="shared" si="266"/>
        <v>46477</v>
      </c>
      <c r="BX83" s="36">
        <f t="shared" ref="BX83:DC83" si="267">BX23</f>
        <v>46507</v>
      </c>
      <c r="BY83" s="36">
        <f t="shared" si="267"/>
        <v>46538</v>
      </c>
      <c r="BZ83" s="36">
        <f t="shared" si="267"/>
        <v>46568</v>
      </c>
      <c r="CA83" s="36">
        <f t="shared" si="267"/>
        <v>46599</v>
      </c>
      <c r="CB83" s="36">
        <f t="shared" si="267"/>
        <v>46630</v>
      </c>
      <c r="CC83" s="36">
        <f t="shared" si="267"/>
        <v>46660</v>
      </c>
      <c r="CD83" s="36">
        <f t="shared" si="267"/>
        <v>46691</v>
      </c>
      <c r="CE83" s="36">
        <f t="shared" si="267"/>
        <v>46721</v>
      </c>
      <c r="CF83" s="36">
        <f t="shared" si="267"/>
        <v>46752</v>
      </c>
      <c r="CG83" s="36">
        <f t="shared" si="267"/>
        <v>46783</v>
      </c>
      <c r="CH83" s="36">
        <f t="shared" si="267"/>
        <v>46812</v>
      </c>
      <c r="CI83" s="36">
        <f t="shared" si="267"/>
        <v>46843</v>
      </c>
      <c r="CJ83" s="36">
        <f t="shared" si="267"/>
        <v>46873</v>
      </c>
      <c r="CK83" s="36">
        <f t="shared" si="267"/>
        <v>46904</v>
      </c>
      <c r="CL83" s="36">
        <f t="shared" si="267"/>
        <v>46934</v>
      </c>
      <c r="CM83" s="36">
        <f t="shared" si="267"/>
        <v>46965</v>
      </c>
      <c r="CN83" s="36">
        <f t="shared" si="267"/>
        <v>46996</v>
      </c>
      <c r="CO83" s="36">
        <f t="shared" si="267"/>
        <v>47026</v>
      </c>
      <c r="CP83" s="36">
        <f t="shared" si="267"/>
        <v>47057</v>
      </c>
      <c r="CQ83" s="36">
        <f t="shared" si="267"/>
        <v>47087</v>
      </c>
      <c r="CR83" s="36">
        <f t="shared" si="267"/>
        <v>47118</v>
      </c>
      <c r="CS83" s="36">
        <f t="shared" si="267"/>
        <v>47149</v>
      </c>
      <c r="CT83" s="36">
        <f t="shared" si="267"/>
        <v>47177</v>
      </c>
      <c r="CU83" s="36">
        <f t="shared" si="267"/>
        <v>47208</v>
      </c>
      <c r="CV83" s="36">
        <f t="shared" si="267"/>
        <v>47238</v>
      </c>
      <c r="CW83" s="36">
        <f t="shared" si="267"/>
        <v>47269</v>
      </c>
      <c r="CX83" s="36">
        <f t="shared" si="267"/>
        <v>47299</v>
      </c>
      <c r="CY83" s="36">
        <f t="shared" si="267"/>
        <v>47330</v>
      </c>
      <c r="CZ83" s="36">
        <f t="shared" si="267"/>
        <v>47361</v>
      </c>
      <c r="DA83" s="36">
        <f t="shared" si="267"/>
        <v>47391</v>
      </c>
      <c r="DB83" s="36">
        <f t="shared" si="267"/>
        <v>47422</v>
      </c>
      <c r="DC83" s="36">
        <f t="shared" si="267"/>
        <v>47452</v>
      </c>
      <c r="DD83" s="36">
        <f t="shared" ref="DD83:EN83" si="268">DD23</f>
        <v>47483</v>
      </c>
      <c r="DE83" s="36">
        <f t="shared" si="268"/>
        <v>47514</v>
      </c>
      <c r="DF83" s="36">
        <f t="shared" si="268"/>
        <v>47542</v>
      </c>
      <c r="DG83" s="36">
        <f t="shared" si="268"/>
        <v>47573</v>
      </c>
      <c r="DH83" s="36">
        <f t="shared" si="268"/>
        <v>47603</v>
      </c>
      <c r="DI83" s="36">
        <f t="shared" si="268"/>
        <v>47634</v>
      </c>
      <c r="DJ83" s="36">
        <f t="shared" si="268"/>
        <v>47664</v>
      </c>
      <c r="DK83" s="36">
        <f t="shared" si="268"/>
        <v>47695</v>
      </c>
      <c r="DL83" s="36">
        <f t="shared" si="268"/>
        <v>47726</v>
      </c>
      <c r="DM83" s="36">
        <f t="shared" si="268"/>
        <v>47756</v>
      </c>
      <c r="DN83" s="36">
        <f t="shared" si="268"/>
        <v>47787</v>
      </c>
      <c r="DO83" s="36">
        <f t="shared" si="268"/>
        <v>47817</v>
      </c>
      <c r="DP83" s="36">
        <f t="shared" si="268"/>
        <v>47848</v>
      </c>
      <c r="DQ83" s="36">
        <f t="shared" si="268"/>
        <v>47879</v>
      </c>
      <c r="DR83" s="36">
        <f t="shared" si="268"/>
        <v>47907</v>
      </c>
      <c r="DS83" s="36">
        <f t="shared" si="268"/>
        <v>47938</v>
      </c>
      <c r="DT83" s="36">
        <f t="shared" si="268"/>
        <v>47968</v>
      </c>
      <c r="DU83" s="36">
        <f t="shared" si="268"/>
        <v>47999</v>
      </c>
      <c r="DV83" s="36">
        <f t="shared" si="268"/>
        <v>48029</v>
      </c>
      <c r="DW83" s="36">
        <f t="shared" si="268"/>
        <v>48060</v>
      </c>
      <c r="DX83" s="36">
        <f t="shared" si="268"/>
        <v>48091</v>
      </c>
      <c r="DY83" s="36">
        <f t="shared" si="268"/>
        <v>48121</v>
      </c>
      <c r="DZ83" s="36">
        <f t="shared" si="268"/>
        <v>48152</v>
      </c>
      <c r="EA83" s="36">
        <f t="shared" si="268"/>
        <v>48182</v>
      </c>
      <c r="EB83" s="36">
        <f t="shared" si="268"/>
        <v>48213</v>
      </c>
      <c r="EC83" s="36">
        <f t="shared" si="268"/>
        <v>48244</v>
      </c>
      <c r="ED83" s="36">
        <f t="shared" si="268"/>
        <v>48273</v>
      </c>
      <c r="EE83" s="36">
        <f t="shared" si="268"/>
        <v>48304</v>
      </c>
      <c r="EF83" s="36">
        <f t="shared" si="268"/>
        <v>48334</v>
      </c>
      <c r="EG83" s="36">
        <f t="shared" si="268"/>
        <v>48365</v>
      </c>
      <c r="EH83" s="36">
        <f t="shared" si="268"/>
        <v>48395</v>
      </c>
      <c r="EI83" s="36">
        <f t="shared" si="268"/>
        <v>48426</v>
      </c>
      <c r="EJ83" s="36">
        <f t="shared" si="268"/>
        <v>48457</v>
      </c>
      <c r="EK83" s="36">
        <f t="shared" si="268"/>
        <v>48487</v>
      </c>
      <c r="EL83" s="36">
        <f t="shared" si="268"/>
        <v>48518</v>
      </c>
      <c r="EM83" s="36">
        <f t="shared" si="268"/>
        <v>48548</v>
      </c>
      <c r="EN83" s="36">
        <f t="shared" si="268"/>
        <v>48579</v>
      </c>
      <c r="EP83" s="37" t="s">
        <v>99</v>
      </c>
      <c r="EQ83" s="24"/>
      <c r="ER83" s="24" t="s">
        <v>102</v>
      </c>
      <c r="ES83" s="24"/>
      <c r="ET83" s="24"/>
      <c r="EU83" s="33" t="s">
        <v>98</v>
      </c>
      <c r="EV83" s="44"/>
      <c r="EW83" s="44">
        <f t="shared" ref="EW83:GB83" si="269">MAX(EW3-Timing_Operation_Begin_Month+1,0)</f>
        <v>0</v>
      </c>
      <c r="EX83" s="44">
        <f t="shared" si="269"/>
        <v>0</v>
      </c>
      <c r="EY83" s="44">
        <f t="shared" si="269"/>
        <v>0</v>
      </c>
      <c r="EZ83" s="44">
        <f t="shared" si="269"/>
        <v>0</v>
      </c>
      <c r="FA83" s="44">
        <f t="shared" si="269"/>
        <v>0</v>
      </c>
      <c r="FB83" s="44">
        <f t="shared" si="269"/>
        <v>0</v>
      </c>
      <c r="FC83" s="44">
        <f t="shared" si="269"/>
        <v>0</v>
      </c>
      <c r="FD83" s="44">
        <f t="shared" si="269"/>
        <v>0</v>
      </c>
      <c r="FE83" s="44">
        <f t="shared" si="269"/>
        <v>0</v>
      </c>
      <c r="FF83" s="44">
        <f t="shared" si="269"/>
        <v>0</v>
      </c>
      <c r="FG83" s="44">
        <f t="shared" si="269"/>
        <v>0</v>
      </c>
      <c r="FH83" s="44">
        <f t="shared" si="269"/>
        <v>0</v>
      </c>
      <c r="FI83" s="44">
        <f t="shared" si="269"/>
        <v>0</v>
      </c>
      <c r="FJ83" s="44">
        <f t="shared" si="269"/>
        <v>0</v>
      </c>
      <c r="FK83" s="44">
        <f t="shared" si="269"/>
        <v>0</v>
      </c>
      <c r="FL83" s="44">
        <f t="shared" si="269"/>
        <v>0</v>
      </c>
      <c r="FM83" s="44">
        <f t="shared" si="269"/>
        <v>0</v>
      </c>
      <c r="FN83" s="44">
        <f t="shared" si="269"/>
        <v>0</v>
      </c>
      <c r="FO83" s="44">
        <f t="shared" si="269"/>
        <v>1</v>
      </c>
      <c r="FP83" s="44">
        <f t="shared" si="269"/>
        <v>2</v>
      </c>
      <c r="FQ83" s="44">
        <f t="shared" si="269"/>
        <v>3</v>
      </c>
      <c r="FR83" s="44">
        <f t="shared" si="269"/>
        <v>4</v>
      </c>
      <c r="FS83" s="44">
        <f t="shared" si="269"/>
        <v>5</v>
      </c>
      <c r="FT83" s="44">
        <f t="shared" si="269"/>
        <v>6</v>
      </c>
      <c r="FU83" s="44">
        <f t="shared" si="269"/>
        <v>7</v>
      </c>
      <c r="FV83" s="44">
        <f t="shared" si="269"/>
        <v>8</v>
      </c>
      <c r="FW83" s="44">
        <f t="shared" si="269"/>
        <v>9</v>
      </c>
      <c r="FX83" s="44">
        <f t="shared" si="269"/>
        <v>10</v>
      </c>
      <c r="FY83" s="44">
        <f t="shared" si="269"/>
        <v>11</v>
      </c>
      <c r="FZ83" s="44">
        <f t="shared" si="269"/>
        <v>12</v>
      </c>
      <c r="GA83" s="44">
        <f t="shared" si="269"/>
        <v>13</v>
      </c>
      <c r="GB83" s="44">
        <f t="shared" si="269"/>
        <v>14</v>
      </c>
      <c r="GC83" s="44">
        <f t="shared" ref="GC83:HH83" si="270">MAX(GC3-Timing_Operation_Begin_Month+1,0)</f>
        <v>15</v>
      </c>
      <c r="GD83" s="44">
        <f t="shared" si="270"/>
        <v>16</v>
      </c>
      <c r="GE83" s="44">
        <f t="shared" si="270"/>
        <v>17</v>
      </c>
      <c r="GF83" s="44">
        <f t="shared" si="270"/>
        <v>18</v>
      </c>
      <c r="GG83" s="44">
        <f t="shared" si="270"/>
        <v>19</v>
      </c>
      <c r="GH83" s="44">
        <f t="shared" si="270"/>
        <v>20</v>
      </c>
      <c r="GI83" s="44">
        <f t="shared" si="270"/>
        <v>21</v>
      </c>
      <c r="GJ83" s="44">
        <f t="shared" si="270"/>
        <v>22</v>
      </c>
      <c r="GK83" s="44">
        <f t="shared" si="270"/>
        <v>23</v>
      </c>
      <c r="GL83" s="44">
        <f t="shared" si="270"/>
        <v>24</v>
      </c>
      <c r="GM83" s="44">
        <f t="shared" si="270"/>
        <v>25</v>
      </c>
      <c r="GN83" s="44">
        <f t="shared" si="270"/>
        <v>26</v>
      </c>
      <c r="GO83" s="44">
        <f t="shared" si="270"/>
        <v>27</v>
      </c>
      <c r="GP83" s="44">
        <f t="shared" si="270"/>
        <v>28</v>
      </c>
      <c r="GQ83" s="44">
        <f t="shared" si="270"/>
        <v>29</v>
      </c>
      <c r="GR83" s="44">
        <f t="shared" si="270"/>
        <v>30</v>
      </c>
      <c r="GS83" s="44">
        <f t="shared" si="270"/>
        <v>31</v>
      </c>
      <c r="GT83" s="44">
        <f t="shared" si="270"/>
        <v>32</v>
      </c>
      <c r="GU83" s="44">
        <f t="shared" si="270"/>
        <v>33</v>
      </c>
      <c r="GV83" s="44">
        <f t="shared" si="270"/>
        <v>34</v>
      </c>
      <c r="GW83" s="44">
        <f t="shared" si="270"/>
        <v>35</v>
      </c>
      <c r="GX83" s="44">
        <f t="shared" si="270"/>
        <v>36</v>
      </c>
      <c r="GY83" s="44">
        <f t="shared" si="270"/>
        <v>37</v>
      </c>
      <c r="GZ83" s="44">
        <f t="shared" si="270"/>
        <v>38</v>
      </c>
      <c r="HA83" s="44">
        <f t="shared" si="270"/>
        <v>39</v>
      </c>
      <c r="HB83" s="44">
        <f t="shared" si="270"/>
        <v>40</v>
      </c>
      <c r="HC83" s="44">
        <f t="shared" si="270"/>
        <v>41</v>
      </c>
      <c r="HD83" s="44">
        <f t="shared" si="270"/>
        <v>42</v>
      </c>
      <c r="HE83" s="44">
        <f t="shared" si="270"/>
        <v>43</v>
      </c>
      <c r="HF83" s="44">
        <f t="shared" si="270"/>
        <v>44</v>
      </c>
      <c r="HG83" s="44">
        <f t="shared" si="270"/>
        <v>45</v>
      </c>
      <c r="HH83" s="44">
        <f t="shared" si="270"/>
        <v>46</v>
      </c>
      <c r="HI83" s="44">
        <f t="shared" ref="HI83:IN83" si="271">MAX(HI3-Timing_Operation_Begin_Month+1,0)</f>
        <v>47</v>
      </c>
      <c r="HJ83" s="44">
        <f t="shared" si="271"/>
        <v>48</v>
      </c>
      <c r="HK83" s="44">
        <f t="shared" si="271"/>
        <v>49</v>
      </c>
      <c r="HL83" s="44">
        <f t="shared" si="271"/>
        <v>50</v>
      </c>
      <c r="HM83" s="44">
        <f t="shared" si="271"/>
        <v>51</v>
      </c>
      <c r="HN83" s="44">
        <f t="shared" si="271"/>
        <v>52</v>
      </c>
      <c r="HO83" s="44">
        <f t="shared" si="271"/>
        <v>53</v>
      </c>
      <c r="HP83" s="44">
        <f t="shared" si="271"/>
        <v>54</v>
      </c>
      <c r="HQ83" s="44">
        <f t="shared" si="271"/>
        <v>55</v>
      </c>
      <c r="HR83" s="44">
        <f t="shared" si="271"/>
        <v>56</v>
      </c>
      <c r="HS83" s="44">
        <f t="shared" si="271"/>
        <v>57</v>
      </c>
      <c r="HT83" s="44">
        <f t="shared" si="271"/>
        <v>58</v>
      </c>
      <c r="HU83" s="44">
        <f t="shared" si="271"/>
        <v>59</v>
      </c>
      <c r="HV83" s="44">
        <f t="shared" si="271"/>
        <v>60</v>
      </c>
      <c r="HW83" s="44">
        <f t="shared" si="271"/>
        <v>61</v>
      </c>
      <c r="HX83" s="44">
        <f t="shared" si="271"/>
        <v>62</v>
      </c>
      <c r="HY83" s="44">
        <f t="shared" si="271"/>
        <v>63</v>
      </c>
      <c r="HZ83" s="44">
        <f t="shared" si="271"/>
        <v>64</v>
      </c>
      <c r="IA83" s="44">
        <f t="shared" si="271"/>
        <v>65</v>
      </c>
      <c r="IB83" s="44">
        <f t="shared" si="271"/>
        <v>66</v>
      </c>
      <c r="IC83" s="44">
        <f t="shared" si="271"/>
        <v>67</v>
      </c>
      <c r="ID83" s="44">
        <f t="shared" si="271"/>
        <v>68</v>
      </c>
      <c r="IE83" s="44">
        <f t="shared" si="271"/>
        <v>69</v>
      </c>
      <c r="IF83" s="44">
        <f t="shared" si="271"/>
        <v>70</v>
      </c>
      <c r="IG83" s="44">
        <f t="shared" si="271"/>
        <v>71</v>
      </c>
      <c r="IH83" s="44">
        <f t="shared" si="271"/>
        <v>72</v>
      </c>
      <c r="II83" s="44">
        <f t="shared" si="271"/>
        <v>73</v>
      </c>
      <c r="IJ83" s="44">
        <f t="shared" si="271"/>
        <v>74</v>
      </c>
      <c r="IK83" s="44">
        <f t="shared" si="271"/>
        <v>75</v>
      </c>
      <c r="IL83" s="44">
        <f t="shared" si="271"/>
        <v>76</v>
      </c>
      <c r="IM83" s="44">
        <f t="shared" si="271"/>
        <v>77</v>
      </c>
      <c r="IN83" s="44">
        <f t="shared" si="271"/>
        <v>78</v>
      </c>
      <c r="IO83" s="44">
        <f t="shared" ref="IO83:JX83" si="272">MAX(IO3-Timing_Operation_Begin_Month+1,0)</f>
        <v>79</v>
      </c>
      <c r="IP83" s="44">
        <f t="shared" si="272"/>
        <v>80</v>
      </c>
      <c r="IQ83" s="44">
        <f t="shared" si="272"/>
        <v>81</v>
      </c>
      <c r="IR83" s="44">
        <f t="shared" si="272"/>
        <v>82</v>
      </c>
      <c r="IS83" s="44">
        <f t="shared" si="272"/>
        <v>83</v>
      </c>
      <c r="IT83" s="44">
        <f t="shared" si="272"/>
        <v>84</v>
      </c>
      <c r="IU83" s="44">
        <f t="shared" si="272"/>
        <v>85</v>
      </c>
      <c r="IV83" s="44">
        <f t="shared" si="272"/>
        <v>86</v>
      </c>
      <c r="IW83" s="44">
        <f t="shared" si="272"/>
        <v>87</v>
      </c>
      <c r="IX83" s="44">
        <f t="shared" si="272"/>
        <v>88</v>
      </c>
      <c r="IY83" s="44">
        <f t="shared" si="272"/>
        <v>89</v>
      </c>
      <c r="IZ83" s="44">
        <f t="shared" si="272"/>
        <v>90</v>
      </c>
      <c r="JA83" s="44">
        <f t="shared" si="272"/>
        <v>91</v>
      </c>
      <c r="JB83" s="44">
        <f t="shared" si="272"/>
        <v>92</v>
      </c>
      <c r="JC83" s="44">
        <f t="shared" si="272"/>
        <v>93</v>
      </c>
      <c r="JD83" s="44">
        <f t="shared" si="272"/>
        <v>94</v>
      </c>
      <c r="JE83" s="44">
        <f t="shared" si="272"/>
        <v>95</v>
      </c>
      <c r="JF83" s="44">
        <f t="shared" si="272"/>
        <v>96</v>
      </c>
      <c r="JG83" s="44">
        <f t="shared" si="272"/>
        <v>97</v>
      </c>
      <c r="JH83" s="44">
        <f t="shared" si="272"/>
        <v>98</v>
      </c>
      <c r="JI83" s="44">
        <f t="shared" si="272"/>
        <v>99</v>
      </c>
      <c r="JJ83" s="44">
        <f t="shared" si="272"/>
        <v>100</v>
      </c>
      <c r="JK83" s="44">
        <f t="shared" si="272"/>
        <v>101</v>
      </c>
      <c r="JL83" s="44">
        <f t="shared" si="272"/>
        <v>102</v>
      </c>
      <c r="JM83" s="44">
        <f t="shared" si="272"/>
        <v>103</v>
      </c>
      <c r="JN83" s="44">
        <f t="shared" si="272"/>
        <v>104</v>
      </c>
      <c r="JO83" s="44">
        <f t="shared" si="272"/>
        <v>105</v>
      </c>
      <c r="JP83" s="44">
        <f t="shared" si="272"/>
        <v>106</v>
      </c>
      <c r="JQ83" s="44">
        <f t="shared" si="272"/>
        <v>107</v>
      </c>
      <c r="JR83" s="44">
        <f t="shared" si="272"/>
        <v>108</v>
      </c>
      <c r="JS83" s="44">
        <f t="shared" si="272"/>
        <v>109</v>
      </c>
      <c r="JT83" s="44">
        <f t="shared" si="272"/>
        <v>110</v>
      </c>
      <c r="JU83" s="44">
        <f t="shared" si="272"/>
        <v>111</v>
      </c>
      <c r="JV83" s="44">
        <f t="shared" si="272"/>
        <v>112</v>
      </c>
      <c r="JW83" s="44">
        <f t="shared" si="272"/>
        <v>113</v>
      </c>
      <c r="JX83" s="44">
        <f t="shared" si="272"/>
        <v>114</v>
      </c>
    </row>
    <row r="84" spans="1:284" x14ac:dyDescent="0.2">
      <c r="A84" s="410">
        <v>0</v>
      </c>
      <c r="B84" s="92" t="s">
        <v>94</v>
      </c>
      <c r="C84" s="93"/>
      <c r="D84" s="94">
        <f>Timing_Construction_End+1</f>
        <v>19</v>
      </c>
      <c r="E84" s="93"/>
      <c r="F84" s="93"/>
      <c r="G84" s="196" t="s">
        <v>223</v>
      </c>
      <c r="H84" s="82" t="s">
        <v>222</v>
      </c>
      <c r="I84" s="95"/>
      <c r="K84" s="56" t="s">
        <v>97</v>
      </c>
      <c r="L84" s="57">
        <f t="shared" ref="L84" si="273">IF(L82&lt;Timing_Operation_Begin_Month,0,1-(EV84/Units))</f>
        <v>0</v>
      </c>
      <c r="M84" s="57">
        <f t="shared" ref="M84" si="274">IF(M82&lt;Timing_Operation_Begin_Month,0,1-(EW84/Units))</f>
        <v>0</v>
      </c>
      <c r="N84" s="57">
        <f t="shared" ref="N84" si="275">IF(N82&lt;Timing_Operation_Begin_Month,0,1-(EX84/Units))</f>
        <v>0</v>
      </c>
      <c r="O84" s="57">
        <f t="shared" ref="O84" si="276">IF(O82&lt;Timing_Operation_Begin_Month,0,1-(EY84/Units))</f>
        <v>0</v>
      </c>
      <c r="P84" s="57">
        <f t="shared" ref="P84" si="277">IF(P82&lt;Timing_Operation_Begin_Month,0,1-(EZ84/Units))</f>
        <v>0</v>
      </c>
      <c r="Q84" s="57">
        <f t="shared" ref="Q84" si="278">IF(Q82&lt;Timing_Operation_Begin_Month,0,1-(FA84/Units))</f>
        <v>0</v>
      </c>
      <c r="R84" s="57">
        <f t="shared" ref="R84" si="279">IF(R82&lt;Timing_Operation_Begin_Month,0,1-(FB84/Units))</f>
        <v>0</v>
      </c>
      <c r="S84" s="57">
        <f t="shared" ref="S84" si="280">IF(S82&lt;Timing_Operation_Begin_Month,0,1-(FC84/Units))</f>
        <v>0</v>
      </c>
      <c r="T84" s="57">
        <f t="shared" ref="T84" si="281">IF(T82&lt;Timing_Operation_Begin_Month,0,1-(FD84/Units))</f>
        <v>0</v>
      </c>
      <c r="U84" s="57">
        <f t="shared" ref="U84" si="282">IF(U82&lt;Timing_Operation_Begin_Month,0,1-(FE84/Units))</f>
        <v>0</v>
      </c>
      <c r="V84" s="57">
        <f t="shared" ref="V84" si="283">IF(V82&lt;Timing_Operation_Begin_Month,0,1-(FF84/Units))</f>
        <v>0</v>
      </c>
      <c r="W84" s="57">
        <f t="shared" ref="W84" si="284">IF(W82&lt;Timing_Operation_Begin_Month,0,1-(FG84/Units))</f>
        <v>0</v>
      </c>
      <c r="X84" s="57">
        <f t="shared" ref="X84" si="285">IF(X82&lt;Timing_Operation_Begin_Month,0,1-(FH84/Units))</f>
        <v>0</v>
      </c>
      <c r="Y84" s="57">
        <f t="shared" ref="Y84" si="286">IF(Y82&lt;Timing_Operation_Begin_Month,0,1-(FI84/Units))</f>
        <v>0</v>
      </c>
      <c r="Z84" s="57">
        <f t="shared" ref="Z84" si="287">IF(Z82&lt;Timing_Operation_Begin_Month,0,1-(FJ84/Units))</f>
        <v>0</v>
      </c>
      <c r="AA84" s="57">
        <f t="shared" ref="AA84" si="288">IF(AA82&lt;Timing_Operation_Begin_Month,0,1-(FK84/Units))</f>
        <v>0</v>
      </c>
      <c r="AB84" s="57">
        <f t="shared" ref="AB84" si="289">IF(AB82&lt;Timing_Operation_Begin_Month,0,1-(FL84/Units))</f>
        <v>0</v>
      </c>
      <c r="AC84" s="57">
        <f t="shared" ref="AC84" si="290">IF(AC82&lt;Timing_Operation_Begin_Month,0,1-(FM84/Units))</f>
        <v>0</v>
      </c>
      <c r="AD84" s="57">
        <f t="shared" ref="AD84" si="291">IF(AD82&lt;Timing_Operation_Begin_Month,0,1-(FN84/Units))</f>
        <v>0</v>
      </c>
      <c r="AE84" s="57">
        <f t="shared" ref="AE84" si="292">IF(AE82&lt;Timing_Operation_Begin_Month,0,1-(FO84/Units))</f>
        <v>9.9999999999999978E-2</v>
      </c>
      <c r="AF84" s="57">
        <f t="shared" ref="AF84" si="293">IF(AF82&lt;Timing_Operation_Begin_Month,0,1-(FP84/Units))</f>
        <v>0.16666666666666663</v>
      </c>
      <c r="AG84" s="57">
        <f t="shared" ref="AG84" si="294">IF(AG82&lt;Timing_Operation_Begin_Month,0,1-(FQ84/Units))</f>
        <v>0.23333333333333328</v>
      </c>
      <c r="AH84" s="57">
        <f t="shared" ref="AH84" si="295">IF(AH82&lt;Timing_Operation_Begin_Month,0,1-(FR84/Units))</f>
        <v>0.30000000000000004</v>
      </c>
      <c r="AI84" s="57">
        <f t="shared" ref="AI84" si="296">IF(AI82&lt;Timing_Operation_Begin_Month,0,1-(FS84/Units))</f>
        <v>0.3666666666666667</v>
      </c>
      <c r="AJ84" s="57">
        <f t="shared" ref="AJ84" si="297">IF(AJ82&lt;Timing_Operation_Begin_Month,0,1-(FT84/Units))</f>
        <v>0.43333333333333335</v>
      </c>
      <c r="AK84" s="57">
        <f t="shared" ref="AK84" si="298">IF(AK82&lt;Timing_Operation_Begin_Month,0,1-(FU84/Units))</f>
        <v>0.5</v>
      </c>
      <c r="AL84" s="57">
        <f t="shared" ref="AL84" si="299">IF(AL82&lt;Timing_Operation_Begin_Month,0,1-(FV84/Units))</f>
        <v>0.56666666666666665</v>
      </c>
      <c r="AM84" s="57">
        <f t="shared" ref="AM84" si="300">IF(AM82&lt;Timing_Operation_Begin_Month,0,1-(FW84/Units))</f>
        <v>0.6333333333333333</v>
      </c>
      <c r="AN84" s="57">
        <f t="shared" ref="AN84" si="301">IF(AN82&lt;Timing_Operation_Begin_Month,0,1-(FX84/Units))</f>
        <v>0.7</v>
      </c>
      <c r="AO84" s="57">
        <f t="shared" ref="AO84" si="302">IF(AO82&lt;Timing_Operation_Begin_Month,0,1-(FY84/Units))</f>
        <v>0.76666666666666661</v>
      </c>
      <c r="AP84" s="57">
        <f t="shared" ref="AP84" si="303">IF(AP82&lt;Timing_Operation_Begin_Month,0,1-(FZ84/Units))</f>
        <v>0.83333333333333337</v>
      </c>
      <c r="AQ84" s="57">
        <f t="shared" ref="AQ84" si="304">IF(AQ82&lt;Timing_Operation_Begin_Month,0,1-(GA84/Units))</f>
        <v>0.9</v>
      </c>
      <c r="AR84" s="57">
        <f t="shared" ref="AR84" si="305">IF(AR82&lt;Timing_Operation_Begin_Month,0,1-(GB84/Units))</f>
        <v>0.96666666666666667</v>
      </c>
      <c r="AS84" s="57">
        <f t="shared" ref="AS84" si="306">IF(AS82&lt;Timing_Operation_Begin_Month,0,1-(GC84/Units))</f>
        <v>1</v>
      </c>
      <c r="AT84" s="57">
        <f t="shared" ref="AT84" si="307">IF(AT82&lt;Timing_Operation_Begin_Month,0,1-(GD84/Units))</f>
        <v>1</v>
      </c>
      <c r="AU84" s="57">
        <f t="shared" ref="AU84" si="308">IF(AU82&lt;Timing_Operation_Begin_Month,0,1-(GE84/Units))</f>
        <v>1</v>
      </c>
      <c r="AV84" s="57">
        <f t="shared" ref="AV84" si="309">IF(AV82&lt;Timing_Operation_Begin_Month,0,1-(GF84/Units))</f>
        <v>1</v>
      </c>
      <c r="AW84" s="57">
        <f t="shared" ref="AW84" si="310">IF(AW82&lt;Timing_Operation_Begin_Month,0,1-(GG84/Units))</f>
        <v>1</v>
      </c>
      <c r="AX84" s="57">
        <f t="shared" ref="AX84" si="311">IF(AX82&lt;Timing_Operation_Begin_Month,0,1-(GH84/Units))</f>
        <v>1</v>
      </c>
      <c r="AY84" s="57">
        <f t="shared" ref="AY84" si="312">IF(AY82&lt;Timing_Operation_Begin_Month,0,1-(GI84/Units))</f>
        <v>1</v>
      </c>
      <c r="AZ84" s="57">
        <f t="shared" ref="AZ84" si="313">IF(AZ82&lt;Timing_Operation_Begin_Month,0,1-(GJ84/Units))</f>
        <v>1</v>
      </c>
      <c r="BA84" s="57">
        <f t="shared" ref="BA84" si="314">IF(BA82&lt;Timing_Operation_Begin_Month,0,1-(GK84/Units))</f>
        <v>1</v>
      </c>
      <c r="BB84" s="57">
        <f t="shared" ref="BB84" si="315">IF(BB82&lt;Timing_Operation_Begin_Month,0,1-(GL84/Units))</f>
        <v>1</v>
      </c>
      <c r="BC84" s="57">
        <f t="shared" ref="BC84" si="316">IF(BC82&lt;Timing_Operation_Begin_Month,0,1-(GM84/Units))</f>
        <v>1</v>
      </c>
      <c r="BD84" s="57">
        <f t="shared" ref="BD84" si="317">IF(BD82&lt;Timing_Operation_Begin_Month,0,1-(GN84/Units))</f>
        <v>1</v>
      </c>
      <c r="BE84" s="57">
        <f t="shared" ref="BE84" si="318">IF(BE82&lt;Timing_Operation_Begin_Month,0,1-(GO84/Units))</f>
        <v>1</v>
      </c>
      <c r="BF84" s="57">
        <f t="shared" ref="BF84" si="319">IF(BF82&lt;Timing_Operation_Begin_Month,0,1-(GP84/Units))</f>
        <v>1</v>
      </c>
      <c r="BG84" s="57">
        <f t="shared" ref="BG84" si="320">IF(BG82&lt;Timing_Operation_Begin_Month,0,1-(GQ84/Units))</f>
        <v>1</v>
      </c>
      <c r="BH84" s="57">
        <f t="shared" ref="BH84" si="321">IF(BH82&lt;Timing_Operation_Begin_Month,0,1-(GR84/Units))</f>
        <v>1</v>
      </c>
      <c r="BI84" s="57">
        <f t="shared" ref="BI84" si="322">IF(BI82&lt;Timing_Operation_Begin_Month,0,1-(GS84/Units))</f>
        <v>1</v>
      </c>
      <c r="BJ84" s="57">
        <f t="shared" ref="BJ84" si="323">IF(BJ82&lt;Timing_Operation_Begin_Month,0,1-(GT84/Units))</f>
        <v>1</v>
      </c>
      <c r="BK84" s="57">
        <f t="shared" ref="BK84" si="324">IF(BK82&lt;Timing_Operation_Begin_Month,0,1-(GU84/Units))</f>
        <v>1</v>
      </c>
      <c r="BL84" s="57">
        <f t="shared" ref="BL84" si="325">IF(BL82&lt;Timing_Operation_Begin_Month,0,1-(GV84/Units))</f>
        <v>1</v>
      </c>
      <c r="BM84" s="57">
        <f t="shared" ref="BM84" si="326">IF(BM82&lt;Timing_Operation_Begin_Month,0,1-(GW84/Units))</f>
        <v>1</v>
      </c>
      <c r="BN84" s="57">
        <f t="shared" ref="BN84" si="327">IF(BN82&lt;Timing_Operation_Begin_Month,0,1-(GX84/Units))</f>
        <v>1</v>
      </c>
      <c r="BO84" s="57">
        <f t="shared" ref="BO84" si="328">IF(BO82&lt;Timing_Operation_Begin_Month,0,1-(GY84/Units))</f>
        <v>1</v>
      </c>
      <c r="BP84" s="57">
        <f t="shared" ref="BP84" si="329">IF(BP82&lt;Timing_Operation_Begin_Month,0,1-(GZ84/Units))</f>
        <v>1</v>
      </c>
      <c r="BQ84" s="57">
        <f t="shared" ref="BQ84" si="330">IF(BQ82&lt;Timing_Operation_Begin_Month,0,1-(HA84/Units))</f>
        <v>1</v>
      </c>
      <c r="BR84" s="57">
        <f t="shared" ref="BR84" si="331">IF(BR82&lt;Timing_Operation_Begin_Month,0,1-(HB84/Units))</f>
        <v>1</v>
      </c>
      <c r="BS84" s="57">
        <f t="shared" ref="BS84" si="332">IF(BS82&lt;Timing_Operation_Begin_Month,0,1-(HC84/Units))</f>
        <v>1</v>
      </c>
      <c r="BT84" s="57">
        <f t="shared" ref="BT84" si="333">IF(BT82&lt;Timing_Operation_Begin_Month,0,1-(HD84/Units))</f>
        <v>1</v>
      </c>
      <c r="BU84" s="57">
        <f t="shared" ref="BU84" si="334">IF(BU82&lt;Timing_Operation_Begin_Month,0,1-(HE84/Units))</f>
        <v>1</v>
      </c>
      <c r="BV84" s="57">
        <f t="shared" ref="BV84" si="335">IF(BV82&lt;Timing_Operation_Begin_Month,0,1-(HF84/Units))</f>
        <v>1</v>
      </c>
      <c r="BW84" s="57">
        <f t="shared" ref="BW84" si="336">IF(BW82&lt;Timing_Operation_Begin_Month,0,1-(HG84/Units))</f>
        <v>1</v>
      </c>
      <c r="BX84" s="57">
        <f t="shared" ref="BX84" si="337">IF(BX82&lt;Timing_Operation_Begin_Month,0,1-(HH84/Units))</f>
        <v>1</v>
      </c>
      <c r="BY84" s="57">
        <f t="shared" ref="BY84" si="338">IF(BY82&lt;Timing_Operation_Begin_Month,0,1-(HI84/Units))</f>
        <v>1</v>
      </c>
      <c r="BZ84" s="57">
        <f t="shared" ref="BZ84" si="339">IF(BZ82&lt;Timing_Operation_Begin_Month,0,1-(HJ84/Units))</f>
        <v>1</v>
      </c>
      <c r="CA84" s="57">
        <f t="shared" ref="CA84" si="340">IF(CA82&lt;Timing_Operation_Begin_Month,0,1-(HK84/Units))</f>
        <v>1</v>
      </c>
      <c r="CB84" s="57">
        <f t="shared" ref="CB84" si="341">IF(CB82&lt;Timing_Operation_Begin_Month,0,1-(HL84/Units))</f>
        <v>1</v>
      </c>
      <c r="CC84" s="57">
        <f t="shared" ref="CC84" si="342">IF(CC82&lt;Timing_Operation_Begin_Month,0,1-(HM84/Units))</f>
        <v>1</v>
      </c>
      <c r="CD84" s="57">
        <f t="shared" ref="CD84" si="343">IF(CD82&lt;Timing_Operation_Begin_Month,0,1-(HN84/Units))</f>
        <v>1</v>
      </c>
      <c r="CE84" s="57">
        <f t="shared" ref="CE84" si="344">IF(CE82&lt;Timing_Operation_Begin_Month,0,1-(HO84/Units))</f>
        <v>1</v>
      </c>
      <c r="CF84" s="57">
        <f t="shared" ref="CF84" si="345">IF(CF82&lt;Timing_Operation_Begin_Month,0,1-(HP84/Units))</f>
        <v>1</v>
      </c>
      <c r="CG84" s="57">
        <f t="shared" ref="CG84" si="346">IF(CG82&lt;Timing_Operation_Begin_Month,0,1-(HQ84/Units))</f>
        <v>1</v>
      </c>
      <c r="CH84" s="57">
        <f t="shared" ref="CH84" si="347">IF(CH82&lt;Timing_Operation_Begin_Month,0,1-(HR84/Units))</f>
        <v>1</v>
      </c>
      <c r="CI84" s="57">
        <f t="shared" ref="CI84" si="348">IF(CI82&lt;Timing_Operation_Begin_Month,0,1-(HS84/Units))</f>
        <v>1</v>
      </c>
      <c r="CJ84" s="57">
        <f t="shared" ref="CJ84" si="349">IF(CJ82&lt;Timing_Operation_Begin_Month,0,1-(HT84/Units))</f>
        <v>1</v>
      </c>
      <c r="CK84" s="57">
        <f t="shared" ref="CK84" si="350">IF(CK82&lt;Timing_Operation_Begin_Month,0,1-(HU84/Units))</f>
        <v>1</v>
      </c>
      <c r="CL84" s="57">
        <f t="shared" ref="CL84" si="351">IF(CL82&lt;Timing_Operation_Begin_Month,0,1-(HV84/Units))</f>
        <v>1</v>
      </c>
      <c r="CM84" s="57">
        <f t="shared" ref="CM84" si="352">IF(CM82&lt;Timing_Operation_Begin_Month,0,1-(HW84/Units))</f>
        <v>1</v>
      </c>
      <c r="CN84" s="57">
        <f t="shared" ref="CN84" si="353">IF(CN82&lt;Timing_Operation_Begin_Month,0,1-(HX84/Units))</f>
        <v>1</v>
      </c>
      <c r="CO84" s="57">
        <f t="shared" ref="CO84" si="354">IF(CO82&lt;Timing_Operation_Begin_Month,0,1-(HY84/Units))</f>
        <v>1</v>
      </c>
      <c r="CP84" s="57">
        <f t="shared" ref="CP84" si="355">IF(CP82&lt;Timing_Operation_Begin_Month,0,1-(HZ84/Units))</f>
        <v>1</v>
      </c>
      <c r="CQ84" s="57">
        <f t="shared" ref="CQ84" si="356">IF(CQ82&lt;Timing_Operation_Begin_Month,0,1-(IA84/Units))</f>
        <v>1</v>
      </c>
      <c r="CR84" s="57">
        <f t="shared" ref="CR84" si="357">IF(CR82&lt;Timing_Operation_Begin_Month,0,1-(IB84/Units))</f>
        <v>1</v>
      </c>
      <c r="CS84" s="57">
        <f t="shared" ref="CS84" si="358">IF(CS82&lt;Timing_Operation_Begin_Month,0,1-(IC84/Units))</f>
        <v>1</v>
      </c>
      <c r="CT84" s="57">
        <f t="shared" ref="CT84" si="359">IF(CT82&lt;Timing_Operation_Begin_Month,0,1-(ID84/Units))</f>
        <v>1</v>
      </c>
      <c r="CU84" s="57">
        <f t="shared" ref="CU84" si="360">IF(CU82&lt;Timing_Operation_Begin_Month,0,1-(IE84/Units))</f>
        <v>1</v>
      </c>
      <c r="CV84" s="57">
        <f t="shared" ref="CV84" si="361">IF(CV82&lt;Timing_Operation_Begin_Month,0,1-(IF84/Units))</f>
        <v>1</v>
      </c>
      <c r="CW84" s="57">
        <f t="shared" ref="CW84" si="362">IF(CW82&lt;Timing_Operation_Begin_Month,0,1-(IG84/Units))</f>
        <v>1</v>
      </c>
      <c r="CX84" s="57">
        <f t="shared" ref="CX84" si="363">IF(CX82&lt;Timing_Operation_Begin_Month,0,1-(IH84/Units))</f>
        <v>1</v>
      </c>
      <c r="CY84" s="57">
        <f t="shared" ref="CY84" si="364">IF(CY82&lt;Timing_Operation_Begin_Month,0,1-(II84/Units))</f>
        <v>1</v>
      </c>
      <c r="CZ84" s="57">
        <f t="shared" ref="CZ84" si="365">IF(CZ82&lt;Timing_Operation_Begin_Month,0,1-(IJ84/Units))</f>
        <v>1</v>
      </c>
      <c r="DA84" s="57">
        <f t="shared" ref="DA84" si="366">IF(DA82&lt;Timing_Operation_Begin_Month,0,1-(IK84/Units))</f>
        <v>1</v>
      </c>
      <c r="DB84" s="57">
        <f t="shared" ref="DB84" si="367">IF(DB82&lt;Timing_Operation_Begin_Month,0,1-(IL84/Units))</f>
        <v>1</v>
      </c>
      <c r="DC84" s="57">
        <f t="shared" ref="DC84" si="368">IF(DC82&lt;Timing_Operation_Begin_Month,0,1-(IM84/Units))</f>
        <v>1</v>
      </c>
      <c r="DD84" s="57">
        <f t="shared" ref="DD84" si="369">IF(DD82&lt;Timing_Operation_Begin_Month,0,1-(IN84/Units))</f>
        <v>1</v>
      </c>
      <c r="DE84" s="57">
        <f t="shared" ref="DE84" si="370">IF(DE82&lt;Timing_Operation_Begin_Month,0,1-(IO84/Units))</f>
        <v>1</v>
      </c>
      <c r="DF84" s="57">
        <f t="shared" ref="DF84" si="371">IF(DF82&lt;Timing_Operation_Begin_Month,0,1-(IP84/Units))</f>
        <v>1</v>
      </c>
      <c r="DG84" s="57">
        <f t="shared" ref="DG84" si="372">IF(DG82&lt;Timing_Operation_Begin_Month,0,1-(IQ84/Units))</f>
        <v>1</v>
      </c>
      <c r="DH84" s="57">
        <f t="shared" ref="DH84" si="373">IF(DH82&lt;Timing_Operation_Begin_Month,0,1-(IR84/Units))</f>
        <v>1</v>
      </c>
      <c r="DI84" s="57">
        <f t="shared" ref="DI84" si="374">IF(DI82&lt;Timing_Operation_Begin_Month,0,1-(IS84/Units))</f>
        <v>1</v>
      </c>
      <c r="DJ84" s="57">
        <f t="shared" ref="DJ84" si="375">IF(DJ82&lt;Timing_Operation_Begin_Month,0,1-(IT84/Units))</f>
        <v>1</v>
      </c>
      <c r="DK84" s="57">
        <f t="shared" ref="DK84" si="376">IF(DK82&lt;Timing_Operation_Begin_Month,0,1-(IU84/Units))</f>
        <v>1</v>
      </c>
      <c r="DL84" s="57">
        <f t="shared" ref="DL84" si="377">IF(DL82&lt;Timing_Operation_Begin_Month,0,1-(IV84/Units))</f>
        <v>1</v>
      </c>
      <c r="DM84" s="57">
        <f t="shared" ref="DM84" si="378">IF(DM82&lt;Timing_Operation_Begin_Month,0,1-(IW84/Units))</f>
        <v>1</v>
      </c>
      <c r="DN84" s="57">
        <f t="shared" ref="DN84" si="379">IF(DN82&lt;Timing_Operation_Begin_Month,0,1-(IX84/Units))</f>
        <v>1</v>
      </c>
      <c r="DO84" s="57">
        <f t="shared" ref="DO84" si="380">IF(DO82&lt;Timing_Operation_Begin_Month,0,1-(IY84/Units))</f>
        <v>1</v>
      </c>
      <c r="DP84" s="57">
        <f t="shared" ref="DP84" si="381">IF(DP82&lt;Timing_Operation_Begin_Month,0,1-(IZ84/Units))</f>
        <v>1</v>
      </c>
      <c r="DQ84" s="57">
        <f t="shared" ref="DQ84" si="382">IF(DQ82&lt;Timing_Operation_Begin_Month,0,1-(JA84/Units))</f>
        <v>1</v>
      </c>
      <c r="DR84" s="57">
        <f t="shared" ref="DR84" si="383">IF(DR82&lt;Timing_Operation_Begin_Month,0,1-(JB84/Units))</f>
        <v>1</v>
      </c>
      <c r="DS84" s="57">
        <f t="shared" ref="DS84" si="384">IF(DS82&lt;Timing_Operation_Begin_Month,0,1-(JC84/Units))</f>
        <v>1</v>
      </c>
      <c r="DT84" s="57">
        <f t="shared" ref="DT84" si="385">IF(DT82&lt;Timing_Operation_Begin_Month,0,1-(JD84/Units))</f>
        <v>1</v>
      </c>
      <c r="DU84" s="57">
        <f t="shared" ref="DU84" si="386">IF(DU82&lt;Timing_Operation_Begin_Month,0,1-(JE84/Units))</f>
        <v>1</v>
      </c>
      <c r="DV84" s="57">
        <f t="shared" ref="DV84" si="387">IF(DV82&lt;Timing_Operation_Begin_Month,0,1-(JF84/Units))</f>
        <v>1</v>
      </c>
      <c r="DW84" s="57">
        <f t="shared" ref="DW84" si="388">IF(DW82&lt;Timing_Operation_Begin_Month,0,1-(JG84/Units))</f>
        <v>1</v>
      </c>
      <c r="DX84" s="57">
        <f t="shared" ref="DX84" si="389">IF(DX82&lt;Timing_Operation_Begin_Month,0,1-(JH84/Units))</f>
        <v>1</v>
      </c>
      <c r="DY84" s="57">
        <f t="shared" ref="DY84" si="390">IF(DY82&lt;Timing_Operation_Begin_Month,0,1-(JI84/Units))</f>
        <v>1</v>
      </c>
      <c r="DZ84" s="57">
        <f t="shared" ref="DZ84" si="391">IF(DZ82&lt;Timing_Operation_Begin_Month,0,1-(JJ84/Units))</f>
        <v>1</v>
      </c>
      <c r="EA84" s="57">
        <f t="shared" ref="EA84" si="392">IF(EA82&lt;Timing_Operation_Begin_Month,0,1-(JK84/Units))</f>
        <v>1</v>
      </c>
      <c r="EB84" s="57">
        <f t="shared" ref="EB84" si="393">IF(EB82&lt;Timing_Operation_Begin_Month,0,1-(JL84/Units))</f>
        <v>1</v>
      </c>
      <c r="EC84" s="57">
        <f t="shared" ref="EC84" si="394">IF(EC82&lt;Timing_Operation_Begin_Month,0,1-(JM84/Units))</f>
        <v>1</v>
      </c>
      <c r="ED84" s="57">
        <f t="shared" ref="ED84" si="395">IF(ED82&lt;Timing_Operation_Begin_Month,0,1-(JN84/Units))</f>
        <v>1</v>
      </c>
      <c r="EE84" s="57">
        <f t="shared" ref="EE84" si="396">IF(EE82&lt;Timing_Operation_Begin_Month,0,1-(JO84/Units))</f>
        <v>1</v>
      </c>
      <c r="EF84" s="57">
        <f t="shared" ref="EF84" si="397">IF(EF82&lt;Timing_Operation_Begin_Month,0,1-(JP84/Units))</f>
        <v>1</v>
      </c>
      <c r="EG84" s="57">
        <f t="shared" ref="EG84" si="398">IF(EG82&lt;Timing_Operation_Begin_Month,0,1-(JQ84/Units))</f>
        <v>1</v>
      </c>
      <c r="EH84" s="57">
        <f t="shared" ref="EH84" si="399">IF(EH82&lt;Timing_Operation_Begin_Month,0,1-(JR84/Units))</f>
        <v>1</v>
      </c>
      <c r="EI84" s="57">
        <f t="shared" ref="EI84" si="400">IF(EI82&lt;Timing_Operation_Begin_Month,0,1-(JS84/Units))</f>
        <v>1</v>
      </c>
      <c r="EJ84" s="57">
        <f t="shared" ref="EJ84" si="401">IF(EJ82&lt;Timing_Operation_Begin_Month,0,1-(JT84/Units))</f>
        <v>1</v>
      </c>
      <c r="EK84" s="57">
        <f t="shared" ref="EK84" si="402">IF(EK82&lt;Timing_Operation_Begin_Month,0,1-(JU84/Units))</f>
        <v>1</v>
      </c>
      <c r="EL84" s="57">
        <f t="shared" ref="EL84" si="403">IF(EL82&lt;Timing_Operation_Begin_Month,0,1-(JV84/Units))</f>
        <v>1</v>
      </c>
      <c r="EM84" s="57">
        <f t="shared" ref="EM84" si="404">IF(EM82&lt;Timing_Operation_Begin_Month,0,1-(JW84/Units))</f>
        <v>1</v>
      </c>
      <c r="EN84" s="57">
        <f t="shared" ref="EN84" si="405">IF(EN82&lt;Timing_Operation_Begin_Month,0,1-(JX84/Units))</f>
        <v>1</v>
      </c>
      <c r="EP84" s="24" t="s">
        <v>100</v>
      </c>
      <c r="EQ84" s="24"/>
      <c r="ER84" s="24"/>
      <c r="ES84" s="24"/>
      <c r="ET84" s="24"/>
      <c r="EU84" s="33"/>
      <c r="EV84" s="24"/>
      <c r="EW84" s="24">
        <f>(EW83&gt;0)*(Units-SUM($EU$85:EW85))</f>
        <v>0</v>
      </c>
      <c r="EX84" s="24">
        <f>(EX83&gt;0)*(Units-SUM($EU$85:EX85))</f>
        <v>0</v>
      </c>
      <c r="EY84" s="24">
        <f>(EY83&gt;0)*(Units-SUM($EU$85:EY85))</f>
        <v>0</v>
      </c>
      <c r="EZ84" s="24">
        <f>(EZ83&gt;0)*(Units-SUM($EU$85:EZ85))</f>
        <v>0</v>
      </c>
      <c r="FA84" s="24">
        <f>(FA83&gt;0)*(Units-SUM($EU$85:FA85))</f>
        <v>0</v>
      </c>
      <c r="FB84" s="24">
        <f>(FB83&gt;0)*(Units-SUM($EU$85:FB85))</f>
        <v>0</v>
      </c>
      <c r="FC84" s="24">
        <f>(FC83&gt;0)*(Units-SUM($EU$85:FC85))</f>
        <v>0</v>
      </c>
      <c r="FD84" s="24">
        <f>(FD83&gt;0)*(Units-SUM($EU$85:FD85))</f>
        <v>0</v>
      </c>
      <c r="FE84" s="24">
        <f>(FE83&gt;0)*(Units-SUM($EU$85:FE85))</f>
        <v>0</v>
      </c>
      <c r="FF84" s="24">
        <f>(FF83&gt;0)*(Units-SUM($EU$85:FF85))</f>
        <v>0</v>
      </c>
      <c r="FG84" s="24">
        <f>(FG83&gt;0)*(Units-SUM($EU$85:FG85))</f>
        <v>0</v>
      </c>
      <c r="FH84" s="24">
        <f>(FH83&gt;0)*(Units-SUM($EU$85:FH85))</f>
        <v>0</v>
      </c>
      <c r="FI84" s="24">
        <f>(FI83&gt;0)*(Units-SUM($EU$85:FI85))</f>
        <v>0</v>
      </c>
      <c r="FJ84" s="24">
        <f>(FJ83&gt;0)*(Units-SUM($EU$85:FJ85))</f>
        <v>0</v>
      </c>
      <c r="FK84" s="24">
        <f>(FK83&gt;0)*(Units-SUM($EU$85:FK85))</f>
        <v>0</v>
      </c>
      <c r="FL84" s="24">
        <f>(FL83&gt;0)*(Units-SUM($EU$85:FL85))</f>
        <v>0</v>
      </c>
      <c r="FM84" s="24">
        <f>(FM83&gt;0)*(Units-SUM($EU$85:FM85))</f>
        <v>0</v>
      </c>
      <c r="FN84" s="24">
        <f>(FN83&gt;0)*(Units-SUM($EU$85:FN85))</f>
        <v>0</v>
      </c>
      <c r="FO84" s="24">
        <f>(FO83&gt;0)*(Units-SUM($EU$85:FO85))</f>
        <v>270</v>
      </c>
      <c r="FP84" s="24">
        <f>(FP83&gt;0)*(Units-SUM($EU$85:FP85))</f>
        <v>250</v>
      </c>
      <c r="FQ84" s="24">
        <f>(FQ83&gt;0)*(Units-SUM($EU$85:FQ85))</f>
        <v>230</v>
      </c>
      <c r="FR84" s="24">
        <f>(FR83&gt;0)*(Units-SUM($EU$85:FR85))</f>
        <v>210</v>
      </c>
      <c r="FS84" s="24">
        <f>(FS83&gt;0)*(Units-SUM($EU$85:FS85))</f>
        <v>190</v>
      </c>
      <c r="FT84" s="24">
        <f>(FT83&gt;0)*(Units-SUM($EU$85:FT85))</f>
        <v>170</v>
      </c>
      <c r="FU84" s="24">
        <f>(FU83&gt;0)*(Units-SUM($EU$85:FU85))</f>
        <v>150</v>
      </c>
      <c r="FV84" s="24">
        <f>(FV83&gt;0)*(Units-SUM($EU$85:FV85))</f>
        <v>130</v>
      </c>
      <c r="FW84" s="24">
        <f>(FW83&gt;0)*(Units-SUM($EU$85:FW85))</f>
        <v>110</v>
      </c>
      <c r="FX84" s="24">
        <f>(FX83&gt;0)*(Units-SUM($EU$85:FX85))</f>
        <v>90</v>
      </c>
      <c r="FY84" s="24">
        <f>(FY83&gt;0)*(Units-SUM($EU$85:FY85))</f>
        <v>70</v>
      </c>
      <c r="FZ84" s="24">
        <f>(FZ83&gt;0)*(Units-SUM($EU$85:FZ85))</f>
        <v>50</v>
      </c>
      <c r="GA84" s="24">
        <f>(GA83&gt;0)*(Units-SUM($EU$85:GA85))</f>
        <v>30</v>
      </c>
      <c r="GB84" s="24">
        <f>(GB83&gt;0)*(Units-SUM($EU$85:GB85))</f>
        <v>10</v>
      </c>
      <c r="GC84" s="24">
        <f>(GC83&gt;0)*(Units-SUM($EU$85:GC85))</f>
        <v>0</v>
      </c>
      <c r="GD84" s="24">
        <f>(GD83&gt;0)*(Units-SUM($EU$85:GD85))</f>
        <v>0</v>
      </c>
      <c r="GE84" s="24">
        <f>(GE83&gt;0)*(Units-SUM($EU$85:GE85))</f>
        <v>0</v>
      </c>
      <c r="GF84" s="24">
        <f>(GF83&gt;0)*(Units-SUM($EU$85:GF85))</f>
        <v>0</v>
      </c>
      <c r="GG84" s="24">
        <f>(GG83&gt;0)*(Units-SUM($EU$85:GG85))</f>
        <v>0</v>
      </c>
      <c r="GH84" s="24">
        <f>(GH83&gt;0)*(Units-SUM($EU$85:GH85))</f>
        <v>0</v>
      </c>
      <c r="GI84" s="24">
        <f>(GI83&gt;0)*(Units-SUM($EU$85:GI85))</f>
        <v>0</v>
      </c>
      <c r="GJ84" s="24">
        <f>(GJ83&gt;0)*(Units-SUM($EU$85:GJ85))</f>
        <v>0</v>
      </c>
      <c r="GK84" s="24">
        <f>(GK83&gt;0)*(Units-SUM($EU$85:GK85))</f>
        <v>0</v>
      </c>
      <c r="GL84" s="24">
        <f>(GL83&gt;0)*(Units-SUM($EU$85:GL85))</f>
        <v>0</v>
      </c>
      <c r="GM84" s="24">
        <f>(GM83&gt;0)*(Units-SUM($EU$85:GM85))</f>
        <v>0</v>
      </c>
      <c r="GN84" s="24">
        <f>(GN83&gt;0)*(Units-SUM($EU$85:GN85))</f>
        <v>0</v>
      </c>
      <c r="GO84" s="24">
        <f>(GO83&gt;0)*(Units-SUM($EU$85:GO85))</f>
        <v>0</v>
      </c>
      <c r="GP84" s="24">
        <f>(GP83&gt;0)*(Units-SUM($EU$85:GP85))</f>
        <v>0</v>
      </c>
      <c r="GQ84" s="24">
        <f>(GQ83&gt;0)*(Units-SUM($EU$85:GQ85))</f>
        <v>0</v>
      </c>
      <c r="GR84" s="24">
        <f>(GR83&gt;0)*(Units-SUM($EU$85:GR85))</f>
        <v>0</v>
      </c>
      <c r="GS84" s="24">
        <f>(GS83&gt;0)*(Units-SUM($EU$85:GS85))</f>
        <v>0</v>
      </c>
      <c r="GT84" s="24">
        <f>(GT83&gt;0)*(Units-SUM($EU$85:GT85))</f>
        <v>0</v>
      </c>
      <c r="GU84" s="24">
        <f>(GU83&gt;0)*(Units-SUM($EU$85:GU85))</f>
        <v>0</v>
      </c>
      <c r="GV84" s="24">
        <f>(GV83&gt;0)*(Units-SUM($EU$85:GV85))</f>
        <v>0</v>
      </c>
      <c r="GW84" s="24">
        <f>(GW83&gt;0)*(Units-SUM($EU$85:GW85))</f>
        <v>0</v>
      </c>
      <c r="GX84" s="24">
        <f>(GX83&gt;0)*(Units-SUM($EU$85:GX85))</f>
        <v>0</v>
      </c>
      <c r="GY84" s="24">
        <f>(GY83&gt;0)*(Units-SUM($EU$85:GY85))</f>
        <v>0</v>
      </c>
      <c r="GZ84" s="24">
        <f>(GZ83&gt;0)*(Units-SUM($EU$85:GZ85))</f>
        <v>0</v>
      </c>
      <c r="HA84" s="24">
        <f>(HA83&gt;0)*(Units-SUM($EU$85:HA85))</f>
        <v>0</v>
      </c>
      <c r="HB84" s="24">
        <f>(HB83&gt;0)*(Units-SUM($EU$85:HB85))</f>
        <v>0</v>
      </c>
      <c r="HC84" s="24">
        <f>(HC83&gt;0)*(Units-SUM($EU$85:HC85))</f>
        <v>0</v>
      </c>
      <c r="HD84" s="24">
        <f>(HD83&gt;0)*(Units-SUM($EU$85:HD85))</f>
        <v>0</v>
      </c>
      <c r="HE84" s="24">
        <f>(HE83&gt;0)*(Units-SUM($EU$85:HE85))</f>
        <v>0</v>
      </c>
      <c r="HF84" s="24">
        <f>(HF83&gt;0)*(Units-SUM($EU$85:HF85))</f>
        <v>0</v>
      </c>
      <c r="HG84" s="24">
        <f>(HG83&gt;0)*(Units-SUM($EU$85:HG85))</f>
        <v>0</v>
      </c>
      <c r="HH84" s="24">
        <f>(HH83&gt;0)*(Units-SUM($EU$85:HH85))</f>
        <v>0</v>
      </c>
      <c r="HI84" s="24">
        <f>(HI83&gt;0)*(Units-SUM($EU$85:HI85))</f>
        <v>0</v>
      </c>
      <c r="HJ84" s="24">
        <f>(HJ83&gt;0)*(Units-SUM($EU$85:HJ85))</f>
        <v>0</v>
      </c>
      <c r="HK84" s="24">
        <f>(HK83&gt;0)*(Units-SUM($EU$85:HK85))</f>
        <v>0</v>
      </c>
      <c r="HL84" s="24">
        <f>(HL83&gt;0)*(Units-SUM($EU$85:HL85))</f>
        <v>0</v>
      </c>
      <c r="HM84" s="24">
        <f>(HM83&gt;0)*(Units-SUM($EU$85:HM85))</f>
        <v>0</v>
      </c>
      <c r="HN84" s="24">
        <f>(HN83&gt;0)*(Units-SUM($EU$85:HN85))</f>
        <v>0</v>
      </c>
      <c r="HO84" s="24">
        <f>(HO83&gt;0)*(Units-SUM($EU$85:HO85))</f>
        <v>0</v>
      </c>
      <c r="HP84" s="24">
        <f>(HP83&gt;0)*(Units-SUM($EU$85:HP85))</f>
        <v>0</v>
      </c>
      <c r="HQ84" s="24">
        <f>(HQ83&gt;0)*(Units-SUM($EU$85:HQ85))</f>
        <v>0</v>
      </c>
      <c r="HR84" s="24">
        <f>(HR83&gt;0)*(Units-SUM($EU$85:HR85))</f>
        <v>0</v>
      </c>
      <c r="HS84" s="24">
        <f>(HS83&gt;0)*(Units-SUM($EU$85:HS85))</f>
        <v>0</v>
      </c>
      <c r="HT84" s="24">
        <f>(HT83&gt;0)*(Units-SUM($EU$85:HT85))</f>
        <v>0</v>
      </c>
      <c r="HU84" s="24">
        <f>(HU83&gt;0)*(Units-SUM($EU$85:HU85))</f>
        <v>0</v>
      </c>
      <c r="HV84" s="24">
        <f>(HV83&gt;0)*(Units-SUM($EU$85:HV85))</f>
        <v>0</v>
      </c>
      <c r="HW84" s="24">
        <f>(HW83&gt;0)*(Units-SUM($EU$85:HW85))</f>
        <v>0</v>
      </c>
      <c r="HX84" s="24">
        <f>(HX83&gt;0)*(Units-SUM($EU$85:HX85))</f>
        <v>0</v>
      </c>
      <c r="HY84" s="24">
        <f>(HY83&gt;0)*(Units-SUM($EU$85:HY85))</f>
        <v>0</v>
      </c>
      <c r="HZ84" s="24">
        <f>(HZ83&gt;0)*(Units-SUM($EU$85:HZ85))</f>
        <v>0</v>
      </c>
      <c r="IA84" s="24">
        <f>(IA83&gt;0)*(Units-SUM($EU$85:IA85))</f>
        <v>0</v>
      </c>
      <c r="IB84" s="24">
        <f>(IB83&gt;0)*(Units-SUM($EU$85:IB85))</f>
        <v>0</v>
      </c>
      <c r="IC84" s="24">
        <f>(IC83&gt;0)*(Units-SUM($EU$85:IC85))</f>
        <v>0</v>
      </c>
      <c r="ID84" s="24">
        <f>(ID83&gt;0)*(Units-SUM($EU$85:ID85))</f>
        <v>0</v>
      </c>
      <c r="IE84" s="24">
        <f>(IE83&gt;0)*(Units-SUM($EU$85:IE85))</f>
        <v>0</v>
      </c>
      <c r="IF84" s="24">
        <f>(IF83&gt;0)*(Units-SUM($EU$85:IF85))</f>
        <v>0</v>
      </c>
      <c r="IG84" s="24">
        <f>(IG83&gt;0)*(Units-SUM($EU$85:IG85))</f>
        <v>0</v>
      </c>
      <c r="IH84" s="24">
        <f>(IH83&gt;0)*(Units-SUM($EU$85:IH85))</f>
        <v>0</v>
      </c>
      <c r="II84" s="24">
        <f>(II83&gt;0)*(Units-SUM($EU$85:II85))</f>
        <v>0</v>
      </c>
      <c r="IJ84" s="24">
        <f>(IJ83&gt;0)*(Units-SUM($EU$85:IJ85))</f>
        <v>0</v>
      </c>
      <c r="IK84" s="24">
        <f>(IK83&gt;0)*(Units-SUM($EU$85:IK85))</f>
        <v>0</v>
      </c>
      <c r="IL84" s="24">
        <f>(IL83&gt;0)*(Units-SUM($EU$85:IL85))</f>
        <v>0</v>
      </c>
      <c r="IM84" s="24">
        <f>(IM83&gt;0)*(Units-SUM($EU$85:IM85))</f>
        <v>0</v>
      </c>
      <c r="IN84" s="24">
        <f>(IN83&gt;0)*(Units-SUM($EU$85:IN85))</f>
        <v>0</v>
      </c>
      <c r="IO84" s="24">
        <f>(IO83&gt;0)*(Units-SUM($EU$85:IO85))</f>
        <v>0</v>
      </c>
      <c r="IP84" s="24">
        <f>(IP83&gt;0)*(Units-SUM($EU$85:IP85))</f>
        <v>0</v>
      </c>
      <c r="IQ84" s="24">
        <f>(IQ83&gt;0)*(Units-SUM($EU$85:IQ85))</f>
        <v>0</v>
      </c>
      <c r="IR84" s="24">
        <f>(IR83&gt;0)*(Units-SUM($EU$85:IR85))</f>
        <v>0</v>
      </c>
      <c r="IS84" s="24">
        <f>(IS83&gt;0)*(Units-SUM($EU$85:IS85))</f>
        <v>0</v>
      </c>
      <c r="IT84" s="24">
        <f>(IT83&gt;0)*(Units-SUM($EU$85:IT85))</f>
        <v>0</v>
      </c>
      <c r="IU84" s="24">
        <f>(IU83&gt;0)*(Units-SUM($EU$85:IU85))</f>
        <v>0</v>
      </c>
      <c r="IV84" s="24">
        <f>(IV83&gt;0)*(Units-SUM($EU$85:IV85))</f>
        <v>0</v>
      </c>
      <c r="IW84" s="24">
        <f>(IW83&gt;0)*(Units-SUM($EU$85:IW85))</f>
        <v>0</v>
      </c>
      <c r="IX84" s="24">
        <f>(IX83&gt;0)*(Units-SUM($EU$85:IX85))</f>
        <v>0</v>
      </c>
      <c r="IY84" s="24">
        <f>(IY83&gt;0)*(Units-SUM($EU$85:IY85))</f>
        <v>0</v>
      </c>
      <c r="IZ84" s="24">
        <f>(IZ83&gt;0)*(Units-SUM($EU$85:IZ85))</f>
        <v>0</v>
      </c>
      <c r="JA84" s="24">
        <f>(JA83&gt;0)*(Units-SUM($EU$85:JA85))</f>
        <v>0</v>
      </c>
      <c r="JB84" s="24">
        <f>(JB83&gt;0)*(Units-SUM($EU$85:JB85))</f>
        <v>0</v>
      </c>
      <c r="JC84" s="24">
        <f>(JC83&gt;0)*(Units-SUM($EU$85:JC85))</f>
        <v>0</v>
      </c>
      <c r="JD84" s="24">
        <f>(JD83&gt;0)*(Units-SUM($EU$85:JD85))</f>
        <v>0</v>
      </c>
      <c r="JE84" s="24">
        <f>(JE83&gt;0)*(Units-SUM($EU$85:JE85))</f>
        <v>0</v>
      </c>
      <c r="JF84" s="24">
        <f>(JF83&gt;0)*(Units-SUM($EU$85:JF85))</f>
        <v>0</v>
      </c>
      <c r="JG84" s="24">
        <f>(JG83&gt;0)*(Units-SUM($EU$85:JG85))</f>
        <v>0</v>
      </c>
      <c r="JH84" s="24">
        <f>(JH83&gt;0)*(Units-SUM($EU$85:JH85))</f>
        <v>0</v>
      </c>
      <c r="JI84" s="24">
        <f>(JI83&gt;0)*(Units-SUM($EU$85:JI85))</f>
        <v>0</v>
      </c>
      <c r="JJ84" s="24">
        <f>(JJ83&gt;0)*(Units-SUM($EU$85:JJ85))</f>
        <v>0</v>
      </c>
      <c r="JK84" s="24">
        <f>(JK83&gt;0)*(Units-SUM($EU$85:JK85))</f>
        <v>0</v>
      </c>
      <c r="JL84" s="24">
        <f>(JL83&gt;0)*(Units-SUM($EU$85:JL85))</f>
        <v>0</v>
      </c>
      <c r="JM84" s="24">
        <f>(JM83&gt;0)*(Units-SUM($EU$85:JM85))</f>
        <v>0</v>
      </c>
      <c r="JN84" s="24">
        <f>(JN83&gt;0)*(Units-SUM($EU$85:JN85))</f>
        <v>0</v>
      </c>
      <c r="JO84" s="24">
        <f>(JO83&gt;0)*(Units-SUM($EU$85:JO85))</f>
        <v>0</v>
      </c>
      <c r="JP84" s="24">
        <f>(JP83&gt;0)*(Units-SUM($EU$85:JP85))</f>
        <v>0</v>
      </c>
      <c r="JQ84" s="24">
        <f>(JQ83&gt;0)*(Units-SUM($EU$85:JQ85))</f>
        <v>0</v>
      </c>
      <c r="JR84" s="24">
        <f>(JR83&gt;0)*(Units-SUM($EU$85:JR85))</f>
        <v>0</v>
      </c>
      <c r="JS84" s="24">
        <f>(JS83&gt;0)*(Units-SUM($EU$85:JS85))</f>
        <v>0</v>
      </c>
      <c r="JT84" s="24">
        <f>(JT83&gt;0)*(Units-SUM($EU$85:JT85))</f>
        <v>0</v>
      </c>
      <c r="JU84" s="24">
        <f>(JU83&gt;0)*(Units-SUM($EU$85:JU85))</f>
        <v>0</v>
      </c>
      <c r="JV84" s="24">
        <f>(JV83&gt;0)*(Units-SUM($EU$85:JV85))</f>
        <v>0</v>
      </c>
      <c r="JW84" s="24">
        <f>(JW83&gt;0)*(Units-SUM($EU$85:JW85))</f>
        <v>0</v>
      </c>
      <c r="JX84" s="24">
        <f>(JX83&gt;0)*(Units-SUM($EU$85:JX85))</f>
        <v>0</v>
      </c>
    </row>
    <row r="85" spans="1:284" x14ac:dyDescent="0.2">
      <c r="B85" s="92" t="s">
        <v>146</v>
      </c>
      <c r="C85" s="93"/>
      <c r="D85" s="96">
        <v>0.03</v>
      </c>
      <c r="E85" s="462">
        <f>Timing_Operation_Begin_Month</f>
        <v>19</v>
      </c>
      <c r="F85" s="93"/>
      <c r="G85" s="92" t="s">
        <v>95</v>
      </c>
      <c r="H85" s="93"/>
      <c r="I85" s="95">
        <v>0.1</v>
      </c>
      <c r="K85" s="56" t="s">
        <v>154</v>
      </c>
      <c r="L85" s="69"/>
      <c r="M85" s="69">
        <f t="shared" ref="M85:AR85" si="406">IFERROR(M111/(M96+M106),0)</f>
        <v>0</v>
      </c>
      <c r="N85" s="69">
        <f t="shared" si="406"/>
        <v>0</v>
      </c>
      <c r="O85" s="69">
        <f t="shared" si="406"/>
        <v>0</v>
      </c>
      <c r="P85" s="69">
        <f t="shared" si="406"/>
        <v>0</v>
      </c>
      <c r="Q85" s="69">
        <f t="shared" si="406"/>
        <v>0</v>
      </c>
      <c r="R85" s="69">
        <f t="shared" si="406"/>
        <v>0</v>
      </c>
      <c r="S85" s="69">
        <f t="shared" si="406"/>
        <v>0</v>
      </c>
      <c r="T85" s="69">
        <f t="shared" si="406"/>
        <v>0</v>
      </c>
      <c r="U85" s="69">
        <f t="shared" si="406"/>
        <v>0</v>
      </c>
      <c r="V85" s="69">
        <f t="shared" si="406"/>
        <v>0</v>
      </c>
      <c r="W85" s="69">
        <f t="shared" si="406"/>
        <v>0</v>
      </c>
      <c r="X85" s="69">
        <f t="shared" si="406"/>
        <v>0</v>
      </c>
      <c r="Y85" s="69">
        <f t="shared" si="406"/>
        <v>0</v>
      </c>
      <c r="Z85" s="69">
        <f t="shared" si="406"/>
        <v>0</v>
      </c>
      <c r="AA85" s="69">
        <f t="shared" si="406"/>
        <v>0</v>
      </c>
      <c r="AB85" s="69">
        <f t="shared" si="406"/>
        <v>0</v>
      </c>
      <c r="AC85" s="69">
        <f t="shared" si="406"/>
        <v>0</v>
      </c>
      <c r="AD85" s="69">
        <f t="shared" si="406"/>
        <v>0</v>
      </c>
      <c r="AE85" s="69">
        <f t="shared" si="406"/>
        <v>2.6500000550672091E-2</v>
      </c>
      <c r="AF85" s="69">
        <f t="shared" si="406"/>
        <v>9.5743431867038362E-2</v>
      </c>
      <c r="AG85" s="69">
        <f t="shared" si="406"/>
        <v>0.16392539827403385</v>
      </c>
      <c r="AH85" s="69">
        <f t="shared" si="406"/>
        <v>0.2310701216546508</v>
      </c>
      <c r="AI85" s="69">
        <f t="shared" si="406"/>
        <v>0.29720109248680948</v>
      </c>
      <c r="AJ85" s="69">
        <f t="shared" si="406"/>
        <v>0.36234109724344071</v>
      </c>
      <c r="AK85" s="69">
        <f t="shared" si="406"/>
        <v>0.42651224456996556</v>
      </c>
      <c r="AL85" s="69">
        <f t="shared" si="406"/>
        <v>0.48973599030234805</v>
      </c>
      <c r="AM85" s="69">
        <f t="shared" si="406"/>
        <v>0.55203316138519332</v>
      </c>
      <c r="AN85" s="69">
        <f t="shared" si="406"/>
        <v>0.61342397874590116</v>
      </c>
      <c r="AO85" s="69">
        <f t="shared" si="406"/>
        <v>0.67392807917764996</v>
      </c>
      <c r="AP85" s="69">
        <f t="shared" si="406"/>
        <v>0.73356453628095919</v>
      </c>
      <c r="AQ85" s="69">
        <f t="shared" si="406"/>
        <v>0.79235188051074501</v>
      </c>
      <c r="AR85" s="69">
        <f t="shared" si="406"/>
        <v>0.85030811837312914</v>
      </c>
      <c r="AS85" s="69">
        <f t="shared" ref="AS85:BX85" si="407">IFERROR(AS111/(AS96+AS106),0)</f>
        <v>0.92165166936324727</v>
      </c>
      <c r="AT85" s="69">
        <f t="shared" si="407"/>
        <v>0.92371386606330208</v>
      </c>
      <c r="AU85" s="69">
        <f t="shared" si="407"/>
        <v>0.92577606276335678</v>
      </c>
      <c r="AV85" s="69">
        <f t="shared" si="407"/>
        <v>0.92783825946341147</v>
      </c>
      <c r="AW85" s="69">
        <f t="shared" si="407"/>
        <v>0.92990045616346628</v>
      </c>
      <c r="AX85" s="69">
        <f t="shared" si="407"/>
        <v>0.93196265286352098</v>
      </c>
      <c r="AY85" s="69">
        <f t="shared" si="407"/>
        <v>0.93402484956357579</v>
      </c>
      <c r="AZ85" s="69">
        <f t="shared" si="407"/>
        <v>0.9360870462636306</v>
      </c>
      <c r="BA85" s="69">
        <f t="shared" si="407"/>
        <v>0.93814924296368529</v>
      </c>
      <c r="BB85" s="69">
        <f t="shared" si="407"/>
        <v>0.94021143966373999</v>
      </c>
      <c r="BC85" s="69">
        <f t="shared" si="407"/>
        <v>0.94227363636379491</v>
      </c>
      <c r="BD85" s="69">
        <f t="shared" si="407"/>
        <v>0.94433583306384949</v>
      </c>
      <c r="BE85" s="69">
        <f t="shared" si="407"/>
        <v>0.92165166936324738</v>
      </c>
      <c r="BF85" s="69">
        <f t="shared" si="407"/>
        <v>0.9237138660633023</v>
      </c>
      <c r="BG85" s="69">
        <f t="shared" si="407"/>
        <v>0.925776062763357</v>
      </c>
      <c r="BH85" s="69">
        <f t="shared" si="407"/>
        <v>0.92783825946341181</v>
      </c>
      <c r="BI85" s="69">
        <f t="shared" si="407"/>
        <v>0.9299004561634665</v>
      </c>
      <c r="BJ85" s="69">
        <f t="shared" si="407"/>
        <v>0.9319626528635212</v>
      </c>
      <c r="BK85" s="69">
        <f t="shared" si="407"/>
        <v>0.93402484956357612</v>
      </c>
      <c r="BL85" s="69">
        <f t="shared" si="407"/>
        <v>0.93608704626363082</v>
      </c>
      <c r="BM85" s="69">
        <f t="shared" si="407"/>
        <v>0.93814924296368551</v>
      </c>
      <c r="BN85" s="69">
        <f t="shared" si="407"/>
        <v>0.94021143966374021</v>
      </c>
      <c r="BO85" s="69">
        <f t="shared" si="407"/>
        <v>0.94227363636379469</v>
      </c>
      <c r="BP85" s="69">
        <f t="shared" si="407"/>
        <v>0.94433583306384961</v>
      </c>
      <c r="BQ85" s="69">
        <f t="shared" si="407"/>
        <v>0.92165166936324727</v>
      </c>
      <c r="BR85" s="69">
        <f t="shared" si="407"/>
        <v>0.92371386606330197</v>
      </c>
      <c r="BS85" s="69">
        <f t="shared" si="407"/>
        <v>0.92577606276335678</v>
      </c>
      <c r="BT85" s="69">
        <f t="shared" si="407"/>
        <v>0.92783825946341147</v>
      </c>
      <c r="BU85" s="69">
        <f t="shared" si="407"/>
        <v>0.92990045616346639</v>
      </c>
      <c r="BV85" s="69">
        <f t="shared" si="407"/>
        <v>0.93196265286352087</v>
      </c>
      <c r="BW85" s="69">
        <f t="shared" si="407"/>
        <v>0.93402484956357579</v>
      </c>
      <c r="BX85" s="69">
        <f t="shared" si="407"/>
        <v>0.93608704626363048</v>
      </c>
      <c r="BY85" s="69">
        <f t="shared" ref="BY85:DD85" si="408">IFERROR(BY111/(BY96+BY106),0)</f>
        <v>0.93814924296368529</v>
      </c>
      <c r="BZ85" s="69">
        <f t="shared" si="408"/>
        <v>0.94021143966373999</v>
      </c>
      <c r="CA85" s="69">
        <f t="shared" si="408"/>
        <v>0.94227363636379469</v>
      </c>
      <c r="CB85" s="69">
        <f t="shared" si="408"/>
        <v>0.94433583306384961</v>
      </c>
      <c r="CC85" s="69">
        <f t="shared" si="408"/>
        <v>0.92165166936324727</v>
      </c>
      <c r="CD85" s="69">
        <f t="shared" si="408"/>
        <v>0.92371386606330197</v>
      </c>
      <c r="CE85" s="69">
        <f t="shared" si="408"/>
        <v>0.92577606276335678</v>
      </c>
      <c r="CF85" s="69">
        <f t="shared" si="408"/>
        <v>0.9278382594634117</v>
      </c>
      <c r="CG85" s="69">
        <f t="shared" si="408"/>
        <v>0.92990045616346617</v>
      </c>
      <c r="CH85" s="69">
        <f t="shared" si="408"/>
        <v>0.93196265286352098</v>
      </c>
      <c r="CI85" s="69">
        <f t="shared" si="408"/>
        <v>0.9340248495635759</v>
      </c>
      <c r="CJ85" s="69">
        <f t="shared" si="408"/>
        <v>0.93608704626363048</v>
      </c>
      <c r="CK85" s="69">
        <f t="shared" si="408"/>
        <v>0.9381492429636854</v>
      </c>
      <c r="CL85" s="69">
        <f t="shared" si="408"/>
        <v>0.94021143966374021</v>
      </c>
      <c r="CM85" s="69">
        <f t="shared" si="408"/>
        <v>0.9422736363637948</v>
      </c>
      <c r="CN85" s="69">
        <f t="shared" si="408"/>
        <v>0.94433583306384961</v>
      </c>
      <c r="CO85" s="69">
        <f t="shared" si="408"/>
        <v>0.92165166936324716</v>
      </c>
      <c r="CP85" s="69">
        <f t="shared" si="408"/>
        <v>0.92371386606330208</v>
      </c>
      <c r="CQ85" s="69">
        <f t="shared" si="408"/>
        <v>0.92577606276335667</v>
      </c>
      <c r="CR85" s="69">
        <f t="shared" si="408"/>
        <v>0.92783825946341159</v>
      </c>
      <c r="CS85" s="69">
        <f t="shared" si="408"/>
        <v>0.92990045616346628</v>
      </c>
      <c r="CT85" s="69">
        <f t="shared" si="408"/>
        <v>0.93196265286352098</v>
      </c>
      <c r="CU85" s="69">
        <f t="shared" si="408"/>
        <v>0.93402484956357579</v>
      </c>
      <c r="CV85" s="69">
        <f t="shared" si="408"/>
        <v>0.93608704626363048</v>
      </c>
      <c r="CW85" s="69">
        <f t="shared" si="408"/>
        <v>0.9381492429636854</v>
      </c>
      <c r="CX85" s="69">
        <f t="shared" si="408"/>
        <v>0.9402114396637401</v>
      </c>
      <c r="CY85" s="69">
        <f t="shared" si="408"/>
        <v>0.9422736363637948</v>
      </c>
      <c r="CZ85" s="69">
        <f t="shared" si="408"/>
        <v>0.94433583306384961</v>
      </c>
      <c r="DA85" s="69">
        <f t="shared" si="408"/>
        <v>0.92165166936324749</v>
      </c>
      <c r="DB85" s="69">
        <f t="shared" si="408"/>
        <v>0.92371386606330219</v>
      </c>
      <c r="DC85" s="69">
        <f t="shared" si="408"/>
        <v>0.92577606276335678</v>
      </c>
      <c r="DD85" s="69">
        <f t="shared" si="408"/>
        <v>0.92783825946341147</v>
      </c>
      <c r="DE85" s="69">
        <f t="shared" ref="DE85:EN85" si="409">IFERROR(DE111/(DE96+DE106),0)</f>
        <v>0.92990045616346628</v>
      </c>
      <c r="DF85" s="69">
        <f t="shared" si="409"/>
        <v>0.93196265286352098</v>
      </c>
      <c r="DG85" s="69">
        <f t="shared" si="409"/>
        <v>0.93402484956357601</v>
      </c>
      <c r="DH85" s="69">
        <f t="shared" si="409"/>
        <v>0.93608704626363071</v>
      </c>
      <c r="DI85" s="69">
        <f t="shared" si="409"/>
        <v>0.93814924296368551</v>
      </c>
      <c r="DJ85" s="69">
        <f t="shared" si="409"/>
        <v>0.9402114396637401</v>
      </c>
      <c r="DK85" s="69">
        <f t="shared" si="409"/>
        <v>0.94227363636379491</v>
      </c>
      <c r="DL85" s="69">
        <f t="shared" si="409"/>
        <v>0.94433583306384961</v>
      </c>
      <c r="DM85" s="69">
        <f t="shared" si="409"/>
        <v>0.92165166936324738</v>
      </c>
      <c r="DN85" s="69">
        <f t="shared" si="409"/>
        <v>0.92371386606330186</v>
      </c>
      <c r="DO85" s="69">
        <f t="shared" si="409"/>
        <v>0.92577606276335678</v>
      </c>
      <c r="DP85" s="69">
        <f t="shared" si="409"/>
        <v>0.92783825946341159</v>
      </c>
      <c r="DQ85" s="69">
        <f t="shared" si="409"/>
        <v>0.92990045616346628</v>
      </c>
      <c r="DR85" s="69">
        <f t="shared" si="409"/>
        <v>0.93196265286352098</v>
      </c>
      <c r="DS85" s="69">
        <f t="shared" si="409"/>
        <v>0.93402484956357579</v>
      </c>
      <c r="DT85" s="69">
        <f t="shared" si="409"/>
        <v>0.93608704626363071</v>
      </c>
      <c r="DU85" s="69">
        <f t="shared" si="409"/>
        <v>0.93814924296368529</v>
      </c>
      <c r="DV85" s="69">
        <f t="shared" si="409"/>
        <v>0.9402114396637401</v>
      </c>
      <c r="DW85" s="69">
        <f t="shared" si="409"/>
        <v>0.94227363636379491</v>
      </c>
      <c r="DX85" s="69">
        <f t="shared" si="409"/>
        <v>0.94433583306384961</v>
      </c>
      <c r="DY85" s="69">
        <f t="shared" si="409"/>
        <v>0.92165166936324749</v>
      </c>
      <c r="DZ85" s="69">
        <f t="shared" si="409"/>
        <v>0.92371386606330241</v>
      </c>
      <c r="EA85" s="69">
        <f t="shared" si="409"/>
        <v>0.92577606276335689</v>
      </c>
      <c r="EB85" s="69">
        <f t="shared" si="409"/>
        <v>0.9278382594634117</v>
      </c>
      <c r="EC85" s="69">
        <f t="shared" si="409"/>
        <v>0.92990045616346639</v>
      </c>
      <c r="ED85" s="69">
        <f t="shared" si="409"/>
        <v>0.9319626528635212</v>
      </c>
      <c r="EE85" s="69">
        <f t="shared" si="409"/>
        <v>0.9340248495635759</v>
      </c>
      <c r="EF85" s="69">
        <f t="shared" si="409"/>
        <v>0.93608704626363071</v>
      </c>
      <c r="EG85" s="69">
        <f t="shared" si="409"/>
        <v>0.93814924296368551</v>
      </c>
      <c r="EH85" s="69">
        <f t="shared" si="409"/>
        <v>0.9402114396637401</v>
      </c>
      <c r="EI85" s="69">
        <f t="shared" si="409"/>
        <v>0.94227363636379491</v>
      </c>
      <c r="EJ85" s="69">
        <f t="shared" si="409"/>
        <v>0.94433583306384949</v>
      </c>
      <c r="EK85" s="69">
        <f t="shared" si="409"/>
        <v>0.92165166936324705</v>
      </c>
      <c r="EL85" s="69">
        <f t="shared" si="409"/>
        <v>0.92371386606330208</v>
      </c>
      <c r="EM85" s="69">
        <f t="shared" si="409"/>
        <v>0.92577606276335689</v>
      </c>
      <c r="EN85" s="69">
        <f t="shared" si="409"/>
        <v>0.92783825946341136</v>
      </c>
      <c r="EP85" s="24" t="s">
        <v>101</v>
      </c>
      <c r="EQ85" s="24"/>
      <c r="ER85" s="24"/>
      <c r="ES85" s="24"/>
      <c r="ET85" s="24"/>
      <c r="EU85" s="33"/>
      <c r="EV85" s="24"/>
      <c r="EW85" s="24">
        <f t="shared" ref="EW85:GB85" si="410">(EW83=1)*($I$85*Units)+(EW83&gt;1)*(MIN($I$86,EV84))</f>
        <v>0</v>
      </c>
      <c r="EX85" s="24">
        <f t="shared" si="410"/>
        <v>0</v>
      </c>
      <c r="EY85" s="24">
        <f t="shared" si="410"/>
        <v>0</v>
      </c>
      <c r="EZ85" s="24">
        <f t="shared" si="410"/>
        <v>0</v>
      </c>
      <c r="FA85" s="24">
        <f t="shared" si="410"/>
        <v>0</v>
      </c>
      <c r="FB85" s="24">
        <f t="shared" si="410"/>
        <v>0</v>
      </c>
      <c r="FC85" s="24">
        <f t="shared" si="410"/>
        <v>0</v>
      </c>
      <c r="FD85" s="24">
        <f t="shared" si="410"/>
        <v>0</v>
      </c>
      <c r="FE85" s="24">
        <f t="shared" si="410"/>
        <v>0</v>
      </c>
      <c r="FF85" s="24">
        <f t="shared" si="410"/>
        <v>0</v>
      </c>
      <c r="FG85" s="24">
        <f t="shared" si="410"/>
        <v>0</v>
      </c>
      <c r="FH85" s="24">
        <f t="shared" si="410"/>
        <v>0</v>
      </c>
      <c r="FI85" s="24">
        <f t="shared" si="410"/>
        <v>0</v>
      </c>
      <c r="FJ85" s="24">
        <f t="shared" si="410"/>
        <v>0</v>
      </c>
      <c r="FK85" s="24">
        <f t="shared" si="410"/>
        <v>0</v>
      </c>
      <c r="FL85" s="24">
        <f t="shared" si="410"/>
        <v>0</v>
      </c>
      <c r="FM85" s="24">
        <f t="shared" si="410"/>
        <v>0</v>
      </c>
      <c r="FN85" s="24">
        <f t="shared" si="410"/>
        <v>0</v>
      </c>
      <c r="FO85" s="24">
        <f t="shared" si="410"/>
        <v>30</v>
      </c>
      <c r="FP85" s="24">
        <f t="shared" si="410"/>
        <v>20</v>
      </c>
      <c r="FQ85" s="24">
        <f t="shared" si="410"/>
        <v>20</v>
      </c>
      <c r="FR85" s="24">
        <f t="shared" si="410"/>
        <v>20</v>
      </c>
      <c r="FS85" s="24">
        <f t="shared" si="410"/>
        <v>20</v>
      </c>
      <c r="FT85" s="24">
        <f t="shared" si="410"/>
        <v>20</v>
      </c>
      <c r="FU85" s="24">
        <f t="shared" si="410"/>
        <v>20</v>
      </c>
      <c r="FV85" s="24">
        <f t="shared" si="410"/>
        <v>20</v>
      </c>
      <c r="FW85" s="24">
        <f t="shared" si="410"/>
        <v>20</v>
      </c>
      <c r="FX85" s="24">
        <f t="shared" si="410"/>
        <v>20</v>
      </c>
      <c r="FY85" s="24">
        <f t="shared" si="410"/>
        <v>20</v>
      </c>
      <c r="FZ85" s="24">
        <f t="shared" si="410"/>
        <v>20</v>
      </c>
      <c r="GA85" s="24">
        <f t="shared" si="410"/>
        <v>20</v>
      </c>
      <c r="GB85" s="24">
        <f t="shared" si="410"/>
        <v>20</v>
      </c>
      <c r="GC85" s="24">
        <f t="shared" ref="GC85:HH85" si="411">(GC83=1)*($I$85*Units)+(GC83&gt;1)*(MIN($I$86,GB84))</f>
        <v>10</v>
      </c>
      <c r="GD85" s="24">
        <f t="shared" si="411"/>
        <v>0</v>
      </c>
      <c r="GE85" s="24">
        <f t="shared" si="411"/>
        <v>0</v>
      </c>
      <c r="GF85" s="24">
        <f t="shared" si="411"/>
        <v>0</v>
      </c>
      <c r="GG85" s="24">
        <f t="shared" si="411"/>
        <v>0</v>
      </c>
      <c r="GH85" s="24">
        <f t="shared" si="411"/>
        <v>0</v>
      </c>
      <c r="GI85" s="24">
        <f t="shared" si="411"/>
        <v>0</v>
      </c>
      <c r="GJ85" s="24">
        <f t="shared" si="411"/>
        <v>0</v>
      </c>
      <c r="GK85" s="24">
        <f t="shared" si="411"/>
        <v>0</v>
      </c>
      <c r="GL85" s="24">
        <f t="shared" si="411"/>
        <v>0</v>
      </c>
      <c r="GM85" s="24">
        <f t="shared" si="411"/>
        <v>0</v>
      </c>
      <c r="GN85" s="24">
        <f t="shared" si="411"/>
        <v>0</v>
      </c>
      <c r="GO85" s="24">
        <f t="shared" si="411"/>
        <v>0</v>
      </c>
      <c r="GP85" s="24">
        <f t="shared" si="411"/>
        <v>0</v>
      </c>
      <c r="GQ85" s="24">
        <f t="shared" si="411"/>
        <v>0</v>
      </c>
      <c r="GR85" s="24">
        <f t="shared" si="411"/>
        <v>0</v>
      </c>
      <c r="GS85" s="24">
        <f t="shared" si="411"/>
        <v>0</v>
      </c>
      <c r="GT85" s="24">
        <f t="shared" si="411"/>
        <v>0</v>
      </c>
      <c r="GU85" s="24">
        <f t="shared" si="411"/>
        <v>0</v>
      </c>
      <c r="GV85" s="24">
        <f t="shared" si="411"/>
        <v>0</v>
      </c>
      <c r="GW85" s="24">
        <f t="shared" si="411"/>
        <v>0</v>
      </c>
      <c r="GX85" s="24">
        <f t="shared" si="411"/>
        <v>0</v>
      </c>
      <c r="GY85" s="24">
        <f t="shared" si="411"/>
        <v>0</v>
      </c>
      <c r="GZ85" s="24">
        <f t="shared" si="411"/>
        <v>0</v>
      </c>
      <c r="HA85" s="24">
        <f t="shared" si="411"/>
        <v>0</v>
      </c>
      <c r="HB85" s="24">
        <f t="shared" si="411"/>
        <v>0</v>
      </c>
      <c r="HC85" s="24">
        <f t="shared" si="411"/>
        <v>0</v>
      </c>
      <c r="HD85" s="24">
        <f t="shared" si="411"/>
        <v>0</v>
      </c>
      <c r="HE85" s="24">
        <f t="shared" si="411"/>
        <v>0</v>
      </c>
      <c r="HF85" s="24">
        <f t="shared" si="411"/>
        <v>0</v>
      </c>
      <c r="HG85" s="24">
        <f t="shared" si="411"/>
        <v>0</v>
      </c>
      <c r="HH85" s="24">
        <f t="shared" si="411"/>
        <v>0</v>
      </c>
      <c r="HI85" s="24">
        <f t="shared" ref="HI85:IN85" si="412">(HI83=1)*($I$85*Units)+(HI83&gt;1)*(MIN($I$86,HH84))</f>
        <v>0</v>
      </c>
      <c r="HJ85" s="24">
        <f t="shared" si="412"/>
        <v>0</v>
      </c>
      <c r="HK85" s="24">
        <f t="shared" si="412"/>
        <v>0</v>
      </c>
      <c r="HL85" s="24">
        <f t="shared" si="412"/>
        <v>0</v>
      </c>
      <c r="HM85" s="24">
        <f t="shared" si="412"/>
        <v>0</v>
      </c>
      <c r="HN85" s="24">
        <f t="shared" si="412"/>
        <v>0</v>
      </c>
      <c r="HO85" s="24">
        <f t="shared" si="412"/>
        <v>0</v>
      </c>
      <c r="HP85" s="24">
        <f t="shared" si="412"/>
        <v>0</v>
      </c>
      <c r="HQ85" s="24">
        <f t="shared" si="412"/>
        <v>0</v>
      </c>
      <c r="HR85" s="24">
        <f t="shared" si="412"/>
        <v>0</v>
      </c>
      <c r="HS85" s="24">
        <f t="shared" si="412"/>
        <v>0</v>
      </c>
      <c r="HT85" s="24">
        <f t="shared" si="412"/>
        <v>0</v>
      </c>
      <c r="HU85" s="24">
        <f t="shared" si="412"/>
        <v>0</v>
      </c>
      <c r="HV85" s="24">
        <f t="shared" si="412"/>
        <v>0</v>
      </c>
      <c r="HW85" s="24">
        <f t="shared" si="412"/>
        <v>0</v>
      </c>
      <c r="HX85" s="24">
        <f t="shared" si="412"/>
        <v>0</v>
      </c>
      <c r="HY85" s="24">
        <f t="shared" si="412"/>
        <v>0</v>
      </c>
      <c r="HZ85" s="24">
        <f t="shared" si="412"/>
        <v>0</v>
      </c>
      <c r="IA85" s="24">
        <f t="shared" si="412"/>
        <v>0</v>
      </c>
      <c r="IB85" s="24">
        <f t="shared" si="412"/>
        <v>0</v>
      </c>
      <c r="IC85" s="24">
        <f t="shared" si="412"/>
        <v>0</v>
      </c>
      <c r="ID85" s="24">
        <f t="shared" si="412"/>
        <v>0</v>
      </c>
      <c r="IE85" s="24">
        <f t="shared" si="412"/>
        <v>0</v>
      </c>
      <c r="IF85" s="24">
        <f t="shared" si="412"/>
        <v>0</v>
      </c>
      <c r="IG85" s="24">
        <f t="shared" si="412"/>
        <v>0</v>
      </c>
      <c r="IH85" s="24">
        <f t="shared" si="412"/>
        <v>0</v>
      </c>
      <c r="II85" s="24">
        <f t="shared" si="412"/>
        <v>0</v>
      </c>
      <c r="IJ85" s="24">
        <f t="shared" si="412"/>
        <v>0</v>
      </c>
      <c r="IK85" s="24">
        <f t="shared" si="412"/>
        <v>0</v>
      </c>
      <c r="IL85" s="24">
        <f t="shared" si="412"/>
        <v>0</v>
      </c>
      <c r="IM85" s="24">
        <f t="shared" si="412"/>
        <v>0</v>
      </c>
      <c r="IN85" s="24">
        <f t="shared" si="412"/>
        <v>0</v>
      </c>
      <c r="IO85" s="24">
        <f t="shared" ref="IO85:JX85" si="413">(IO83=1)*($I$85*Units)+(IO83&gt;1)*(MIN($I$86,IN84))</f>
        <v>0</v>
      </c>
      <c r="IP85" s="24">
        <f t="shared" si="413"/>
        <v>0</v>
      </c>
      <c r="IQ85" s="24">
        <f t="shared" si="413"/>
        <v>0</v>
      </c>
      <c r="IR85" s="24">
        <f t="shared" si="413"/>
        <v>0</v>
      </c>
      <c r="IS85" s="24">
        <f t="shared" si="413"/>
        <v>0</v>
      </c>
      <c r="IT85" s="24">
        <f t="shared" si="413"/>
        <v>0</v>
      </c>
      <c r="IU85" s="24">
        <f t="shared" si="413"/>
        <v>0</v>
      </c>
      <c r="IV85" s="24">
        <f t="shared" si="413"/>
        <v>0</v>
      </c>
      <c r="IW85" s="24">
        <f t="shared" si="413"/>
        <v>0</v>
      </c>
      <c r="IX85" s="24">
        <f t="shared" si="413"/>
        <v>0</v>
      </c>
      <c r="IY85" s="24">
        <f t="shared" si="413"/>
        <v>0</v>
      </c>
      <c r="IZ85" s="24">
        <f t="shared" si="413"/>
        <v>0</v>
      </c>
      <c r="JA85" s="24">
        <f t="shared" si="413"/>
        <v>0</v>
      </c>
      <c r="JB85" s="24">
        <f t="shared" si="413"/>
        <v>0</v>
      </c>
      <c r="JC85" s="24">
        <f t="shared" si="413"/>
        <v>0</v>
      </c>
      <c r="JD85" s="24">
        <f t="shared" si="413"/>
        <v>0</v>
      </c>
      <c r="JE85" s="24">
        <f t="shared" si="413"/>
        <v>0</v>
      </c>
      <c r="JF85" s="24">
        <f t="shared" si="413"/>
        <v>0</v>
      </c>
      <c r="JG85" s="24">
        <f t="shared" si="413"/>
        <v>0</v>
      </c>
      <c r="JH85" s="24">
        <f t="shared" si="413"/>
        <v>0</v>
      </c>
      <c r="JI85" s="24">
        <f t="shared" si="413"/>
        <v>0</v>
      </c>
      <c r="JJ85" s="24">
        <f t="shared" si="413"/>
        <v>0</v>
      </c>
      <c r="JK85" s="24">
        <f t="shared" si="413"/>
        <v>0</v>
      </c>
      <c r="JL85" s="24">
        <f t="shared" si="413"/>
        <v>0</v>
      </c>
      <c r="JM85" s="24">
        <f t="shared" si="413"/>
        <v>0</v>
      </c>
      <c r="JN85" s="24">
        <f t="shared" si="413"/>
        <v>0</v>
      </c>
      <c r="JO85" s="24">
        <f t="shared" si="413"/>
        <v>0</v>
      </c>
      <c r="JP85" s="24">
        <f t="shared" si="413"/>
        <v>0</v>
      </c>
      <c r="JQ85" s="24">
        <f t="shared" si="413"/>
        <v>0</v>
      </c>
      <c r="JR85" s="24">
        <f t="shared" si="413"/>
        <v>0</v>
      </c>
      <c r="JS85" s="24">
        <f t="shared" si="413"/>
        <v>0</v>
      </c>
      <c r="JT85" s="24">
        <f t="shared" si="413"/>
        <v>0</v>
      </c>
      <c r="JU85" s="24">
        <f t="shared" si="413"/>
        <v>0</v>
      </c>
      <c r="JV85" s="24">
        <f t="shared" si="413"/>
        <v>0</v>
      </c>
      <c r="JW85" s="24">
        <f t="shared" si="413"/>
        <v>0</v>
      </c>
      <c r="JX85" s="24">
        <f t="shared" si="413"/>
        <v>0</v>
      </c>
    </row>
    <row r="86" spans="1:284" x14ac:dyDescent="0.2">
      <c r="B86" s="92" t="s">
        <v>171</v>
      </c>
      <c r="C86" s="93"/>
      <c r="D86" s="98">
        <f>MATCH(1,$EW$86:$JX$86)</f>
        <v>33</v>
      </c>
      <c r="E86" s="93"/>
      <c r="F86" s="93"/>
      <c r="G86" s="92" t="s">
        <v>96</v>
      </c>
      <c r="H86" s="93"/>
      <c r="I86" s="97">
        <v>20</v>
      </c>
      <c r="L86" s="56"/>
      <c r="EP86" s="24"/>
      <c r="EQ86" s="24"/>
      <c r="ER86" s="24"/>
      <c r="ES86" s="24"/>
      <c r="ET86" s="24"/>
      <c r="EU86" s="33" t="s">
        <v>108</v>
      </c>
      <c r="EV86" s="26"/>
      <c r="EW86" s="26">
        <f t="shared" ref="EW86:GA86" si="414">IF(M84=1,EV86+1,0)</f>
        <v>0</v>
      </c>
      <c r="EX86" s="26">
        <f t="shared" si="414"/>
        <v>0</v>
      </c>
      <c r="EY86" s="26">
        <f t="shared" si="414"/>
        <v>0</v>
      </c>
      <c r="EZ86" s="26">
        <f t="shared" si="414"/>
        <v>0</v>
      </c>
      <c r="FA86" s="26">
        <f t="shared" si="414"/>
        <v>0</v>
      </c>
      <c r="FB86" s="26">
        <f t="shared" si="414"/>
        <v>0</v>
      </c>
      <c r="FC86" s="26">
        <f t="shared" si="414"/>
        <v>0</v>
      </c>
      <c r="FD86" s="26">
        <f t="shared" si="414"/>
        <v>0</v>
      </c>
      <c r="FE86" s="26">
        <f t="shared" si="414"/>
        <v>0</v>
      </c>
      <c r="FF86" s="26">
        <f t="shared" si="414"/>
        <v>0</v>
      </c>
      <c r="FG86" s="26">
        <f t="shared" si="414"/>
        <v>0</v>
      </c>
      <c r="FH86" s="26">
        <f t="shared" si="414"/>
        <v>0</v>
      </c>
      <c r="FI86" s="26">
        <f t="shared" si="414"/>
        <v>0</v>
      </c>
      <c r="FJ86" s="26">
        <f t="shared" si="414"/>
        <v>0</v>
      </c>
      <c r="FK86" s="26">
        <f t="shared" si="414"/>
        <v>0</v>
      </c>
      <c r="FL86" s="26">
        <f t="shared" si="414"/>
        <v>0</v>
      </c>
      <c r="FM86" s="26">
        <f t="shared" si="414"/>
        <v>0</v>
      </c>
      <c r="FN86" s="26">
        <f t="shared" si="414"/>
        <v>0</v>
      </c>
      <c r="FO86" s="26">
        <f t="shared" si="414"/>
        <v>0</v>
      </c>
      <c r="FP86" s="26">
        <f t="shared" si="414"/>
        <v>0</v>
      </c>
      <c r="FQ86" s="26">
        <f t="shared" si="414"/>
        <v>0</v>
      </c>
      <c r="FR86" s="26">
        <f t="shared" si="414"/>
        <v>0</v>
      </c>
      <c r="FS86" s="26">
        <f t="shared" si="414"/>
        <v>0</v>
      </c>
      <c r="FT86" s="26">
        <f t="shared" si="414"/>
        <v>0</v>
      </c>
      <c r="FU86" s="26">
        <f t="shared" si="414"/>
        <v>0</v>
      </c>
      <c r="FV86" s="26">
        <f t="shared" si="414"/>
        <v>0</v>
      </c>
      <c r="FW86" s="26">
        <f t="shared" si="414"/>
        <v>0</v>
      </c>
      <c r="FX86" s="26">
        <f t="shared" si="414"/>
        <v>0</v>
      </c>
      <c r="FY86" s="26">
        <f t="shared" si="414"/>
        <v>0</v>
      </c>
      <c r="FZ86" s="26">
        <f t="shared" si="414"/>
        <v>0</v>
      </c>
      <c r="GA86" s="26">
        <f t="shared" si="414"/>
        <v>0</v>
      </c>
      <c r="GB86" s="26">
        <f t="shared" ref="GB86:HG86" si="415">IF(AR84=1,GA86+1,0)</f>
        <v>0</v>
      </c>
      <c r="GC86" s="26">
        <f t="shared" si="415"/>
        <v>1</v>
      </c>
      <c r="GD86" s="26">
        <f t="shared" si="415"/>
        <v>2</v>
      </c>
      <c r="GE86" s="26">
        <f t="shared" si="415"/>
        <v>3</v>
      </c>
      <c r="GF86" s="26">
        <f t="shared" si="415"/>
        <v>4</v>
      </c>
      <c r="GG86" s="26">
        <f t="shared" si="415"/>
        <v>5</v>
      </c>
      <c r="GH86" s="26">
        <f t="shared" si="415"/>
        <v>6</v>
      </c>
      <c r="GI86" s="26">
        <f t="shared" si="415"/>
        <v>7</v>
      </c>
      <c r="GJ86" s="26">
        <f t="shared" si="415"/>
        <v>8</v>
      </c>
      <c r="GK86" s="26">
        <f t="shared" si="415"/>
        <v>9</v>
      </c>
      <c r="GL86" s="26">
        <f t="shared" si="415"/>
        <v>10</v>
      </c>
      <c r="GM86" s="26">
        <f t="shared" si="415"/>
        <v>11</v>
      </c>
      <c r="GN86" s="26">
        <f t="shared" si="415"/>
        <v>12</v>
      </c>
      <c r="GO86" s="26">
        <f t="shared" si="415"/>
        <v>13</v>
      </c>
      <c r="GP86" s="26">
        <f t="shared" si="415"/>
        <v>14</v>
      </c>
      <c r="GQ86" s="26">
        <f t="shared" si="415"/>
        <v>15</v>
      </c>
      <c r="GR86" s="26">
        <f t="shared" si="415"/>
        <v>16</v>
      </c>
      <c r="GS86" s="26">
        <f t="shared" si="415"/>
        <v>17</v>
      </c>
      <c r="GT86" s="26">
        <f t="shared" si="415"/>
        <v>18</v>
      </c>
      <c r="GU86" s="26">
        <f t="shared" si="415"/>
        <v>19</v>
      </c>
      <c r="GV86" s="26">
        <f t="shared" si="415"/>
        <v>20</v>
      </c>
      <c r="GW86" s="26">
        <f t="shared" si="415"/>
        <v>21</v>
      </c>
      <c r="GX86" s="26">
        <f t="shared" si="415"/>
        <v>22</v>
      </c>
      <c r="GY86" s="26">
        <f t="shared" si="415"/>
        <v>23</v>
      </c>
      <c r="GZ86" s="26">
        <f t="shared" si="415"/>
        <v>24</v>
      </c>
      <c r="HA86" s="26">
        <f t="shared" si="415"/>
        <v>25</v>
      </c>
      <c r="HB86" s="26">
        <f t="shared" si="415"/>
        <v>26</v>
      </c>
      <c r="HC86" s="26">
        <f t="shared" si="415"/>
        <v>27</v>
      </c>
      <c r="HD86" s="26">
        <f t="shared" si="415"/>
        <v>28</v>
      </c>
      <c r="HE86" s="26">
        <f t="shared" si="415"/>
        <v>29</v>
      </c>
      <c r="HF86" s="26">
        <f t="shared" si="415"/>
        <v>30</v>
      </c>
      <c r="HG86" s="26">
        <f t="shared" si="415"/>
        <v>31</v>
      </c>
      <c r="HH86" s="26">
        <f t="shared" ref="HH86:IM86" si="416">IF(BX84=1,HG86+1,0)</f>
        <v>32</v>
      </c>
      <c r="HI86" s="26">
        <f t="shared" si="416"/>
        <v>33</v>
      </c>
      <c r="HJ86" s="26">
        <f t="shared" si="416"/>
        <v>34</v>
      </c>
      <c r="HK86" s="26">
        <f t="shared" si="416"/>
        <v>35</v>
      </c>
      <c r="HL86" s="26">
        <f t="shared" si="416"/>
        <v>36</v>
      </c>
      <c r="HM86" s="26">
        <f t="shared" si="416"/>
        <v>37</v>
      </c>
      <c r="HN86" s="26">
        <f t="shared" si="416"/>
        <v>38</v>
      </c>
      <c r="HO86" s="26">
        <f t="shared" si="416"/>
        <v>39</v>
      </c>
      <c r="HP86" s="26">
        <f t="shared" si="416"/>
        <v>40</v>
      </c>
      <c r="HQ86" s="26">
        <f t="shared" si="416"/>
        <v>41</v>
      </c>
      <c r="HR86" s="26">
        <f t="shared" si="416"/>
        <v>42</v>
      </c>
      <c r="HS86" s="26">
        <f t="shared" si="416"/>
        <v>43</v>
      </c>
      <c r="HT86" s="26">
        <f t="shared" si="416"/>
        <v>44</v>
      </c>
      <c r="HU86" s="26">
        <f t="shared" si="416"/>
        <v>45</v>
      </c>
      <c r="HV86" s="26">
        <f t="shared" si="416"/>
        <v>46</v>
      </c>
      <c r="HW86" s="26">
        <f t="shared" si="416"/>
        <v>47</v>
      </c>
      <c r="HX86" s="26">
        <f t="shared" si="416"/>
        <v>48</v>
      </c>
      <c r="HY86" s="26">
        <f t="shared" si="416"/>
        <v>49</v>
      </c>
      <c r="HZ86" s="26">
        <f t="shared" si="416"/>
        <v>50</v>
      </c>
      <c r="IA86" s="26">
        <f t="shared" si="416"/>
        <v>51</v>
      </c>
      <c r="IB86" s="26">
        <f t="shared" si="416"/>
        <v>52</v>
      </c>
      <c r="IC86" s="26">
        <f t="shared" si="416"/>
        <v>53</v>
      </c>
      <c r="ID86" s="26">
        <f t="shared" si="416"/>
        <v>54</v>
      </c>
      <c r="IE86" s="26">
        <f t="shared" si="416"/>
        <v>55</v>
      </c>
      <c r="IF86" s="26">
        <f t="shared" si="416"/>
        <v>56</v>
      </c>
      <c r="IG86" s="26">
        <f t="shared" si="416"/>
        <v>57</v>
      </c>
      <c r="IH86" s="26">
        <f t="shared" si="416"/>
        <v>58</v>
      </c>
      <c r="II86" s="26">
        <f t="shared" si="416"/>
        <v>59</v>
      </c>
      <c r="IJ86" s="26">
        <f t="shared" si="416"/>
        <v>60</v>
      </c>
      <c r="IK86" s="26">
        <f t="shared" si="416"/>
        <v>61</v>
      </c>
      <c r="IL86" s="26">
        <f t="shared" si="416"/>
        <v>62</v>
      </c>
      <c r="IM86" s="26">
        <f t="shared" si="416"/>
        <v>63</v>
      </c>
      <c r="IN86" s="26">
        <f t="shared" ref="IN86:JS86" si="417">IF(DD84=1,IM86+1,0)</f>
        <v>64</v>
      </c>
      <c r="IO86" s="26">
        <f t="shared" si="417"/>
        <v>65</v>
      </c>
      <c r="IP86" s="26">
        <f t="shared" si="417"/>
        <v>66</v>
      </c>
      <c r="IQ86" s="26">
        <f t="shared" si="417"/>
        <v>67</v>
      </c>
      <c r="IR86" s="26">
        <f t="shared" si="417"/>
        <v>68</v>
      </c>
      <c r="IS86" s="26">
        <f t="shared" si="417"/>
        <v>69</v>
      </c>
      <c r="IT86" s="26">
        <f t="shared" si="417"/>
        <v>70</v>
      </c>
      <c r="IU86" s="26">
        <f t="shared" si="417"/>
        <v>71</v>
      </c>
      <c r="IV86" s="26">
        <f t="shared" si="417"/>
        <v>72</v>
      </c>
      <c r="IW86" s="26">
        <f t="shared" si="417"/>
        <v>73</v>
      </c>
      <c r="IX86" s="26">
        <f t="shared" si="417"/>
        <v>74</v>
      </c>
      <c r="IY86" s="26">
        <f t="shared" si="417"/>
        <v>75</v>
      </c>
      <c r="IZ86" s="26">
        <f t="shared" si="417"/>
        <v>76</v>
      </c>
      <c r="JA86" s="26">
        <f t="shared" si="417"/>
        <v>77</v>
      </c>
      <c r="JB86" s="26">
        <f t="shared" si="417"/>
        <v>78</v>
      </c>
      <c r="JC86" s="26">
        <f t="shared" si="417"/>
        <v>79</v>
      </c>
      <c r="JD86" s="26">
        <f t="shared" si="417"/>
        <v>80</v>
      </c>
      <c r="JE86" s="26">
        <f t="shared" si="417"/>
        <v>81</v>
      </c>
      <c r="JF86" s="26">
        <f t="shared" si="417"/>
        <v>82</v>
      </c>
      <c r="JG86" s="26">
        <f t="shared" si="417"/>
        <v>83</v>
      </c>
      <c r="JH86" s="26">
        <f t="shared" si="417"/>
        <v>84</v>
      </c>
      <c r="JI86" s="26">
        <f t="shared" si="417"/>
        <v>85</v>
      </c>
      <c r="JJ86" s="26">
        <f t="shared" si="417"/>
        <v>86</v>
      </c>
      <c r="JK86" s="26">
        <f t="shared" si="417"/>
        <v>87</v>
      </c>
      <c r="JL86" s="26">
        <f t="shared" si="417"/>
        <v>88</v>
      </c>
      <c r="JM86" s="26">
        <f t="shared" si="417"/>
        <v>89</v>
      </c>
      <c r="JN86" s="26">
        <f t="shared" si="417"/>
        <v>90</v>
      </c>
      <c r="JO86" s="26">
        <f t="shared" si="417"/>
        <v>91</v>
      </c>
      <c r="JP86" s="26">
        <f t="shared" si="417"/>
        <v>92</v>
      </c>
      <c r="JQ86" s="26">
        <f t="shared" si="417"/>
        <v>93</v>
      </c>
      <c r="JR86" s="26">
        <f t="shared" si="417"/>
        <v>94</v>
      </c>
      <c r="JS86" s="26">
        <f t="shared" si="417"/>
        <v>95</v>
      </c>
      <c r="JT86" s="26">
        <f>IF(EJ84=1,JS86+1,0)</f>
        <v>96</v>
      </c>
      <c r="JU86" s="26">
        <f>IF(EK84=1,JT86+1,0)</f>
        <v>97</v>
      </c>
      <c r="JV86" s="26">
        <f>IF(EL84=1,JU86+1,0)</f>
        <v>98</v>
      </c>
      <c r="JW86" s="26">
        <f>IF(EM84=1,JV86+1,0)</f>
        <v>99</v>
      </c>
      <c r="JX86" s="26">
        <f>IF(EN84=1,JW86+1,0)</f>
        <v>100</v>
      </c>
    </row>
    <row r="87" spans="1:284" x14ac:dyDescent="0.2">
      <c r="B87" s="93"/>
      <c r="C87" s="93"/>
      <c r="D87" s="93"/>
      <c r="E87" s="93"/>
      <c r="F87" s="93"/>
      <c r="G87" s="92" t="s">
        <v>120</v>
      </c>
      <c r="H87" s="93"/>
      <c r="I87" s="99">
        <f>12+E96</f>
        <v>13</v>
      </c>
      <c r="L87" s="56"/>
      <c r="EP87" s="24"/>
      <c r="EQ87" s="24"/>
      <c r="ER87" s="24"/>
      <c r="ES87" s="24"/>
      <c r="ET87" s="24"/>
      <c r="EU87" s="33" t="s">
        <v>524</v>
      </c>
      <c r="EV87" s="26"/>
      <c r="EW87" s="27">
        <f>ROUNDUP(EW88/12,0)</f>
        <v>0</v>
      </c>
      <c r="EX87" s="27">
        <f t="shared" ref="EX87:HI87" si="418">ROUNDUP(EX88/12,0)</f>
        <v>0</v>
      </c>
      <c r="EY87" s="27">
        <f t="shared" si="418"/>
        <v>0</v>
      </c>
      <c r="EZ87" s="27">
        <f t="shared" si="418"/>
        <v>0</v>
      </c>
      <c r="FA87" s="27">
        <f t="shared" si="418"/>
        <v>0</v>
      </c>
      <c r="FB87" s="27">
        <f t="shared" si="418"/>
        <v>0</v>
      </c>
      <c r="FC87" s="27">
        <f t="shared" si="418"/>
        <v>0</v>
      </c>
      <c r="FD87" s="27">
        <f t="shared" si="418"/>
        <v>0</v>
      </c>
      <c r="FE87" s="27">
        <f t="shared" si="418"/>
        <v>0</v>
      </c>
      <c r="FF87" s="27">
        <f t="shared" si="418"/>
        <v>0</v>
      </c>
      <c r="FG87" s="27">
        <f t="shared" si="418"/>
        <v>0</v>
      </c>
      <c r="FH87" s="27">
        <f t="shared" si="418"/>
        <v>0</v>
      </c>
      <c r="FI87" s="27">
        <f t="shared" si="418"/>
        <v>0</v>
      </c>
      <c r="FJ87" s="27">
        <f t="shared" si="418"/>
        <v>0</v>
      </c>
      <c r="FK87" s="27">
        <f t="shared" si="418"/>
        <v>0</v>
      </c>
      <c r="FL87" s="27">
        <f t="shared" si="418"/>
        <v>0</v>
      </c>
      <c r="FM87" s="27">
        <f t="shared" si="418"/>
        <v>0</v>
      </c>
      <c r="FN87" s="27">
        <f t="shared" si="418"/>
        <v>0</v>
      </c>
      <c r="FO87" s="27">
        <f t="shared" si="418"/>
        <v>1</v>
      </c>
      <c r="FP87" s="27">
        <f t="shared" si="418"/>
        <v>1</v>
      </c>
      <c r="FQ87" s="27">
        <f t="shared" si="418"/>
        <v>1</v>
      </c>
      <c r="FR87" s="27">
        <f t="shared" si="418"/>
        <v>1</v>
      </c>
      <c r="FS87" s="27">
        <f t="shared" si="418"/>
        <v>1</v>
      </c>
      <c r="FT87" s="27">
        <f t="shared" si="418"/>
        <v>1</v>
      </c>
      <c r="FU87" s="27">
        <f t="shared" si="418"/>
        <v>1</v>
      </c>
      <c r="FV87" s="27">
        <f t="shared" si="418"/>
        <v>1</v>
      </c>
      <c r="FW87" s="27">
        <f t="shared" si="418"/>
        <v>1</v>
      </c>
      <c r="FX87" s="27">
        <f t="shared" si="418"/>
        <v>1</v>
      </c>
      <c r="FY87" s="27">
        <f t="shared" si="418"/>
        <v>1</v>
      </c>
      <c r="FZ87" s="27">
        <f t="shared" si="418"/>
        <v>1</v>
      </c>
      <c r="GA87" s="27">
        <f t="shared" si="418"/>
        <v>2</v>
      </c>
      <c r="GB87" s="27">
        <f t="shared" si="418"/>
        <v>2</v>
      </c>
      <c r="GC87" s="27">
        <f t="shared" si="418"/>
        <v>2</v>
      </c>
      <c r="GD87" s="27">
        <f t="shared" si="418"/>
        <v>2</v>
      </c>
      <c r="GE87" s="27">
        <f t="shared" si="418"/>
        <v>2</v>
      </c>
      <c r="GF87" s="27">
        <f t="shared" si="418"/>
        <v>2</v>
      </c>
      <c r="GG87" s="27">
        <f t="shared" si="418"/>
        <v>2</v>
      </c>
      <c r="GH87" s="27">
        <f t="shared" si="418"/>
        <v>2</v>
      </c>
      <c r="GI87" s="27">
        <f t="shared" si="418"/>
        <v>2</v>
      </c>
      <c r="GJ87" s="27">
        <f t="shared" si="418"/>
        <v>2</v>
      </c>
      <c r="GK87" s="27">
        <f t="shared" si="418"/>
        <v>2</v>
      </c>
      <c r="GL87" s="27">
        <f t="shared" si="418"/>
        <v>2</v>
      </c>
      <c r="GM87" s="27">
        <f t="shared" si="418"/>
        <v>3</v>
      </c>
      <c r="GN87" s="27">
        <f t="shared" si="418"/>
        <v>3</v>
      </c>
      <c r="GO87" s="27">
        <f t="shared" si="418"/>
        <v>3</v>
      </c>
      <c r="GP87" s="27">
        <f t="shared" si="418"/>
        <v>3</v>
      </c>
      <c r="GQ87" s="27">
        <f t="shared" si="418"/>
        <v>3</v>
      </c>
      <c r="GR87" s="27">
        <f t="shared" si="418"/>
        <v>3</v>
      </c>
      <c r="GS87" s="27">
        <f t="shared" si="418"/>
        <v>3</v>
      </c>
      <c r="GT87" s="27">
        <f t="shared" si="418"/>
        <v>3</v>
      </c>
      <c r="GU87" s="27">
        <f t="shared" si="418"/>
        <v>3</v>
      </c>
      <c r="GV87" s="27">
        <f t="shared" si="418"/>
        <v>3</v>
      </c>
      <c r="GW87" s="27">
        <f t="shared" si="418"/>
        <v>3</v>
      </c>
      <c r="GX87" s="27">
        <f t="shared" si="418"/>
        <v>3</v>
      </c>
      <c r="GY87" s="27">
        <f t="shared" si="418"/>
        <v>4</v>
      </c>
      <c r="GZ87" s="27">
        <f t="shared" si="418"/>
        <v>4</v>
      </c>
      <c r="HA87" s="27">
        <f t="shared" si="418"/>
        <v>4</v>
      </c>
      <c r="HB87" s="27">
        <f t="shared" si="418"/>
        <v>4</v>
      </c>
      <c r="HC87" s="27">
        <f t="shared" si="418"/>
        <v>4</v>
      </c>
      <c r="HD87" s="27">
        <f t="shared" si="418"/>
        <v>4</v>
      </c>
      <c r="HE87" s="27">
        <f t="shared" si="418"/>
        <v>4</v>
      </c>
      <c r="HF87" s="27">
        <f t="shared" si="418"/>
        <v>4</v>
      </c>
      <c r="HG87" s="27">
        <f t="shared" si="418"/>
        <v>4</v>
      </c>
      <c r="HH87" s="27">
        <f t="shared" si="418"/>
        <v>4</v>
      </c>
      <c r="HI87" s="27">
        <f t="shared" si="418"/>
        <v>4</v>
      </c>
      <c r="HJ87" s="27">
        <f t="shared" ref="HJ87:JU87" si="419">ROUNDUP(HJ88/12,0)</f>
        <v>4</v>
      </c>
      <c r="HK87" s="27">
        <f t="shared" si="419"/>
        <v>5</v>
      </c>
      <c r="HL87" s="27">
        <f t="shared" si="419"/>
        <v>5</v>
      </c>
      <c r="HM87" s="27">
        <f t="shared" si="419"/>
        <v>5</v>
      </c>
      <c r="HN87" s="27">
        <f t="shared" si="419"/>
        <v>5</v>
      </c>
      <c r="HO87" s="27">
        <f t="shared" si="419"/>
        <v>5</v>
      </c>
      <c r="HP87" s="27">
        <f t="shared" si="419"/>
        <v>5</v>
      </c>
      <c r="HQ87" s="27">
        <f t="shared" si="419"/>
        <v>5</v>
      </c>
      <c r="HR87" s="27">
        <f t="shared" si="419"/>
        <v>5</v>
      </c>
      <c r="HS87" s="27">
        <f t="shared" si="419"/>
        <v>5</v>
      </c>
      <c r="HT87" s="27">
        <f t="shared" si="419"/>
        <v>5</v>
      </c>
      <c r="HU87" s="27">
        <f t="shared" si="419"/>
        <v>5</v>
      </c>
      <c r="HV87" s="27">
        <f t="shared" si="419"/>
        <v>5</v>
      </c>
      <c r="HW87" s="27">
        <f t="shared" si="419"/>
        <v>6</v>
      </c>
      <c r="HX87" s="27">
        <f t="shared" si="419"/>
        <v>6</v>
      </c>
      <c r="HY87" s="27">
        <f t="shared" si="419"/>
        <v>6</v>
      </c>
      <c r="HZ87" s="27">
        <f t="shared" si="419"/>
        <v>6</v>
      </c>
      <c r="IA87" s="27">
        <f t="shared" si="419"/>
        <v>6</v>
      </c>
      <c r="IB87" s="27">
        <f t="shared" si="419"/>
        <v>6</v>
      </c>
      <c r="IC87" s="27">
        <f t="shared" si="419"/>
        <v>6</v>
      </c>
      <c r="ID87" s="27">
        <f t="shared" si="419"/>
        <v>6</v>
      </c>
      <c r="IE87" s="27">
        <f t="shared" si="419"/>
        <v>6</v>
      </c>
      <c r="IF87" s="27">
        <f t="shared" si="419"/>
        <v>6</v>
      </c>
      <c r="IG87" s="27">
        <f t="shared" si="419"/>
        <v>6</v>
      </c>
      <c r="IH87" s="27">
        <f t="shared" si="419"/>
        <v>6</v>
      </c>
      <c r="II87" s="27">
        <f t="shared" si="419"/>
        <v>7</v>
      </c>
      <c r="IJ87" s="27">
        <f t="shared" si="419"/>
        <v>7</v>
      </c>
      <c r="IK87" s="27">
        <f t="shared" si="419"/>
        <v>7</v>
      </c>
      <c r="IL87" s="27">
        <f t="shared" si="419"/>
        <v>7</v>
      </c>
      <c r="IM87" s="27">
        <f t="shared" si="419"/>
        <v>7</v>
      </c>
      <c r="IN87" s="27">
        <f t="shared" si="419"/>
        <v>7</v>
      </c>
      <c r="IO87" s="27">
        <f t="shared" si="419"/>
        <v>7</v>
      </c>
      <c r="IP87" s="27">
        <f t="shared" si="419"/>
        <v>7</v>
      </c>
      <c r="IQ87" s="27">
        <f t="shared" si="419"/>
        <v>7</v>
      </c>
      <c r="IR87" s="27">
        <f t="shared" si="419"/>
        <v>7</v>
      </c>
      <c r="IS87" s="27">
        <f t="shared" si="419"/>
        <v>7</v>
      </c>
      <c r="IT87" s="27">
        <f t="shared" si="419"/>
        <v>7</v>
      </c>
      <c r="IU87" s="27">
        <f t="shared" si="419"/>
        <v>8</v>
      </c>
      <c r="IV87" s="27">
        <f t="shared" si="419"/>
        <v>8</v>
      </c>
      <c r="IW87" s="27">
        <f t="shared" si="419"/>
        <v>8</v>
      </c>
      <c r="IX87" s="27">
        <f t="shared" si="419"/>
        <v>8</v>
      </c>
      <c r="IY87" s="27">
        <f t="shared" si="419"/>
        <v>8</v>
      </c>
      <c r="IZ87" s="27">
        <f t="shared" si="419"/>
        <v>8</v>
      </c>
      <c r="JA87" s="27">
        <f t="shared" si="419"/>
        <v>8</v>
      </c>
      <c r="JB87" s="27">
        <f t="shared" si="419"/>
        <v>8</v>
      </c>
      <c r="JC87" s="27">
        <f t="shared" si="419"/>
        <v>8</v>
      </c>
      <c r="JD87" s="27">
        <f t="shared" si="419"/>
        <v>8</v>
      </c>
      <c r="JE87" s="27">
        <f t="shared" si="419"/>
        <v>8</v>
      </c>
      <c r="JF87" s="27">
        <f t="shared" si="419"/>
        <v>8</v>
      </c>
      <c r="JG87" s="27">
        <f t="shared" si="419"/>
        <v>9</v>
      </c>
      <c r="JH87" s="27">
        <f t="shared" si="419"/>
        <v>9</v>
      </c>
      <c r="JI87" s="27">
        <f t="shared" si="419"/>
        <v>9</v>
      </c>
      <c r="JJ87" s="27">
        <f t="shared" si="419"/>
        <v>9</v>
      </c>
      <c r="JK87" s="27">
        <f t="shared" si="419"/>
        <v>9</v>
      </c>
      <c r="JL87" s="27">
        <f t="shared" si="419"/>
        <v>9</v>
      </c>
      <c r="JM87" s="27">
        <f t="shared" si="419"/>
        <v>9</v>
      </c>
      <c r="JN87" s="27">
        <f t="shared" si="419"/>
        <v>9</v>
      </c>
      <c r="JO87" s="27">
        <f t="shared" si="419"/>
        <v>9</v>
      </c>
      <c r="JP87" s="27">
        <f t="shared" si="419"/>
        <v>9</v>
      </c>
      <c r="JQ87" s="27">
        <f t="shared" si="419"/>
        <v>9</v>
      </c>
      <c r="JR87" s="27">
        <f t="shared" si="419"/>
        <v>9</v>
      </c>
      <c r="JS87" s="27">
        <f t="shared" si="419"/>
        <v>10</v>
      </c>
      <c r="JT87" s="27">
        <f t="shared" si="419"/>
        <v>10</v>
      </c>
      <c r="JU87" s="27">
        <f t="shared" si="419"/>
        <v>10</v>
      </c>
      <c r="JV87" s="27">
        <f>ROUNDUP(JV88/12,0)</f>
        <v>10</v>
      </c>
      <c r="JW87" s="27">
        <f>ROUNDUP(JW88/12,0)</f>
        <v>10</v>
      </c>
      <c r="JX87" s="27">
        <f>ROUNDUP(JX88/12,0)</f>
        <v>10</v>
      </c>
    </row>
    <row r="88" spans="1:284" x14ac:dyDescent="0.2">
      <c r="B88" s="100" t="s">
        <v>123</v>
      </c>
      <c r="C88" s="93"/>
      <c r="D88" s="93"/>
      <c r="E88" s="93"/>
      <c r="F88" s="93"/>
      <c r="G88" s="548">
        <f>Units_SF_M2</f>
        <v>255000</v>
      </c>
      <c r="H88" s="547">
        <f>G88/I88</f>
        <v>0.79454598707538526</v>
      </c>
      <c r="I88" s="546">
        <f>E18</f>
        <v>320938</v>
      </c>
      <c r="AE88" s="49"/>
      <c r="EP88" s="24"/>
      <c r="EQ88" s="33" t="s">
        <v>219</v>
      </c>
      <c r="ER88" s="79">
        <f>COUNTA($B$90:$B$95)</f>
        <v>6</v>
      </c>
      <c r="ES88" s="24"/>
      <c r="ET88" s="24"/>
      <c r="EU88" s="33" t="s">
        <v>522</v>
      </c>
      <c r="EV88" s="26"/>
      <c r="EW88" s="26">
        <f t="shared" ref="EW88:GB88" si="420">MAX(EW3-Timing_Growth_Begin_Income+1,0)</f>
        <v>0</v>
      </c>
      <c r="EX88" s="26">
        <f t="shared" si="420"/>
        <v>0</v>
      </c>
      <c r="EY88" s="26">
        <f t="shared" si="420"/>
        <v>0</v>
      </c>
      <c r="EZ88" s="26">
        <f t="shared" si="420"/>
        <v>0</v>
      </c>
      <c r="FA88" s="26">
        <f t="shared" si="420"/>
        <v>0</v>
      </c>
      <c r="FB88" s="26">
        <f t="shared" si="420"/>
        <v>0</v>
      </c>
      <c r="FC88" s="26">
        <f t="shared" si="420"/>
        <v>0</v>
      </c>
      <c r="FD88" s="26">
        <f t="shared" si="420"/>
        <v>0</v>
      </c>
      <c r="FE88" s="26">
        <f t="shared" si="420"/>
        <v>0</v>
      </c>
      <c r="FF88" s="26">
        <f t="shared" si="420"/>
        <v>0</v>
      </c>
      <c r="FG88" s="26">
        <f t="shared" si="420"/>
        <v>0</v>
      </c>
      <c r="FH88" s="26">
        <f t="shared" si="420"/>
        <v>0</v>
      </c>
      <c r="FI88" s="26">
        <f t="shared" si="420"/>
        <v>0</v>
      </c>
      <c r="FJ88" s="26">
        <f t="shared" si="420"/>
        <v>0</v>
      </c>
      <c r="FK88" s="26">
        <f t="shared" si="420"/>
        <v>0</v>
      </c>
      <c r="FL88" s="26">
        <f t="shared" si="420"/>
        <v>0</v>
      </c>
      <c r="FM88" s="26">
        <f t="shared" si="420"/>
        <v>0</v>
      </c>
      <c r="FN88" s="26">
        <f t="shared" si="420"/>
        <v>0</v>
      </c>
      <c r="FO88" s="26">
        <f t="shared" si="420"/>
        <v>1</v>
      </c>
      <c r="FP88" s="26">
        <f t="shared" si="420"/>
        <v>2</v>
      </c>
      <c r="FQ88" s="26">
        <f t="shared" si="420"/>
        <v>3</v>
      </c>
      <c r="FR88" s="26">
        <f t="shared" si="420"/>
        <v>4</v>
      </c>
      <c r="FS88" s="26">
        <f t="shared" si="420"/>
        <v>5</v>
      </c>
      <c r="FT88" s="26">
        <f t="shared" si="420"/>
        <v>6</v>
      </c>
      <c r="FU88" s="26">
        <f t="shared" si="420"/>
        <v>7</v>
      </c>
      <c r="FV88" s="26">
        <f t="shared" si="420"/>
        <v>8</v>
      </c>
      <c r="FW88" s="26">
        <f t="shared" si="420"/>
        <v>9</v>
      </c>
      <c r="FX88" s="26">
        <f t="shared" si="420"/>
        <v>10</v>
      </c>
      <c r="FY88" s="26">
        <f t="shared" si="420"/>
        <v>11</v>
      </c>
      <c r="FZ88" s="26">
        <f t="shared" si="420"/>
        <v>12</v>
      </c>
      <c r="GA88" s="26">
        <f t="shared" si="420"/>
        <v>13</v>
      </c>
      <c r="GB88" s="26">
        <f t="shared" si="420"/>
        <v>14</v>
      </c>
      <c r="GC88" s="26">
        <f t="shared" ref="GC88:HH88" si="421">MAX(GC3-Timing_Growth_Begin_Income+1,0)</f>
        <v>15</v>
      </c>
      <c r="GD88" s="26">
        <f t="shared" si="421"/>
        <v>16</v>
      </c>
      <c r="GE88" s="26">
        <f t="shared" si="421"/>
        <v>17</v>
      </c>
      <c r="GF88" s="26">
        <f t="shared" si="421"/>
        <v>18</v>
      </c>
      <c r="GG88" s="26">
        <f t="shared" si="421"/>
        <v>19</v>
      </c>
      <c r="GH88" s="26">
        <f t="shared" si="421"/>
        <v>20</v>
      </c>
      <c r="GI88" s="26">
        <f t="shared" si="421"/>
        <v>21</v>
      </c>
      <c r="GJ88" s="26">
        <f t="shared" si="421"/>
        <v>22</v>
      </c>
      <c r="GK88" s="26">
        <f t="shared" si="421"/>
        <v>23</v>
      </c>
      <c r="GL88" s="26">
        <f t="shared" si="421"/>
        <v>24</v>
      </c>
      <c r="GM88" s="26">
        <f t="shared" si="421"/>
        <v>25</v>
      </c>
      <c r="GN88" s="26">
        <f t="shared" si="421"/>
        <v>26</v>
      </c>
      <c r="GO88" s="26">
        <f t="shared" si="421"/>
        <v>27</v>
      </c>
      <c r="GP88" s="26">
        <f t="shared" si="421"/>
        <v>28</v>
      </c>
      <c r="GQ88" s="26">
        <f t="shared" si="421"/>
        <v>29</v>
      </c>
      <c r="GR88" s="26">
        <f t="shared" si="421"/>
        <v>30</v>
      </c>
      <c r="GS88" s="26">
        <f t="shared" si="421"/>
        <v>31</v>
      </c>
      <c r="GT88" s="26">
        <f t="shared" si="421"/>
        <v>32</v>
      </c>
      <c r="GU88" s="26">
        <f t="shared" si="421"/>
        <v>33</v>
      </c>
      <c r="GV88" s="26">
        <f t="shared" si="421"/>
        <v>34</v>
      </c>
      <c r="GW88" s="26">
        <f t="shared" si="421"/>
        <v>35</v>
      </c>
      <c r="GX88" s="26">
        <f t="shared" si="421"/>
        <v>36</v>
      </c>
      <c r="GY88" s="26">
        <f t="shared" si="421"/>
        <v>37</v>
      </c>
      <c r="GZ88" s="26">
        <f t="shared" si="421"/>
        <v>38</v>
      </c>
      <c r="HA88" s="26">
        <f t="shared" si="421"/>
        <v>39</v>
      </c>
      <c r="HB88" s="26">
        <f t="shared" si="421"/>
        <v>40</v>
      </c>
      <c r="HC88" s="26">
        <f t="shared" si="421"/>
        <v>41</v>
      </c>
      <c r="HD88" s="26">
        <f t="shared" si="421"/>
        <v>42</v>
      </c>
      <c r="HE88" s="26">
        <f t="shared" si="421"/>
        <v>43</v>
      </c>
      <c r="HF88" s="26">
        <f t="shared" si="421"/>
        <v>44</v>
      </c>
      <c r="HG88" s="26">
        <f t="shared" si="421"/>
        <v>45</v>
      </c>
      <c r="HH88" s="26">
        <f t="shared" si="421"/>
        <v>46</v>
      </c>
      <c r="HI88" s="26">
        <f t="shared" ref="HI88:IN88" si="422">MAX(HI3-Timing_Growth_Begin_Income+1,0)</f>
        <v>47</v>
      </c>
      <c r="HJ88" s="26">
        <f t="shared" si="422"/>
        <v>48</v>
      </c>
      <c r="HK88" s="26">
        <f t="shared" si="422"/>
        <v>49</v>
      </c>
      <c r="HL88" s="26">
        <f t="shared" si="422"/>
        <v>50</v>
      </c>
      <c r="HM88" s="26">
        <f t="shared" si="422"/>
        <v>51</v>
      </c>
      <c r="HN88" s="26">
        <f t="shared" si="422"/>
        <v>52</v>
      </c>
      <c r="HO88" s="26">
        <f t="shared" si="422"/>
        <v>53</v>
      </c>
      <c r="HP88" s="26">
        <f t="shared" si="422"/>
        <v>54</v>
      </c>
      <c r="HQ88" s="26">
        <f t="shared" si="422"/>
        <v>55</v>
      </c>
      <c r="HR88" s="26">
        <f t="shared" si="422"/>
        <v>56</v>
      </c>
      <c r="HS88" s="26">
        <f t="shared" si="422"/>
        <v>57</v>
      </c>
      <c r="HT88" s="26">
        <f t="shared" si="422"/>
        <v>58</v>
      </c>
      <c r="HU88" s="26">
        <f t="shared" si="422"/>
        <v>59</v>
      </c>
      <c r="HV88" s="26">
        <f t="shared" si="422"/>
        <v>60</v>
      </c>
      <c r="HW88" s="26">
        <f t="shared" si="422"/>
        <v>61</v>
      </c>
      <c r="HX88" s="26">
        <f t="shared" si="422"/>
        <v>62</v>
      </c>
      <c r="HY88" s="26">
        <f t="shared" si="422"/>
        <v>63</v>
      </c>
      <c r="HZ88" s="26">
        <f t="shared" si="422"/>
        <v>64</v>
      </c>
      <c r="IA88" s="26">
        <f t="shared" si="422"/>
        <v>65</v>
      </c>
      <c r="IB88" s="26">
        <f t="shared" si="422"/>
        <v>66</v>
      </c>
      <c r="IC88" s="26">
        <f t="shared" si="422"/>
        <v>67</v>
      </c>
      <c r="ID88" s="26">
        <f t="shared" si="422"/>
        <v>68</v>
      </c>
      <c r="IE88" s="26">
        <f t="shared" si="422"/>
        <v>69</v>
      </c>
      <c r="IF88" s="26">
        <f t="shared" si="422"/>
        <v>70</v>
      </c>
      <c r="IG88" s="26">
        <f t="shared" si="422"/>
        <v>71</v>
      </c>
      <c r="IH88" s="26">
        <f t="shared" si="422"/>
        <v>72</v>
      </c>
      <c r="II88" s="26">
        <f t="shared" si="422"/>
        <v>73</v>
      </c>
      <c r="IJ88" s="26">
        <f t="shared" si="422"/>
        <v>74</v>
      </c>
      <c r="IK88" s="26">
        <f t="shared" si="422"/>
        <v>75</v>
      </c>
      <c r="IL88" s="26">
        <f t="shared" si="422"/>
        <v>76</v>
      </c>
      <c r="IM88" s="26">
        <f t="shared" si="422"/>
        <v>77</v>
      </c>
      <c r="IN88" s="26">
        <f t="shared" si="422"/>
        <v>78</v>
      </c>
      <c r="IO88" s="26">
        <f t="shared" ref="IO88:JX88" si="423">MAX(IO3-Timing_Growth_Begin_Income+1,0)</f>
        <v>79</v>
      </c>
      <c r="IP88" s="26">
        <f t="shared" si="423"/>
        <v>80</v>
      </c>
      <c r="IQ88" s="26">
        <f t="shared" si="423"/>
        <v>81</v>
      </c>
      <c r="IR88" s="26">
        <f t="shared" si="423"/>
        <v>82</v>
      </c>
      <c r="IS88" s="26">
        <f t="shared" si="423"/>
        <v>83</v>
      </c>
      <c r="IT88" s="26">
        <f t="shared" si="423"/>
        <v>84</v>
      </c>
      <c r="IU88" s="26">
        <f t="shared" si="423"/>
        <v>85</v>
      </c>
      <c r="IV88" s="26">
        <f t="shared" si="423"/>
        <v>86</v>
      </c>
      <c r="IW88" s="26">
        <f t="shared" si="423"/>
        <v>87</v>
      </c>
      <c r="IX88" s="26">
        <f t="shared" si="423"/>
        <v>88</v>
      </c>
      <c r="IY88" s="26">
        <f t="shared" si="423"/>
        <v>89</v>
      </c>
      <c r="IZ88" s="26">
        <f t="shared" si="423"/>
        <v>90</v>
      </c>
      <c r="JA88" s="26">
        <f t="shared" si="423"/>
        <v>91</v>
      </c>
      <c r="JB88" s="26">
        <f t="shared" si="423"/>
        <v>92</v>
      </c>
      <c r="JC88" s="26">
        <f t="shared" si="423"/>
        <v>93</v>
      </c>
      <c r="JD88" s="26">
        <f t="shared" si="423"/>
        <v>94</v>
      </c>
      <c r="JE88" s="26">
        <f t="shared" si="423"/>
        <v>95</v>
      </c>
      <c r="JF88" s="26">
        <f t="shared" si="423"/>
        <v>96</v>
      </c>
      <c r="JG88" s="26">
        <f t="shared" si="423"/>
        <v>97</v>
      </c>
      <c r="JH88" s="26">
        <f t="shared" si="423"/>
        <v>98</v>
      </c>
      <c r="JI88" s="26">
        <f t="shared" si="423"/>
        <v>99</v>
      </c>
      <c r="JJ88" s="26">
        <f t="shared" si="423"/>
        <v>100</v>
      </c>
      <c r="JK88" s="26">
        <f t="shared" si="423"/>
        <v>101</v>
      </c>
      <c r="JL88" s="26">
        <f t="shared" si="423"/>
        <v>102</v>
      </c>
      <c r="JM88" s="26">
        <f t="shared" si="423"/>
        <v>103</v>
      </c>
      <c r="JN88" s="26">
        <f t="shared" si="423"/>
        <v>104</v>
      </c>
      <c r="JO88" s="26">
        <f t="shared" si="423"/>
        <v>105</v>
      </c>
      <c r="JP88" s="26">
        <f t="shared" si="423"/>
        <v>106</v>
      </c>
      <c r="JQ88" s="26">
        <f t="shared" si="423"/>
        <v>107</v>
      </c>
      <c r="JR88" s="26">
        <f t="shared" si="423"/>
        <v>108</v>
      </c>
      <c r="JS88" s="26">
        <f t="shared" si="423"/>
        <v>109</v>
      </c>
      <c r="JT88" s="26">
        <f t="shared" si="423"/>
        <v>110</v>
      </c>
      <c r="JU88" s="26">
        <f t="shared" si="423"/>
        <v>111</v>
      </c>
      <c r="JV88" s="26">
        <f t="shared" si="423"/>
        <v>112</v>
      </c>
      <c r="JW88" s="26">
        <f t="shared" si="423"/>
        <v>113</v>
      </c>
      <c r="JX88" s="26">
        <f t="shared" si="423"/>
        <v>114</v>
      </c>
    </row>
    <row r="89" spans="1:284" s="7" customFormat="1" x14ac:dyDescent="0.2">
      <c r="A89" s="406"/>
      <c r="B89" s="101" t="s">
        <v>319</v>
      </c>
      <c r="C89" s="102" t="s">
        <v>127</v>
      </c>
      <c r="D89" s="102" t="str">
        <f>"AVG. "&amp;Unit_Type</f>
        <v>AVG. SF</v>
      </c>
      <c r="E89" s="102" t="s">
        <v>131</v>
      </c>
      <c r="F89" s="102" t="s">
        <v>132</v>
      </c>
      <c r="G89" s="102" t="str">
        <f>"RENT/"&amp;Unit_Type&amp;"/MO"</f>
        <v>RENT/SF/MO</v>
      </c>
      <c r="H89" s="102" t="s">
        <v>148</v>
      </c>
      <c r="I89" s="102" t="s">
        <v>128</v>
      </c>
      <c r="K89" s="7" t="s">
        <v>488</v>
      </c>
      <c r="L89" s="58"/>
      <c r="M89" s="52">
        <f t="shared" ref="M89:AR89" si="424">M82</f>
        <v>1</v>
      </c>
      <c r="N89" s="52">
        <f t="shared" si="424"/>
        <v>2</v>
      </c>
      <c r="O89" s="52">
        <f t="shared" si="424"/>
        <v>3</v>
      </c>
      <c r="P89" s="52">
        <f t="shared" si="424"/>
        <v>4</v>
      </c>
      <c r="Q89" s="52">
        <f t="shared" si="424"/>
        <v>5</v>
      </c>
      <c r="R89" s="52">
        <f t="shared" si="424"/>
        <v>6</v>
      </c>
      <c r="S89" s="52">
        <f t="shared" si="424"/>
        <v>7</v>
      </c>
      <c r="T89" s="52">
        <f t="shared" si="424"/>
        <v>8</v>
      </c>
      <c r="U89" s="52">
        <f t="shared" si="424"/>
        <v>9</v>
      </c>
      <c r="V89" s="52">
        <f t="shared" si="424"/>
        <v>10</v>
      </c>
      <c r="W89" s="52">
        <f t="shared" si="424"/>
        <v>11</v>
      </c>
      <c r="X89" s="52">
        <f t="shared" si="424"/>
        <v>12</v>
      </c>
      <c r="Y89" s="52">
        <f t="shared" si="424"/>
        <v>13</v>
      </c>
      <c r="Z89" s="52">
        <f t="shared" si="424"/>
        <v>14</v>
      </c>
      <c r="AA89" s="52">
        <f t="shared" si="424"/>
        <v>15</v>
      </c>
      <c r="AB89" s="52">
        <f t="shared" si="424"/>
        <v>16</v>
      </c>
      <c r="AC89" s="52">
        <f t="shared" si="424"/>
        <v>17</v>
      </c>
      <c r="AD89" s="52">
        <f t="shared" si="424"/>
        <v>18</v>
      </c>
      <c r="AE89" s="52">
        <f t="shared" si="424"/>
        <v>19</v>
      </c>
      <c r="AF89" s="52">
        <f t="shared" si="424"/>
        <v>20</v>
      </c>
      <c r="AG89" s="52">
        <f t="shared" si="424"/>
        <v>21</v>
      </c>
      <c r="AH89" s="52">
        <f t="shared" si="424"/>
        <v>22</v>
      </c>
      <c r="AI89" s="52">
        <f t="shared" si="424"/>
        <v>23</v>
      </c>
      <c r="AJ89" s="52">
        <f t="shared" si="424"/>
        <v>24</v>
      </c>
      <c r="AK89" s="52">
        <f t="shared" si="424"/>
        <v>25</v>
      </c>
      <c r="AL89" s="52">
        <f t="shared" si="424"/>
        <v>26</v>
      </c>
      <c r="AM89" s="52">
        <f t="shared" si="424"/>
        <v>27</v>
      </c>
      <c r="AN89" s="52">
        <f t="shared" si="424"/>
        <v>28</v>
      </c>
      <c r="AO89" s="52">
        <f t="shared" si="424"/>
        <v>29</v>
      </c>
      <c r="AP89" s="52">
        <f t="shared" si="424"/>
        <v>30</v>
      </c>
      <c r="AQ89" s="52">
        <f t="shared" si="424"/>
        <v>31</v>
      </c>
      <c r="AR89" s="52">
        <f t="shared" si="424"/>
        <v>32</v>
      </c>
      <c r="AS89" s="52">
        <f t="shared" ref="AS89:BX89" si="425">AS82</f>
        <v>33</v>
      </c>
      <c r="AT89" s="52">
        <f t="shared" si="425"/>
        <v>34</v>
      </c>
      <c r="AU89" s="52">
        <f t="shared" si="425"/>
        <v>35</v>
      </c>
      <c r="AV89" s="52">
        <f t="shared" si="425"/>
        <v>36</v>
      </c>
      <c r="AW89" s="52">
        <f t="shared" si="425"/>
        <v>37</v>
      </c>
      <c r="AX89" s="52">
        <f t="shared" si="425"/>
        <v>38</v>
      </c>
      <c r="AY89" s="52">
        <f t="shared" si="425"/>
        <v>39</v>
      </c>
      <c r="AZ89" s="52">
        <f t="shared" si="425"/>
        <v>40</v>
      </c>
      <c r="BA89" s="52">
        <f t="shared" si="425"/>
        <v>41</v>
      </c>
      <c r="BB89" s="52">
        <f t="shared" si="425"/>
        <v>42</v>
      </c>
      <c r="BC89" s="52">
        <f t="shared" si="425"/>
        <v>43</v>
      </c>
      <c r="BD89" s="52">
        <f t="shared" si="425"/>
        <v>44</v>
      </c>
      <c r="BE89" s="52">
        <f t="shared" si="425"/>
        <v>45</v>
      </c>
      <c r="BF89" s="52">
        <f t="shared" si="425"/>
        <v>46</v>
      </c>
      <c r="BG89" s="52">
        <f t="shared" si="425"/>
        <v>47</v>
      </c>
      <c r="BH89" s="52">
        <f t="shared" si="425"/>
        <v>48</v>
      </c>
      <c r="BI89" s="52">
        <f t="shared" si="425"/>
        <v>49</v>
      </c>
      <c r="BJ89" s="52">
        <f t="shared" si="425"/>
        <v>50</v>
      </c>
      <c r="BK89" s="52">
        <f t="shared" si="425"/>
        <v>51</v>
      </c>
      <c r="BL89" s="52">
        <f t="shared" si="425"/>
        <v>52</v>
      </c>
      <c r="BM89" s="52">
        <f t="shared" si="425"/>
        <v>53</v>
      </c>
      <c r="BN89" s="52">
        <f t="shared" si="425"/>
        <v>54</v>
      </c>
      <c r="BO89" s="52">
        <f t="shared" si="425"/>
        <v>55</v>
      </c>
      <c r="BP89" s="52">
        <f t="shared" si="425"/>
        <v>56</v>
      </c>
      <c r="BQ89" s="52">
        <f t="shared" si="425"/>
        <v>57</v>
      </c>
      <c r="BR89" s="52">
        <f t="shared" si="425"/>
        <v>58</v>
      </c>
      <c r="BS89" s="52">
        <f t="shared" si="425"/>
        <v>59</v>
      </c>
      <c r="BT89" s="52">
        <f t="shared" si="425"/>
        <v>60</v>
      </c>
      <c r="BU89" s="52">
        <f t="shared" si="425"/>
        <v>61</v>
      </c>
      <c r="BV89" s="52">
        <f t="shared" si="425"/>
        <v>62</v>
      </c>
      <c r="BW89" s="52">
        <f t="shared" si="425"/>
        <v>63</v>
      </c>
      <c r="BX89" s="52">
        <f t="shared" si="425"/>
        <v>64</v>
      </c>
      <c r="BY89" s="52">
        <f t="shared" ref="BY89:DD89" si="426">BY82</f>
        <v>65</v>
      </c>
      <c r="BZ89" s="52">
        <f t="shared" si="426"/>
        <v>66</v>
      </c>
      <c r="CA89" s="52">
        <f t="shared" si="426"/>
        <v>67</v>
      </c>
      <c r="CB89" s="52">
        <f t="shared" si="426"/>
        <v>68</v>
      </c>
      <c r="CC89" s="52">
        <f t="shared" si="426"/>
        <v>69</v>
      </c>
      <c r="CD89" s="52">
        <f t="shared" si="426"/>
        <v>70</v>
      </c>
      <c r="CE89" s="52">
        <f t="shared" si="426"/>
        <v>71</v>
      </c>
      <c r="CF89" s="52">
        <f t="shared" si="426"/>
        <v>72</v>
      </c>
      <c r="CG89" s="52">
        <f t="shared" si="426"/>
        <v>73</v>
      </c>
      <c r="CH89" s="52">
        <f t="shared" si="426"/>
        <v>74</v>
      </c>
      <c r="CI89" s="52">
        <f t="shared" si="426"/>
        <v>75</v>
      </c>
      <c r="CJ89" s="52">
        <f t="shared" si="426"/>
        <v>76</v>
      </c>
      <c r="CK89" s="52">
        <f t="shared" si="426"/>
        <v>77</v>
      </c>
      <c r="CL89" s="52">
        <f t="shared" si="426"/>
        <v>78</v>
      </c>
      <c r="CM89" s="52">
        <f t="shared" si="426"/>
        <v>79</v>
      </c>
      <c r="CN89" s="52">
        <f t="shared" si="426"/>
        <v>80</v>
      </c>
      <c r="CO89" s="52">
        <f t="shared" si="426"/>
        <v>81</v>
      </c>
      <c r="CP89" s="52">
        <f t="shared" si="426"/>
        <v>82</v>
      </c>
      <c r="CQ89" s="52">
        <f t="shared" si="426"/>
        <v>83</v>
      </c>
      <c r="CR89" s="52">
        <f t="shared" si="426"/>
        <v>84</v>
      </c>
      <c r="CS89" s="52">
        <f t="shared" si="426"/>
        <v>85</v>
      </c>
      <c r="CT89" s="52">
        <f t="shared" si="426"/>
        <v>86</v>
      </c>
      <c r="CU89" s="52">
        <f t="shared" si="426"/>
        <v>87</v>
      </c>
      <c r="CV89" s="52">
        <f t="shared" si="426"/>
        <v>88</v>
      </c>
      <c r="CW89" s="52">
        <f t="shared" si="426"/>
        <v>89</v>
      </c>
      <c r="CX89" s="52">
        <f t="shared" si="426"/>
        <v>90</v>
      </c>
      <c r="CY89" s="52">
        <f t="shared" si="426"/>
        <v>91</v>
      </c>
      <c r="CZ89" s="52">
        <f t="shared" si="426"/>
        <v>92</v>
      </c>
      <c r="DA89" s="52">
        <f t="shared" si="426"/>
        <v>93</v>
      </c>
      <c r="DB89" s="52">
        <f t="shared" si="426"/>
        <v>94</v>
      </c>
      <c r="DC89" s="52">
        <f t="shared" si="426"/>
        <v>95</v>
      </c>
      <c r="DD89" s="52">
        <f t="shared" si="426"/>
        <v>96</v>
      </c>
      <c r="DE89" s="52">
        <f t="shared" ref="DE89:EN89" si="427">DE82</f>
        <v>97</v>
      </c>
      <c r="DF89" s="52">
        <f t="shared" si="427"/>
        <v>98</v>
      </c>
      <c r="DG89" s="52">
        <f t="shared" si="427"/>
        <v>99</v>
      </c>
      <c r="DH89" s="52">
        <f t="shared" si="427"/>
        <v>100</v>
      </c>
      <c r="DI89" s="52">
        <f t="shared" si="427"/>
        <v>101</v>
      </c>
      <c r="DJ89" s="52">
        <f t="shared" si="427"/>
        <v>102</v>
      </c>
      <c r="DK89" s="52">
        <f t="shared" si="427"/>
        <v>103</v>
      </c>
      <c r="DL89" s="52">
        <f t="shared" si="427"/>
        <v>104</v>
      </c>
      <c r="DM89" s="52">
        <f t="shared" si="427"/>
        <v>105</v>
      </c>
      <c r="DN89" s="52">
        <f t="shared" si="427"/>
        <v>106</v>
      </c>
      <c r="DO89" s="52">
        <f t="shared" si="427"/>
        <v>107</v>
      </c>
      <c r="DP89" s="52">
        <f t="shared" si="427"/>
        <v>108</v>
      </c>
      <c r="DQ89" s="52">
        <f t="shared" si="427"/>
        <v>109</v>
      </c>
      <c r="DR89" s="52">
        <f t="shared" si="427"/>
        <v>110</v>
      </c>
      <c r="DS89" s="52">
        <f t="shared" si="427"/>
        <v>111</v>
      </c>
      <c r="DT89" s="52">
        <f t="shared" si="427"/>
        <v>112</v>
      </c>
      <c r="DU89" s="52">
        <f t="shared" si="427"/>
        <v>113</v>
      </c>
      <c r="DV89" s="52">
        <f t="shared" si="427"/>
        <v>114</v>
      </c>
      <c r="DW89" s="52">
        <f t="shared" si="427"/>
        <v>115</v>
      </c>
      <c r="DX89" s="52">
        <f t="shared" si="427"/>
        <v>116</v>
      </c>
      <c r="DY89" s="52">
        <f t="shared" si="427"/>
        <v>117</v>
      </c>
      <c r="DZ89" s="52">
        <f t="shared" si="427"/>
        <v>118</v>
      </c>
      <c r="EA89" s="52">
        <f t="shared" si="427"/>
        <v>119</v>
      </c>
      <c r="EB89" s="52">
        <f t="shared" si="427"/>
        <v>120</v>
      </c>
      <c r="EC89" s="52">
        <f t="shared" si="427"/>
        <v>121</v>
      </c>
      <c r="ED89" s="52">
        <f t="shared" si="427"/>
        <v>122</v>
      </c>
      <c r="EE89" s="52">
        <f t="shared" si="427"/>
        <v>123</v>
      </c>
      <c r="EF89" s="52">
        <f t="shared" si="427"/>
        <v>124</v>
      </c>
      <c r="EG89" s="52">
        <f t="shared" si="427"/>
        <v>125</v>
      </c>
      <c r="EH89" s="52">
        <f t="shared" si="427"/>
        <v>126</v>
      </c>
      <c r="EI89" s="52">
        <f t="shared" si="427"/>
        <v>127</v>
      </c>
      <c r="EJ89" s="52">
        <f t="shared" si="427"/>
        <v>128</v>
      </c>
      <c r="EK89" s="52">
        <f t="shared" si="427"/>
        <v>129</v>
      </c>
      <c r="EL89" s="52">
        <f t="shared" si="427"/>
        <v>130</v>
      </c>
      <c r="EM89" s="52">
        <f t="shared" si="427"/>
        <v>131</v>
      </c>
      <c r="EN89" s="52">
        <f t="shared" si="427"/>
        <v>132</v>
      </c>
      <c r="EP89" s="37" t="s">
        <v>106</v>
      </c>
      <c r="EQ89" s="24"/>
      <c r="ER89" s="33" t="s">
        <v>93</v>
      </c>
      <c r="ES89" s="33" t="s">
        <v>107</v>
      </c>
      <c r="ET89" s="24"/>
      <c r="EU89" s="33" t="s">
        <v>103</v>
      </c>
      <c r="EV89" s="61"/>
      <c r="EW89" s="61">
        <f t="shared" ref="EW89:GB89" si="428">ROUNDUP(EW83/12,0)</f>
        <v>0</v>
      </c>
      <c r="EX89" s="61">
        <f t="shared" si="428"/>
        <v>0</v>
      </c>
      <c r="EY89" s="61">
        <f t="shared" si="428"/>
        <v>0</v>
      </c>
      <c r="EZ89" s="61">
        <f t="shared" si="428"/>
        <v>0</v>
      </c>
      <c r="FA89" s="61">
        <f t="shared" si="428"/>
        <v>0</v>
      </c>
      <c r="FB89" s="61">
        <f t="shared" si="428"/>
        <v>0</v>
      </c>
      <c r="FC89" s="61">
        <f t="shared" si="428"/>
        <v>0</v>
      </c>
      <c r="FD89" s="61">
        <f t="shared" si="428"/>
        <v>0</v>
      </c>
      <c r="FE89" s="61">
        <f t="shared" si="428"/>
        <v>0</v>
      </c>
      <c r="FF89" s="61">
        <f t="shared" si="428"/>
        <v>0</v>
      </c>
      <c r="FG89" s="61">
        <f t="shared" si="428"/>
        <v>0</v>
      </c>
      <c r="FH89" s="61">
        <f t="shared" si="428"/>
        <v>0</v>
      </c>
      <c r="FI89" s="61">
        <f t="shared" si="428"/>
        <v>0</v>
      </c>
      <c r="FJ89" s="61">
        <f t="shared" si="428"/>
        <v>0</v>
      </c>
      <c r="FK89" s="61">
        <f t="shared" si="428"/>
        <v>0</v>
      </c>
      <c r="FL89" s="61">
        <f t="shared" si="428"/>
        <v>0</v>
      </c>
      <c r="FM89" s="61">
        <f t="shared" si="428"/>
        <v>0</v>
      </c>
      <c r="FN89" s="61">
        <f t="shared" si="428"/>
        <v>0</v>
      </c>
      <c r="FO89" s="61">
        <f t="shared" si="428"/>
        <v>1</v>
      </c>
      <c r="FP89" s="61">
        <f t="shared" si="428"/>
        <v>1</v>
      </c>
      <c r="FQ89" s="61">
        <f t="shared" si="428"/>
        <v>1</v>
      </c>
      <c r="FR89" s="61">
        <f t="shared" si="428"/>
        <v>1</v>
      </c>
      <c r="FS89" s="61">
        <f t="shared" si="428"/>
        <v>1</v>
      </c>
      <c r="FT89" s="61">
        <f t="shared" si="428"/>
        <v>1</v>
      </c>
      <c r="FU89" s="61">
        <f t="shared" si="428"/>
        <v>1</v>
      </c>
      <c r="FV89" s="61">
        <f t="shared" si="428"/>
        <v>1</v>
      </c>
      <c r="FW89" s="61">
        <f t="shared" si="428"/>
        <v>1</v>
      </c>
      <c r="FX89" s="61">
        <f t="shared" si="428"/>
        <v>1</v>
      </c>
      <c r="FY89" s="61">
        <f t="shared" si="428"/>
        <v>1</v>
      </c>
      <c r="FZ89" s="61">
        <f t="shared" si="428"/>
        <v>1</v>
      </c>
      <c r="GA89" s="61">
        <f t="shared" si="428"/>
        <v>2</v>
      </c>
      <c r="GB89" s="61">
        <f t="shared" si="428"/>
        <v>2</v>
      </c>
      <c r="GC89" s="61">
        <f t="shared" ref="GC89:HH89" si="429">ROUNDUP(GC83/12,0)</f>
        <v>2</v>
      </c>
      <c r="GD89" s="61">
        <f t="shared" si="429"/>
        <v>2</v>
      </c>
      <c r="GE89" s="61">
        <f t="shared" si="429"/>
        <v>2</v>
      </c>
      <c r="GF89" s="61">
        <f t="shared" si="429"/>
        <v>2</v>
      </c>
      <c r="GG89" s="61">
        <f t="shared" si="429"/>
        <v>2</v>
      </c>
      <c r="GH89" s="61">
        <f t="shared" si="429"/>
        <v>2</v>
      </c>
      <c r="GI89" s="61">
        <f t="shared" si="429"/>
        <v>2</v>
      </c>
      <c r="GJ89" s="61">
        <f t="shared" si="429"/>
        <v>2</v>
      </c>
      <c r="GK89" s="61">
        <f t="shared" si="429"/>
        <v>2</v>
      </c>
      <c r="GL89" s="61">
        <f t="shared" si="429"/>
        <v>2</v>
      </c>
      <c r="GM89" s="61">
        <f t="shared" si="429"/>
        <v>3</v>
      </c>
      <c r="GN89" s="61">
        <f t="shared" si="429"/>
        <v>3</v>
      </c>
      <c r="GO89" s="61">
        <f t="shared" si="429"/>
        <v>3</v>
      </c>
      <c r="GP89" s="61">
        <f t="shared" si="429"/>
        <v>3</v>
      </c>
      <c r="GQ89" s="61">
        <f t="shared" si="429"/>
        <v>3</v>
      </c>
      <c r="GR89" s="61">
        <f t="shared" si="429"/>
        <v>3</v>
      </c>
      <c r="GS89" s="61">
        <f t="shared" si="429"/>
        <v>3</v>
      </c>
      <c r="GT89" s="61">
        <f t="shared" si="429"/>
        <v>3</v>
      </c>
      <c r="GU89" s="61">
        <f t="shared" si="429"/>
        <v>3</v>
      </c>
      <c r="GV89" s="61">
        <f t="shared" si="429"/>
        <v>3</v>
      </c>
      <c r="GW89" s="61">
        <f t="shared" si="429"/>
        <v>3</v>
      </c>
      <c r="GX89" s="61">
        <f t="shared" si="429"/>
        <v>3</v>
      </c>
      <c r="GY89" s="61">
        <f t="shared" si="429"/>
        <v>4</v>
      </c>
      <c r="GZ89" s="61">
        <f t="shared" si="429"/>
        <v>4</v>
      </c>
      <c r="HA89" s="61">
        <f t="shared" si="429"/>
        <v>4</v>
      </c>
      <c r="HB89" s="61">
        <f t="shared" si="429"/>
        <v>4</v>
      </c>
      <c r="HC89" s="61">
        <f t="shared" si="429"/>
        <v>4</v>
      </c>
      <c r="HD89" s="61">
        <f t="shared" si="429"/>
        <v>4</v>
      </c>
      <c r="HE89" s="61">
        <f t="shared" si="429"/>
        <v>4</v>
      </c>
      <c r="HF89" s="61">
        <f t="shared" si="429"/>
        <v>4</v>
      </c>
      <c r="HG89" s="61">
        <f t="shared" si="429"/>
        <v>4</v>
      </c>
      <c r="HH89" s="61">
        <f t="shared" si="429"/>
        <v>4</v>
      </c>
      <c r="HI89" s="61">
        <f t="shared" ref="HI89:IN89" si="430">ROUNDUP(HI83/12,0)</f>
        <v>4</v>
      </c>
      <c r="HJ89" s="61">
        <f t="shared" si="430"/>
        <v>4</v>
      </c>
      <c r="HK89" s="61">
        <f t="shared" si="430"/>
        <v>5</v>
      </c>
      <c r="HL89" s="61">
        <f t="shared" si="430"/>
        <v>5</v>
      </c>
      <c r="HM89" s="61">
        <f t="shared" si="430"/>
        <v>5</v>
      </c>
      <c r="HN89" s="61">
        <f t="shared" si="430"/>
        <v>5</v>
      </c>
      <c r="HO89" s="61">
        <f t="shared" si="430"/>
        <v>5</v>
      </c>
      <c r="HP89" s="61">
        <f t="shared" si="430"/>
        <v>5</v>
      </c>
      <c r="HQ89" s="61">
        <f t="shared" si="430"/>
        <v>5</v>
      </c>
      <c r="HR89" s="61">
        <f t="shared" si="430"/>
        <v>5</v>
      </c>
      <c r="HS89" s="61">
        <f t="shared" si="430"/>
        <v>5</v>
      </c>
      <c r="HT89" s="61">
        <f t="shared" si="430"/>
        <v>5</v>
      </c>
      <c r="HU89" s="61">
        <f t="shared" si="430"/>
        <v>5</v>
      </c>
      <c r="HV89" s="61">
        <f t="shared" si="430"/>
        <v>5</v>
      </c>
      <c r="HW89" s="61">
        <f t="shared" si="430"/>
        <v>6</v>
      </c>
      <c r="HX89" s="61">
        <f t="shared" si="430"/>
        <v>6</v>
      </c>
      <c r="HY89" s="61">
        <f t="shared" si="430"/>
        <v>6</v>
      </c>
      <c r="HZ89" s="61">
        <f t="shared" si="430"/>
        <v>6</v>
      </c>
      <c r="IA89" s="61">
        <f t="shared" si="430"/>
        <v>6</v>
      </c>
      <c r="IB89" s="61">
        <f t="shared" si="430"/>
        <v>6</v>
      </c>
      <c r="IC89" s="61">
        <f t="shared" si="430"/>
        <v>6</v>
      </c>
      <c r="ID89" s="61">
        <f t="shared" si="430"/>
        <v>6</v>
      </c>
      <c r="IE89" s="61">
        <f t="shared" si="430"/>
        <v>6</v>
      </c>
      <c r="IF89" s="61">
        <f t="shared" si="430"/>
        <v>6</v>
      </c>
      <c r="IG89" s="61">
        <f t="shared" si="430"/>
        <v>6</v>
      </c>
      <c r="IH89" s="61">
        <f t="shared" si="430"/>
        <v>6</v>
      </c>
      <c r="II89" s="61">
        <f t="shared" si="430"/>
        <v>7</v>
      </c>
      <c r="IJ89" s="61">
        <f t="shared" si="430"/>
        <v>7</v>
      </c>
      <c r="IK89" s="61">
        <f t="shared" si="430"/>
        <v>7</v>
      </c>
      <c r="IL89" s="61">
        <f t="shared" si="430"/>
        <v>7</v>
      </c>
      <c r="IM89" s="61">
        <f t="shared" si="430"/>
        <v>7</v>
      </c>
      <c r="IN89" s="61">
        <f t="shared" si="430"/>
        <v>7</v>
      </c>
      <c r="IO89" s="61">
        <f t="shared" ref="IO89:JX89" si="431">ROUNDUP(IO83/12,0)</f>
        <v>7</v>
      </c>
      <c r="IP89" s="61">
        <f t="shared" si="431"/>
        <v>7</v>
      </c>
      <c r="IQ89" s="61">
        <f t="shared" si="431"/>
        <v>7</v>
      </c>
      <c r="IR89" s="61">
        <f t="shared" si="431"/>
        <v>7</v>
      </c>
      <c r="IS89" s="61">
        <f t="shared" si="431"/>
        <v>7</v>
      </c>
      <c r="IT89" s="61">
        <f t="shared" si="431"/>
        <v>7</v>
      </c>
      <c r="IU89" s="61">
        <f t="shared" si="431"/>
        <v>8</v>
      </c>
      <c r="IV89" s="61">
        <f t="shared" si="431"/>
        <v>8</v>
      </c>
      <c r="IW89" s="61">
        <f t="shared" si="431"/>
        <v>8</v>
      </c>
      <c r="IX89" s="61">
        <f t="shared" si="431"/>
        <v>8</v>
      </c>
      <c r="IY89" s="61">
        <f t="shared" si="431"/>
        <v>8</v>
      </c>
      <c r="IZ89" s="61">
        <f t="shared" si="431"/>
        <v>8</v>
      </c>
      <c r="JA89" s="61">
        <f t="shared" si="431"/>
        <v>8</v>
      </c>
      <c r="JB89" s="61">
        <f t="shared" si="431"/>
        <v>8</v>
      </c>
      <c r="JC89" s="61">
        <f t="shared" si="431"/>
        <v>8</v>
      </c>
      <c r="JD89" s="61">
        <f t="shared" si="431"/>
        <v>8</v>
      </c>
      <c r="JE89" s="61">
        <f t="shared" si="431"/>
        <v>8</v>
      </c>
      <c r="JF89" s="61">
        <f t="shared" si="431"/>
        <v>8</v>
      </c>
      <c r="JG89" s="61">
        <f t="shared" si="431"/>
        <v>9</v>
      </c>
      <c r="JH89" s="61">
        <f t="shared" si="431"/>
        <v>9</v>
      </c>
      <c r="JI89" s="61">
        <f t="shared" si="431"/>
        <v>9</v>
      </c>
      <c r="JJ89" s="61">
        <f t="shared" si="431"/>
        <v>9</v>
      </c>
      <c r="JK89" s="61">
        <f t="shared" si="431"/>
        <v>9</v>
      </c>
      <c r="JL89" s="61">
        <f t="shared" si="431"/>
        <v>9</v>
      </c>
      <c r="JM89" s="61">
        <f t="shared" si="431"/>
        <v>9</v>
      </c>
      <c r="JN89" s="61">
        <f t="shared" si="431"/>
        <v>9</v>
      </c>
      <c r="JO89" s="61">
        <f t="shared" si="431"/>
        <v>9</v>
      </c>
      <c r="JP89" s="61">
        <f t="shared" si="431"/>
        <v>9</v>
      </c>
      <c r="JQ89" s="61">
        <f t="shared" si="431"/>
        <v>9</v>
      </c>
      <c r="JR89" s="61">
        <f t="shared" si="431"/>
        <v>9</v>
      </c>
      <c r="JS89" s="61">
        <f t="shared" si="431"/>
        <v>10</v>
      </c>
      <c r="JT89" s="61">
        <f t="shared" si="431"/>
        <v>10</v>
      </c>
      <c r="JU89" s="61">
        <f t="shared" si="431"/>
        <v>10</v>
      </c>
      <c r="JV89" s="61">
        <f t="shared" si="431"/>
        <v>10</v>
      </c>
      <c r="JW89" s="61">
        <f t="shared" si="431"/>
        <v>10</v>
      </c>
      <c r="JX89" s="61">
        <f t="shared" si="431"/>
        <v>10</v>
      </c>
    </row>
    <row r="90" spans="1:284" s="7" customFormat="1" x14ac:dyDescent="0.2">
      <c r="A90" s="406"/>
      <c r="B90" s="103" t="s">
        <v>88</v>
      </c>
      <c r="C90" s="104">
        <v>60</v>
      </c>
      <c r="D90" s="104">
        <v>650</v>
      </c>
      <c r="E90" s="105">
        <v>1</v>
      </c>
      <c r="F90" s="105">
        <v>0</v>
      </c>
      <c r="G90" s="392">
        <f t="shared" ref="G90:G95" si="432">IFERROR(H90/D90,0)</f>
        <v>2.0769230769230771</v>
      </c>
      <c r="H90" s="402">
        <v>1350</v>
      </c>
      <c r="I90" s="106">
        <f t="shared" ref="I90:I95" si="433">H90*C90*12</f>
        <v>972000</v>
      </c>
      <c r="L90" s="38"/>
      <c r="M90" s="38">
        <f t="shared" ref="M90:V95" si="434">(M$84&gt;0)*($C90*$H90*(1+$D$85)^(EW$87-1))</f>
        <v>0</v>
      </c>
      <c r="N90" s="38">
        <f t="shared" si="434"/>
        <v>0</v>
      </c>
      <c r="O90" s="38">
        <f t="shared" si="434"/>
        <v>0</v>
      </c>
      <c r="P90" s="38">
        <f t="shared" si="434"/>
        <v>0</v>
      </c>
      <c r="Q90" s="38">
        <f t="shared" si="434"/>
        <v>0</v>
      </c>
      <c r="R90" s="38">
        <f t="shared" si="434"/>
        <v>0</v>
      </c>
      <c r="S90" s="38">
        <f t="shared" si="434"/>
        <v>0</v>
      </c>
      <c r="T90" s="38">
        <f t="shared" si="434"/>
        <v>0</v>
      </c>
      <c r="U90" s="38">
        <f t="shared" si="434"/>
        <v>0</v>
      </c>
      <c r="V90" s="38">
        <f t="shared" si="434"/>
        <v>0</v>
      </c>
      <c r="W90" s="38">
        <f t="shared" ref="W90:AF95" si="435">(W$84&gt;0)*($C90*$H90*(1+$D$85)^(FG$87-1))</f>
        <v>0</v>
      </c>
      <c r="X90" s="38">
        <f t="shared" si="435"/>
        <v>0</v>
      </c>
      <c r="Y90" s="38">
        <f t="shared" si="435"/>
        <v>0</v>
      </c>
      <c r="Z90" s="38">
        <f t="shared" si="435"/>
        <v>0</v>
      </c>
      <c r="AA90" s="38">
        <f t="shared" si="435"/>
        <v>0</v>
      </c>
      <c r="AB90" s="38">
        <f t="shared" si="435"/>
        <v>0</v>
      </c>
      <c r="AC90" s="38">
        <f t="shared" si="435"/>
        <v>0</v>
      </c>
      <c r="AD90" s="38">
        <f t="shared" si="435"/>
        <v>0</v>
      </c>
      <c r="AE90" s="38">
        <f t="shared" si="435"/>
        <v>81000</v>
      </c>
      <c r="AF90" s="38">
        <f t="shared" si="435"/>
        <v>81000</v>
      </c>
      <c r="AG90" s="38">
        <f t="shared" ref="AG90:AP95" si="436">(AG$84&gt;0)*($C90*$H90*(1+$D$85)^(FQ$87-1))</f>
        <v>81000</v>
      </c>
      <c r="AH90" s="38">
        <f t="shared" si="436"/>
        <v>81000</v>
      </c>
      <c r="AI90" s="38">
        <f t="shared" si="436"/>
        <v>81000</v>
      </c>
      <c r="AJ90" s="38">
        <f t="shared" si="436"/>
        <v>81000</v>
      </c>
      <c r="AK90" s="38">
        <f t="shared" si="436"/>
        <v>81000</v>
      </c>
      <c r="AL90" s="38">
        <f t="shared" si="436"/>
        <v>81000</v>
      </c>
      <c r="AM90" s="38">
        <f t="shared" si="436"/>
        <v>81000</v>
      </c>
      <c r="AN90" s="38">
        <f t="shared" si="436"/>
        <v>81000</v>
      </c>
      <c r="AO90" s="38">
        <f t="shared" si="436"/>
        <v>81000</v>
      </c>
      <c r="AP90" s="38">
        <f t="shared" si="436"/>
        <v>81000</v>
      </c>
      <c r="AQ90" s="38">
        <f t="shared" ref="AQ90:AZ95" si="437">(AQ$84&gt;0)*($C90*$H90*(1+$D$85)^(GA$87-1))</f>
        <v>83430</v>
      </c>
      <c r="AR90" s="38">
        <f t="shared" si="437"/>
        <v>83430</v>
      </c>
      <c r="AS90" s="38">
        <f t="shared" si="437"/>
        <v>83430</v>
      </c>
      <c r="AT90" s="38">
        <f t="shared" si="437"/>
        <v>83430</v>
      </c>
      <c r="AU90" s="38">
        <f t="shared" si="437"/>
        <v>83430</v>
      </c>
      <c r="AV90" s="38">
        <f t="shared" si="437"/>
        <v>83430</v>
      </c>
      <c r="AW90" s="38">
        <f t="shared" si="437"/>
        <v>83430</v>
      </c>
      <c r="AX90" s="38">
        <f t="shared" si="437"/>
        <v>83430</v>
      </c>
      <c r="AY90" s="38">
        <f t="shared" si="437"/>
        <v>83430</v>
      </c>
      <c r="AZ90" s="38">
        <f t="shared" si="437"/>
        <v>83430</v>
      </c>
      <c r="BA90" s="38">
        <f t="shared" ref="BA90:BJ95" si="438">(BA$84&gt;0)*($C90*$H90*(1+$D$85)^(GK$87-1))</f>
        <v>83430</v>
      </c>
      <c r="BB90" s="38">
        <f t="shared" si="438"/>
        <v>83430</v>
      </c>
      <c r="BC90" s="38">
        <f t="shared" si="438"/>
        <v>85932.9</v>
      </c>
      <c r="BD90" s="38">
        <f t="shared" si="438"/>
        <v>85932.9</v>
      </c>
      <c r="BE90" s="38">
        <f t="shared" si="438"/>
        <v>85932.9</v>
      </c>
      <c r="BF90" s="38">
        <f t="shared" si="438"/>
        <v>85932.9</v>
      </c>
      <c r="BG90" s="38">
        <f t="shared" si="438"/>
        <v>85932.9</v>
      </c>
      <c r="BH90" s="38">
        <f t="shared" si="438"/>
        <v>85932.9</v>
      </c>
      <c r="BI90" s="38">
        <f t="shared" si="438"/>
        <v>85932.9</v>
      </c>
      <c r="BJ90" s="38">
        <f t="shared" si="438"/>
        <v>85932.9</v>
      </c>
      <c r="BK90" s="38">
        <f t="shared" ref="BK90:BT95" si="439">(BK$84&gt;0)*($C90*$H90*(1+$D$85)^(GU$87-1))</f>
        <v>85932.9</v>
      </c>
      <c r="BL90" s="38">
        <f t="shared" si="439"/>
        <v>85932.9</v>
      </c>
      <c r="BM90" s="38">
        <f t="shared" si="439"/>
        <v>85932.9</v>
      </c>
      <c r="BN90" s="38">
        <f t="shared" si="439"/>
        <v>85932.9</v>
      </c>
      <c r="BO90" s="38">
        <f t="shared" si="439"/>
        <v>88510.887000000002</v>
      </c>
      <c r="BP90" s="38">
        <f t="shared" si="439"/>
        <v>88510.887000000002</v>
      </c>
      <c r="BQ90" s="38">
        <f t="shared" si="439"/>
        <v>88510.887000000002</v>
      </c>
      <c r="BR90" s="38">
        <f t="shared" si="439"/>
        <v>88510.887000000002</v>
      </c>
      <c r="BS90" s="38">
        <f t="shared" si="439"/>
        <v>88510.887000000002</v>
      </c>
      <c r="BT90" s="38">
        <f t="shared" si="439"/>
        <v>88510.887000000002</v>
      </c>
      <c r="BU90" s="38">
        <f t="shared" ref="BU90:CD95" si="440">(BU$84&gt;0)*($C90*$H90*(1+$D$85)^(HE$87-1))</f>
        <v>88510.887000000002</v>
      </c>
      <c r="BV90" s="38">
        <f t="shared" si="440"/>
        <v>88510.887000000002</v>
      </c>
      <c r="BW90" s="38">
        <f t="shared" si="440"/>
        <v>88510.887000000002</v>
      </c>
      <c r="BX90" s="38">
        <f t="shared" si="440"/>
        <v>88510.887000000002</v>
      </c>
      <c r="BY90" s="38">
        <f t="shared" si="440"/>
        <v>88510.887000000002</v>
      </c>
      <c r="BZ90" s="38">
        <f t="shared" si="440"/>
        <v>88510.887000000002</v>
      </c>
      <c r="CA90" s="38">
        <f t="shared" si="440"/>
        <v>91166.213609999992</v>
      </c>
      <c r="CB90" s="38">
        <f t="shared" si="440"/>
        <v>91166.213609999992</v>
      </c>
      <c r="CC90" s="38">
        <f t="shared" si="440"/>
        <v>91166.213609999992</v>
      </c>
      <c r="CD90" s="38">
        <f t="shared" si="440"/>
        <v>91166.213609999992</v>
      </c>
      <c r="CE90" s="38">
        <f t="shared" ref="CE90:CN95" si="441">(CE$84&gt;0)*($C90*$H90*(1+$D$85)^(HO$87-1))</f>
        <v>91166.213609999992</v>
      </c>
      <c r="CF90" s="38">
        <f t="shared" si="441"/>
        <v>91166.213609999992</v>
      </c>
      <c r="CG90" s="38">
        <f t="shared" si="441"/>
        <v>91166.213609999992</v>
      </c>
      <c r="CH90" s="38">
        <f t="shared" si="441"/>
        <v>91166.213609999992</v>
      </c>
      <c r="CI90" s="38">
        <f t="shared" si="441"/>
        <v>91166.213609999992</v>
      </c>
      <c r="CJ90" s="38">
        <f t="shared" si="441"/>
        <v>91166.213609999992</v>
      </c>
      <c r="CK90" s="38">
        <f t="shared" si="441"/>
        <v>91166.213609999992</v>
      </c>
      <c r="CL90" s="38">
        <f t="shared" si="441"/>
        <v>91166.213609999992</v>
      </c>
      <c r="CM90" s="38">
        <f t="shared" si="441"/>
        <v>93901.200018299991</v>
      </c>
      <c r="CN90" s="38">
        <f t="shared" si="441"/>
        <v>93901.200018299991</v>
      </c>
      <c r="CO90" s="38">
        <f t="shared" ref="CO90:CX95" si="442">(CO$84&gt;0)*($C90*$H90*(1+$D$85)^(HY$87-1))</f>
        <v>93901.200018299991</v>
      </c>
      <c r="CP90" s="38">
        <f t="shared" si="442"/>
        <v>93901.200018299991</v>
      </c>
      <c r="CQ90" s="38">
        <f t="shared" si="442"/>
        <v>93901.200018299991</v>
      </c>
      <c r="CR90" s="38">
        <f t="shared" si="442"/>
        <v>93901.200018299991</v>
      </c>
      <c r="CS90" s="38">
        <f t="shared" si="442"/>
        <v>93901.200018299991</v>
      </c>
      <c r="CT90" s="38">
        <f t="shared" si="442"/>
        <v>93901.200018299991</v>
      </c>
      <c r="CU90" s="38">
        <f t="shared" si="442"/>
        <v>93901.200018299991</v>
      </c>
      <c r="CV90" s="38">
        <f t="shared" si="442"/>
        <v>93901.200018299991</v>
      </c>
      <c r="CW90" s="38">
        <f t="shared" si="442"/>
        <v>93901.200018299991</v>
      </c>
      <c r="CX90" s="38">
        <f t="shared" si="442"/>
        <v>93901.200018299991</v>
      </c>
      <c r="CY90" s="38">
        <f t="shared" ref="CY90:DH95" si="443">(CY$84&gt;0)*($C90*$H90*(1+$D$85)^(II$87-1))</f>
        <v>96718.236018848998</v>
      </c>
      <c r="CZ90" s="38">
        <f t="shared" si="443"/>
        <v>96718.236018848998</v>
      </c>
      <c r="DA90" s="38">
        <f t="shared" si="443"/>
        <v>96718.236018848998</v>
      </c>
      <c r="DB90" s="38">
        <f t="shared" si="443"/>
        <v>96718.236018848998</v>
      </c>
      <c r="DC90" s="38">
        <f t="shared" si="443"/>
        <v>96718.236018848998</v>
      </c>
      <c r="DD90" s="38">
        <f t="shared" si="443"/>
        <v>96718.236018848998</v>
      </c>
      <c r="DE90" s="38">
        <f t="shared" si="443"/>
        <v>96718.236018848998</v>
      </c>
      <c r="DF90" s="38">
        <f t="shared" si="443"/>
        <v>96718.236018848998</v>
      </c>
      <c r="DG90" s="38">
        <f t="shared" si="443"/>
        <v>96718.236018848998</v>
      </c>
      <c r="DH90" s="38">
        <f t="shared" si="443"/>
        <v>96718.236018848998</v>
      </c>
      <c r="DI90" s="38">
        <f t="shared" ref="DI90:DR95" si="444">(DI$84&gt;0)*($C90*$H90*(1+$D$85)^(IS$87-1))</f>
        <v>96718.236018848998</v>
      </c>
      <c r="DJ90" s="38">
        <f t="shared" si="444"/>
        <v>96718.236018848998</v>
      </c>
      <c r="DK90" s="38">
        <f t="shared" si="444"/>
        <v>99619.783099414475</v>
      </c>
      <c r="DL90" s="38">
        <f t="shared" si="444"/>
        <v>99619.783099414475</v>
      </c>
      <c r="DM90" s="38">
        <f t="shared" si="444"/>
        <v>99619.783099414475</v>
      </c>
      <c r="DN90" s="38">
        <f t="shared" si="444"/>
        <v>99619.783099414475</v>
      </c>
      <c r="DO90" s="38">
        <f t="shared" si="444"/>
        <v>99619.783099414475</v>
      </c>
      <c r="DP90" s="38">
        <f t="shared" si="444"/>
        <v>99619.783099414475</v>
      </c>
      <c r="DQ90" s="38">
        <f t="shared" si="444"/>
        <v>99619.783099414475</v>
      </c>
      <c r="DR90" s="38">
        <f t="shared" si="444"/>
        <v>99619.783099414475</v>
      </c>
      <c r="DS90" s="38">
        <f t="shared" ref="DS90:EB95" si="445">(DS$84&gt;0)*($C90*$H90*(1+$D$85)^(JC$87-1))</f>
        <v>99619.783099414475</v>
      </c>
      <c r="DT90" s="38">
        <f t="shared" si="445"/>
        <v>99619.783099414475</v>
      </c>
      <c r="DU90" s="38">
        <f t="shared" si="445"/>
        <v>99619.783099414475</v>
      </c>
      <c r="DV90" s="38">
        <f t="shared" si="445"/>
        <v>99619.783099414475</v>
      </c>
      <c r="DW90" s="38">
        <f t="shared" si="445"/>
        <v>102608.37659239689</v>
      </c>
      <c r="DX90" s="38">
        <f t="shared" si="445"/>
        <v>102608.37659239689</v>
      </c>
      <c r="DY90" s="38">
        <f t="shared" si="445"/>
        <v>102608.37659239689</v>
      </c>
      <c r="DZ90" s="38">
        <f t="shared" si="445"/>
        <v>102608.37659239689</v>
      </c>
      <c r="EA90" s="38">
        <f t="shared" si="445"/>
        <v>102608.37659239689</v>
      </c>
      <c r="EB90" s="38">
        <f t="shared" si="445"/>
        <v>102608.37659239689</v>
      </c>
      <c r="EC90" s="38">
        <f t="shared" ref="EC90:EL95" si="446">(EC$84&gt;0)*($C90*$H90*(1+$D$85)^(JM$87-1))</f>
        <v>102608.37659239689</v>
      </c>
      <c r="ED90" s="38">
        <f t="shared" si="446"/>
        <v>102608.37659239689</v>
      </c>
      <c r="EE90" s="38">
        <f t="shared" si="446"/>
        <v>102608.37659239689</v>
      </c>
      <c r="EF90" s="38">
        <f t="shared" si="446"/>
        <v>102608.37659239689</v>
      </c>
      <c r="EG90" s="38">
        <f t="shared" si="446"/>
        <v>102608.37659239689</v>
      </c>
      <c r="EH90" s="38">
        <f t="shared" si="446"/>
        <v>102608.37659239689</v>
      </c>
      <c r="EI90" s="38">
        <f t="shared" si="446"/>
        <v>105686.62789016881</v>
      </c>
      <c r="EJ90" s="38">
        <f t="shared" si="446"/>
        <v>105686.62789016881</v>
      </c>
      <c r="EK90" s="38">
        <f t="shared" si="446"/>
        <v>105686.62789016881</v>
      </c>
      <c r="EL90" s="38">
        <f t="shared" si="446"/>
        <v>105686.62789016881</v>
      </c>
      <c r="EM90" s="38">
        <f t="shared" ref="EM90:EN95" si="447">(EM$84&gt;0)*($C90*$H90*(1+$D$85)^(JW$87-1))</f>
        <v>105686.62789016881</v>
      </c>
      <c r="EN90" s="38">
        <f t="shared" si="447"/>
        <v>105686.62789016881</v>
      </c>
      <c r="EP90" s="24" t="str">
        <f t="shared" ref="EP90:EP95" si="448">B90</f>
        <v>Studio</v>
      </c>
      <c r="EQ90" s="24"/>
      <c r="ER90" s="60">
        <f t="shared" ref="ER90:ES95" si="449">E90/$I$87</f>
        <v>7.6923076923076927E-2</v>
      </c>
      <c r="ES90" s="60">
        <f t="shared" si="449"/>
        <v>0</v>
      </c>
      <c r="ET90" s="24"/>
      <c r="EU90" s="33"/>
      <c r="EV90" s="30"/>
      <c r="EW90" s="30">
        <f t="shared" ref="EW90:FF94" si="450">IF(EW$86=0,$ER90*M90,$ES90*M90)</f>
        <v>0</v>
      </c>
      <c r="EX90" s="30">
        <f t="shared" si="450"/>
        <v>0</v>
      </c>
      <c r="EY90" s="30">
        <f t="shared" si="450"/>
        <v>0</v>
      </c>
      <c r="EZ90" s="30">
        <f t="shared" si="450"/>
        <v>0</v>
      </c>
      <c r="FA90" s="30">
        <f t="shared" si="450"/>
        <v>0</v>
      </c>
      <c r="FB90" s="30">
        <f t="shared" si="450"/>
        <v>0</v>
      </c>
      <c r="FC90" s="30">
        <f t="shared" si="450"/>
        <v>0</v>
      </c>
      <c r="FD90" s="30">
        <f t="shared" si="450"/>
        <v>0</v>
      </c>
      <c r="FE90" s="30">
        <f t="shared" si="450"/>
        <v>0</v>
      </c>
      <c r="FF90" s="30">
        <f t="shared" si="450"/>
        <v>0</v>
      </c>
      <c r="FG90" s="30">
        <f t="shared" ref="FG90:FP94" si="451">IF(FG$86=0,$ER90*W90,$ES90*W90)</f>
        <v>0</v>
      </c>
      <c r="FH90" s="30">
        <f t="shared" si="451"/>
        <v>0</v>
      </c>
      <c r="FI90" s="30">
        <f t="shared" si="451"/>
        <v>0</v>
      </c>
      <c r="FJ90" s="30">
        <f t="shared" si="451"/>
        <v>0</v>
      </c>
      <c r="FK90" s="30">
        <f t="shared" si="451"/>
        <v>0</v>
      </c>
      <c r="FL90" s="30">
        <f t="shared" si="451"/>
        <v>0</v>
      </c>
      <c r="FM90" s="30">
        <f t="shared" si="451"/>
        <v>0</v>
      </c>
      <c r="FN90" s="30">
        <f t="shared" si="451"/>
        <v>0</v>
      </c>
      <c r="FO90" s="30">
        <f t="shared" si="451"/>
        <v>6230.7692307692314</v>
      </c>
      <c r="FP90" s="30">
        <f t="shared" si="451"/>
        <v>6230.7692307692314</v>
      </c>
      <c r="FQ90" s="30">
        <f t="shared" ref="FQ90:FZ94" si="452">IF(FQ$86=0,$ER90*AG90,$ES90*AG90)</f>
        <v>6230.7692307692314</v>
      </c>
      <c r="FR90" s="30">
        <f t="shared" si="452"/>
        <v>6230.7692307692314</v>
      </c>
      <c r="FS90" s="30">
        <f t="shared" si="452"/>
        <v>6230.7692307692314</v>
      </c>
      <c r="FT90" s="30">
        <f t="shared" si="452"/>
        <v>6230.7692307692314</v>
      </c>
      <c r="FU90" s="30">
        <f t="shared" si="452"/>
        <v>6230.7692307692314</v>
      </c>
      <c r="FV90" s="30">
        <f t="shared" si="452"/>
        <v>6230.7692307692314</v>
      </c>
      <c r="FW90" s="30">
        <f t="shared" si="452"/>
        <v>6230.7692307692314</v>
      </c>
      <c r="FX90" s="30">
        <f t="shared" si="452"/>
        <v>6230.7692307692314</v>
      </c>
      <c r="FY90" s="30">
        <f t="shared" si="452"/>
        <v>6230.7692307692314</v>
      </c>
      <c r="FZ90" s="30">
        <f t="shared" si="452"/>
        <v>6230.7692307692314</v>
      </c>
      <c r="GA90" s="30">
        <f t="shared" ref="GA90:GJ94" si="453">IF(GA$86=0,$ER90*AQ90,$ES90*AQ90)</f>
        <v>6417.6923076923076</v>
      </c>
      <c r="GB90" s="30">
        <f t="shared" si="453"/>
        <v>6417.6923076923076</v>
      </c>
      <c r="GC90" s="30">
        <f t="shared" si="453"/>
        <v>0</v>
      </c>
      <c r="GD90" s="30">
        <f t="shared" si="453"/>
        <v>0</v>
      </c>
      <c r="GE90" s="30">
        <f t="shared" si="453"/>
        <v>0</v>
      </c>
      <c r="GF90" s="30">
        <f t="shared" si="453"/>
        <v>0</v>
      </c>
      <c r="GG90" s="30">
        <f t="shared" si="453"/>
        <v>0</v>
      </c>
      <c r="GH90" s="30">
        <f t="shared" si="453"/>
        <v>0</v>
      </c>
      <c r="GI90" s="30">
        <f t="shared" si="453"/>
        <v>0</v>
      </c>
      <c r="GJ90" s="30">
        <f t="shared" si="453"/>
        <v>0</v>
      </c>
      <c r="GK90" s="30">
        <f t="shared" ref="GK90:GT94" si="454">IF(GK$86=0,$ER90*BA90,$ES90*BA90)</f>
        <v>0</v>
      </c>
      <c r="GL90" s="30">
        <f t="shared" si="454"/>
        <v>0</v>
      </c>
      <c r="GM90" s="30">
        <f t="shared" si="454"/>
        <v>0</v>
      </c>
      <c r="GN90" s="30">
        <f t="shared" si="454"/>
        <v>0</v>
      </c>
      <c r="GO90" s="30">
        <f t="shared" si="454"/>
        <v>0</v>
      </c>
      <c r="GP90" s="30">
        <f t="shared" si="454"/>
        <v>0</v>
      </c>
      <c r="GQ90" s="30">
        <f t="shared" si="454"/>
        <v>0</v>
      </c>
      <c r="GR90" s="30">
        <f t="shared" si="454"/>
        <v>0</v>
      </c>
      <c r="GS90" s="30">
        <f t="shared" si="454"/>
        <v>0</v>
      </c>
      <c r="GT90" s="30">
        <f t="shared" si="454"/>
        <v>0</v>
      </c>
      <c r="GU90" s="30">
        <f t="shared" ref="GU90:HD94" si="455">IF(GU$86=0,$ER90*BK90,$ES90*BK90)</f>
        <v>0</v>
      </c>
      <c r="GV90" s="30">
        <f t="shared" si="455"/>
        <v>0</v>
      </c>
      <c r="GW90" s="30">
        <f t="shared" si="455"/>
        <v>0</v>
      </c>
      <c r="GX90" s="30">
        <f t="shared" si="455"/>
        <v>0</v>
      </c>
      <c r="GY90" s="30">
        <f t="shared" si="455"/>
        <v>0</v>
      </c>
      <c r="GZ90" s="30">
        <f t="shared" si="455"/>
        <v>0</v>
      </c>
      <c r="HA90" s="30">
        <f t="shared" si="455"/>
        <v>0</v>
      </c>
      <c r="HB90" s="30">
        <f t="shared" si="455"/>
        <v>0</v>
      </c>
      <c r="HC90" s="30">
        <f t="shared" si="455"/>
        <v>0</v>
      </c>
      <c r="HD90" s="30">
        <f t="shared" si="455"/>
        <v>0</v>
      </c>
      <c r="HE90" s="30">
        <f t="shared" ref="HE90:HN94" si="456">IF(HE$86=0,$ER90*BU90,$ES90*BU90)</f>
        <v>0</v>
      </c>
      <c r="HF90" s="30">
        <f t="shared" si="456"/>
        <v>0</v>
      </c>
      <c r="HG90" s="30">
        <f t="shared" si="456"/>
        <v>0</v>
      </c>
      <c r="HH90" s="30">
        <f t="shared" si="456"/>
        <v>0</v>
      </c>
      <c r="HI90" s="30">
        <f t="shared" si="456"/>
        <v>0</v>
      </c>
      <c r="HJ90" s="30">
        <f t="shared" si="456"/>
        <v>0</v>
      </c>
      <c r="HK90" s="30">
        <f t="shared" si="456"/>
        <v>0</v>
      </c>
      <c r="HL90" s="30">
        <f t="shared" si="456"/>
        <v>0</v>
      </c>
      <c r="HM90" s="30">
        <f t="shared" si="456"/>
        <v>0</v>
      </c>
      <c r="HN90" s="30">
        <f t="shared" si="456"/>
        <v>0</v>
      </c>
      <c r="HO90" s="30">
        <f t="shared" ref="HO90:HX94" si="457">IF(HO$86=0,$ER90*CE90,$ES90*CE90)</f>
        <v>0</v>
      </c>
      <c r="HP90" s="30">
        <f t="shared" si="457"/>
        <v>0</v>
      </c>
      <c r="HQ90" s="30">
        <f t="shared" si="457"/>
        <v>0</v>
      </c>
      <c r="HR90" s="30">
        <f t="shared" si="457"/>
        <v>0</v>
      </c>
      <c r="HS90" s="30">
        <f t="shared" si="457"/>
        <v>0</v>
      </c>
      <c r="HT90" s="30">
        <f t="shared" si="457"/>
        <v>0</v>
      </c>
      <c r="HU90" s="30">
        <f t="shared" si="457"/>
        <v>0</v>
      </c>
      <c r="HV90" s="30">
        <f t="shared" si="457"/>
        <v>0</v>
      </c>
      <c r="HW90" s="30">
        <f t="shared" si="457"/>
        <v>0</v>
      </c>
      <c r="HX90" s="30">
        <f t="shared" si="457"/>
        <v>0</v>
      </c>
      <c r="HY90" s="30">
        <f t="shared" ref="HY90:IH94" si="458">IF(HY$86=0,$ER90*CO90,$ES90*CO90)</f>
        <v>0</v>
      </c>
      <c r="HZ90" s="30">
        <f t="shared" si="458"/>
        <v>0</v>
      </c>
      <c r="IA90" s="30">
        <f t="shared" si="458"/>
        <v>0</v>
      </c>
      <c r="IB90" s="30">
        <f t="shared" si="458"/>
        <v>0</v>
      </c>
      <c r="IC90" s="30">
        <f t="shared" si="458"/>
        <v>0</v>
      </c>
      <c r="ID90" s="30">
        <f t="shared" si="458"/>
        <v>0</v>
      </c>
      <c r="IE90" s="30">
        <f t="shared" si="458"/>
        <v>0</v>
      </c>
      <c r="IF90" s="30">
        <f t="shared" si="458"/>
        <v>0</v>
      </c>
      <c r="IG90" s="30">
        <f t="shared" si="458"/>
        <v>0</v>
      </c>
      <c r="IH90" s="30">
        <f t="shared" si="458"/>
        <v>0</v>
      </c>
      <c r="II90" s="30">
        <f t="shared" ref="II90:IR94" si="459">IF(II$86=0,$ER90*CY90,$ES90*CY90)</f>
        <v>0</v>
      </c>
      <c r="IJ90" s="30">
        <f t="shared" si="459"/>
        <v>0</v>
      </c>
      <c r="IK90" s="30">
        <f t="shared" si="459"/>
        <v>0</v>
      </c>
      <c r="IL90" s="30">
        <f t="shared" si="459"/>
        <v>0</v>
      </c>
      <c r="IM90" s="30">
        <f t="shared" si="459"/>
        <v>0</v>
      </c>
      <c r="IN90" s="30">
        <f t="shared" si="459"/>
        <v>0</v>
      </c>
      <c r="IO90" s="30">
        <f t="shared" si="459"/>
        <v>0</v>
      </c>
      <c r="IP90" s="30">
        <f t="shared" si="459"/>
        <v>0</v>
      </c>
      <c r="IQ90" s="30">
        <f t="shared" si="459"/>
        <v>0</v>
      </c>
      <c r="IR90" s="30">
        <f t="shared" si="459"/>
        <v>0</v>
      </c>
      <c r="IS90" s="30">
        <f t="shared" ref="IS90:JB94" si="460">IF(IS$86=0,$ER90*DI90,$ES90*DI90)</f>
        <v>0</v>
      </c>
      <c r="IT90" s="30">
        <f t="shared" si="460"/>
        <v>0</v>
      </c>
      <c r="IU90" s="30">
        <f t="shared" si="460"/>
        <v>0</v>
      </c>
      <c r="IV90" s="30">
        <f t="shared" si="460"/>
        <v>0</v>
      </c>
      <c r="IW90" s="30">
        <f t="shared" si="460"/>
        <v>0</v>
      </c>
      <c r="IX90" s="30">
        <f t="shared" si="460"/>
        <v>0</v>
      </c>
      <c r="IY90" s="30">
        <f t="shared" si="460"/>
        <v>0</v>
      </c>
      <c r="IZ90" s="30">
        <f t="shared" si="460"/>
        <v>0</v>
      </c>
      <c r="JA90" s="30">
        <f t="shared" si="460"/>
        <v>0</v>
      </c>
      <c r="JB90" s="30">
        <f t="shared" si="460"/>
        <v>0</v>
      </c>
      <c r="JC90" s="30">
        <f t="shared" ref="JC90:JL94" si="461">IF(JC$86=0,$ER90*DS90,$ES90*DS90)</f>
        <v>0</v>
      </c>
      <c r="JD90" s="30">
        <f t="shared" si="461"/>
        <v>0</v>
      </c>
      <c r="JE90" s="30">
        <f t="shared" si="461"/>
        <v>0</v>
      </c>
      <c r="JF90" s="30">
        <f t="shared" si="461"/>
        <v>0</v>
      </c>
      <c r="JG90" s="30">
        <f t="shared" si="461"/>
        <v>0</v>
      </c>
      <c r="JH90" s="30">
        <f t="shared" si="461"/>
        <v>0</v>
      </c>
      <c r="JI90" s="30">
        <f t="shared" si="461"/>
        <v>0</v>
      </c>
      <c r="JJ90" s="30">
        <f t="shared" si="461"/>
        <v>0</v>
      </c>
      <c r="JK90" s="30">
        <f t="shared" si="461"/>
        <v>0</v>
      </c>
      <c r="JL90" s="30">
        <f t="shared" si="461"/>
        <v>0</v>
      </c>
      <c r="JM90" s="30">
        <f t="shared" ref="JM90:JV94" si="462">IF(JM$86=0,$ER90*EC90,$ES90*EC90)</f>
        <v>0</v>
      </c>
      <c r="JN90" s="30">
        <f t="shared" si="462"/>
        <v>0</v>
      </c>
      <c r="JO90" s="30">
        <f t="shared" si="462"/>
        <v>0</v>
      </c>
      <c r="JP90" s="30">
        <f t="shared" si="462"/>
        <v>0</v>
      </c>
      <c r="JQ90" s="30">
        <f t="shared" si="462"/>
        <v>0</v>
      </c>
      <c r="JR90" s="30">
        <f t="shared" si="462"/>
        <v>0</v>
      </c>
      <c r="JS90" s="30">
        <f t="shared" si="462"/>
        <v>0</v>
      </c>
      <c r="JT90" s="30">
        <f t="shared" si="462"/>
        <v>0</v>
      </c>
      <c r="JU90" s="30">
        <f t="shared" si="462"/>
        <v>0</v>
      </c>
      <c r="JV90" s="30">
        <f t="shared" si="462"/>
        <v>0</v>
      </c>
      <c r="JW90" s="30">
        <f t="shared" ref="JW90:JX94" si="463">IF(JW$86=0,$ER90*EM90,$ES90*EM90)</f>
        <v>0</v>
      </c>
      <c r="JX90" s="30">
        <f t="shared" si="463"/>
        <v>0</v>
      </c>
    </row>
    <row r="91" spans="1:284" s="7" customFormat="1" x14ac:dyDescent="0.2">
      <c r="A91" s="406"/>
      <c r="B91" s="103" t="s">
        <v>90</v>
      </c>
      <c r="C91" s="104">
        <v>60</v>
      </c>
      <c r="D91" s="104">
        <v>750</v>
      </c>
      <c r="E91" s="105">
        <v>1</v>
      </c>
      <c r="F91" s="105">
        <v>0</v>
      </c>
      <c r="G91" s="392">
        <f t="shared" si="432"/>
        <v>2</v>
      </c>
      <c r="H91" s="402">
        <v>1500</v>
      </c>
      <c r="I91" s="106">
        <f t="shared" si="433"/>
        <v>1080000</v>
      </c>
      <c r="M91" s="38">
        <f t="shared" si="434"/>
        <v>0</v>
      </c>
      <c r="N91" s="38">
        <f t="shared" si="434"/>
        <v>0</v>
      </c>
      <c r="O91" s="38">
        <f t="shared" si="434"/>
        <v>0</v>
      </c>
      <c r="P91" s="38">
        <f t="shared" si="434"/>
        <v>0</v>
      </c>
      <c r="Q91" s="38">
        <f t="shared" si="434"/>
        <v>0</v>
      </c>
      <c r="R91" s="38">
        <f t="shared" si="434"/>
        <v>0</v>
      </c>
      <c r="S91" s="38">
        <f t="shared" si="434"/>
        <v>0</v>
      </c>
      <c r="T91" s="38">
        <f t="shared" si="434"/>
        <v>0</v>
      </c>
      <c r="U91" s="38">
        <f t="shared" si="434"/>
        <v>0</v>
      </c>
      <c r="V91" s="38">
        <f t="shared" si="434"/>
        <v>0</v>
      </c>
      <c r="W91" s="38">
        <f t="shared" si="435"/>
        <v>0</v>
      </c>
      <c r="X91" s="38">
        <f t="shared" si="435"/>
        <v>0</v>
      </c>
      <c r="Y91" s="38">
        <f t="shared" si="435"/>
        <v>0</v>
      </c>
      <c r="Z91" s="38">
        <f t="shared" si="435"/>
        <v>0</v>
      </c>
      <c r="AA91" s="38">
        <f t="shared" si="435"/>
        <v>0</v>
      </c>
      <c r="AB91" s="38">
        <f t="shared" si="435"/>
        <v>0</v>
      </c>
      <c r="AC91" s="38">
        <f t="shared" si="435"/>
        <v>0</v>
      </c>
      <c r="AD91" s="38">
        <f t="shared" si="435"/>
        <v>0</v>
      </c>
      <c r="AE91" s="38">
        <f t="shared" si="435"/>
        <v>90000</v>
      </c>
      <c r="AF91" s="38">
        <f t="shared" si="435"/>
        <v>90000</v>
      </c>
      <c r="AG91" s="38">
        <f t="shared" si="436"/>
        <v>90000</v>
      </c>
      <c r="AH91" s="38">
        <f t="shared" si="436"/>
        <v>90000</v>
      </c>
      <c r="AI91" s="38">
        <f t="shared" si="436"/>
        <v>90000</v>
      </c>
      <c r="AJ91" s="38">
        <f t="shared" si="436"/>
        <v>90000</v>
      </c>
      <c r="AK91" s="38">
        <f t="shared" si="436"/>
        <v>90000</v>
      </c>
      <c r="AL91" s="38">
        <f t="shared" si="436"/>
        <v>90000</v>
      </c>
      <c r="AM91" s="38">
        <f t="shared" si="436"/>
        <v>90000</v>
      </c>
      <c r="AN91" s="38">
        <f t="shared" si="436"/>
        <v>90000</v>
      </c>
      <c r="AO91" s="38">
        <f t="shared" si="436"/>
        <v>90000</v>
      </c>
      <c r="AP91" s="38">
        <f t="shared" si="436"/>
        <v>90000</v>
      </c>
      <c r="AQ91" s="38">
        <f t="shared" si="437"/>
        <v>92700</v>
      </c>
      <c r="AR91" s="38">
        <f t="shared" si="437"/>
        <v>92700</v>
      </c>
      <c r="AS91" s="38">
        <f t="shared" si="437"/>
        <v>92700</v>
      </c>
      <c r="AT91" s="38">
        <f t="shared" si="437"/>
        <v>92700</v>
      </c>
      <c r="AU91" s="38">
        <f t="shared" si="437"/>
        <v>92700</v>
      </c>
      <c r="AV91" s="38">
        <f t="shared" si="437"/>
        <v>92700</v>
      </c>
      <c r="AW91" s="38">
        <f t="shared" si="437"/>
        <v>92700</v>
      </c>
      <c r="AX91" s="38">
        <f t="shared" si="437"/>
        <v>92700</v>
      </c>
      <c r="AY91" s="38">
        <f t="shared" si="437"/>
        <v>92700</v>
      </c>
      <c r="AZ91" s="38">
        <f t="shared" si="437"/>
        <v>92700</v>
      </c>
      <c r="BA91" s="38">
        <f t="shared" si="438"/>
        <v>92700</v>
      </c>
      <c r="BB91" s="38">
        <f t="shared" si="438"/>
        <v>92700</v>
      </c>
      <c r="BC91" s="38">
        <f t="shared" si="438"/>
        <v>95481</v>
      </c>
      <c r="BD91" s="38">
        <f t="shared" si="438"/>
        <v>95481</v>
      </c>
      <c r="BE91" s="38">
        <f t="shared" si="438"/>
        <v>95481</v>
      </c>
      <c r="BF91" s="38">
        <f t="shared" si="438"/>
        <v>95481</v>
      </c>
      <c r="BG91" s="38">
        <f t="shared" si="438"/>
        <v>95481</v>
      </c>
      <c r="BH91" s="38">
        <f t="shared" si="438"/>
        <v>95481</v>
      </c>
      <c r="BI91" s="38">
        <f t="shared" si="438"/>
        <v>95481</v>
      </c>
      <c r="BJ91" s="38">
        <f t="shared" si="438"/>
        <v>95481</v>
      </c>
      <c r="BK91" s="38">
        <f t="shared" si="439"/>
        <v>95481</v>
      </c>
      <c r="BL91" s="38">
        <f t="shared" si="439"/>
        <v>95481</v>
      </c>
      <c r="BM91" s="38">
        <f t="shared" si="439"/>
        <v>95481</v>
      </c>
      <c r="BN91" s="38">
        <f t="shared" si="439"/>
        <v>95481</v>
      </c>
      <c r="BO91" s="38">
        <f t="shared" si="439"/>
        <v>98345.430000000008</v>
      </c>
      <c r="BP91" s="38">
        <f t="shared" si="439"/>
        <v>98345.430000000008</v>
      </c>
      <c r="BQ91" s="38">
        <f t="shared" si="439"/>
        <v>98345.430000000008</v>
      </c>
      <c r="BR91" s="38">
        <f t="shared" si="439"/>
        <v>98345.430000000008</v>
      </c>
      <c r="BS91" s="38">
        <f t="shared" si="439"/>
        <v>98345.430000000008</v>
      </c>
      <c r="BT91" s="38">
        <f t="shared" si="439"/>
        <v>98345.430000000008</v>
      </c>
      <c r="BU91" s="38">
        <f t="shared" si="440"/>
        <v>98345.430000000008</v>
      </c>
      <c r="BV91" s="38">
        <f t="shared" si="440"/>
        <v>98345.430000000008</v>
      </c>
      <c r="BW91" s="38">
        <f t="shared" si="440"/>
        <v>98345.430000000008</v>
      </c>
      <c r="BX91" s="38">
        <f t="shared" si="440"/>
        <v>98345.430000000008</v>
      </c>
      <c r="BY91" s="38">
        <f t="shared" si="440"/>
        <v>98345.430000000008</v>
      </c>
      <c r="BZ91" s="38">
        <f t="shared" si="440"/>
        <v>98345.430000000008</v>
      </c>
      <c r="CA91" s="38">
        <f t="shared" si="440"/>
        <v>101295.79289999999</v>
      </c>
      <c r="CB91" s="38">
        <f t="shared" si="440"/>
        <v>101295.79289999999</v>
      </c>
      <c r="CC91" s="38">
        <f t="shared" si="440"/>
        <v>101295.79289999999</v>
      </c>
      <c r="CD91" s="38">
        <f t="shared" si="440"/>
        <v>101295.79289999999</v>
      </c>
      <c r="CE91" s="38">
        <f t="shared" si="441"/>
        <v>101295.79289999999</v>
      </c>
      <c r="CF91" s="38">
        <f t="shared" si="441"/>
        <v>101295.79289999999</v>
      </c>
      <c r="CG91" s="38">
        <f t="shared" si="441"/>
        <v>101295.79289999999</v>
      </c>
      <c r="CH91" s="38">
        <f t="shared" si="441"/>
        <v>101295.79289999999</v>
      </c>
      <c r="CI91" s="38">
        <f t="shared" si="441"/>
        <v>101295.79289999999</v>
      </c>
      <c r="CJ91" s="38">
        <f t="shared" si="441"/>
        <v>101295.79289999999</v>
      </c>
      <c r="CK91" s="38">
        <f t="shared" si="441"/>
        <v>101295.79289999999</v>
      </c>
      <c r="CL91" s="38">
        <f t="shared" si="441"/>
        <v>101295.79289999999</v>
      </c>
      <c r="CM91" s="38">
        <f t="shared" si="441"/>
        <v>104334.66668699999</v>
      </c>
      <c r="CN91" s="38">
        <f t="shared" si="441"/>
        <v>104334.66668699999</v>
      </c>
      <c r="CO91" s="38">
        <f t="shared" si="442"/>
        <v>104334.66668699999</v>
      </c>
      <c r="CP91" s="38">
        <f t="shared" si="442"/>
        <v>104334.66668699999</v>
      </c>
      <c r="CQ91" s="38">
        <f t="shared" si="442"/>
        <v>104334.66668699999</v>
      </c>
      <c r="CR91" s="38">
        <f t="shared" si="442"/>
        <v>104334.66668699999</v>
      </c>
      <c r="CS91" s="38">
        <f t="shared" si="442"/>
        <v>104334.66668699999</v>
      </c>
      <c r="CT91" s="38">
        <f t="shared" si="442"/>
        <v>104334.66668699999</v>
      </c>
      <c r="CU91" s="38">
        <f t="shared" si="442"/>
        <v>104334.66668699999</v>
      </c>
      <c r="CV91" s="38">
        <f t="shared" si="442"/>
        <v>104334.66668699999</v>
      </c>
      <c r="CW91" s="38">
        <f t="shared" si="442"/>
        <v>104334.66668699999</v>
      </c>
      <c r="CX91" s="38">
        <f t="shared" si="442"/>
        <v>104334.66668699999</v>
      </c>
      <c r="CY91" s="38">
        <f t="shared" si="443"/>
        <v>107464.70668760999</v>
      </c>
      <c r="CZ91" s="38">
        <f t="shared" si="443"/>
        <v>107464.70668760999</v>
      </c>
      <c r="DA91" s="38">
        <f t="shared" si="443"/>
        <v>107464.70668760999</v>
      </c>
      <c r="DB91" s="38">
        <f t="shared" si="443"/>
        <v>107464.70668760999</v>
      </c>
      <c r="DC91" s="38">
        <f t="shared" si="443"/>
        <v>107464.70668760999</v>
      </c>
      <c r="DD91" s="38">
        <f t="shared" si="443"/>
        <v>107464.70668760999</v>
      </c>
      <c r="DE91" s="38">
        <f t="shared" si="443"/>
        <v>107464.70668760999</v>
      </c>
      <c r="DF91" s="38">
        <f t="shared" si="443"/>
        <v>107464.70668760999</v>
      </c>
      <c r="DG91" s="38">
        <f t="shared" si="443"/>
        <v>107464.70668760999</v>
      </c>
      <c r="DH91" s="38">
        <f t="shared" si="443"/>
        <v>107464.70668760999</v>
      </c>
      <c r="DI91" s="38">
        <f t="shared" si="444"/>
        <v>107464.70668760999</v>
      </c>
      <c r="DJ91" s="38">
        <f t="shared" si="444"/>
        <v>107464.70668760999</v>
      </c>
      <c r="DK91" s="38">
        <f t="shared" si="444"/>
        <v>110688.64788823829</v>
      </c>
      <c r="DL91" s="38">
        <f t="shared" si="444"/>
        <v>110688.64788823829</v>
      </c>
      <c r="DM91" s="38">
        <f t="shared" si="444"/>
        <v>110688.64788823829</v>
      </c>
      <c r="DN91" s="38">
        <f t="shared" si="444"/>
        <v>110688.64788823829</v>
      </c>
      <c r="DO91" s="38">
        <f t="shared" si="444"/>
        <v>110688.64788823829</v>
      </c>
      <c r="DP91" s="38">
        <f t="shared" si="444"/>
        <v>110688.64788823829</v>
      </c>
      <c r="DQ91" s="38">
        <f t="shared" si="444"/>
        <v>110688.64788823829</v>
      </c>
      <c r="DR91" s="38">
        <f t="shared" si="444"/>
        <v>110688.64788823829</v>
      </c>
      <c r="DS91" s="38">
        <f t="shared" si="445"/>
        <v>110688.64788823829</v>
      </c>
      <c r="DT91" s="38">
        <f t="shared" si="445"/>
        <v>110688.64788823829</v>
      </c>
      <c r="DU91" s="38">
        <f t="shared" si="445"/>
        <v>110688.64788823829</v>
      </c>
      <c r="DV91" s="38">
        <f t="shared" si="445"/>
        <v>110688.64788823829</v>
      </c>
      <c r="DW91" s="38">
        <f t="shared" si="445"/>
        <v>114009.30732488543</v>
      </c>
      <c r="DX91" s="38">
        <f t="shared" si="445"/>
        <v>114009.30732488543</v>
      </c>
      <c r="DY91" s="38">
        <f t="shared" si="445"/>
        <v>114009.30732488543</v>
      </c>
      <c r="DZ91" s="38">
        <f t="shared" si="445"/>
        <v>114009.30732488543</v>
      </c>
      <c r="EA91" s="38">
        <f t="shared" si="445"/>
        <v>114009.30732488543</v>
      </c>
      <c r="EB91" s="38">
        <f t="shared" si="445"/>
        <v>114009.30732488543</v>
      </c>
      <c r="EC91" s="38">
        <f t="shared" si="446"/>
        <v>114009.30732488543</v>
      </c>
      <c r="ED91" s="38">
        <f t="shared" si="446"/>
        <v>114009.30732488543</v>
      </c>
      <c r="EE91" s="38">
        <f t="shared" si="446"/>
        <v>114009.30732488543</v>
      </c>
      <c r="EF91" s="38">
        <f t="shared" si="446"/>
        <v>114009.30732488543</v>
      </c>
      <c r="EG91" s="38">
        <f t="shared" si="446"/>
        <v>114009.30732488543</v>
      </c>
      <c r="EH91" s="38">
        <f t="shared" si="446"/>
        <v>114009.30732488543</v>
      </c>
      <c r="EI91" s="38">
        <f t="shared" si="446"/>
        <v>117429.58654463199</v>
      </c>
      <c r="EJ91" s="38">
        <f t="shared" si="446"/>
        <v>117429.58654463199</v>
      </c>
      <c r="EK91" s="38">
        <f t="shared" si="446"/>
        <v>117429.58654463199</v>
      </c>
      <c r="EL91" s="38">
        <f t="shared" si="446"/>
        <v>117429.58654463199</v>
      </c>
      <c r="EM91" s="38">
        <f t="shared" si="447"/>
        <v>117429.58654463199</v>
      </c>
      <c r="EN91" s="38">
        <f t="shared" si="447"/>
        <v>117429.58654463199</v>
      </c>
      <c r="EP91" s="24" t="str">
        <f t="shared" si="448"/>
        <v>1 Bd/1 Bth</v>
      </c>
      <c r="EQ91" s="24"/>
      <c r="ER91" s="60">
        <f t="shared" si="449"/>
        <v>7.6923076923076927E-2</v>
      </c>
      <c r="ES91" s="60">
        <f t="shared" si="449"/>
        <v>0</v>
      </c>
      <c r="ET91" s="24"/>
      <c r="EU91" s="33"/>
      <c r="EV91" s="30"/>
      <c r="EW91" s="30">
        <f t="shared" si="450"/>
        <v>0</v>
      </c>
      <c r="EX91" s="30">
        <f t="shared" si="450"/>
        <v>0</v>
      </c>
      <c r="EY91" s="30">
        <f t="shared" si="450"/>
        <v>0</v>
      </c>
      <c r="EZ91" s="30">
        <f t="shared" si="450"/>
        <v>0</v>
      </c>
      <c r="FA91" s="30">
        <f t="shared" si="450"/>
        <v>0</v>
      </c>
      <c r="FB91" s="30">
        <f t="shared" si="450"/>
        <v>0</v>
      </c>
      <c r="FC91" s="30">
        <f t="shared" si="450"/>
        <v>0</v>
      </c>
      <c r="FD91" s="30">
        <f t="shared" si="450"/>
        <v>0</v>
      </c>
      <c r="FE91" s="30">
        <f t="shared" si="450"/>
        <v>0</v>
      </c>
      <c r="FF91" s="30">
        <f t="shared" si="450"/>
        <v>0</v>
      </c>
      <c r="FG91" s="30">
        <f t="shared" si="451"/>
        <v>0</v>
      </c>
      <c r="FH91" s="30">
        <f t="shared" si="451"/>
        <v>0</v>
      </c>
      <c r="FI91" s="30">
        <f t="shared" si="451"/>
        <v>0</v>
      </c>
      <c r="FJ91" s="30">
        <f t="shared" si="451"/>
        <v>0</v>
      </c>
      <c r="FK91" s="30">
        <f t="shared" si="451"/>
        <v>0</v>
      </c>
      <c r="FL91" s="30">
        <f t="shared" si="451"/>
        <v>0</v>
      </c>
      <c r="FM91" s="30">
        <f t="shared" si="451"/>
        <v>0</v>
      </c>
      <c r="FN91" s="30">
        <f t="shared" si="451"/>
        <v>0</v>
      </c>
      <c r="FO91" s="30">
        <f t="shared" si="451"/>
        <v>6923.0769230769238</v>
      </c>
      <c r="FP91" s="30">
        <f t="shared" si="451"/>
        <v>6923.0769230769238</v>
      </c>
      <c r="FQ91" s="30">
        <f t="shared" si="452"/>
        <v>6923.0769230769238</v>
      </c>
      <c r="FR91" s="30">
        <f t="shared" si="452"/>
        <v>6923.0769230769238</v>
      </c>
      <c r="FS91" s="30">
        <f t="shared" si="452"/>
        <v>6923.0769230769238</v>
      </c>
      <c r="FT91" s="30">
        <f t="shared" si="452"/>
        <v>6923.0769230769238</v>
      </c>
      <c r="FU91" s="30">
        <f t="shared" si="452"/>
        <v>6923.0769230769238</v>
      </c>
      <c r="FV91" s="30">
        <f t="shared" si="452"/>
        <v>6923.0769230769238</v>
      </c>
      <c r="FW91" s="30">
        <f t="shared" si="452"/>
        <v>6923.0769230769238</v>
      </c>
      <c r="FX91" s="30">
        <f t="shared" si="452"/>
        <v>6923.0769230769238</v>
      </c>
      <c r="FY91" s="30">
        <f t="shared" si="452"/>
        <v>6923.0769230769238</v>
      </c>
      <c r="FZ91" s="30">
        <f t="shared" si="452"/>
        <v>6923.0769230769238</v>
      </c>
      <c r="GA91" s="30">
        <f t="shared" si="453"/>
        <v>7130.7692307692314</v>
      </c>
      <c r="GB91" s="30">
        <f t="shared" si="453"/>
        <v>7130.7692307692314</v>
      </c>
      <c r="GC91" s="30">
        <f t="shared" si="453"/>
        <v>0</v>
      </c>
      <c r="GD91" s="30">
        <f t="shared" si="453"/>
        <v>0</v>
      </c>
      <c r="GE91" s="30">
        <f t="shared" si="453"/>
        <v>0</v>
      </c>
      <c r="GF91" s="30">
        <f t="shared" si="453"/>
        <v>0</v>
      </c>
      <c r="GG91" s="30">
        <f t="shared" si="453"/>
        <v>0</v>
      </c>
      <c r="GH91" s="30">
        <f t="shared" si="453"/>
        <v>0</v>
      </c>
      <c r="GI91" s="30">
        <f t="shared" si="453"/>
        <v>0</v>
      </c>
      <c r="GJ91" s="30">
        <f t="shared" si="453"/>
        <v>0</v>
      </c>
      <c r="GK91" s="30">
        <f t="shared" si="454"/>
        <v>0</v>
      </c>
      <c r="GL91" s="30">
        <f t="shared" si="454"/>
        <v>0</v>
      </c>
      <c r="GM91" s="30">
        <f t="shared" si="454"/>
        <v>0</v>
      </c>
      <c r="GN91" s="30">
        <f t="shared" si="454"/>
        <v>0</v>
      </c>
      <c r="GO91" s="30">
        <f t="shared" si="454"/>
        <v>0</v>
      </c>
      <c r="GP91" s="30">
        <f t="shared" si="454"/>
        <v>0</v>
      </c>
      <c r="GQ91" s="30">
        <f t="shared" si="454"/>
        <v>0</v>
      </c>
      <c r="GR91" s="30">
        <f t="shared" si="454"/>
        <v>0</v>
      </c>
      <c r="GS91" s="30">
        <f t="shared" si="454"/>
        <v>0</v>
      </c>
      <c r="GT91" s="30">
        <f t="shared" si="454"/>
        <v>0</v>
      </c>
      <c r="GU91" s="30">
        <f t="shared" si="455"/>
        <v>0</v>
      </c>
      <c r="GV91" s="30">
        <f t="shared" si="455"/>
        <v>0</v>
      </c>
      <c r="GW91" s="30">
        <f t="shared" si="455"/>
        <v>0</v>
      </c>
      <c r="GX91" s="30">
        <f t="shared" si="455"/>
        <v>0</v>
      </c>
      <c r="GY91" s="30">
        <f t="shared" si="455"/>
        <v>0</v>
      </c>
      <c r="GZ91" s="30">
        <f t="shared" si="455"/>
        <v>0</v>
      </c>
      <c r="HA91" s="30">
        <f t="shared" si="455"/>
        <v>0</v>
      </c>
      <c r="HB91" s="30">
        <f t="shared" si="455"/>
        <v>0</v>
      </c>
      <c r="HC91" s="30">
        <f t="shared" si="455"/>
        <v>0</v>
      </c>
      <c r="HD91" s="30">
        <f t="shared" si="455"/>
        <v>0</v>
      </c>
      <c r="HE91" s="30">
        <f t="shared" si="456"/>
        <v>0</v>
      </c>
      <c r="HF91" s="30">
        <f t="shared" si="456"/>
        <v>0</v>
      </c>
      <c r="HG91" s="30">
        <f t="shared" si="456"/>
        <v>0</v>
      </c>
      <c r="HH91" s="30">
        <f t="shared" si="456"/>
        <v>0</v>
      </c>
      <c r="HI91" s="30">
        <f t="shared" si="456"/>
        <v>0</v>
      </c>
      <c r="HJ91" s="30">
        <f t="shared" si="456"/>
        <v>0</v>
      </c>
      <c r="HK91" s="30">
        <f t="shared" si="456"/>
        <v>0</v>
      </c>
      <c r="HL91" s="30">
        <f t="shared" si="456"/>
        <v>0</v>
      </c>
      <c r="HM91" s="30">
        <f t="shared" si="456"/>
        <v>0</v>
      </c>
      <c r="HN91" s="30">
        <f t="shared" si="456"/>
        <v>0</v>
      </c>
      <c r="HO91" s="30">
        <f t="shared" si="457"/>
        <v>0</v>
      </c>
      <c r="HP91" s="30">
        <f t="shared" si="457"/>
        <v>0</v>
      </c>
      <c r="HQ91" s="30">
        <f t="shared" si="457"/>
        <v>0</v>
      </c>
      <c r="HR91" s="30">
        <f t="shared" si="457"/>
        <v>0</v>
      </c>
      <c r="HS91" s="30">
        <f t="shared" si="457"/>
        <v>0</v>
      </c>
      <c r="HT91" s="30">
        <f t="shared" si="457"/>
        <v>0</v>
      </c>
      <c r="HU91" s="30">
        <f t="shared" si="457"/>
        <v>0</v>
      </c>
      <c r="HV91" s="30">
        <f t="shared" si="457"/>
        <v>0</v>
      </c>
      <c r="HW91" s="30">
        <f t="shared" si="457"/>
        <v>0</v>
      </c>
      <c r="HX91" s="30">
        <f t="shared" si="457"/>
        <v>0</v>
      </c>
      <c r="HY91" s="30">
        <f t="shared" si="458"/>
        <v>0</v>
      </c>
      <c r="HZ91" s="30">
        <f t="shared" si="458"/>
        <v>0</v>
      </c>
      <c r="IA91" s="30">
        <f t="shared" si="458"/>
        <v>0</v>
      </c>
      <c r="IB91" s="30">
        <f t="shared" si="458"/>
        <v>0</v>
      </c>
      <c r="IC91" s="30">
        <f t="shared" si="458"/>
        <v>0</v>
      </c>
      <c r="ID91" s="30">
        <f t="shared" si="458"/>
        <v>0</v>
      </c>
      <c r="IE91" s="30">
        <f t="shared" si="458"/>
        <v>0</v>
      </c>
      <c r="IF91" s="30">
        <f t="shared" si="458"/>
        <v>0</v>
      </c>
      <c r="IG91" s="30">
        <f t="shared" si="458"/>
        <v>0</v>
      </c>
      <c r="IH91" s="30">
        <f t="shared" si="458"/>
        <v>0</v>
      </c>
      <c r="II91" s="30">
        <f t="shared" si="459"/>
        <v>0</v>
      </c>
      <c r="IJ91" s="30">
        <f t="shared" si="459"/>
        <v>0</v>
      </c>
      <c r="IK91" s="30">
        <f t="shared" si="459"/>
        <v>0</v>
      </c>
      <c r="IL91" s="30">
        <f t="shared" si="459"/>
        <v>0</v>
      </c>
      <c r="IM91" s="30">
        <f t="shared" si="459"/>
        <v>0</v>
      </c>
      <c r="IN91" s="30">
        <f t="shared" si="459"/>
        <v>0</v>
      </c>
      <c r="IO91" s="30">
        <f t="shared" si="459"/>
        <v>0</v>
      </c>
      <c r="IP91" s="30">
        <f t="shared" si="459"/>
        <v>0</v>
      </c>
      <c r="IQ91" s="30">
        <f t="shared" si="459"/>
        <v>0</v>
      </c>
      <c r="IR91" s="30">
        <f t="shared" si="459"/>
        <v>0</v>
      </c>
      <c r="IS91" s="30">
        <f t="shared" si="460"/>
        <v>0</v>
      </c>
      <c r="IT91" s="30">
        <f t="shared" si="460"/>
        <v>0</v>
      </c>
      <c r="IU91" s="30">
        <f t="shared" si="460"/>
        <v>0</v>
      </c>
      <c r="IV91" s="30">
        <f t="shared" si="460"/>
        <v>0</v>
      </c>
      <c r="IW91" s="30">
        <f t="shared" si="460"/>
        <v>0</v>
      </c>
      <c r="IX91" s="30">
        <f t="shared" si="460"/>
        <v>0</v>
      </c>
      <c r="IY91" s="30">
        <f t="shared" si="460"/>
        <v>0</v>
      </c>
      <c r="IZ91" s="30">
        <f t="shared" si="460"/>
        <v>0</v>
      </c>
      <c r="JA91" s="30">
        <f t="shared" si="460"/>
        <v>0</v>
      </c>
      <c r="JB91" s="30">
        <f t="shared" si="460"/>
        <v>0</v>
      </c>
      <c r="JC91" s="30">
        <f t="shared" si="461"/>
        <v>0</v>
      </c>
      <c r="JD91" s="30">
        <f t="shared" si="461"/>
        <v>0</v>
      </c>
      <c r="JE91" s="30">
        <f t="shared" si="461"/>
        <v>0</v>
      </c>
      <c r="JF91" s="30">
        <f t="shared" si="461"/>
        <v>0</v>
      </c>
      <c r="JG91" s="30">
        <f t="shared" si="461"/>
        <v>0</v>
      </c>
      <c r="JH91" s="30">
        <f t="shared" si="461"/>
        <v>0</v>
      </c>
      <c r="JI91" s="30">
        <f t="shared" si="461"/>
        <v>0</v>
      </c>
      <c r="JJ91" s="30">
        <f t="shared" si="461"/>
        <v>0</v>
      </c>
      <c r="JK91" s="30">
        <f t="shared" si="461"/>
        <v>0</v>
      </c>
      <c r="JL91" s="30">
        <f t="shared" si="461"/>
        <v>0</v>
      </c>
      <c r="JM91" s="30">
        <f t="shared" si="462"/>
        <v>0</v>
      </c>
      <c r="JN91" s="30">
        <f t="shared" si="462"/>
        <v>0</v>
      </c>
      <c r="JO91" s="30">
        <f t="shared" si="462"/>
        <v>0</v>
      </c>
      <c r="JP91" s="30">
        <f t="shared" si="462"/>
        <v>0</v>
      </c>
      <c r="JQ91" s="30">
        <f t="shared" si="462"/>
        <v>0</v>
      </c>
      <c r="JR91" s="30">
        <f t="shared" si="462"/>
        <v>0</v>
      </c>
      <c r="JS91" s="30">
        <f t="shared" si="462"/>
        <v>0</v>
      </c>
      <c r="JT91" s="30">
        <f t="shared" si="462"/>
        <v>0</v>
      </c>
      <c r="JU91" s="30">
        <f t="shared" si="462"/>
        <v>0</v>
      </c>
      <c r="JV91" s="30">
        <f t="shared" si="462"/>
        <v>0</v>
      </c>
      <c r="JW91" s="30">
        <f t="shared" si="463"/>
        <v>0</v>
      </c>
      <c r="JX91" s="30">
        <f t="shared" si="463"/>
        <v>0</v>
      </c>
    </row>
    <row r="92" spans="1:284" s="7" customFormat="1" x14ac:dyDescent="0.2">
      <c r="A92" s="406"/>
      <c r="B92" s="103" t="s">
        <v>91</v>
      </c>
      <c r="C92" s="104">
        <v>60</v>
      </c>
      <c r="D92" s="104">
        <v>800</v>
      </c>
      <c r="E92" s="105">
        <v>1</v>
      </c>
      <c r="F92" s="105">
        <v>0</v>
      </c>
      <c r="G92" s="392">
        <f t="shared" si="432"/>
        <v>1.9375</v>
      </c>
      <c r="H92" s="402">
        <v>1550</v>
      </c>
      <c r="I92" s="106">
        <f t="shared" si="433"/>
        <v>1116000</v>
      </c>
      <c r="M92" s="38">
        <f t="shared" si="434"/>
        <v>0</v>
      </c>
      <c r="N92" s="38">
        <f t="shared" si="434"/>
        <v>0</v>
      </c>
      <c r="O92" s="38">
        <f t="shared" si="434"/>
        <v>0</v>
      </c>
      <c r="P92" s="38">
        <f t="shared" si="434"/>
        <v>0</v>
      </c>
      <c r="Q92" s="38">
        <f t="shared" si="434"/>
        <v>0</v>
      </c>
      <c r="R92" s="38">
        <f t="shared" si="434"/>
        <v>0</v>
      </c>
      <c r="S92" s="38">
        <f t="shared" si="434"/>
        <v>0</v>
      </c>
      <c r="T92" s="38">
        <f t="shared" si="434"/>
        <v>0</v>
      </c>
      <c r="U92" s="38">
        <f t="shared" si="434"/>
        <v>0</v>
      </c>
      <c r="V92" s="38">
        <f t="shared" si="434"/>
        <v>0</v>
      </c>
      <c r="W92" s="38">
        <f t="shared" si="435"/>
        <v>0</v>
      </c>
      <c r="X92" s="38">
        <f t="shared" si="435"/>
        <v>0</v>
      </c>
      <c r="Y92" s="38">
        <f t="shared" si="435"/>
        <v>0</v>
      </c>
      <c r="Z92" s="38">
        <f t="shared" si="435"/>
        <v>0</v>
      </c>
      <c r="AA92" s="38">
        <f t="shared" si="435"/>
        <v>0</v>
      </c>
      <c r="AB92" s="38">
        <f t="shared" si="435"/>
        <v>0</v>
      </c>
      <c r="AC92" s="38">
        <f t="shared" si="435"/>
        <v>0</v>
      </c>
      <c r="AD92" s="38">
        <f t="shared" si="435"/>
        <v>0</v>
      </c>
      <c r="AE92" s="38">
        <f t="shared" si="435"/>
        <v>93000</v>
      </c>
      <c r="AF92" s="38">
        <f t="shared" si="435"/>
        <v>93000</v>
      </c>
      <c r="AG92" s="38">
        <f t="shared" si="436"/>
        <v>93000</v>
      </c>
      <c r="AH92" s="38">
        <f t="shared" si="436"/>
        <v>93000</v>
      </c>
      <c r="AI92" s="38">
        <f t="shared" si="436"/>
        <v>93000</v>
      </c>
      <c r="AJ92" s="38">
        <f t="shared" si="436"/>
        <v>93000</v>
      </c>
      <c r="AK92" s="38">
        <f t="shared" si="436"/>
        <v>93000</v>
      </c>
      <c r="AL92" s="38">
        <f t="shared" si="436"/>
        <v>93000</v>
      </c>
      <c r="AM92" s="38">
        <f t="shared" si="436"/>
        <v>93000</v>
      </c>
      <c r="AN92" s="38">
        <f t="shared" si="436"/>
        <v>93000</v>
      </c>
      <c r="AO92" s="38">
        <f t="shared" si="436"/>
        <v>93000</v>
      </c>
      <c r="AP92" s="38">
        <f t="shared" si="436"/>
        <v>93000</v>
      </c>
      <c r="AQ92" s="38">
        <f t="shared" si="437"/>
        <v>95790</v>
      </c>
      <c r="AR92" s="38">
        <f t="shared" si="437"/>
        <v>95790</v>
      </c>
      <c r="AS92" s="38">
        <f t="shared" si="437"/>
        <v>95790</v>
      </c>
      <c r="AT92" s="38">
        <f t="shared" si="437"/>
        <v>95790</v>
      </c>
      <c r="AU92" s="38">
        <f t="shared" si="437"/>
        <v>95790</v>
      </c>
      <c r="AV92" s="38">
        <f t="shared" si="437"/>
        <v>95790</v>
      </c>
      <c r="AW92" s="38">
        <f t="shared" si="437"/>
        <v>95790</v>
      </c>
      <c r="AX92" s="38">
        <f t="shared" si="437"/>
        <v>95790</v>
      </c>
      <c r="AY92" s="38">
        <f t="shared" si="437"/>
        <v>95790</v>
      </c>
      <c r="AZ92" s="38">
        <f t="shared" si="437"/>
        <v>95790</v>
      </c>
      <c r="BA92" s="38">
        <f t="shared" si="438"/>
        <v>95790</v>
      </c>
      <c r="BB92" s="38">
        <f t="shared" si="438"/>
        <v>95790</v>
      </c>
      <c r="BC92" s="38">
        <f t="shared" si="438"/>
        <v>98663.7</v>
      </c>
      <c r="BD92" s="38">
        <f t="shared" si="438"/>
        <v>98663.7</v>
      </c>
      <c r="BE92" s="38">
        <f t="shared" si="438"/>
        <v>98663.7</v>
      </c>
      <c r="BF92" s="38">
        <f t="shared" si="438"/>
        <v>98663.7</v>
      </c>
      <c r="BG92" s="38">
        <f t="shared" si="438"/>
        <v>98663.7</v>
      </c>
      <c r="BH92" s="38">
        <f t="shared" si="438"/>
        <v>98663.7</v>
      </c>
      <c r="BI92" s="38">
        <f t="shared" si="438"/>
        <v>98663.7</v>
      </c>
      <c r="BJ92" s="38">
        <f t="shared" si="438"/>
        <v>98663.7</v>
      </c>
      <c r="BK92" s="38">
        <f t="shared" si="439"/>
        <v>98663.7</v>
      </c>
      <c r="BL92" s="38">
        <f t="shared" si="439"/>
        <v>98663.7</v>
      </c>
      <c r="BM92" s="38">
        <f t="shared" si="439"/>
        <v>98663.7</v>
      </c>
      <c r="BN92" s="38">
        <f t="shared" si="439"/>
        <v>98663.7</v>
      </c>
      <c r="BO92" s="38">
        <f t="shared" si="439"/>
        <v>101623.611</v>
      </c>
      <c r="BP92" s="38">
        <f t="shared" si="439"/>
        <v>101623.611</v>
      </c>
      <c r="BQ92" s="38">
        <f t="shared" si="439"/>
        <v>101623.611</v>
      </c>
      <c r="BR92" s="38">
        <f t="shared" si="439"/>
        <v>101623.611</v>
      </c>
      <c r="BS92" s="38">
        <f t="shared" si="439"/>
        <v>101623.611</v>
      </c>
      <c r="BT92" s="38">
        <f t="shared" si="439"/>
        <v>101623.611</v>
      </c>
      <c r="BU92" s="38">
        <f t="shared" si="440"/>
        <v>101623.611</v>
      </c>
      <c r="BV92" s="38">
        <f t="shared" si="440"/>
        <v>101623.611</v>
      </c>
      <c r="BW92" s="38">
        <f t="shared" si="440"/>
        <v>101623.611</v>
      </c>
      <c r="BX92" s="38">
        <f t="shared" si="440"/>
        <v>101623.611</v>
      </c>
      <c r="BY92" s="38">
        <f t="shared" si="440"/>
        <v>101623.611</v>
      </c>
      <c r="BZ92" s="38">
        <f t="shared" si="440"/>
        <v>101623.611</v>
      </c>
      <c r="CA92" s="38">
        <f t="shared" si="440"/>
        <v>104672.31933</v>
      </c>
      <c r="CB92" s="38">
        <f t="shared" si="440"/>
        <v>104672.31933</v>
      </c>
      <c r="CC92" s="38">
        <f t="shared" si="440"/>
        <v>104672.31933</v>
      </c>
      <c r="CD92" s="38">
        <f t="shared" si="440"/>
        <v>104672.31933</v>
      </c>
      <c r="CE92" s="38">
        <f t="shared" si="441"/>
        <v>104672.31933</v>
      </c>
      <c r="CF92" s="38">
        <f t="shared" si="441"/>
        <v>104672.31933</v>
      </c>
      <c r="CG92" s="38">
        <f t="shared" si="441"/>
        <v>104672.31933</v>
      </c>
      <c r="CH92" s="38">
        <f t="shared" si="441"/>
        <v>104672.31933</v>
      </c>
      <c r="CI92" s="38">
        <f t="shared" si="441"/>
        <v>104672.31933</v>
      </c>
      <c r="CJ92" s="38">
        <f t="shared" si="441"/>
        <v>104672.31933</v>
      </c>
      <c r="CK92" s="38">
        <f t="shared" si="441"/>
        <v>104672.31933</v>
      </c>
      <c r="CL92" s="38">
        <f t="shared" si="441"/>
        <v>104672.31933</v>
      </c>
      <c r="CM92" s="38">
        <f t="shared" si="441"/>
        <v>107812.48890989998</v>
      </c>
      <c r="CN92" s="38">
        <f t="shared" si="441"/>
        <v>107812.48890989998</v>
      </c>
      <c r="CO92" s="38">
        <f t="shared" si="442"/>
        <v>107812.48890989998</v>
      </c>
      <c r="CP92" s="38">
        <f t="shared" si="442"/>
        <v>107812.48890989998</v>
      </c>
      <c r="CQ92" s="38">
        <f t="shared" si="442"/>
        <v>107812.48890989998</v>
      </c>
      <c r="CR92" s="38">
        <f t="shared" si="442"/>
        <v>107812.48890989998</v>
      </c>
      <c r="CS92" s="38">
        <f t="shared" si="442"/>
        <v>107812.48890989998</v>
      </c>
      <c r="CT92" s="38">
        <f t="shared" si="442"/>
        <v>107812.48890989998</v>
      </c>
      <c r="CU92" s="38">
        <f t="shared" si="442"/>
        <v>107812.48890989998</v>
      </c>
      <c r="CV92" s="38">
        <f t="shared" si="442"/>
        <v>107812.48890989998</v>
      </c>
      <c r="CW92" s="38">
        <f t="shared" si="442"/>
        <v>107812.48890989998</v>
      </c>
      <c r="CX92" s="38">
        <f t="shared" si="442"/>
        <v>107812.48890989998</v>
      </c>
      <c r="CY92" s="38">
        <f t="shared" si="443"/>
        <v>111046.86357719699</v>
      </c>
      <c r="CZ92" s="38">
        <f t="shared" si="443"/>
        <v>111046.86357719699</v>
      </c>
      <c r="DA92" s="38">
        <f t="shared" si="443"/>
        <v>111046.86357719699</v>
      </c>
      <c r="DB92" s="38">
        <f t="shared" si="443"/>
        <v>111046.86357719699</v>
      </c>
      <c r="DC92" s="38">
        <f t="shared" si="443"/>
        <v>111046.86357719699</v>
      </c>
      <c r="DD92" s="38">
        <f t="shared" si="443"/>
        <v>111046.86357719699</v>
      </c>
      <c r="DE92" s="38">
        <f t="shared" si="443"/>
        <v>111046.86357719699</v>
      </c>
      <c r="DF92" s="38">
        <f t="shared" si="443"/>
        <v>111046.86357719699</v>
      </c>
      <c r="DG92" s="38">
        <f t="shared" si="443"/>
        <v>111046.86357719699</v>
      </c>
      <c r="DH92" s="38">
        <f t="shared" si="443"/>
        <v>111046.86357719699</v>
      </c>
      <c r="DI92" s="38">
        <f t="shared" si="444"/>
        <v>111046.86357719699</v>
      </c>
      <c r="DJ92" s="38">
        <f t="shared" si="444"/>
        <v>111046.86357719699</v>
      </c>
      <c r="DK92" s="38">
        <f t="shared" si="444"/>
        <v>114378.26948451292</v>
      </c>
      <c r="DL92" s="38">
        <f t="shared" si="444"/>
        <v>114378.26948451292</v>
      </c>
      <c r="DM92" s="38">
        <f t="shared" si="444"/>
        <v>114378.26948451292</v>
      </c>
      <c r="DN92" s="38">
        <f t="shared" si="444"/>
        <v>114378.26948451292</v>
      </c>
      <c r="DO92" s="38">
        <f t="shared" si="444"/>
        <v>114378.26948451292</v>
      </c>
      <c r="DP92" s="38">
        <f t="shared" si="444"/>
        <v>114378.26948451292</v>
      </c>
      <c r="DQ92" s="38">
        <f t="shared" si="444"/>
        <v>114378.26948451292</v>
      </c>
      <c r="DR92" s="38">
        <f t="shared" si="444"/>
        <v>114378.26948451292</v>
      </c>
      <c r="DS92" s="38">
        <f t="shared" si="445"/>
        <v>114378.26948451292</v>
      </c>
      <c r="DT92" s="38">
        <f t="shared" si="445"/>
        <v>114378.26948451292</v>
      </c>
      <c r="DU92" s="38">
        <f t="shared" si="445"/>
        <v>114378.26948451292</v>
      </c>
      <c r="DV92" s="38">
        <f t="shared" si="445"/>
        <v>114378.26948451292</v>
      </c>
      <c r="DW92" s="38">
        <f t="shared" si="445"/>
        <v>117809.61756904828</v>
      </c>
      <c r="DX92" s="38">
        <f t="shared" si="445"/>
        <v>117809.61756904828</v>
      </c>
      <c r="DY92" s="38">
        <f t="shared" si="445"/>
        <v>117809.61756904828</v>
      </c>
      <c r="DZ92" s="38">
        <f t="shared" si="445"/>
        <v>117809.61756904828</v>
      </c>
      <c r="EA92" s="38">
        <f t="shared" si="445"/>
        <v>117809.61756904828</v>
      </c>
      <c r="EB92" s="38">
        <f t="shared" si="445"/>
        <v>117809.61756904828</v>
      </c>
      <c r="EC92" s="38">
        <f t="shared" si="446"/>
        <v>117809.61756904828</v>
      </c>
      <c r="ED92" s="38">
        <f t="shared" si="446"/>
        <v>117809.61756904828</v>
      </c>
      <c r="EE92" s="38">
        <f t="shared" si="446"/>
        <v>117809.61756904828</v>
      </c>
      <c r="EF92" s="38">
        <f t="shared" si="446"/>
        <v>117809.61756904828</v>
      </c>
      <c r="EG92" s="38">
        <f t="shared" si="446"/>
        <v>117809.61756904828</v>
      </c>
      <c r="EH92" s="38">
        <f t="shared" si="446"/>
        <v>117809.61756904828</v>
      </c>
      <c r="EI92" s="38">
        <f t="shared" si="446"/>
        <v>121343.90609611974</v>
      </c>
      <c r="EJ92" s="38">
        <f t="shared" si="446"/>
        <v>121343.90609611974</v>
      </c>
      <c r="EK92" s="38">
        <f t="shared" si="446"/>
        <v>121343.90609611974</v>
      </c>
      <c r="EL92" s="38">
        <f t="shared" si="446"/>
        <v>121343.90609611974</v>
      </c>
      <c r="EM92" s="38">
        <f t="shared" si="447"/>
        <v>121343.90609611974</v>
      </c>
      <c r="EN92" s="38">
        <f t="shared" si="447"/>
        <v>121343.90609611974</v>
      </c>
      <c r="EP92" s="24" t="str">
        <f t="shared" si="448"/>
        <v>1 Bd/1.5 Bth</v>
      </c>
      <c r="EQ92" s="24"/>
      <c r="ER92" s="60">
        <f t="shared" si="449"/>
        <v>7.6923076923076927E-2</v>
      </c>
      <c r="ES92" s="60">
        <f t="shared" si="449"/>
        <v>0</v>
      </c>
      <c r="ET92" s="24"/>
      <c r="EU92" s="33"/>
      <c r="EV92" s="30"/>
      <c r="EW92" s="30">
        <f t="shared" si="450"/>
        <v>0</v>
      </c>
      <c r="EX92" s="30">
        <f t="shared" si="450"/>
        <v>0</v>
      </c>
      <c r="EY92" s="30">
        <f t="shared" si="450"/>
        <v>0</v>
      </c>
      <c r="EZ92" s="30">
        <f t="shared" si="450"/>
        <v>0</v>
      </c>
      <c r="FA92" s="30">
        <f t="shared" si="450"/>
        <v>0</v>
      </c>
      <c r="FB92" s="30">
        <f t="shared" si="450"/>
        <v>0</v>
      </c>
      <c r="FC92" s="30">
        <f t="shared" si="450"/>
        <v>0</v>
      </c>
      <c r="FD92" s="30">
        <f t="shared" si="450"/>
        <v>0</v>
      </c>
      <c r="FE92" s="30">
        <f t="shared" si="450"/>
        <v>0</v>
      </c>
      <c r="FF92" s="30">
        <f t="shared" si="450"/>
        <v>0</v>
      </c>
      <c r="FG92" s="30">
        <f t="shared" si="451"/>
        <v>0</v>
      </c>
      <c r="FH92" s="30">
        <f t="shared" si="451"/>
        <v>0</v>
      </c>
      <c r="FI92" s="30">
        <f t="shared" si="451"/>
        <v>0</v>
      </c>
      <c r="FJ92" s="30">
        <f t="shared" si="451"/>
        <v>0</v>
      </c>
      <c r="FK92" s="30">
        <f t="shared" si="451"/>
        <v>0</v>
      </c>
      <c r="FL92" s="30">
        <f t="shared" si="451"/>
        <v>0</v>
      </c>
      <c r="FM92" s="30">
        <f t="shared" si="451"/>
        <v>0</v>
      </c>
      <c r="FN92" s="30">
        <f t="shared" si="451"/>
        <v>0</v>
      </c>
      <c r="FO92" s="30">
        <f t="shared" si="451"/>
        <v>7153.8461538461543</v>
      </c>
      <c r="FP92" s="30">
        <f t="shared" si="451"/>
        <v>7153.8461538461543</v>
      </c>
      <c r="FQ92" s="30">
        <f t="shared" si="452"/>
        <v>7153.8461538461543</v>
      </c>
      <c r="FR92" s="30">
        <f t="shared" si="452"/>
        <v>7153.8461538461543</v>
      </c>
      <c r="FS92" s="30">
        <f t="shared" si="452"/>
        <v>7153.8461538461543</v>
      </c>
      <c r="FT92" s="30">
        <f t="shared" si="452"/>
        <v>7153.8461538461543</v>
      </c>
      <c r="FU92" s="30">
        <f t="shared" si="452"/>
        <v>7153.8461538461543</v>
      </c>
      <c r="FV92" s="30">
        <f t="shared" si="452"/>
        <v>7153.8461538461543</v>
      </c>
      <c r="FW92" s="30">
        <f t="shared" si="452"/>
        <v>7153.8461538461543</v>
      </c>
      <c r="FX92" s="30">
        <f t="shared" si="452"/>
        <v>7153.8461538461543</v>
      </c>
      <c r="FY92" s="30">
        <f t="shared" si="452"/>
        <v>7153.8461538461543</v>
      </c>
      <c r="FZ92" s="30">
        <f t="shared" si="452"/>
        <v>7153.8461538461543</v>
      </c>
      <c r="GA92" s="30">
        <f t="shared" si="453"/>
        <v>7368.461538461539</v>
      </c>
      <c r="GB92" s="30">
        <f t="shared" si="453"/>
        <v>7368.461538461539</v>
      </c>
      <c r="GC92" s="30">
        <f t="shared" si="453"/>
        <v>0</v>
      </c>
      <c r="GD92" s="30">
        <f t="shared" si="453"/>
        <v>0</v>
      </c>
      <c r="GE92" s="30">
        <f t="shared" si="453"/>
        <v>0</v>
      </c>
      <c r="GF92" s="30">
        <f t="shared" si="453"/>
        <v>0</v>
      </c>
      <c r="GG92" s="30">
        <f t="shared" si="453"/>
        <v>0</v>
      </c>
      <c r="GH92" s="30">
        <f t="shared" si="453"/>
        <v>0</v>
      </c>
      <c r="GI92" s="30">
        <f t="shared" si="453"/>
        <v>0</v>
      </c>
      <c r="GJ92" s="30">
        <f t="shared" si="453"/>
        <v>0</v>
      </c>
      <c r="GK92" s="30">
        <f t="shared" si="454"/>
        <v>0</v>
      </c>
      <c r="GL92" s="30">
        <f t="shared" si="454"/>
        <v>0</v>
      </c>
      <c r="GM92" s="30">
        <f t="shared" si="454"/>
        <v>0</v>
      </c>
      <c r="GN92" s="30">
        <f t="shared" si="454"/>
        <v>0</v>
      </c>
      <c r="GO92" s="30">
        <f t="shared" si="454"/>
        <v>0</v>
      </c>
      <c r="GP92" s="30">
        <f t="shared" si="454"/>
        <v>0</v>
      </c>
      <c r="GQ92" s="30">
        <f t="shared" si="454"/>
        <v>0</v>
      </c>
      <c r="GR92" s="30">
        <f t="shared" si="454"/>
        <v>0</v>
      </c>
      <c r="GS92" s="30">
        <f t="shared" si="454"/>
        <v>0</v>
      </c>
      <c r="GT92" s="30">
        <f t="shared" si="454"/>
        <v>0</v>
      </c>
      <c r="GU92" s="30">
        <f t="shared" si="455"/>
        <v>0</v>
      </c>
      <c r="GV92" s="30">
        <f t="shared" si="455"/>
        <v>0</v>
      </c>
      <c r="GW92" s="30">
        <f t="shared" si="455"/>
        <v>0</v>
      </c>
      <c r="GX92" s="30">
        <f t="shared" si="455"/>
        <v>0</v>
      </c>
      <c r="GY92" s="30">
        <f t="shared" si="455"/>
        <v>0</v>
      </c>
      <c r="GZ92" s="30">
        <f t="shared" si="455"/>
        <v>0</v>
      </c>
      <c r="HA92" s="30">
        <f t="shared" si="455"/>
        <v>0</v>
      </c>
      <c r="HB92" s="30">
        <f t="shared" si="455"/>
        <v>0</v>
      </c>
      <c r="HC92" s="30">
        <f t="shared" si="455"/>
        <v>0</v>
      </c>
      <c r="HD92" s="30">
        <f t="shared" si="455"/>
        <v>0</v>
      </c>
      <c r="HE92" s="30">
        <f t="shared" si="456"/>
        <v>0</v>
      </c>
      <c r="HF92" s="30">
        <f t="shared" si="456"/>
        <v>0</v>
      </c>
      <c r="HG92" s="30">
        <f t="shared" si="456"/>
        <v>0</v>
      </c>
      <c r="HH92" s="30">
        <f t="shared" si="456"/>
        <v>0</v>
      </c>
      <c r="HI92" s="30">
        <f t="shared" si="456"/>
        <v>0</v>
      </c>
      <c r="HJ92" s="30">
        <f t="shared" si="456"/>
        <v>0</v>
      </c>
      <c r="HK92" s="30">
        <f t="shared" si="456"/>
        <v>0</v>
      </c>
      <c r="HL92" s="30">
        <f t="shared" si="456"/>
        <v>0</v>
      </c>
      <c r="HM92" s="30">
        <f t="shared" si="456"/>
        <v>0</v>
      </c>
      <c r="HN92" s="30">
        <f t="shared" si="456"/>
        <v>0</v>
      </c>
      <c r="HO92" s="30">
        <f t="shared" si="457"/>
        <v>0</v>
      </c>
      <c r="HP92" s="30">
        <f t="shared" si="457"/>
        <v>0</v>
      </c>
      <c r="HQ92" s="30">
        <f t="shared" si="457"/>
        <v>0</v>
      </c>
      <c r="HR92" s="30">
        <f t="shared" si="457"/>
        <v>0</v>
      </c>
      <c r="HS92" s="30">
        <f t="shared" si="457"/>
        <v>0</v>
      </c>
      <c r="HT92" s="30">
        <f t="shared" si="457"/>
        <v>0</v>
      </c>
      <c r="HU92" s="30">
        <f t="shared" si="457"/>
        <v>0</v>
      </c>
      <c r="HV92" s="30">
        <f t="shared" si="457"/>
        <v>0</v>
      </c>
      <c r="HW92" s="30">
        <f t="shared" si="457"/>
        <v>0</v>
      </c>
      <c r="HX92" s="30">
        <f t="shared" si="457"/>
        <v>0</v>
      </c>
      <c r="HY92" s="30">
        <f t="shared" si="458"/>
        <v>0</v>
      </c>
      <c r="HZ92" s="30">
        <f t="shared" si="458"/>
        <v>0</v>
      </c>
      <c r="IA92" s="30">
        <f t="shared" si="458"/>
        <v>0</v>
      </c>
      <c r="IB92" s="30">
        <f t="shared" si="458"/>
        <v>0</v>
      </c>
      <c r="IC92" s="30">
        <f t="shared" si="458"/>
        <v>0</v>
      </c>
      <c r="ID92" s="30">
        <f t="shared" si="458"/>
        <v>0</v>
      </c>
      <c r="IE92" s="30">
        <f t="shared" si="458"/>
        <v>0</v>
      </c>
      <c r="IF92" s="30">
        <f t="shared" si="458"/>
        <v>0</v>
      </c>
      <c r="IG92" s="30">
        <f t="shared" si="458"/>
        <v>0</v>
      </c>
      <c r="IH92" s="30">
        <f t="shared" si="458"/>
        <v>0</v>
      </c>
      <c r="II92" s="30">
        <f t="shared" si="459"/>
        <v>0</v>
      </c>
      <c r="IJ92" s="30">
        <f t="shared" si="459"/>
        <v>0</v>
      </c>
      <c r="IK92" s="30">
        <f t="shared" si="459"/>
        <v>0</v>
      </c>
      <c r="IL92" s="30">
        <f t="shared" si="459"/>
        <v>0</v>
      </c>
      <c r="IM92" s="30">
        <f t="shared" si="459"/>
        <v>0</v>
      </c>
      <c r="IN92" s="30">
        <f t="shared" si="459"/>
        <v>0</v>
      </c>
      <c r="IO92" s="30">
        <f t="shared" si="459"/>
        <v>0</v>
      </c>
      <c r="IP92" s="30">
        <f t="shared" si="459"/>
        <v>0</v>
      </c>
      <c r="IQ92" s="30">
        <f t="shared" si="459"/>
        <v>0</v>
      </c>
      <c r="IR92" s="30">
        <f t="shared" si="459"/>
        <v>0</v>
      </c>
      <c r="IS92" s="30">
        <f t="shared" si="460"/>
        <v>0</v>
      </c>
      <c r="IT92" s="30">
        <f t="shared" si="460"/>
        <v>0</v>
      </c>
      <c r="IU92" s="30">
        <f t="shared" si="460"/>
        <v>0</v>
      </c>
      <c r="IV92" s="30">
        <f t="shared" si="460"/>
        <v>0</v>
      </c>
      <c r="IW92" s="30">
        <f t="shared" si="460"/>
        <v>0</v>
      </c>
      <c r="IX92" s="30">
        <f t="shared" si="460"/>
        <v>0</v>
      </c>
      <c r="IY92" s="30">
        <f t="shared" si="460"/>
        <v>0</v>
      </c>
      <c r="IZ92" s="30">
        <f t="shared" si="460"/>
        <v>0</v>
      </c>
      <c r="JA92" s="30">
        <f t="shared" si="460"/>
        <v>0</v>
      </c>
      <c r="JB92" s="30">
        <f t="shared" si="460"/>
        <v>0</v>
      </c>
      <c r="JC92" s="30">
        <f t="shared" si="461"/>
        <v>0</v>
      </c>
      <c r="JD92" s="30">
        <f t="shared" si="461"/>
        <v>0</v>
      </c>
      <c r="JE92" s="30">
        <f t="shared" si="461"/>
        <v>0</v>
      </c>
      <c r="JF92" s="30">
        <f t="shared" si="461"/>
        <v>0</v>
      </c>
      <c r="JG92" s="30">
        <f t="shared" si="461"/>
        <v>0</v>
      </c>
      <c r="JH92" s="30">
        <f t="shared" si="461"/>
        <v>0</v>
      </c>
      <c r="JI92" s="30">
        <f t="shared" si="461"/>
        <v>0</v>
      </c>
      <c r="JJ92" s="30">
        <f t="shared" si="461"/>
        <v>0</v>
      </c>
      <c r="JK92" s="30">
        <f t="shared" si="461"/>
        <v>0</v>
      </c>
      <c r="JL92" s="30">
        <f t="shared" si="461"/>
        <v>0</v>
      </c>
      <c r="JM92" s="30">
        <f t="shared" si="462"/>
        <v>0</v>
      </c>
      <c r="JN92" s="30">
        <f t="shared" si="462"/>
        <v>0</v>
      </c>
      <c r="JO92" s="30">
        <f t="shared" si="462"/>
        <v>0</v>
      </c>
      <c r="JP92" s="30">
        <f t="shared" si="462"/>
        <v>0</v>
      </c>
      <c r="JQ92" s="30">
        <f t="shared" si="462"/>
        <v>0</v>
      </c>
      <c r="JR92" s="30">
        <f t="shared" si="462"/>
        <v>0</v>
      </c>
      <c r="JS92" s="30">
        <f t="shared" si="462"/>
        <v>0</v>
      </c>
      <c r="JT92" s="30">
        <f t="shared" si="462"/>
        <v>0</v>
      </c>
      <c r="JU92" s="30">
        <f t="shared" si="462"/>
        <v>0</v>
      </c>
      <c r="JV92" s="30">
        <f t="shared" si="462"/>
        <v>0</v>
      </c>
      <c r="JW92" s="30">
        <f t="shared" si="463"/>
        <v>0</v>
      </c>
      <c r="JX92" s="30">
        <f t="shared" si="463"/>
        <v>0</v>
      </c>
    </row>
    <row r="93" spans="1:284" s="7" customFormat="1" x14ac:dyDescent="0.2">
      <c r="A93" s="406"/>
      <c r="B93" s="103" t="s">
        <v>92</v>
      </c>
      <c r="C93" s="104">
        <v>60</v>
      </c>
      <c r="D93" s="104">
        <v>950</v>
      </c>
      <c r="E93" s="105">
        <v>1</v>
      </c>
      <c r="F93" s="105">
        <v>0</v>
      </c>
      <c r="G93" s="392">
        <f t="shared" si="432"/>
        <v>1.8</v>
      </c>
      <c r="H93" s="402">
        <v>1710</v>
      </c>
      <c r="I93" s="106">
        <f t="shared" si="433"/>
        <v>1231200</v>
      </c>
      <c r="M93" s="38">
        <f t="shared" si="434"/>
        <v>0</v>
      </c>
      <c r="N93" s="38">
        <f t="shared" si="434"/>
        <v>0</v>
      </c>
      <c r="O93" s="38">
        <f t="shared" si="434"/>
        <v>0</v>
      </c>
      <c r="P93" s="38">
        <f t="shared" si="434"/>
        <v>0</v>
      </c>
      <c r="Q93" s="38">
        <f t="shared" si="434"/>
        <v>0</v>
      </c>
      <c r="R93" s="38">
        <f t="shared" si="434"/>
        <v>0</v>
      </c>
      <c r="S93" s="38">
        <f t="shared" si="434"/>
        <v>0</v>
      </c>
      <c r="T93" s="38">
        <f t="shared" si="434"/>
        <v>0</v>
      </c>
      <c r="U93" s="38">
        <f t="shared" si="434"/>
        <v>0</v>
      </c>
      <c r="V93" s="38">
        <f t="shared" si="434"/>
        <v>0</v>
      </c>
      <c r="W93" s="38">
        <f t="shared" si="435"/>
        <v>0</v>
      </c>
      <c r="X93" s="38">
        <f t="shared" si="435"/>
        <v>0</v>
      </c>
      <c r="Y93" s="38">
        <f t="shared" si="435"/>
        <v>0</v>
      </c>
      <c r="Z93" s="38">
        <f t="shared" si="435"/>
        <v>0</v>
      </c>
      <c r="AA93" s="38">
        <f t="shared" si="435"/>
        <v>0</v>
      </c>
      <c r="AB93" s="38">
        <f t="shared" si="435"/>
        <v>0</v>
      </c>
      <c r="AC93" s="38">
        <f t="shared" si="435"/>
        <v>0</v>
      </c>
      <c r="AD93" s="38">
        <f t="shared" si="435"/>
        <v>0</v>
      </c>
      <c r="AE93" s="38">
        <f t="shared" si="435"/>
        <v>102600</v>
      </c>
      <c r="AF93" s="38">
        <f t="shared" si="435"/>
        <v>102600</v>
      </c>
      <c r="AG93" s="38">
        <f t="shared" si="436"/>
        <v>102600</v>
      </c>
      <c r="AH93" s="38">
        <f t="shared" si="436"/>
        <v>102600</v>
      </c>
      <c r="AI93" s="38">
        <f t="shared" si="436"/>
        <v>102600</v>
      </c>
      <c r="AJ93" s="38">
        <f t="shared" si="436"/>
        <v>102600</v>
      </c>
      <c r="AK93" s="38">
        <f t="shared" si="436"/>
        <v>102600</v>
      </c>
      <c r="AL93" s="38">
        <f t="shared" si="436"/>
        <v>102600</v>
      </c>
      <c r="AM93" s="38">
        <f t="shared" si="436"/>
        <v>102600</v>
      </c>
      <c r="AN93" s="38">
        <f t="shared" si="436"/>
        <v>102600</v>
      </c>
      <c r="AO93" s="38">
        <f t="shared" si="436"/>
        <v>102600</v>
      </c>
      <c r="AP93" s="38">
        <f t="shared" si="436"/>
        <v>102600</v>
      </c>
      <c r="AQ93" s="38">
        <f t="shared" si="437"/>
        <v>105678</v>
      </c>
      <c r="AR93" s="38">
        <f t="shared" si="437"/>
        <v>105678</v>
      </c>
      <c r="AS93" s="38">
        <f t="shared" si="437"/>
        <v>105678</v>
      </c>
      <c r="AT93" s="38">
        <f t="shared" si="437"/>
        <v>105678</v>
      </c>
      <c r="AU93" s="38">
        <f t="shared" si="437"/>
        <v>105678</v>
      </c>
      <c r="AV93" s="38">
        <f t="shared" si="437"/>
        <v>105678</v>
      </c>
      <c r="AW93" s="38">
        <f t="shared" si="437"/>
        <v>105678</v>
      </c>
      <c r="AX93" s="38">
        <f t="shared" si="437"/>
        <v>105678</v>
      </c>
      <c r="AY93" s="38">
        <f t="shared" si="437"/>
        <v>105678</v>
      </c>
      <c r="AZ93" s="38">
        <f t="shared" si="437"/>
        <v>105678</v>
      </c>
      <c r="BA93" s="38">
        <f t="shared" si="438"/>
        <v>105678</v>
      </c>
      <c r="BB93" s="38">
        <f t="shared" si="438"/>
        <v>105678</v>
      </c>
      <c r="BC93" s="38">
        <f t="shared" si="438"/>
        <v>108848.34</v>
      </c>
      <c r="BD93" s="38">
        <f t="shared" si="438"/>
        <v>108848.34</v>
      </c>
      <c r="BE93" s="38">
        <f t="shared" si="438"/>
        <v>108848.34</v>
      </c>
      <c r="BF93" s="38">
        <f t="shared" si="438"/>
        <v>108848.34</v>
      </c>
      <c r="BG93" s="38">
        <f t="shared" si="438"/>
        <v>108848.34</v>
      </c>
      <c r="BH93" s="38">
        <f t="shared" si="438"/>
        <v>108848.34</v>
      </c>
      <c r="BI93" s="38">
        <f t="shared" si="438"/>
        <v>108848.34</v>
      </c>
      <c r="BJ93" s="38">
        <f t="shared" si="438"/>
        <v>108848.34</v>
      </c>
      <c r="BK93" s="38">
        <f t="shared" si="439"/>
        <v>108848.34</v>
      </c>
      <c r="BL93" s="38">
        <f t="shared" si="439"/>
        <v>108848.34</v>
      </c>
      <c r="BM93" s="38">
        <f t="shared" si="439"/>
        <v>108848.34</v>
      </c>
      <c r="BN93" s="38">
        <f t="shared" si="439"/>
        <v>108848.34</v>
      </c>
      <c r="BO93" s="38">
        <f t="shared" si="439"/>
        <v>112113.7902</v>
      </c>
      <c r="BP93" s="38">
        <f t="shared" si="439"/>
        <v>112113.7902</v>
      </c>
      <c r="BQ93" s="38">
        <f t="shared" si="439"/>
        <v>112113.7902</v>
      </c>
      <c r="BR93" s="38">
        <f t="shared" si="439"/>
        <v>112113.7902</v>
      </c>
      <c r="BS93" s="38">
        <f t="shared" si="439"/>
        <v>112113.7902</v>
      </c>
      <c r="BT93" s="38">
        <f t="shared" si="439"/>
        <v>112113.7902</v>
      </c>
      <c r="BU93" s="38">
        <f t="shared" si="440"/>
        <v>112113.7902</v>
      </c>
      <c r="BV93" s="38">
        <f t="shared" si="440"/>
        <v>112113.7902</v>
      </c>
      <c r="BW93" s="38">
        <f t="shared" si="440"/>
        <v>112113.7902</v>
      </c>
      <c r="BX93" s="38">
        <f t="shared" si="440"/>
        <v>112113.7902</v>
      </c>
      <c r="BY93" s="38">
        <f t="shared" si="440"/>
        <v>112113.7902</v>
      </c>
      <c r="BZ93" s="38">
        <f t="shared" si="440"/>
        <v>112113.7902</v>
      </c>
      <c r="CA93" s="38">
        <f t="shared" si="440"/>
        <v>115477.203906</v>
      </c>
      <c r="CB93" s="38">
        <f t="shared" si="440"/>
        <v>115477.203906</v>
      </c>
      <c r="CC93" s="38">
        <f t="shared" si="440"/>
        <v>115477.203906</v>
      </c>
      <c r="CD93" s="38">
        <f t="shared" si="440"/>
        <v>115477.203906</v>
      </c>
      <c r="CE93" s="38">
        <f t="shared" si="441"/>
        <v>115477.203906</v>
      </c>
      <c r="CF93" s="38">
        <f t="shared" si="441"/>
        <v>115477.203906</v>
      </c>
      <c r="CG93" s="38">
        <f t="shared" si="441"/>
        <v>115477.203906</v>
      </c>
      <c r="CH93" s="38">
        <f t="shared" si="441"/>
        <v>115477.203906</v>
      </c>
      <c r="CI93" s="38">
        <f t="shared" si="441"/>
        <v>115477.203906</v>
      </c>
      <c r="CJ93" s="38">
        <f t="shared" si="441"/>
        <v>115477.203906</v>
      </c>
      <c r="CK93" s="38">
        <f t="shared" si="441"/>
        <v>115477.203906</v>
      </c>
      <c r="CL93" s="38">
        <f t="shared" si="441"/>
        <v>115477.203906</v>
      </c>
      <c r="CM93" s="38">
        <f t="shared" si="441"/>
        <v>118941.52002317998</v>
      </c>
      <c r="CN93" s="38">
        <f t="shared" si="441"/>
        <v>118941.52002317998</v>
      </c>
      <c r="CO93" s="38">
        <f t="shared" si="442"/>
        <v>118941.52002317998</v>
      </c>
      <c r="CP93" s="38">
        <f t="shared" si="442"/>
        <v>118941.52002317998</v>
      </c>
      <c r="CQ93" s="38">
        <f t="shared" si="442"/>
        <v>118941.52002317998</v>
      </c>
      <c r="CR93" s="38">
        <f t="shared" si="442"/>
        <v>118941.52002317998</v>
      </c>
      <c r="CS93" s="38">
        <f t="shared" si="442"/>
        <v>118941.52002317998</v>
      </c>
      <c r="CT93" s="38">
        <f t="shared" si="442"/>
        <v>118941.52002317998</v>
      </c>
      <c r="CU93" s="38">
        <f t="shared" si="442"/>
        <v>118941.52002317998</v>
      </c>
      <c r="CV93" s="38">
        <f t="shared" si="442"/>
        <v>118941.52002317998</v>
      </c>
      <c r="CW93" s="38">
        <f t="shared" si="442"/>
        <v>118941.52002317998</v>
      </c>
      <c r="CX93" s="38">
        <f t="shared" si="442"/>
        <v>118941.52002317998</v>
      </c>
      <c r="CY93" s="38">
        <f t="shared" si="443"/>
        <v>122509.76562387538</v>
      </c>
      <c r="CZ93" s="38">
        <f t="shared" si="443"/>
        <v>122509.76562387538</v>
      </c>
      <c r="DA93" s="38">
        <f t="shared" si="443"/>
        <v>122509.76562387538</v>
      </c>
      <c r="DB93" s="38">
        <f t="shared" si="443"/>
        <v>122509.76562387538</v>
      </c>
      <c r="DC93" s="38">
        <f t="shared" si="443"/>
        <v>122509.76562387538</v>
      </c>
      <c r="DD93" s="38">
        <f t="shared" si="443"/>
        <v>122509.76562387538</v>
      </c>
      <c r="DE93" s="38">
        <f t="shared" si="443"/>
        <v>122509.76562387538</v>
      </c>
      <c r="DF93" s="38">
        <f t="shared" si="443"/>
        <v>122509.76562387538</v>
      </c>
      <c r="DG93" s="38">
        <f t="shared" si="443"/>
        <v>122509.76562387538</v>
      </c>
      <c r="DH93" s="38">
        <f t="shared" si="443"/>
        <v>122509.76562387538</v>
      </c>
      <c r="DI93" s="38">
        <f t="shared" si="444"/>
        <v>122509.76562387538</v>
      </c>
      <c r="DJ93" s="38">
        <f t="shared" si="444"/>
        <v>122509.76562387538</v>
      </c>
      <c r="DK93" s="38">
        <f t="shared" si="444"/>
        <v>126185.05859259165</v>
      </c>
      <c r="DL93" s="38">
        <f t="shared" si="444"/>
        <v>126185.05859259165</v>
      </c>
      <c r="DM93" s="38">
        <f t="shared" si="444"/>
        <v>126185.05859259165</v>
      </c>
      <c r="DN93" s="38">
        <f t="shared" si="444"/>
        <v>126185.05859259165</v>
      </c>
      <c r="DO93" s="38">
        <f t="shared" si="444"/>
        <v>126185.05859259165</v>
      </c>
      <c r="DP93" s="38">
        <f t="shared" si="444"/>
        <v>126185.05859259165</v>
      </c>
      <c r="DQ93" s="38">
        <f t="shared" si="444"/>
        <v>126185.05859259165</v>
      </c>
      <c r="DR93" s="38">
        <f t="shared" si="444"/>
        <v>126185.05859259165</v>
      </c>
      <c r="DS93" s="38">
        <f t="shared" si="445"/>
        <v>126185.05859259165</v>
      </c>
      <c r="DT93" s="38">
        <f t="shared" si="445"/>
        <v>126185.05859259165</v>
      </c>
      <c r="DU93" s="38">
        <f t="shared" si="445"/>
        <v>126185.05859259165</v>
      </c>
      <c r="DV93" s="38">
        <f t="shared" si="445"/>
        <v>126185.05859259165</v>
      </c>
      <c r="DW93" s="38">
        <f t="shared" si="445"/>
        <v>129970.61035036939</v>
      </c>
      <c r="DX93" s="38">
        <f t="shared" si="445"/>
        <v>129970.61035036939</v>
      </c>
      <c r="DY93" s="38">
        <f t="shared" si="445"/>
        <v>129970.61035036939</v>
      </c>
      <c r="DZ93" s="38">
        <f t="shared" si="445"/>
        <v>129970.61035036939</v>
      </c>
      <c r="EA93" s="38">
        <f t="shared" si="445"/>
        <v>129970.61035036939</v>
      </c>
      <c r="EB93" s="38">
        <f t="shared" si="445"/>
        <v>129970.61035036939</v>
      </c>
      <c r="EC93" s="38">
        <f t="shared" si="446"/>
        <v>129970.61035036939</v>
      </c>
      <c r="ED93" s="38">
        <f t="shared" si="446"/>
        <v>129970.61035036939</v>
      </c>
      <c r="EE93" s="38">
        <f t="shared" si="446"/>
        <v>129970.61035036939</v>
      </c>
      <c r="EF93" s="38">
        <f t="shared" si="446"/>
        <v>129970.61035036939</v>
      </c>
      <c r="EG93" s="38">
        <f t="shared" si="446"/>
        <v>129970.61035036939</v>
      </c>
      <c r="EH93" s="38">
        <f t="shared" si="446"/>
        <v>129970.61035036939</v>
      </c>
      <c r="EI93" s="38">
        <f t="shared" si="446"/>
        <v>133869.72866088047</v>
      </c>
      <c r="EJ93" s="38">
        <f t="shared" si="446"/>
        <v>133869.72866088047</v>
      </c>
      <c r="EK93" s="38">
        <f t="shared" si="446"/>
        <v>133869.72866088047</v>
      </c>
      <c r="EL93" s="38">
        <f t="shared" si="446"/>
        <v>133869.72866088047</v>
      </c>
      <c r="EM93" s="38">
        <f t="shared" si="447"/>
        <v>133869.72866088047</v>
      </c>
      <c r="EN93" s="38">
        <f t="shared" si="447"/>
        <v>133869.72866088047</v>
      </c>
      <c r="EP93" s="24" t="str">
        <f t="shared" si="448"/>
        <v>2 Bd/2 Bth</v>
      </c>
      <c r="EQ93" s="24"/>
      <c r="ER93" s="60">
        <f t="shared" si="449"/>
        <v>7.6923076923076927E-2</v>
      </c>
      <c r="ES93" s="60">
        <f t="shared" si="449"/>
        <v>0</v>
      </c>
      <c r="ET93" s="24"/>
      <c r="EU93" s="33"/>
      <c r="EV93" s="30"/>
      <c r="EW93" s="30">
        <f t="shared" si="450"/>
        <v>0</v>
      </c>
      <c r="EX93" s="30">
        <f t="shared" si="450"/>
        <v>0</v>
      </c>
      <c r="EY93" s="30">
        <f t="shared" si="450"/>
        <v>0</v>
      </c>
      <c r="EZ93" s="30">
        <f t="shared" si="450"/>
        <v>0</v>
      </c>
      <c r="FA93" s="30">
        <f t="shared" si="450"/>
        <v>0</v>
      </c>
      <c r="FB93" s="30">
        <f t="shared" si="450"/>
        <v>0</v>
      </c>
      <c r="FC93" s="30">
        <f t="shared" si="450"/>
        <v>0</v>
      </c>
      <c r="FD93" s="30">
        <f t="shared" si="450"/>
        <v>0</v>
      </c>
      <c r="FE93" s="30">
        <f t="shared" si="450"/>
        <v>0</v>
      </c>
      <c r="FF93" s="30">
        <f t="shared" si="450"/>
        <v>0</v>
      </c>
      <c r="FG93" s="30">
        <f t="shared" si="451"/>
        <v>0</v>
      </c>
      <c r="FH93" s="30">
        <f t="shared" si="451"/>
        <v>0</v>
      </c>
      <c r="FI93" s="30">
        <f t="shared" si="451"/>
        <v>0</v>
      </c>
      <c r="FJ93" s="30">
        <f t="shared" si="451"/>
        <v>0</v>
      </c>
      <c r="FK93" s="30">
        <f t="shared" si="451"/>
        <v>0</v>
      </c>
      <c r="FL93" s="30">
        <f t="shared" si="451"/>
        <v>0</v>
      </c>
      <c r="FM93" s="30">
        <f t="shared" si="451"/>
        <v>0</v>
      </c>
      <c r="FN93" s="30">
        <f t="shared" si="451"/>
        <v>0</v>
      </c>
      <c r="FO93" s="30">
        <f t="shared" si="451"/>
        <v>7892.3076923076924</v>
      </c>
      <c r="FP93" s="30">
        <f t="shared" si="451"/>
        <v>7892.3076923076924</v>
      </c>
      <c r="FQ93" s="30">
        <f t="shared" si="452"/>
        <v>7892.3076923076924</v>
      </c>
      <c r="FR93" s="30">
        <f t="shared" si="452"/>
        <v>7892.3076923076924</v>
      </c>
      <c r="FS93" s="30">
        <f t="shared" si="452"/>
        <v>7892.3076923076924</v>
      </c>
      <c r="FT93" s="30">
        <f t="shared" si="452"/>
        <v>7892.3076923076924</v>
      </c>
      <c r="FU93" s="30">
        <f t="shared" si="452"/>
        <v>7892.3076923076924</v>
      </c>
      <c r="FV93" s="30">
        <f t="shared" si="452"/>
        <v>7892.3076923076924</v>
      </c>
      <c r="FW93" s="30">
        <f t="shared" si="452"/>
        <v>7892.3076923076924</v>
      </c>
      <c r="FX93" s="30">
        <f t="shared" si="452"/>
        <v>7892.3076923076924</v>
      </c>
      <c r="FY93" s="30">
        <f t="shared" si="452"/>
        <v>7892.3076923076924</v>
      </c>
      <c r="FZ93" s="30">
        <f t="shared" si="452"/>
        <v>7892.3076923076924</v>
      </c>
      <c r="GA93" s="30">
        <f t="shared" si="453"/>
        <v>8129.0769230769238</v>
      </c>
      <c r="GB93" s="30">
        <f t="shared" si="453"/>
        <v>8129.0769230769238</v>
      </c>
      <c r="GC93" s="30">
        <f t="shared" si="453"/>
        <v>0</v>
      </c>
      <c r="GD93" s="30">
        <f t="shared" si="453"/>
        <v>0</v>
      </c>
      <c r="GE93" s="30">
        <f t="shared" si="453"/>
        <v>0</v>
      </c>
      <c r="GF93" s="30">
        <f t="shared" si="453"/>
        <v>0</v>
      </c>
      <c r="GG93" s="30">
        <f t="shared" si="453"/>
        <v>0</v>
      </c>
      <c r="GH93" s="30">
        <f t="shared" si="453"/>
        <v>0</v>
      </c>
      <c r="GI93" s="30">
        <f t="shared" si="453"/>
        <v>0</v>
      </c>
      <c r="GJ93" s="30">
        <f t="shared" si="453"/>
        <v>0</v>
      </c>
      <c r="GK93" s="30">
        <f t="shared" si="454"/>
        <v>0</v>
      </c>
      <c r="GL93" s="30">
        <f t="shared" si="454"/>
        <v>0</v>
      </c>
      <c r="GM93" s="30">
        <f t="shared" si="454"/>
        <v>0</v>
      </c>
      <c r="GN93" s="30">
        <f t="shared" si="454"/>
        <v>0</v>
      </c>
      <c r="GO93" s="30">
        <f t="shared" si="454"/>
        <v>0</v>
      </c>
      <c r="GP93" s="30">
        <f t="shared" si="454"/>
        <v>0</v>
      </c>
      <c r="GQ93" s="30">
        <f t="shared" si="454"/>
        <v>0</v>
      </c>
      <c r="GR93" s="30">
        <f t="shared" si="454"/>
        <v>0</v>
      </c>
      <c r="GS93" s="30">
        <f t="shared" si="454"/>
        <v>0</v>
      </c>
      <c r="GT93" s="30">
        <f t="shared" si="454"/>
        <v>0</v>
      </c>
      <c r="GU93" s="30">
        <f t="shared" si="455"/>
        <v>0</v>
      </c>
      <c r="GV93" s="30">
        <f t="shared" si="455"/>
        <v>0</v>
      </c>
      <c r="GW93" s="30">
        <f t="shared" si="455"/>
        <v>0</v>
      </c>
      <c r="GX93" s="30">
        <f t="shared" si="455"/>
        <v>0</v>
      </c>
      <c r="GY93" s="30">
        <f t="shared" si="455"/>
        <v>0</v>
      </c>
      <c r="GZ93" s="30">
        <f t="shared" si="455"/>
        <v>0</v>
      </c>
      <c r="HA93" s="30">
        <f t="shared" si="455"/>
        <v>0</v>
      </c>
      <c r="HB93" s="30">
        <f t="shared" si="455"/>
        <v>0</v>
      </c>
      <c r="HC93" s="30">
        <f t="shared" si="455"/>
        <v>0</v>
      </c>
      <c r="HD93" s="30">
        <f t="shared" si="455"/>
        <v>0</v>
      </c>
      <c r="HE93" s="30">
        <f t="shared" si="456"/>
        <v>0</v>
      </c>
      <c r="HF93" s="30">
        <f t="shared" si="456"/>
        <v>0</v>
      </c>
      <c r="HG93" s="30">
        <f t="shared" si="456"/>
        <v>0</v>
      </c>
      <c r="HH93" s="30">
        <f t="shared" si="456"/>
        <v>0</v>
      </c>
      <c r="HI93" s="30">
        <f t="shared" si="456"/>
        <v>0</v>
      </c>
      <c r="HJ93" s="30">
        <f t="shared" si="456"/>
        <v>0</v>
      </c>
      <c r="HK93" s="30">
        <f t="shared" si="456"/>
        <v>0</v>
      </c>
      <c r="HL93" s="30">
        <f t="shared" si="456"/>
        <v>0</v>
      </c>
      <c r="HM93" s="30">
        <f t="shared" si="456"/>
        <v>0</v>
      </c>
      <c r="HN93" s="30">
        <f t="shared" si="456"/>
        <v>0</v>
      </c>
      <c r="HO93" s="30">
        <f t="shared" si="457"/>
        <v>0</v>
      </c>
      <c r="HP93" s="30">
        <f t="shared" si="457"/>
        <v>0</v>
      </c>
      <c r="HQ93" s="30">
        <f t="shared" si="457"/>
        <v>0</v>
      </c>
      <c r="HR93" s="30">
        <f t="shared" si="457"/>
        <v>0</v>
      </c>
      <c r="HS93" s="30">
        <f t="shared" si="457"/>
        <v>0</v>
      </c>
      <c r="HT93" s="30">
        <f t="shared" si="457"/>
        <v>0</v>
      </c>
      <c r="HU93" s="30">
        <f t="shared" si="457"/>
        <v>0</v>
      </c>
      <c r="HV93" s="30">
        <f t="shared" si="457"/>
        <v>0</v>
      </c>
      <c r="HW93" s="30">
        <f t="shared" si="457"/>
        <v>0</v>
      </c>
      <c r="HX93" s="30">
        <f t="shared" si="457"/>
        <v>0</v>
      </c>
      <c r="HY93" s="30">
        <f t="shared" si="458"/>
        <v>0</v>
      </c>
      <c r="HZ93" s="30">
        <f t="shared" si="458"/>
        <v>0</v>
      </c>
      <c r="IA93" s="30">
        <f t="shared" si="458"/>
        <v>0</v>
      </c>
      <c r="IB93" s="30">
        <f t="shared" si="458"/>
        <v>0</v>
      </c>
      <c r="IC93" s="30">
        <f t="shared" si="458"/>
        <v>0</v>
      </c>
      <c r="ID93" s="30">
        <f t="shared" si="458"/>
        <v>0</v>
      </c>
      <c r="IE93" s="30">
        <f t="shared" si="458"/>
        <v>0</v>
      </c>
      <c r="IF93" s="30">
        <f t="shared" si="458"/>
        <v>0</v>
      </c>
      <c r="IG93" s="30">
        <f t="shared" si="458"/>
        <v>0</v>
      </c>
      <c r="IH93" s="30">
        <f t="shared" si="458"/>
        <v>0</v>
      </c>
      <c r="II93" s="30">
        <f t="shared" si="459"/>
        <v>0</v>
      </c>
      <c r="IJ93" s="30">
        <f t="shared" si="459"/>
        <v>0</v>
      </c>
      <c r="IK93" s="30">
        <f t="shared" si="459"/>
        <v>0</v>
      </c>
      <c r="IL93" s="30">
        <f t="shared" si="459"/>
        <v>0</v>
      </c>
      <c r="IM93" s="30">
        <f t="shared" si="459"/>
        <v>0</v>
      </c>
      <c r="IN93" s="30">
        <f t="shared" si="459"/>
        <v>0</v>
      </c>
      <c r="IO93" s="30">
        <f t="shared" si="459"/>
        <v>0</v>
      </c>
      <c r="IP93" s="30">
        <f t="shared" si="459"/>
        <v>0</v>
      </c>
      <c r="IQ93" s="30">
        <f t="shared" si="459"/>
        <v>0</v>
      </c>
      <c r="IR93" s="30">
        <f t="shared" si="459"/>
        <v>0</v>
      </c>
      <c r="IS93" s="30">
        <f t="shared" si="460"/>
        <v>0</v>
      </c>
      <c r="IT93" s="30">
        <f t="shared" si="460"/>
        <v>0</v>
      </c>
      <c r="IU93" s="30">
        <f t="shared" si="460"/>
        <v>0</v>
      </c>
      <c r="IV93" s="30">
        <f t="shared" si="460"/>
        <v>0</v>
      </c>
      <c r="IW93" s="30">
        <f t="shared" si="460"/>
        <v>0</v>
      </c>
      <c r="IX93" s="30">
        <f t="shared" si="460"/>
        <v>0</v>
      </c>
      <c r="IY93" s="30">
        <f t="shared" si="460"/>
        <v>0</v>
      </c>
      <c r="IZ93" s="30">
        <f t="shared" si="460"/>
        <v>0</v>
      </c>
      <c r="JA93" s="30">
        <f t="shared" si="460"/>
        <v>0</v>
      </c>
      <c r="JB93" s="30">
        <f t="shared" si="460"/>
        <v>0</v>
      </c>
      <c r="JC93" s="30">
        <f t="shared" si="461"/>
        <v>0</v>
      </c>
      <c r="JD93" s="30">
        <f t="shared" si="461"/>
        <v>0</v>
      </c>
      <c r="JE93" s="30">
        <f t="shared" si="461"/>
        <v>0</v>
      </c>
      <c r="JF93" s="30">
        <f t="shared" si="461"/>
        <v>0</v>
      </c>
      <c r="JG93" s="30">
        <f t="shared" si="461"/>
        <v>0</v>
      </c>
      <c r="JH93" s="30">
        <f t="shared" si="461"/>
        <v>0</v>
      </c>
      <c r="JI93" s="30">
        <f t="shared" si="461"/>
        <v>0</v>
      </c>
      <c r="JJ93" s="30">
        <f t="shared" si="461"/>
        <v>0</v>
      </c>
      <c r="JK93" s="30">
        <f t="shared" si="461"/>
        <v>0</v>
      </c>
      <c r="JL93" s="30">
        <f t="shared" si="461"/>
        <v>0</v>
      </c>
      <c r="JM93" s="30">
        <f t="shared" si="462"/>
        <v>0</v>
      </c>
      <c r="JN93" s="30">
        <f t="shared" si="462"/>
        <v>0</v>
      </c>
      <c r="JO93" s="30">
        <f t="shared" si="462"/>
        <v>0</v>
      </c>
      <c r="JP93" s="30">
        <f t="shared" si="462"/>
        <v>0</v>
      </c>
      <c r="JQ93" s="30">
        <f t="shared" si="462"/>
        <v>0</v>
      </c>
      <c r="JR93" s="30">
        <f t="shared" si="462"/>
        <v>0</v>
      </c>
      <c r="JS93" s="30">
        <f t="shared" si="462"/>
        <v>0</v>
      </c>
      <c r="JT93" s="30">
        <f t="shared" si="462"/>
        <v>0</v>
      </c>
      <c r="JU93" s="30">
        <f t="shared" si="462"/>
        <v>0</v>
      </c>
      <c r="JV93" s="30">
        <f t="shared" si="462"/>
        <v>0</v>
      </c>
      <c r="JW93" s="30">
        <f t="shared" si="463"/>
        <v>0</v>
      </c>
      <c r="JX93" s="30">
        <f t="shared" si="463"/>
        <v>0</v>
      </c>
    </row>
    <row r="94" spans="1:284" s="7" customFormat="1" x14ac:dyDescent="0.2">
      <c r="A94" s="406"/>
      <c r="B94" s="103" t="s">
        <v>89</v>
      </c>
      <c r="C94" s="104">
        <v>60</v>
      </c>
      <c r="D94" s="104">
        <v>1100</v>
      </c>
      <c r="E94" s="105">
        <v>1</v>
      </c>
      <c r="F94" s="105">
        <v>0</v>
      </c>
      <c r="G94" s="392">
        <f t="shared" si="432"/>
        <v>1.75</v>
      </c>
      <c r="H94" s="402">
        <v>1925</v>
      </c>
      <c r="I94" s="106">
        <f t="shared" si="433"/>
        <v>1386000</v>
      </c>
      <c r="M94" s="38">
        <f t="shared" si="434"/>
        <v>0</v>
      </c>
      <c r="N94" s="38">
        <f t="shared" si="434"/>
        <v>0</v>
      </c>
      <c r="O94" s="38">
        <f t="shared" si="434"/>
        <v>0</v>
      </c>
      <c r="P94" s="38">
        <f t="shared" si="434"/>
        <v>0</v>
      </c>
      <c r="Q94" s="38">
        <f t="shared" si="434"/>
        <v>0</v>
      </c>
      <c r="R94" s="38">
        <f t="shared" si="434"/>
        <v>0</v>
      </c>
      <c r="S94" s="38">
        <f t="shared" si="434"/>
        <v>0</v>
      </c>
      <c r="T94" s="38">
        <f t="shared" si="434"/>
        <v>0</v>
      </c>
      <c r="U94" s="38">
        <f t="shared" si="434"/>
        <v>0</v>
      </c>
      <c r="V94" s="38">
        <f t="shared" si="434"/>
        <v>0</v>
      </c>
      <c r="W94" s="38">
        <f t="shared" si="435"/>
        <v>0</v>
      </c>
      <c r="X94" s="38">
        <f t="shared" si="435"/>
        <v>0</v>
      </c>
      <c r="Y94" s="38">
        <f t="shared" si="435"/>
        <v>0</v>
      </c>
      <c r="Z94" s="38">
        <f t="shared" si="435"/>
        <v>0</v>
      </c>
      <c r="AA94" s="38">
        <f t="shared" si="435"/>
        <v>0</v>
      </c>
      <c r="AB94" s="38">
        <f t="shared" si="435"/>
        <v>0</v>
      </c>
      <c r="AC94" s="38">
        <f t="shared" si="435"/>
        <v>0</v>
      </c>
      <c r="AD94" s="38">
        <f t="shared" si="435"/>
        <v>0</v>
      </c>
      <c r="AE94" s="38">
        <f t="shared" si="435"/>
        <v>115500</v>
      </c>
      <c r="AF94" s="38">
        <f t="shared" si="435"/>
        <v>115500</v>
      </c>
      <c r="AG94" s="38">
        <f t="shared" si="436"/>
        <v>115500</v>
      </c>
      <c r="AH94" s="38">
        <f t="shared" si="436"/>
        <v>115500</v>
      </c>
      <c r="AI94" s="38">
        <f t="shared" si="436"/>
        <v>115500</v>
      </c>
      <c r="AJ94" s="38">
        <f t="shared" si="436"/>
        <v>115500</v>
      </c>
      <c r="AK94" s="38">
        <f t="shared" si="436"/>
        <v>115500</v>
      </c>
      <c r="AL94" s="38">
        <f t="shared" si="436"/>
        <v>115500</v>
      </c>
      <c r="AM94" s="38">
        <f t="shared" si="436"/>
        <v>115500</v>
      </c>
      <c r="AN94" s="38">
        <f t="shared" si="436"/>
        <v>115500</v>
      </c>
      <c r="AO94" s="38">
        <f t="shared" si="436"/>
        <v>115500</v>
      </c>
      <c r="AP94" s="38">
        <f t="shared" si="436"/>
        <v>115500</v>
      </c>
      <c r="AQ94" s="38">
        <f t="shared" si="437"/>
        <v>118965</v>
      </c>
      <c r="AR94" s="38">
        <f t="shared" si="437"/>
        <v>118965</v>
      </c>
      <c r="AS94" s="38">
        <f t="shared" si="437"/>
        <v>118965</v>
      </c>
      <c r="AT94" s="38">
        <f t="shared" si="437"/>
        <v>118965</v>
      </c>
      <c r="AU94" s="38">
        <f t="shared" si="437"/>
        <v>118965</v>
      </c>
      <c r="AV94" s="38">
        <f t="shared" si="437"/>
        <v>118965</v>
      </c>
      <c r="AW94" s="38">
        <f t="shared" si="437"/>
        <v>118965</v>
      </c>
      <c r="AX94" s="38">
        <f t="shared" si="437"/>
        <v>118965</v>
      </c>
      <c r="AY94" s="38">
        <f t="shared" si="437"/>
        <v>118965</v>
      </c>
      <c r="AZ94" s="38">
        <f t="shared" si="437"/>
        <v>118965</v>
      </c>
      <c r="BA94" s="38">
        <f t="shared" si="438"/>
        <v>118965</v>
      </c>
      <c r="BB94" s="38">
        <f t="shared" si="438"/>
        <v>118965</v>
      </c>
      <c r="BC94" s="38">
        <f t="shared" si="438"/>
        <v>122533.95</v>
      </c>
      <c r="BD94" s="38">
        <f t="shared" si="438"/>
        <v>122533.95</v>
      </c>
      <c r="BE94" s="38">
        <f t="shared" si="438"/>
        <v>122533.95</v>
      </c>
      <c r="BF94" s="38">
        <f t="shared" si="438"/>
        <v>122533.95</v>
      </c>
      <c r="BG94" s="38">
        <f t="shared" si="438"/>
        <v>122533.95</v>
      </c>
      <c r="BH94" s="38">
        <f t="shared" si="438"/>
        <v>122533.95</v>
      </c>
      <c r="BI94" s="38">
        <f t="shared" si="438"/>
        <v>122533.95</v>
      </c>
      <c r="BJ94" s="38">
        <f t="shared" si="438"/>
        <v>122533.95</v>
      </c>
      <c r="BK94" s="38">
        <f t="shared" si="439"/>
        <v>122533.95</v>
      </c>
      <c r="BL94" s="38">
        <f t="shared" si="439"/>
        <v>122533.95</v>
      </c>
      <c r="BM94" s="38">
        <f t="shared" si="439"/>
        <v>122533.95</v>
      </c>
      <c r="BN94" s="38">
        <f t="shared" si="439"/>
        <v>122533.95</v>
      </c>
      <c r="BO94" s="38">
        <f t="shared" si="439"/>
        <v>126209.9685</v>
      </c>
      <c r="BP94" s="38">
        <f t="shared" si="439"/>
        <v>126209.9685</v>
      </c>
      <c r="BQ94" s="38">
        <f t="shared" si="439"/>
        <v>126209.9685</v>
      </c>
      <c r="BR94" s="38">
        <f t="shared" si="439"/>
        <v>126209.9685</v>
      </c>
      <c r="BS94" s="38">
        <f t="shared" si="439"/>
        <v>126209.9685</v>
      </c>
      <c r="BT94" s="38">
        <f t="shared" si="439"/>
        <v>126209.9685</v>
      </c>
      <c r="BU94" s="38">
        <f t="shared" si="440"/>
        <v>126209.9685</v>
      </c>
      <c r="BV94" s="38">
        <f t="shared" si="440"/>
        <v>126209.9685</v>
      </c>
      <c r="BW94" s="38">
        <f t="shared" si="440"/>
        <v>126209.9685</v>
      </c>
      <c r="BX94" s="38">
        <f t="shared" si="440"/>
        <v>126209.9685</v>
      </c>
      <c r="BY94" s="38">
        <f t="shared" si="440"/>
        <v>126209.9685</v>
      </c>
      <c r="BZ94" s="38">
        <f t="shared" si="440"/>
        <v>126209.9685</v>
      </c>
      <c r="CA94" s="38">
        <f t="shared" si="440"/>
        <v>129996.26755499998</v>
      </c>
      <c r="CB94" s="38">
        <f t="shared" si="440"/>
        <v>129996.26755499998</v>
      </c>
      <c r="CC94" s="38">
        <f t="shared" si="440"/>
        <v>129996.26755499998</v>
      </c>
      <c r="CD94" s="38">
        <f t="shared" si="440"/>
        <v>129996.26755499998</v>
      </c>
      <c r="CE94" s="38">
        <f t="shared" si="441"/>
        <v>129996.26755499998</v>
      </c>
      <c r="CF94" s="38">
        <f t="shared" si="441"/>
        <v>129996.26755499998</v>
      </c>
      <c r="CG94" s="38">
        <f t="shared" si="441"/>
        <v>129996.26755499998</v>
      </c>
      <c r="CH94" s="38">
        <f t="shared" si="441"/>
        <v>129996.26755499998</v>
      </c>
      <c r="CI94" s="38">
        <f t="shared" si="441"/>
        <v>129996.26755499998</v>
      </c>
      <c r="CJ94" s="38">
        <f t="shared" si="441"/>
        <v>129996.26755499998</v>
      </c>
      <c r="CK94" s="38">
        <f t="shared" si="441"/>
        <v>129996.26755499998</v>
      </c>
      <c r="CL94" s="38">
        <f t="shared" si="441"/>
        <v>129996.26755499998</v>
      </c>
      <c r="CM94" s="38">
        <f t="shared" si="441"/>
        <v>133896.15558164997</v>
      </c>
      <c r="CN94" s="38">
        <f t="shared" si="441"/>
        <v>133896.15558164997</v>
      </c>
      <c r="CO94" s="38">
        <f t="shared" si="442"/>
        <v>133896.15558164997</v>
      </c>
      <c r="CP94" s="38">
        <f t="shared" si="442"/>
        <v>133896.15558164997</v>
      </c>
      <c r="CQ94" s="38">
        <f t="shared" si="442"/>
        <v>133896.15558164997</v>
      </c>
      <c r="CR94" s="38">
        <f t="shared" si="442"/>
        <v>133896.15558164997</v>
      </c>
      <c r="CS94" s="38">
        <f t="shared" si="442"/>
        <v>133896.15558164997</v>
      </c>
      <c r="CT94" s="38">
        <f t="shared" si="442"/>
        <v>133896.15558164997</v>
      </c>
      <c r="CU94" s="38">
        <f t="shared" si="442"/>
        <v>133896.15558164997</v>
      </c>
      <c r="CV94" s="38">
        <f t="shared" si="442"/>
        <v>133896.15558164997</v>
      </c>
      <c r="CW94" s="38">
        <f t="shared" si="442"/>
        <v>133896.15558164997</v>
      </c>
      <c r="CX94" s="38">
        <f t="shared" si="442"/>
        <v>133896.15558164997</v>
      </c>
      <c r="CY94" s="38">
        <f t="shared" si="443"/>
        <v>137913.04024909949</v>
      </c>
      <c r="CZ94" s="38">
        <f t="shared" si="443"/>
        <v>137913.04024909949</v>
      </c>
      <c r="DA94" s="38">
        <f t="shared" si="443"/>
        <v>137913.04024909949</v>
      </c>
      <c r="DB94" s="38">
        <f t="shared" si="443"/>
        <v>137913.04024909949</v>
      </c>
      <c r="DC94" s="38">
        <f t="shared" si="443"/>
        <v>137913.04024909949</v>
      </c>
      <c r="DD94" s="38">
        <f t="shared" si="443"/>
        <v>137913.04024909949</v>
      </c>
      <c r="DE94" s="38">
        <f t="shared" si="443"/>
        <v>137913.04024909949</v>
      </c>
      <c r="DF94" s="38">
        <f t="shared" si="443"/>
        <v>137913.04024909949</v>
      </c>
      <c r="DG94" s="38">
        <f t="shared" si="443"/>
        <v>137913.04024909949</v>
      </c>
      <c r="DH94" s="38">
        <f t="shared" si="443"/>
        <v>137913.04024909949</v>
      </c>
      <c r="DI94" s="38">
        <f t="shared" si="444"/>
        <v>137913.04024909949</v>
      </c>
      <c r="DJ94" s="38">
        <f t="shared" si="444"/>
        <v>137913.04024909949</v>
      </c>
      <c r="DK94" s="38">
        <f t="shared" si="444"/>
        <v>142050.43145657249</v>
      </c>
      <c r="DL94" s="38">
        <f t="shared" si="444"/>
        <v>142050.43145657249</v>
      </c>
      <c r="DM94" s="38">
        <f t="shared" si="444"/>
        <v>142050.43145657249</v>
      </c>
      <c r="DN94" s="38">
        <f t="shared" si="444"/>
        <v>142050.43145657249</v>
      </c>
      <c r="DO94" s="38">
        <f t="shared" si="444"/>
        <v>142050.43145657249</v>
      </c>
      <c r="DP94" s="38">
        <f t="shared" si="444"/>
        <v>142050.43145657249</v>
      </c>
      <c r="DQ94" s="38">
        <f t="shared" si="444"/>
        <v>142050.43145657249</v>
      </c>
      <c r="DR94" s="38">
        <f t="shared" si="444"/>
        <v>142050.43145657249</v>
      </c>
      <c r="DS94" s="38">
        <f t="shared" si="445"/>
        <v>142050.43145657249</v>
      </c>
      <c r="DT94" s="38">
        <f t="shared" si="445"/>
        <v>142050.43145657249</v>
      </c>
      <c r="DU94" s="38">
        <f t="shared" si="445"/>
        <v>142050.43145657249</v>
      </c>
      <c r="DV94" s="38">
        <f t="shared" si="445"/>
        <v>142050.43145657249</v>
      </c>
      <c r="DW94" s="38">
        <f t="shared" si="445"/>
        <v>146311.94440026965</v>
      </c>
      <c r="DX94" s="38">
        <f t="shared" si="445"/>
        <v>146311.94440026965</v>
      </c>
      <c r="DY94" s="38">
        <f t="shared" si="445"/>
        <v>146311.94440026965</v>
      </c>
      <c r="DZ94" s="38">
        <f t="shared" si="445"/>
        <v>146311.94440026965</v>
      </c>
      <c r="EA94" s="38">
        <f t="shared" si="445"/>
        <v>146311.94440026965</v>
      </c>
      <c r="EB94" s="38">
        <f t="shared" si="445"/>
        <v>146311.94440026965</v>
      </c>
      <c r="EC94" s="38">
        <f t="shared" si="446"/>
        <v>146311.94440026965</v>
      </c>
      <c r="ED94" s="38">
        <f t="shared" si="446"/>
        <v>146311.94440026965</v>
      </c>
      <c r="EE94" s="38">
        <f t="shared" si="446"/>
        <v>146311.94440026965</v>
      </c>
      <c r="EF94" s="38">
        <f t="shared" si="446"/>
        <v>146311.94440026965</v>
      </c>
      <c r="EG94" s="38">
        <f t="shared" si="446"/>
        <v>146311.94440026965</v>
      </c>
      <c r="EH94" s="38">
        <f t="shared" si="446"/>
        <v>146311.94440026965</v>
      </c>
      <c r="EI94" s="38">
        <f t="shared" si="446"/>
        <v>150701.30273227775</v>
      </c>
      <c r="EJ94" s="38">
        <f t="shared" si="446"/>
        <v>150701.30273227775</v>
      </c>
      <c r="EK94" s="38">
        <f t="shared" si="446"/>
        <v>150701.30273227775</v>
      </c>
      <c r="EL94" s="38">
        <f t="shared" si="446"/>
        <v>150701.30273227775</v>
      </c>
      <c r="EM94" s="38">
        <f t="shared" si="447"/>
        <v>150701.30273227775</v>
      </c>
      <c r="EN94" s="38">
        <f t="shared" si="447"/>
        <v>150701.30273227775</v>
      </c>
      <c r="EP94" s="24" t="str">
        <f t="shared" si="448"/>
        <v>2 Bd/2.5 Bth</v>
      </c>
      <c r="EQ94" s="24"/>
      <c r="ER94" s="60">
        <f t="shared" si="449"/>
        <v>7.6923076923076927E-2</v>
      </c>
      <c r="ES94" s="60">
        <f t="shared" si="449"/>
        <v>0</v>
      </c>
      <c r="ET94" s="24"/>
      <c r="EU94" s="33"/>
      <c r="EV94" s="30"/>
      <c r="EW94" s="30">
        <f t="shared" si="450"/>
        <v>0</v>
      </c>
      <c r="EX94" s="30">
        <f t="shared" si="450"/>
        <v>0</v>
      </c>
      <c r="EY94" s="30">
        <f t="shared" si="450"/>
        <v>0</v>
      </c>
      <c r="EZ94" s="30">
        <f t="shared" si="450"/>
        <v>0</v>
      </c>
      <c r="FA94" s="30">
        <f t="shared" si="450"/>
        <v>0</v>
      </c>
      <c r="FB94" s="30">
        <f t="shared" si="450"/>
        <v>0</v>
      </c>
      <c r="FC94" s="30">
        <f t="shared" si="450"/>
        <v>0</v>
      </c>
      <c r="FD94" s="30">
        <f t="shared" si="450"/>
        <v>0</v>
      </c>
      <c r="FE94" s="30">
        <f t="shared" si="450"/>
        <v>0</v>
      </c>
      <c r="FF94" s="30">
        <f t="shared" si="450"/>
        <v>0</v>
      </c>
      <c r="FG94" s="30">
        <f t="shared" si="451"/>
        <v>0</v>
      </c>
      <c r="FH94" s="30">
        <f t="shared" si="451"/>
        <v>0</v>
      </c>
      <c r="FI94" s="30">
        <f t="shared" si="451"/>
        <v>0</v>
      </c>
      <c r="FJ94" s="30">
        <f t="shared" si="451"/>
        <v>0</v>
      </c>
      <c r="FK94" s="30">
        <f t="shared" si="451"/>
        <v>0</v>
      </c>
      <c r="FL94" s="30">
        <f t="shared" si="451"/>
        <v>0</v>
      </c>
      <c r="FM94" s="30">
        <f t="shared" si="451"/>
        <v>0</v>
      </c>
      <c r="FN94" s="30">
        <f t="shared" si="451"/>
        <v>0</v>
      </c>
      <c r="FO94" s="30">
        <f t="shared" si="451"/>
        <v>8884.6153846153848</v>
      </c>
      <c r="FP94" s="30">
        <f t="shared" si="451"/>
        <v>8884.6153846153848</v>
      </c>
      <c r="FQ94" s="30">
        <f t="shared" si="452"/>
        <v>8884.6153846153848</v>
      </c>
      <c r="FR94" s="30">
        <f t="shared" si="452"/>
        <v>8884.6153846153848</v>
      </c>
      <c r="FS94" s="30">
        <f t="shared" si="452"/>
        <v>8884.6153846153848</v>
      </c>
      <c r="FT94" s="30">
        <f t="shared" si="452"/>
        <v>8884.6153846153848</v>
      </c>
      <c r="FU94" s="30">
        <f t="shared" si="452"/>
        <v>8884.6153846153848</v>
      </c>
      <c r="FV94" s="30">
        <f t="shared" si="452"/>
        <v>8884.6153846153848</v>
      </c>
      <c r="FW94" s="30">
        <f t="shared" si="452"/>
        <v>8884.6153846153848</v>
      </c>
      <c r="FX94" s="30">
        <f t="shared" si="452"/>
        <v>8884.6153846153848</v>
      </c>
      <c r="FY94" s="30">
        <f t="shared" si="452"/>
        <v>8884.6153846153848</v>
      </c>
      <c r="FZ94" s="30">
        <f t="shared" si="452"/>
        <v>8884.6153846153848</v>
      </c>
      <c r="GA94" s="30">
        <f t="shared" si="453"/>
        <v>9151.1538461538476</v>
      </c>
      <c r="GB94" s="30">
        <f t="shared" si="453"/>
        <v>9151.1538461538476</v>
      </c>
      <c r="GC94" s="30">
        <f t="shared" si="453"/>
        <v>0</v>
      </c>
      <c r="GD94" s="30">
        <f t="shared" si="453"/>
        <v>0</v>
      </c>
      <c r="GE94" s="30">
        <f t="shared" si="453"/>
        <v>0</v>
      </c>
      <c r="GF94" s="30">
        <f t="shared" si="453"/>
        <v>0</v>
      </c>
      <c r="GG94" s="30">
        <f t="shared" si="453"/>
        <v>0</v>
      </c>
      <c r="GH94" s="30">
        <f t="shared" si="453"/>
        <v>0</v>
      </c>
      <c r="GI94" s="30">
        <f t="shared" si="453"/>
        <v>0</v>
      </c>
      <c r="GJ94" s="30">
        <f t="shared" si="453"/>
        <v>0</v>
      </c>
      <c r="GK94" s="30">
        <f t="shared" si="454"/>
        <v>0</v>
      </c>
      <c r="GL94" s="30">
        <f t="shared" si="454"/>
        <v>0</v>
      </c>
      <c r="GM94" s="30">
        <f t="shared" si="454"/>
        <v>0</v>
      </c>
      <c r="GN94" s="30">
        <f t="shared" si="454"/>
        <v>0</v>
      </c>
      <c r="GO94" s="30">
        <f t="shared" si="454"/>
        <v>0</v>
      </c>
      <c r="GP94" s="30">
        <f t="shared" si="454"/>
        <v>0</v>
      </c>
      <c r="GQ94" s="30">
        <f t="shared" si="454"/>
        <v>0</v>
      </c>
      <c r="GR94" s="30">
        <f t="shared" si="454"/>
        <v>0</v>
      </c>
      <c r="GS94" s="30">
        <f t="shared" si="454"/>
        <v>0</v>
      </c>
      <c r="GT94" s="30">
        <f t="shared" si="454"/>
        <v>0</v>
      </c>
      <c r="GU94" s="30">
        <f t="shared" si="455"/>
        <v>0</v>
      </c>
      <c r="GV94" s="30">
        <f t="shared" si="455"/>
        <v>0</v>
      </c>
      <c r="GW94" s="30">
        <f t="shared" si="455"/>
        <v>0</v>
      </c>
      <c r="GX94" s="30">
        <f t="shared" si="455"/>
        <v>0</v>
      </c>
      <c r="GY94" s="30">
        <f t="shared" si="455"/>
        <v>0</v>
      </c>
      <c r="GZ94" s="30">
        <f t="shared" si="455"/>
        <v>0</v>
      </c>
      <c r="HA94" s="30">
        <f t="shared" si="455"/>
        <v>0</v>
      </c>
      <c r="HB94" s="30">
        <f t="shared" si="455"/>
        <v>0</v>
      </c>
      <c r="HC94" s="30">
        <f t="shared" si="455"/>
        <v>0</v>
      </c>
      <c r="HD94" s="30">
        <f t="shared" si="455"/>
        <v>0</v>
      </c>
      <c r="HE94" s="30">
        <f t="shared" si="456"/>
        <v>0</v>
      </c>
      <c r="HF94" s="30">
        <f t="shared" si="456"/>
        <v>0</v>
      </c>
      <c r="HG94" s="30">
        <f t="shared" si="456"/>
        <v>0</v>
      </c>
      <c r="HH94" s="30">
        <f t="shared" si="456"/>
        <v>0</v>
      </c>
      <c r="HI94" s="30">
        <f t="shared" si="456"/>
        <v>0</v>
      </c>
      <c r="HJ94" s="30">
        <f t="shared" si="456"/>
        <v>0</v>
      </c>
      <c r="HK94" s="30">
        <f t="shared" si="456"/>
        <v>0</v>
      </c>
      <c r="HL94" s="30">
        <f t="shared" si="456"/>
        <v>0</v>
      </c>
      <c r="HM94" s="30">
        <f t="shared" si="456"/>
        <v>0</v>
      </c>
      <c r="HN94" s="30">
        <f t="shared" si="456"/>
        <v>0</v>
      </c>
      <c r="HO94" s="30">
        <f t="shared" si="457"/>
        <v>0</v>
      </c>
      <c r="HP94" s="30">
        <f t="shared" si="457"/>
        <v>0</v>
      </c>
      <c r="HQ94" s="30">
        <f t="shared" si="457"/>
        <v>0</v>
      </c>
      <c r="HR94" s="30">
        <f t="shared" si="457"/>
        <v>0</v>
      </c>
      <c r="HS94" s="30">
        <f t="shared" si="457"/>
        <v>0</v>
      </c>
      <c r="HT94" s="30">
        <f t="shared" si="457"/>
        <v>0</v>
      </c>
      <c r="HU94" s="30">
        <f t="shared" si="457"/>
        <v>0</v>
      </c>
      <c r="HV94" s="30">
        <f t="shared" si="457"/>
        <v>0</v>
      </c>
      <c r="HW94" s="30">
        <f t="shared" si="457"/>
        <v>0</v>
      </c>
      <c r="HX94" s="30">
        <f t="shared" si="457"/>
        <v>0</v>
      </c>
      <c r="HY94" s="30">
        <f t="shared" si="458"/>
        <v>0</v>
      </c>
      <c r="HZ94" s="30">
        <f t="shared" si="458"/>
        <v>0</v>
      </c>
      <c r="IA94" s="30">
        <f t="shared" si="458"/>
        <v>0</v>
      </c>
      <c r="IB94" s="30">
        <f t="shared" si="458"/>
        <v>0</v>
      </c>
      <c r="IC94" s="30">
        <f t="shared" si="458"/>
        <v>0</v>
      </c>
      <c r="ID94" s="30">
        <f t="shared" si="458"/>
        <v>0</v>
      </c>
      <c r="IE94" s="30">
        <f t="shared" si="458"/>
        <v>0</v>
      </c>
      <c r="IF94" s="30">
        <f t="shared" si="458"/>
        <v>0</v>
      </c>
      <c r="IG94" s="30">
        <f t="shared" si="458"/>
        <v>0</v>
      </c>
      <c r="IH94" s="30">
        <f t="shared" si="458"/>
        <v>0</v>
      </c>
      <c r="II94" s="30">
        <f t="shared" si="459"/>
        <v>0</v>
      </c>
      <c r="IJ94" s="30">
        <f t="shared" si="459"/>
        <v>0</v>
      </c>
      <c r="IK94" s="30">
        <f t="shared" si="459"/>
        <v>0</v>
      </c>
      <c r="IL94" s="30">
        <f t="shared" si="459"/>
        <v>0</v>
      </c>
      <c r="IM94" s="30">
        <f t="shared" si="459"/>
        <v>0</v>
      </c>
      <c r="IN94" s="30">
        <f t="shared" si="459"/>
        <v>0</v>
      </c>
      <c r="IO94" s="30">
        <f t="shared" si="459"/>
        <v>0</v>
      </c>
      <c r="IP94" s="30">
        <f t="shared" si="459"/>
        <v>0</v>
      </c>
      <c r="IQ94" s="30">
        <f t="shared" si="459"/>
        <v>0</v>
      </c>
      <c r="IR94" s="30">
        <f t="shared" si="459"/>
        <v>0</v>
      </c>
      <c r="IS94" s="30">
        <f t="shared" si="460"/>
        <v>0</v>
      </c>
      <c r="IT94" s="30">
        <f t="shared" si="460"/>
        <v>0</v>
      </c>
      <c r="IU94" s="30">
        <f t="shared" si="460"/>
        <v>0</v>
      </c>
      <c r="IV94" s="30">
        <f t="shared" si="460"/>
        <v>0</v>
      </c>
      <c r="IW94" s="30">
        <f t="shared" si="460"/>
        <v>0</v>
      </c>
      <c r="IX94" s="30">
        <f t="shared" si="460"/>
        <v>0</v>
      </c>
      <c r="IY94" s="30">
        <f t="shared" si="460"/>
        <v>0</v>
      </c>
      <c r="IZ94" s="30">
        <f t="shared" si="460"/>
        <v>0</v>
      </c>
      <c r="JA94" s="30">
        <f t="shared" si="460"/>
        <v>0</v>
      </c>
      <c r="JB94" s="30">
        <f t="shared" si="460"/>
        <v>0</v>
      </c>
      <c r="JC94" s="30">
        <f t="shared" si="461"/>
        <v>0</v>
      </c>
      <c r="JD94" s="30">
        <f t="shared" si="461"/>
        <v>0</v>
      </c>
      <c r="JE94" s="30">
        <f t="shared" si="461"/>
        <v>0</v>
      </c>
      <c r="JF94" s="30">
        <f t="shared" si="461"/>
        <v>0</v>
      </c>
      <c r="JG94" s="30">
        <f t="shared" si="461"/>
        <v>0</v>
      </c>
      <c r="JH94" s="30">
        <f t="shared" si="461"/>
        <v>0</v>
      </c>
      <c r="JI94" s="30">
        <f t="shared" si="461"/>
        <v>0</v>
      </c>
      <c r="JJ94" s="30">
        <f t="shared" si="461"/>
        <v>0</v>
      </c>
      <c r="JK94" s="30">
        <f t="shared" si="461"/>
        <v>0</v>
      </c>
      <c r="JL94" s="30">
        <f t="shared" si="461"/>
        <v>0</v>
      </c>
      <c r="JM94" s="30">
        <f t="shared" si="462"/>
        <v>0</v>
      </c>
      <c r="JN94" s="30">
        <f t="shared" si="462"/>
        <v>0</v>
      </c>
      <c r="JO94" s="30">
        <f t="shared" si="462"/>
        <v>0</v>
      </c>
      <c r="JP94" s="30">
        <f t="shared" si="462"/>
        <v>0</v>
      </c>
      <c r="JQ94" s="30">
        <f t="shared" si="462"/>
        <v>0</v>
      </c>
      <c r="JR94" s="30">
        <f t="shared" si="462"/>
        <v>0</v>
      </c>
      <c r="JS94" s="30">
        <f t="shared" si="462"/>
        <v>0</v>
      </c>
      <c r="JT94" s="30">
        <f t="shared" si="462"/>
        <v>0</v>
      </c>
      <c r="JU94" s="30">
        <f t="shared" si="462"/>
        <v>0</v>
      </c>
      <c r="JV94" s="30">
        <f t="shared" si="462"/>
        <v>0</v>
      </c>
      <c r="JW94" s="30">
        <f t="shared" si="463"/>
        <v>0</v>
      </c>
      <c r="JX94" s="30">
        <f t="shared" si="463"/>
        <v>0</v>
      </c>
    </row>
    <row r="95" spans="1:284" s="7" customFormat="1" ht="16.5" x14ac:dyDescent="0.35">
      <c r="A95" s="406"/>
      <c r="B95" s="103" t="s">
        <v>495</v>
      </c>
      <c r="C95" s="107">
        <v>0</v>
      </c>
      <c r="D95" s="107">
        <v>0</v>
      </c>
      <c r="E95" s="108">
        <v>0</v>
      </c>
      <c r="F95" s="108">
        <v>0</v>
      </c>
      <c r="G95" s="414">
        <f t="shared" si="432"/>
        <v>0</v>
      </c>
      <c r="H95" s="403">
        <v>0</v>
      </c>
      <c r="I95" s="109">
        <f t="shared" si="433"/>
        <v>0</v>
      </c>
      <c r="M95" s="39">
        <f t="shared" si="434"/>
        <v>0</v>
      </c>
      <c r="N95" s="39">
        <f t="shared" si="434"/>
        <v>0</v>
      </c>
      <c r="O95" s="39">
        <f t="shared" si="434"/>
        <v>0</v>
      </c>
      <c r="P95" s="39">
        <f t="shared" si="434"/>
        <v>0</v>
      </c>
      <c r="Q95" s="39">
        <f t="shared" si="434"/>
        <v>0</v>
      </c>
      <c r="R95" s="39">
        <f t="shared" si="434"/>
        <v>0</v>
      </c>
      <c r="S95" s="39">
        <f t="shared" si="434"/>
        <v>0</v>
      </c>
      <c r="T95" s="39">
        <f t="shared" si="434"/>
        <v>0</v>
      </c>
      <c r="U95" s="39">
        <f t="shared" si="434"/>
        <v>0</v>
      </c>
      <c r="V95" s="39">
        <f t="shared" si="434"/>
        <v>0</v>
      </c>
      <c r="W95" s="39">
        <f t="shared" si="435"/>
        <v>0</v>
      </c>
      <c r="X95" s="39">
        <f t="shared" si="435"/>
        <v>0</v>
      </c>
      <c r="Y95" s="39">
        <f t="shared" si="435"/>
        <v>0</v>
      </c>
      <c r="Z95" s="39">
        <f t="shared" si="435"/>
        <v>0</v>
      </c>
      <c r="AA95" s="39">
        <f t="shared" si="435"/>
        <v>0</v>
      </c>
      <c r="AB95" s="39">
        <f t="shared" si="435"/>
        <v>0</v>
      </c>
      <c r="AC95" s="39">
        <f t="shared" si="435"/>
        <v>0</v>
      </c>
      <c r="AD95" s="39">
        <f t="shared" si="435"/>
        <v>0</v>
      </c>
      <c r="AE95" s="39">
        <f t="shared" si="435"/>
        <v>0</v>
      </c>
      <c r="AF95" s="39">
        <f t="shared" si="435"/>
        <v>0</v>
      </c>
      <c r="AG95" s="39">
        <f t="shared" si="436"/>
        <v>0</v>
      </c>
      <c r="AH95" s="39">
        <f t="shared" si="436"/>
        <v>0</v>
      </c>
      <c r="AI95" s="39">
        <f t="shared" si="436"/>
        <v>0</v>
      </c>
      <c r="AJ95" s="39">
        <f t="shared" si="436"/>
        <v>0</v>
      </c>
      <c r="AK95" s="39">
        <f t="shared" si="436"/>
        <v>0</v>
      </c>
      <c r="AL95" s="39">
        <f t="shared" si="436"/>
        <v>0</v>
      </c>
      <c r="AM95" s="39">
        <f t="shared" si="436"/>
        <v>0</v>
      </c>
      <c r="AN95" s="39">
        <f t="shared" si="436"/>
        <v>0</v>
      </c>
      <c r="AO95" s="39">
        <f t="shared" si="436"/>
        <v>0</v>
      </c>
      <c r="AP95" s="39">
        <f t="shared" si="436"/>
        <v>0</v>
      </c>
      <c r="AQ95" s="39">
        <f t="shared" si="437"/>
        <v>0</v>
      </c>
      <c r="AR95" s="39">
        <f t="shared" si="437"/>
        <v>0</v>
      </c>
      <c r="AS95" s="39">
        <f t="shared" si="437"/>
        <v>0</v>
      </c>
      <c r="AT95" s="39">
        <f t="shared" si="437"/>
        <v>0</v>
      </c>
      <c r="AU95" s="39">
        <f t="shared" si="437"/>
        <v>0</v>
      </c>
      <c r="AV95" s="39">
        <f t="shared" si="437"/>
        <v>0</v>
      </c>
      <c r="AW95" s="39">
        <f t="shared" si="437"/>
        <v>0</v>
      </c>
      <c r="AX95" s="39">
        <f t="shared" si="437"/>
        <v>0</v>
      </c>
      <c r="AY95" s="39">
        <f t="shared" si="437"/>
        <v>0</v>
      </c>
      <c r="AZ95" s="39">
        <f t="shared" si="437"/>
        <v>0</v>
      </c>
      <c r="BA95" s="39">
        <f t="shared" si="438"/>
        <v>0</v>
      </c>
      <c r="BB95" s="39">
        <f t="shared" si="438"/>
        <v>0</v>
      </c>
      <c r="BC95" s="39">
        <f t="shared" si="438"/>
        <v>0</v>
      </c>
      <c r="BD95" s="39">
        <f t="shared" si="438"/>
        <v>0</v>
      </c>
      <c r="BE95" s="39">
        <f t="shared" si="438"/>
        <v>0</v>
      </c>
      <c r="BF95" s="39">
        <f t="shared" si="438"/>
        <v>0</v>
      </c>
      <c r="BG95" s="39">
        <f t="shared" si="438"/>
        <v>0</v>
      </c>
      <c r="BH95" s="39">
        <f t="shared" si="438"/>
        <v>0</v>
      </c>
      <c r="BI95" s="39">
        <f t="shared" si="438"/>
        <v>0</v>
      </c>
      <c r="BJ95" s="39">
        <f t="shared" si="438"/>
        <v>0</v>
      </c>
      <c r="BK95" s="39">
        <f t="shared" si="439"/>
        <v>0</v>
      </c>
      <c r="BL95" s="39">
        <f t="shared" si="439"/>
        <v>0</v>
      </c>
      <c r="BM95" s="39">
        <f t="shared" si="439"/>
        <v>0</v>
      </c>
      <c r="BN95" s="39">
        <f t="shared" si="439"/>
        <v>0</v>
      </c>
      <c r="BO95" s="39">
        <f t="shared" si="439"/>
        <v>0</v>
      </c>
      <c r="BP95" s="39">
        <f t="shared" si="439"/>
        <v>0</v>
      </c>
      <c r="BQ95" s="39">
        <f t="shared" si="439"/>
        <v>0</v>
      </c>
      <c r="BR95" s="39">
        <f t="shared" si="439"/>
        <v>0</v>
      </c>
      <c r="BS95" s="39">
        <f t="shared" si="439"/>
        <v>0</v>
      </c>
      <c r="BT95" s="39">
        <f t="shared" si="439"/>
        <v>0</v>
      </c>
      <c r="BU95" s="39">
        <f t="shared" si="440"/>
        <v>0</v>
      </c>
      <c r="BV95" s="39">
        <f t="shared" si="440"/>
        <v>0</v>
      </c>
      <c r="BW95" s="39">
        <f t="shared" si="440"/>
        <v>0</v>
      </c>
      <c r="BX95" s="39">
        <f t="shared" si="440"/>
        <v>0</v>
      </c>
      <c r="BY95" s="39">
        <f t="shared" si="440"/>
        <v>0</v>
      </c>
      <c r="BZ95" s="39">
        <f t="shared" si="440"/>
        <v>0</v>
      </c>
      <c r="CA95" s="39">
        <f t="shared" si="440"/>
        <v>0</v>
      </c>
      <c r="CB95" s="39">
        <f t="shared" si="440"/>
        <v>0</v>
      </c>
      <c r="CC95" s="39">
        <f t="shared" si="440"/>
        <v>0</v>
      </c>
      <c r="CD95" s="39">
        <f t="shared" si="440"/>
        <v>0</v>
      </c>
      <c r="CE95" s="39">
        <f t="shared" si="441"/>
        <v>0</v>
      </c>
      <c r="CF95" s="39">
        <f t="shared" si="441"/>
        <v>0</v>
      </c>
      <c r="CG95" s="39">
        <f t="shared" si="441"/>
        <v>0</v>
      </c>
      <c r="CH95" s="39">
        <f t="shared" si="441"/>
        <v>0</v>
      </c>
      <c r="CI95" s="39">
        <f t="shared" si="441"/>
        <v>0</v>
      </c>
      <c r="CJ95" s="39">
        <f t="shared" si="441"/>
        <v>0</v>
      </c>
      <c r="CK95" s="39">
        <f t="shared" si="441"/>
        <v>0</v>
      </c>
      <c r="CL95" s="39">
        <f t="shared" si="441"/>
        <v>0</v>
      </c>
      <c r="CM95" s="39">
        <f t="shared" si="441"/>
        <v>0</v>
      </c>
      <c r="CN95" s="39">
        <f t="shared" si="441"/>
        <v>0</v>
      </c>
      <c r="CO95" s="39">
        <f t="shared" si="442"/>
        <v>0</v>
      </c>
      <c r="CP95" s="39">
        <f t="shared" si="442"/>
        <v>0</v>
      </c>
      <c r="CQ95" s="39">
        <f t="shared" si="442"/>
        <v>0</v>
      </c>
      <c r="CR95" s="39">
        <f t="shared" si="442"/>
        <v>0</v>
      </c>
      <c r="CS95" s="39">
        <f t="shared" si="442"/>
        <v>0</v>
      </c>
      <c r="CT95" s="39">
        <f t="shared" si="442"/>
        <v>0</v>
      </c>
      <c r="CU95" s="39">
        <f t="shared" si="442"/>
        <v>0</v>
      </c>
      <c r="CV95" s="39">
        <f t="shared" si="442"/>
        <v>0</v>
      </c>
      <c r="CW95" s="39">
        <f t="shared" si="442"/>
        <v>0</v>
      </c>
      <c r="CX95" s="39">
        <f t="shared" si="442"/>
        <v>0</v>
      </c>
      <c r="CY95" s="39">
        <f t="shared" si="443"/>
        <v>0</v>
      </c>
      <c r="CZ95" s="39">
        <f t="shared" si="443"/>
        <v>0</v>
      </c>
      <c r="DA95" s="39">
        <f t="shared" si="443"/>
        <v>0</v>
      </c>
      <c r="DB95" s="39">
        <f t="shared" si="443"/>
        <v>0</v>
      </c>
      <c r="DC95" s="39">
        <f t="shared" si="443"/>
        <v>0</v>
      </c>
      <c r="DD95" s="39">
        <f t="shared" si="443"/>
        <v>0</v>
      </c>
      <c r="DE95" s="39">
        <f t="shared" si="443"/>
        <v>0</v>
      </c>
      <c r="DF95" s="39">
        <f t="shared" si="443"/>
        <v>0</v>
      </c>
      <c r="DG95" s="39">
        <f t="shared" si="443"/>
        <v>0</v>
      </c>
      <c r="DH95" s="39">
        <f t="shared" si="443"/>
        <v>0</v>
      </c>
      <c r="DI95" s="39">
        <f t="shared" si="444"/>
        <v>0</v>
      </c>
      <c r="DJ95" s="39">
        <f t="shared" si="444"/>
        <v>0</v>
      </c>
      <c r="DK95" s="39">
        <f t="shared" si="444"/>
        <v>0</v>
      </c>
      <c r="DL95" s="39">
        <f t="shared" si="444"/>
        <v>0</v>
      </c>
      <c r="DM95" s="39">
        <f t="shared" si="444"/>
        <v>0</v>
      </c>
      <c r="DN95" s="39">
        <f t="shared" si="444"/>
        <v>0</v>
      </c>
      <c r="DO95" s="39">
        <f t="shared" si="444"/>
        <v>0</v>
      </c>
      <c r="DP95" s="39">
        <f t="shared" si="444"/>
        <v>0</v>
      </c>
      <c r="DQ95" s="39">
        <f t="shared" si="444"/>
        <v>0</v>
      </c>
      <c r="DR95" s="39">
        <f t="shared" si="444"/>
        <v>0</v>
      </c>
      <c r="DS95" s="39">
        <f t="shared" si="445"/>
        <v>0</v>
      </c>
      <c r="DT95" s="39">
        <f t="shared" si="445"/>
        <v>0</v>
      </c>
      <c r="DU95" s="39">
        <f t="shared" si="445"/>
        <v>0</v>
      </c>
      <c r="DV95" s="39">
        <f t="shared" si="445"/>
        <v>0</v>
      </c>
      <c r="DW95" s="39">
        <f t="shared" si="445"/>
        <v>0</v>
      </c>
      <c r="DX95" s="39">
        <f t="shared" si="445"/>
        <v>0</v>
      </c>
      <c r="DY95" s="39">
        <f t="shared" si="445"/>
        <v>0</v>
      </c>
      <c r="DZ95" s="39">
        <f t="shared" si="445"/>
        <v>0</v>
      </c>
      <c r="EA95" s="39">
        <f t="shared" si="445"/>
        <v>0</v>
      </c>
      <c r="EB95" s="39">
        <f t="shared" si="445"/>
        <v>0</v>
      </c>
      <c r="EC95" s="39">
        <f t="shared" si="446"/>
        <v>0</v>
      </c>
      <c r="ED95" s="39">
        <f t="shared" si="446"/>
        <v>0</v>
      </c>
      <c r="EE95" s="39">
        <f t="shared" si="446"/>
        <v>0</v>
      </c>
      <c r="EF95" s="39">
        <f t="shared" si="446"/>
        <v>0</v>
      </c>
      <c r="EG95" s="39">
        <f t="shared" si="446"/>
        <v>0</v>
      </c>
      <c r="EH95" s="39">
        <f t="shared" si="446"/>
        <v>0</v>
      </c>
      <c r="EI95" s="39">
        <f t="shared" si="446"/>
        <v>0</v>
      </c>
      <c r="EJ95" s="39">
        <f t="shared" si="446"/>
        <v>0</v>
      </c>
      <c r="EK95" s="39">
        <f t="shared" si="446"/>
        <v>0</v>
      </c>
      <c r="EL95" s="39">
        <f t="shared" si="446"/>
        <v>0</v>
      </c>
      <c r="EM95" s="39">
        <f t="shared" si="447"/>
        <v>0</v>
      </c>
      <c r="EN95" s="39">
        <f t="shared" si="447"/>
        <v>0</v>
      </c>
      <c r="EP95" s="24" t="str">
        <f t="shared" si="448"/>
        <v>[Unit Type]</v>
      </c>
      <c r="EQ95" s="24"/>
      <c r="ER95" s="60">
        <f t="shared" si="449"/>
        <v>0</v>
      </c>
      <c r="ES95" s="60">
        <f t="shared" si="449"/>
        <v>0</v>
      </c>
      <c r="ET95" s="24"/>
      <c r="EU95" s="33"/>
      <c r="EV95" s="30"/>
      <c r="EW95" s="46">
        <f t="shared" ref="EW95:GB95" si="464">IF(EW$86=0,$ER95*M95,$ES95*M95)</f>
        <v>0</v>
      </c>
      <c r="EX95" s="46">
        <f t="shared" si="464"/>
        <v>0</v>
      </c>
      <c r="EY95" s="46">
        <f t="shared" si="464"/>
        <v>0</v>
      </c>
      <c r="EZ95" s="46">
        <f t="shared" si="464"/>
        <v>0</v>
      </c>
      <c r="FA95" s="46">
        <f t="shared" si="464"/>
        <v>0</v>
      </c>
      <c r="FB95" s="46">
        <f t="shared" si="464"/>
        <v>0</v>
      </c>
      <c r="FC95" s="46">
        <f t="shared" si="464"/>
        <v>0</v>
      </c>
      <c r="FD95" s="46">
        <f t="shared" si="464"/>
        <v>0</v>
      </c>
      <c r="FE95" s="46">
        <f t="shared" si="464"/>
        <v>0</v>
      </c>
      <c r="FF95" s="46">
        <f t="shared" si="464"/>
        <v>0</v>
      </c>
      <c r="FG95" s="46">
        <f t="shared" si="464"/>
        <v>0</v>
      </c>
      <c r="FH95" s="46">
        <f t="shared" si="464"/>
        <v>0</v>
      </c>
      <c r="FI95" s="46">
        <f t="shared" si="464"/>
        <v>0</v>
      </c>
      <c r="FJ95" s="46">
        <f t="shared" si="464"/>
        <v>0</v>
      </c>
      <c r="FK95" s="46">
        <f t="shared" si="464"/>
        <v>0</v>
      </c>
      <c r="FL95" s="46">
        <f t="shared" si="464"/>
        <v>0</v>
      </c>
      <c r="FM95" s="46">
        <f t="shared" si="464"/>
        <v>0</v>
      </c>
      <c r="FN95" s="46">
        <f t="shared" si="464"/>
        <v>0</v>
      </c>
      <c r="FO95" s="46">
        <f t="shared" si="464"/>
        <v>0</v>
      </c>
      <c r="FP95" s="46">
        <f t="shared" si="464"/>
        <v>0</v>
      </c>
      <c r="FQ95" s="46">
        <f t="shared" si="464"/>
        <v>0</v>
      </c>
      <c r="FR95" s="46">
        <f t="shared" si="464"/>
        <v>0</v>
      </c>
      <c r="FS95" s="46">
        <f t="shared" si="464"/>
        <v>0</v>
      </c>
      <c r="FT95" s="46">
        <f t="shared" si="464"/>
        <v>0</v>
      </c>
      <c r="FU95" s="46">
        <f t="shared" si="464"/>
        <v>0</v>
      </c>
      <c r="FV95" s="46">
        <f t="shared" si="464"/>
        <v>0</v>
      </c>
      <c r="FW95" s="46">
        <f t="shared" si="464"/>
        <v>0</v>
      </c>
      <c r="FX95" s="46">
        <f t="shared" si="464"/>
        <v>0</v>
      </c>
      <c r="FY95" s="46">
        <f t="shared" si="464"/>
        <v>0</v>
      </c>
      <c r="FZ95" s="46">
        <f t="shared" si="464"/>
        <v>0</v>
      </c>
      <c r="GA95" s="46">
        <f t="shared" si="464"/>
        <v>0</v>
      </c>
      <c r="GB95" s="46">
        <f t="shared" si="464"/>
        <v>0</v>
      </c>
      <c r="GC95" s="46">
        <f t="shared" ref="GC95:HH95" si="465">IF(GC$86=0,$ER95*AS95,$ES95*AS95)</f>
        <v>0</v>
      </c>
      <c r="GD95" s="46">
        <f t="shared" si="465"/>
        <v>0</v>
      </c>
      <c r="GE95" s="46">
        <f t="shared" si="465"/>
        <v>0</v>
      </c>
      <c r="GF95" s="46">
        <f t="shared" si="465"/>
        <v>0</v>
      </c>
      <c r="GG95" s="46">
        <f t="shared" si="465"/>
        <v>0</v>
      </c>
      <c r="GH95" s="46">
        <f t="shared" si="465"/>
        <v>0</v>
      </c>
      <c r="GI95" s="46">
        <f t="shared" si="465"/>
        <v>0</v>
      </c>
      <c r="GJ95" s="46">
        <f t="shared" si="465"/>
        <v>0</v>
      </c>
      <c r="GK95" s="46">
        <f t="shared" si="465"/>
        <v>0</v>
      </c>
      <c r="GL95" s="46">
        <f t="shared" si="465"/>
        <v>0</v>
      </c>
      <c r="GM95" s="46">
        <f t="shared" si="465"/>
        <v>0</v>
      </c>
      <c r="GN95" s="46">
        <f t="shared" si="465"/>
        <v>0</v>
      </c>
      <c r="GO95" s="46">
        <f t="shared" si="465"/>
        <v>0</v>
      </c>
      <c r="GP95" s="46">
        <f t="shared" si="465"/>
        <v>0</v>
      </c>
      <c r="GQ95" s="46">
        <f t="shared" si="465"/>
        <v>0</v>
      </c>
      <c r="GR95" s="46">
        <f t="shared" si="465"/>
        <v>0</v>
      </c>
      <c r="GS95" s="46">
        <f t="shared" si="465"/>
        <v>0</v>
      </c>
      <c r="GT95" s="46">
        <f t="shared" si="465"/>
        <v>0</v>
      </c>
      <c r="GU95" s="46">
        <f t="shared" si="465"/>
        <v>0</v>
      </c>
      <c r="GV95" s="46">
        <f t="shared" si="465"/>
        <v>0</v>
      </c>
      <c r="GW95" s="46">
        <f t="shared" si="465"/>
        <v>0</v>
      </c>
      <c r="GX95" s="46">
        <f t="shared" si="465"/>
        <v>0</v>
      </c>
      <c r="GY95" s="46">
        <f t="shared" si="465"/>
        <v>0</v>
      </c>
      <c r="GZ95" s="46">
        <f t="shared" si="465"/>
        <v>0</v>
      </c>
      <c r="HA95" s="46">
        <f t="shared" si="465"/>
        <v>0</v>
      </c>
      <c r="HB95" s="46">
        <f t="shared" si="465"/>
        <v>0</v>
      </c>
      <c r="HC95" s="46">
        <f t="shared" si="465"/>
        <v>0</v>
      </c>
      <c r="HD95" s="46">
        <f t="shared" si="465"/>
        <v>0</v>
      </c>
      <c r="HE95" s="46">
        <f t="shared" si="465"/>
        <v>0</v>
      </c>
      <c r="HF95" s="46">
        <f t="shared" si="465"/>
        <v>0</v>
      </c>
      <c r="HG95" s="46">
        <f t="shared" si="465"/>
        <v>0</v>
      </c>
      <c r="HH95" s="46">
        <f t="shared" si="465"/>
        <v>0</v>
      </c>
      <c r="HI95" s="46">
        <f t="shared" ref="HI95:IN95" si="466">IF(HI$86=0,$ER95*BY95,$ES95*BY95)</f>
        <v>0</v>
      </c>
      <c r="HJ95" s="46">
        <f t="shared" si="466"/>
        <v>0</v>
      </c>
      <c r="HK95" s="46">
        <f t="shared" si="466"/>
        <v>0</v>
      </c>
      <c r="HL95" s="46">
        <f t="shared" si="466"/>
        <v>0</v>
      </c>
      <c r="HM95" s="46">
        <f t="shared" si="466"/>
        <v>0</v>
      </c>
      <c r="HN95" s="46">
        <f t="shared" si="466"/>
        <v>0</v>
      </c>
      <c r="HO95" s="46">
        <f t="shared" si="466"/>
        <v>0</v>
      </c>
      <c r="HP95" s="46">
        <f t="shared" si="466"/>
        <v>0</v>
      </c>
      <c r="HQ95" s="46">
        <f t="shared" si="466"/>
        <v>0</v>
      </c>
      <c r="HR95" s="46">
        <f t="shared" si="466"/>
        <v>0</v>
      </c>
      <c r="HS95" s="46">
        <f t="shared" si="466"/>
        <v>0</v>
      </c>
      <c r="HT95" s="46">
        <f t="shared" si="466"/>
        <v>0</v>
      </c>
      <c r="HU95" s="46">
        <f t="shared" si="466"/>
        <v>0</v>
      </c>
      <c r="HV95" s="46">
        <f t="shared" si="466"/>
        <v>0</v>
      </c>
      <c r="HW95" s="46">
        <f t="shared" si="466"/>
        <v>0</v>
      </c>
      <c r="HX95" s="46">
        <f t="shared" si="466"/>
        <v>0</v>
      </c>
      <c r="HY95" s="46">
        <f t="shared" si="466"/>
        <v>0</v>
      </c>
      <c r="HZ95" s="46">
        <f t="shared" si="466"/>
        <v>0</v>
      </c>
      <c r="IA95" s="46">
        <f t="shared" si="466"/>
        <v>0</v>
      </c>
      <c r="IB95" s="46">
        <f t="shared" si="466"/>
        <v>0</v>
      </c>
      <c r="IC95" s="46">
        <f t="shared" si="466"/>
        <v>0</v>
      </c>
      <c r="ID95" s="46">
        <f t="shared" si="466"/>
        <v>0</v>
      </c>
      <c r="IE95" s="46">
        <f t="shared" si="466"/>
        <v>0</v>
      </c>
      <c r="IF95" s="46">
        <f t="shared" si="466"/>
        <v>0</v>
      </c>
      <c r="IG95" s="46">
        <f t="shared" si="466"/>
        <v>0</v>
      </c>
      <c r="IH95" s="46">
        <f t="shared" si="466"/>
        <v>0</v>
      </c>
      <c r="II95" s="46">
        <f t="shared" si="466"/>
        <v>0</v>
      </c>
      <c r="IJ95" s="46">
        <f t="shared" si="466"/>
        <v>0</v>
      </c>
      <c r="IK95" s="46">
        <f t="shared" si="466"/>
        <v>0</v>
      </c>
      <c r="IL95" s="46">
        <f t="shared" si="466"/>
        <v>0</v>
      </c>
      <c r="IM95" s="46">
        <f t="shared" si="466"/>
        <v>0</v>
      </c>
      <c r="IN95" s="46">
        <f t="shared" si="466"/>
        <v>0</v>
      </c>
      <c r="IO95" s="46">
        <f t="shared" ref="IO95:JT95" si="467">IF(IO$86=0,$ER95*DE95,$ES95*DE95)</f>
        <v>0</v>
      </c>
      <c r="IP95" s="46">
        <f t="shared" si="467"/>
        <v>0</v>
      </c>
      <c r="IQ95" s="46">
        <f t="shared" si="467"/>
        <v>0</v>
      </c>
      <c r="IR95" s="46">
        <f t="shared" si="467"/>
        <v>0</v>
      </c>
      <c r="IS95" s="46">
        <f t="shared" si="467"/>
        <v>0</v>
      </c>
      <c r="IT95" s="46">
        <f t="shared" si="467"/>
        <v>0</v>
      </c>
      <c r="IU95" s="46">
        <f t="shared" si="467"/>
        <v>0</v>
      </c>
      <c r="IV95" s="46">
        <f t="shared" si="467"/>
        <v>0</v>
      </c>
      <c r="IW95" s="46">
        <f t="shared" si="467"/>
        <v>0</v>
      </c>
      <c r="IX95" s="46">
        <f t="shared" si="467"/>
        <v>0</v>
      </c>
      <c r="IY95" s="46">
        <f t="shared" si="467"/>
        <v>0</v>
      </c>
      <c r="IZ95" s="46">
        <f t="shared" si="467"/>
        <v>0</v>
      </c>
      <c r="JA95" s="46">
        <f t="shared" si="467"/>
        <v>0</v>
      </c>
      <c r="JB95" s="46">
        <f t="shared" si="467"/>
        <v>0</v>
      </c>
      <c r="JC95" s="46">
        <f t="shared" si="467"/>
        <v>0</v>
      </c>
      <c r="JD95" s="46">
        <f t="shared" si="467"/>
        <v>0</v>
      </c>
      <c r="JE95" s="46">
        <f t="shared" si="467"/>
        <v>0</v>
      </c>
      <c r="JF95" s="46">
        <f t="shared" si="467"/>
        <v>0</v>
      </c>
      <c r="JG95" s="46">
        <f t="shared" si="467"/>
        <v>0</v>
      </c>
      <c r="JH95" s="46">
        <f t="shared" si="467"/>
        <v>0</v>
      </c>
      <c r="JI95" s="46">
        <f t="shared" si="467"/>
        <v>0</v>
      </c>
      <c r="JJ95" s="46">
        <f t="shared" si="467"/>
        <v>0</v>
      </c>
      <c r="JK95" s="46">
        <f t="shared" si="467"/>
        <v>0</v>
      </c>
      <c r="JL95" s="46">
        <f t="shared" si="467"/>
        <v>0</v>
      </c>
      <c r="JM95" s="46">
        <f t="shared" si="467"/>
        <v>0</v>
      </c>
      <c r="JN95" s="46">
        <f t="shared" si="467"/>
        <v>0</v>
      </c>
      <c r="JO95" s="46">
        <f t="shared" si="467"/>
        <v>0</v>
      </c>
      <c r="JP95" s="46">
        <f t="shared" si="467"/>
        <v>0</v>
      </c>
      <c r="JQ95" s="46">
        <f t="shared" si="467"/>
        <v>0</v>
      </c>
      <c r="JR95" s="46">
        <f t="shared" si="467"/>
        <v>0</v>
      </c>
      <c r="JS95" s="46">
        <f t="shared" si="467"/>
        <v>0</v>
      </c>
      <c r="JT95" s="46">
        <f t="shared" si="467"/>
        <v>0</v>
      </c>
      <c r="JU95" s="46">
        <f t="shared" ref="JU95:JX95" si="468">IF(JU$86=0,$ER95*EK95,$ES95*EK95)</f>
        <v>0</v>
      </c>
      <c r="JV95" s="46">
        <f t="shared" si="468"/>
        <v>0</v>
      </c>
      <c r="JW95" s="46">
        <f t="shared" si="468"/>
        <v>0</v>
      </c>
      <c r="JX95" s="46">
        <f t="shared" si="468"/>
        <v>0</v>
      </c>
    </row>
    <row r="96" spans="1:284" s="7" customFormat="1" x14ac:dyDescent="0.2">
      <c r="A96" s="406"/>
      <c r="B96" s="92" t="s">
        <v>134</v>
      </c>
      <c r="C96" s="110">
        <f>SUM(C90:C95)</f>
        <v>300</v>
      </c>
      <c r="D96" s="110">
        <f>SUMPRODUCT(D90:D95,$C$90:$C$95)/$C$96</f>
        <v>850</v>
      </c>
      <c r="E96" s="111">
        <f>SUMPRODUCT(E90:E95,$C$90:$C$95)/$C$96</f>
        <v>1</v>
      </c>
      <c r="F96" s="111">
        <f>SUMPRODUCT(F90:F95,$C$90:$C$95)/$C$96</f>
        <v>0</v>
      </c>
      <c r="G96" s="392">
        <f>I96/Units_SF_M2/12</f>
        <v>1.8905882352941177</v>
      </c>
      <c r="H96" s="113">
        <f>I96/C96/12</f>
        <v>1607</v>
      </c>
      <c r="I96" s="106">
        <f>SUM(I90:I95)</f>
        <v>5785200</v>
      </c>
      <c r="K96" s="7" t="s">
        <v>104</v>
      </c>
      <c r="M96" s="38">
        <f t="shared" ref="M96:AR96" si="469">SUM(M90:M95)</f>
        <v>0</v>
      </c>
      <c r="N96" s="38">
        <f t="shared" si="469"/>
        <v>0</v>
      </c>
      <c r="O96" s="38">
        <f t="shared" si="469"/>
        <v>0</v>
      </c>
      <c r="P96" s="38">
        <f t="shared" si="469"/>
        <v>0</v>
      </c>
      <c r="Q96" s="38">
        <f t="shared" si="469"/>
        <v>0</v>
      </c>
      <c r="R96" s="38">
        <f t="shared" si="469"/>
        <v>0</v>
      </c>
      <c r="S96" s="38">
        <f t="shared" si="469"/>
        <v>0</v>
      </c>
      <c r="T96" s="38">
        <f t="shared" si="469"/>
        <v>0</v>
      </c>
      <c r="U96" s="38">
        <f t="shared" si="469"/>
        <v>0</v>
      </c>
      <c r="V96" s="38">
        <f t="shared" si="469"/>
        <v>0</v>
      </c>
      <c r="W96" s="38">
        <f t="shared" si="469"/>
        <v>0</v>
      </c>
      <c r="X96" s="38">
        <f t="shared" si="469"/>
        <v>0</v>
      </c>
      <c r="Y96" s="38">
        <f t="shared" si="469"/>
        <v>0</v>
      </c>
      <c r="Z96" s="38">
        <f t="shared" si="469"/>
        <v>0</v>
      </c>
      <c r="AA96" s="38">
        <f t="shared" si="469"/>
        <v>0</v>
      </c>
      <c r="AB96" s="38">
        <f t="shared" si="469"/>
        <v>0</v>
      </c>
      <c r="AC96" s="38">
        <f t="shared" si="469"/>
        <v>0</v>
      </c>
      <c r="AD96" s="38">
        <f t="shared" si="469"/>
        <v>0</v>
      </c>
      <c r="AE96" s="38">
        <f t="shared" si="469"/>
        <v>482100</v>
      </c>
      <c r="AF96" s="38">
        <f t="shared" si="469"/>
        <v>482100</v>
      </c>
      <c r="AG96" s="38">
        <f t="shared" si="469"/>
        <v>482100</v>
      </c>
      <c r="AH96" s="38">
        <f t="shared" si="469"/>
        <v>482100</v>
      </c>
      <c r="AI96" s="38">
        <f t="shared" si="469"/>
        <v>482100</v>
      </c>
      <c r="AJ96" s="38">
        <f t="shared" si="469"/>
        <v>482100</v>
      </c>
      <c r="AK96" s="38">
        <f t="shared" si="469"/>
        <v>482100</v>
      </c>
      <c r="AL96" s="38">
        <f t="shared" si="469"/>
        <v>482100</v>
      </c>
      <c r="AM96" s="38">
        <f t="shared" si="469"/>
        <v>482100</v>
      </c>
      <c r="AN96" s="38">
        <f t="shared" si="469"/>
        <v>482100</v>
      </c>
      <c r="AO96" s="38">
        <f t="shared" si="469"/>
        <v>482100</v>
      </c>
      <c r="AP96" s="38">
        <f t="shared" si="469"/>
        <v>482100</v>
      </c>
      <c r="AQ96" s="38">
        <f t="shared" si="469"/>
        <v>496563</v>
      </c>
      <c r="AR96" s="38">
        <f t="shared" si="469"/>
        <v>496563</v>
      </c>
      <c r="AS96" s="38">
        <f t="shared" ref="AS96:BX96" si="470">SUM(AS90:AS95)</f>
        <v>496563</v>
      </c>
      <c r="AT96" s="38">
        <f t="shared" si="470"/>
        <v>496563</v>
      </c>
      <c r="AU96" s="38">
        <f t="shared" si="470"/>
        <v>496563</v>
      </c>
      <c r="AV96" s="38">
        <f t="shared" si="470"/>
        <v>496563</v>
      </c>
      <c r="AW96" s="38">
        <f t="shared" si="470"/>
        <v>496563</v>
      </c>
      <c r="AX96" s="38">
        <f t="shared" si="470"/>
        <v>496563</v>
      </c>
      <c r="AY96" s="38">
        <f t="shared" si="470"/>
        <v>496563</v>
      </c>
      <c r="AZ96" s="38">
        <f t="shared" si="470"/>
        <v>496563</v>
      </c>
      <c r="BA96" s="38">
        <f t="shared" si="470"/>
        <v>496563</v>
      </c>
      <c r="BB96" s="38">
        <f t="shared" si="470"/>
        <v>496563</v>
      </c>
      <c r="BC96" s="38">
        <f t="shared" si="470"/>
        <v>511459.88999999996</v>
      </c>
      <c r="BD96" s="38">
        <f t="shared" si="470"/>
        <v>511459.88999999996</v>
      </c>
      <c r="BE96" s="38">
        <f t="shared" si="470"/>
        <v>511459.88999999996</v>
      </c>
      <c r="BF96" s="38">
        <f t="shared" si="470"/>
        <v>511459.88999999996</v>
      </c>
      <c r="BG96" s="38">
        <f t="shared" si="470"/>
        <v>511459.88999999996</v>
      </c>
      <c r="BH96" s="38">
        <f t="shared" si="470"/>
        <v>511459.88999999996</v>
      </c>
      <c r="BI96" s="38">
        <f t="shared" si="470"/>
        <v>511459.88999999996</v>
      </c>
      <c r="BJ96" s="38">
        <f t="shared" si="470"/>
        <v>511459.88999999996</v>
      </c>
      <c r="BK96" s="38">
        <f t="shared" si="470"/>
        <v>511459.88999999996</v>
      </c>
      <c r="BL96" s="38">
        <f t="shared" si="470"/>
        <v>511459.88999999996</v>
      </c>
      <c r="BM96" s="38">
        <f t="shared" si="470"/>
        <v>511459.88999999996</v>
      </c>
      <c r="BN96" s="38">
        <f t="shared" si="470"/>
        <v>511459.88999999996</v>
      </c>
      <c r="BO96" s="38">
        <f t="shared" si="470"/>
        <v>526803.68669999996</v>
      </c>
      <c r="BP96" s="38">
        <f t="shared" si="470"/>
        <v>526803.68669999996</v>
      </c>
      <c r="BQ96" s="38">
        <f t="shared" si="470"/>
        <v>526803.68669999996</v>
      </c>
      <c r="BR96" s="38">
        <f t="shared" si="470"/>
        <v>526803.68669999996</v>
      </c>
      <c r="BS96" s="38">
        <f t="shared" si="470"/>
        <v>526803.68669999996</v>
      </c>
      <c r="BT96" s="38">
        <f t="shared" si="470"/>
        <v>526803.68669999996</v>
      </c>
      <c r="BU96" s="38">
        <f t="shared" si="470"/>
        <v>526803.68669999996</v>
      </c>
      <c r="BV96" s="38">
        <f t="shared" si="470"/>
        <v>526803.68669999996</v>
      </c>
      <c r="BW96" s="38">
        <f t="shared" si="470"/>
        <v>526803.68669999996</v>
      </c>
      <c r="BX96" s="38">
        <f t="shared" si="470"/>
        <v>526803.68669999996</v>
      </c>
      <c r="BY96" s="38">
        <f t="shared" ref="BY96:DD96" si="471">SUM(BY90:BY95)</f>
        <v>526803.68669999996</v>
      </c>
      <c r="BZ96" s="38">
        <f t="shared" si="471"/>
        <v>526803.68669999996</v>
      </c>
      <c r="CA96" s="38">
        <f t="shared" si="471"/>
        <v>542607.79730099998</v>
      </c>
      <c r="CB96" s="38">
        <f t="shared" si="471"/>
        <v>542607.79730099998</v>
      </c>
      <c r="CC96" s="38">
        <f t="shared" si="471"/>
        <v>542607.79730099998</v>
      </c>
      <c r="CD96" s="38">
        <f t="shared" si="471"/>
        <v>542607.79730099998</v>
      </c>
      <c r="CE96" s="38">
        <f t="shared" si="471"/>
        <v>542607.79730099998</v>
      </c>
      <c r="CF96" s="38">
        <f t="shared" si="471"/>
        <v>542607.79730099998</v>
      </c>
      <c r="CG96" s="38">
        <f t="shared" si="471"/>
        <v>542607.79730099998</v>
      </c>
      <c r="CH96" s="38">
        <f t="shared" si="471"/>
        <v>542607.79730099998</v>
      </c>
      <c r="CI96" s="38">
        <f t="shared" si="471"/>
        <v>542607.79730099998</v>
      </c>
      <c r="CJ96" s="38">
        <f t="shared" si="471"/>
        <v>542607.79730099998</v>
      </c>
      <c r="CK96" s="38">
        <f t="shared" si="471"/>
        <v>542607.79730099998</v>
      </c>
      <c r="CL96" s="38">
        <f t="shared" si="471"/>
        <v>542607.79730099998</v>
      </c>
      <c r="CM96" s="38">
        <f t="shared" si="471"/>
        <v>558886.03122003004</v>
      </c>
      <c r="CN96" s="38">
        <f t="shared" si="471"/>
        <v>558886.03122003004</v>
      </c>
      <c r="CO96" s="38">
        <f t="shared" si="471"/>
        <v>558886.03122003004</v>
      </c>
      <c r="CP96" s="38">
        <f t="shared" si="471"/>
        <v>558886.03122003004</v>
      </c>
      <c r="CQ96" s="38">
        <f t="shared" si="471"/>
        <v>558886.03122003004</v>
      </c>
      <c r="CR96" s="38">
        <f t="shared" si="471"/>
        <v>558886.03122003004</v>
      </c>
      <c r="CS96" s="38">
        <f t="shared" si="471"/>
        <v>558886.03122003004</v>
      </c>
      <c r="CT96" s="38">
        <f t="shared" si="471"/>
        <v>558886.03122003004</v>
      </c>
      <c r="CU96" s="38">
        <f t="shared" si="471"/>
        <v>558886.03122003004</v>
      </c>
      <c r="CV96" s="38">
        <f t="shared" si="471"/>
        <v>558886.03122003004</v>
      </c>
      <c r="CW96" s="38">
        <f t="shared" si="471"/>
        <v>558886.03122003004</v>
      </c>
      <c r="CX96" s="38">
        <f t="shared" si="471"/>
        <v>558886.03122003004</v>
      </c>
      <c r="CY96" s="38">
        <f t="shared" si="471"/>
        <v>575652.61215663073</v>
      </c>
      <c r="CZ96" s="38">
        <f t="shared" si="471"/>
        <v>575652.61215663073</v>
      </c>
      <c r="DA96" s="38">
        <f t="shared" si="471"/>
        <v>575652.61215663073</v>
      </c>
      <c r="DB96" s="38">
        <f t="shared" si="471"/>
        <v>575652.61215663073</v>
      </c>
      <c r="DC96" s="38">
        <f t="shared" si="471"/>
        <v>575652.61215663073</v>
      </c>
      <c r="DD96" s="38">
        <f t="shared" si="471"/>
        <v>575652.61215663073</v>
      </c>
      <c r="DE96" s="38">
        <f t="shared" ref="DE96:EJ96" si="472">SUM(DE90:DE95)</f>
        <v>575652.61215663073</v>
      </c>
      <c r="DF96" s="38">
        <f t="shared" si="472"/>
        <v>575652.61215663073</v>
      </c>
      <c r="DG96" s="38">
        <f t="shared" si="472"/>
        <v>575652.61215663073</v>
      </c>
      <c r="DH96" s="38">
        <f t="shared" si="472"/>
        <v>575652.61215663073</v>
      </c>
      <c r="DI96" s="38">
        <f t="shared" si="472"/>
        <v>575652.61215663073</v>
      </c>
      <c r="DJ96" s="38">
        <f t="shared" si="472"/>
        <v>575652.61215663073</v>
      </c>
      <c r="DK96" s="38">
        <f t="shared" si="472"/>
        <v>592922.19052132987</v>
      </c>
      <c r="DL96" s="38">
        <f t="shared" si="472"/>
        <v>592922.19052132987</v>
      </c>
      <c r="DM96" s="38">
        <f t="shared" si="472"/>
        <v>592922.19052132987</v>
      </c>
      <c r="DN96" s="38">
        <f t="shared" si="472"/>
        <v>592922.19052132987</v>
      </c>
      <c r="DO96" s="38">
        <f t="shared" si="472"/>
        <v>592922.19052132987</v>
      </c>
      <c r="DP96" s="38">
        <f t="shared" si="472"/>
        <v>592922.19052132987</v>
      </c>
      <c r="DQ96" s="38">
        <f t="shared" si="472"/>
        <v>592922.19052132987</v>
      </c>
      <c r="DR96" s="38">
        <f t="shared" si="472"/>
        <v>592922.19052132987</v>
      </c>
      <c r="DS96" s="38">
        <f t="shared" si="472"/>
        <v>592922.19052132987</v>
      </c>
      <c r="DT96" s="38">
        <f t="shared" si="472"/>
        <v>592922.19052132987</v>
      </c>
      <c r="DU96" s="38">
        <f t="shared" si="472"/>
        <v>592922.19052132987</v>
      </c>
      <c r="DV96" s="38">
        <f t="shared" si="472"/>
        <v>592922.19052132987</v>
      </c>
      <c r="DW96" s="38">
        <f t="shared" si="472"/>
        <v>610709.85623696959</v>
      </c>
      <c r="DX96" s="38">
        <f t="shared" si="472"/>
        <v>610709.85623696959</v>
      </c>
      <c r="DY96" s="38">
        <f t="shared" si="472"/>
        <v>610709.85623696959</v>
      </c>
      <c r="DZ96" s="38">
        <f t="shared" si="472"/>
        <v>610709.85623696959</v>
      </c>
      <c r="EA96" s="38">
        <f t="shared" si="472"/>
        <v>610709.85623696959</v>
      </c>
      <c r="EB96" s="38">
        <f t="shared" si="472"/>
        <v>610709.85623696959</v>
      </c>
      <c r="EC96" s="38">
        <f t="shared" si="472"/>
        <v>610709.85623696959</v>
      </c>
      <c r="ED96" s="38">
        <f t="shared" si="472"/>
        <v>610709.85623696959</v>
      </c>
      <c r="EE96" s="38">
        <f t="shared" si="472"/>
        <v>610709.85623696959</v>
      </c>
      <c r="EF96" s="38">
        <f t="shared" si="472"/>
        <v>610709.85623696959</v>
      </c>
      <c r="EG96" s="38">
        <f t="shared" si="472"/>
        <v>610709.85623696959</v>
      </c>
      <c r="EH96" s="38">
        <f t="shared" si="472"/>
        <v>610709.85623696959</v>
      </c>
      <c r="EI96" s="38">
        <f t="shared" si="472"/>
        <v>629031.1519240787</v>
      </c>
      <c r="EJ96" s="38">
        <f t="shared" si="472"/>
        <v>629031.1519240787</v>
      </c>
      <c r="EK96" s="38">
        <f>SUM(EK90:EK95)</f>
        <v>629031.1519240787</v>
      </c>
      <c r="EL96" s="38">
        <f>SUM(EL90:EL95)</f>
        <v>629031.1519240787</v>
      </c>
      <c r="EM96" s="38">
        <f>SUM(EM90:EM95)</f>
        <v>629031.1519240787</v>
      </c>
      <c r="EN96" s="38">
        <f>SUM(EN90:EN95)</f>
        <v>629031.1519240787</v>
      </c>
      <c r="EP96" s="24"/>
      <c r="EQ96" s="24"/>
      <c r="ER96" s="24"/>
      <c r="ES96" s="24"/>
      <c r="ET96" s="24"/>
      <c r="EU96" s="33"/>
      <c r="EV96" s="30"/>
      <c r="EW96" s="30">
        <f t="shared" ref="EW96:GB96" si="473">SUM(EW90:EW95)</f>
        <v>0</v>
      </c>
      <c r="EX96" s="30">
        <f t="shared" si="473"/>
        <v>0</v>
      </c>
      <c r="EY96" s="30">
        <f t="shared" si="473"/>
        <v>0</v>
      </c>
      <c r="EZ96" s="30">
        <f t="shared" si="473"/>
        <v>0</v>
      </c>
      <c r="FA96" s="30">
        <f t="shared" si="473"/>
        <v>0</v>
      </c>
      <c r="FB96" s="30">
        <f t="shared" si="473"/>
        <v>0</v>
      </c>
      <c r="FC96" s="30">
        <f t="shared" si="473"/>
        <v>0</v>
      </c>
      <c r="FD96" s="30">
        <f t="shared" si="473"/>
        <v>0</v>
      </c>
      <c r="FE96" s="30">
        <f t="shared" si="473"/>
        <v>0</v>
      </c>
      <c r="FF96" s="30">
        <f t="shared" si="473"/>
        <v>0</v>
      </c>
      <c r="FG96" s="30">
        <f t="shared" si="473"/>
        <v>0</v>
      </c>
      <c r="FH96" s="30">
        <f t="shared" si="473"/>
        <v>0</v>
      </c>
      <c r="FI96" s="30">
        <f t="shared" si="473"/>
        <v>0</v>
      </c>
      <c r="FJ96" s="30">
        <f t="shared" si="473"/>
        <v>0</v>
      </c>
      <c r="FK96" s="30">
        <f t="shared" si="473"/>
        <v>0</v>
      </c>
      <c r="FL96" s="30">
        <f t="shared" si="473"/>
        <v>0</v>
      </c>
      <c r="FM96" s="30">
        <f t="shared" si="473"/>
        <v>0</v>
      </c>
      <c r="FN96" s="30">
        <f t="shared" si="473"/>
        <v>0</v>
      </c>
      <c r="FO96" s="30">
        <f t="shared" si="473"/>
        <v>37084.61538461539</v>
      </c>
      <c r="FP96" s="30">
        <f t="shared" si="473"/>
        <v>37084.61538461539</v>
      </c>
      <c r="FQ96" s="30">
        <f t="shared" si="473"/>
        <v>37084.61538461539</v>
      </c>
      <c r="FR96" s="30">
        <f t="shared" si="473"/>
        <v>37084.61538461539</v>
      </c>
      <c r="FS96" s="30">
        <f t="shared" si="473"/>
        <v>37084.61538461539</v>
      </c>
      <c r="FT96" s="30">
        <f t="shared" si="473"/>
        <v>37084.61538461539</v>
      </c>
      <c r="FU96" s="30">
        <f t="shared" si="473"/>
        <v>37084.61538461539</v>
      </c>
      <c r="FV96" s="30">
        <f t="shared" si="473"/>
        <v>37084.61538461539</v>
      </c>
      <c r="FW96" s="30">
        <f t="shared" si="473"/>
        <v>37084.61538461539</v>
      </c>
      <c r="FX96" s="30">
        <f t="shared" si="473"/>
        <v>37084.61538461539</v>
      </c>
      <c r="FY96" s="30">
        <f t="shared" si="473"/>
        <v>37084.61538461539</v>
      </c>
      <c r="FZ96" s="30">
        <f t="shared" si="473"/>
        <v>37084.61538461539</v>
      </c>
      <c r="GA96" s="30">
        <f t="shared" si="473"/>
        <v>38197.153846153844</v>
      </c>
      <c r="GB96" s="30">
        <f t="shared" si="473"/>
        <v>38197.153846153844</v>
      </c>
      <c r="GC96" s="30">
        <f t="shared" ref="GC96:HH96" si="474">SUM(GC90:GC95)</f>
        <v>0</v>
      </c>
      <c r="GD96" s="30">
        <f t="shared" si="474"/>
        <v>0</v>
      </c>
      <c r="GE96" s="30">
        <f t="shared" si="474"/>
        <v>0</v>
      </c>
      <c r="GF96" s="30">
        <f t="shared" si="474"/>
        <v>0</v>
      </c>
      <c r="GG96" s="30">
        <f t="shared" si="474"/>
        <v>0</v>
      </c>
      <c r="GH96" s="30">
        <f t="shared" si="474"/>
        <v>0</v>
      </c>
      <c r="GI96" s="30">
        <f t="shared" si="474"/>
        <v>0</v>
      </c>
      <c r="GJ96" s="30">
        <f t="shared" si="474"/>
        <v>0</v>
      </c>
      <c r="GK96" s="30">
        <f t="shared" si="474"/>
        <v>0</v>
      </c>
      <c r="GL96" s="30">
        <f t="shared" si="474"/>
        <v>0</v>
      </c>
      <c r="GM96" s="30">
        <f t="shared" si="474"/>
        <v>0</v>
      </c>
      <c r="GN96" s="30">
        <f t="shared" si="474"/>
        <v>0</v>
      </c>
      <c r="GO96" s="30">
        <f t="shared" si="474"/>
        <v>0</v>
      </c>
      <c r="GP96" s="30">
        <f t="shared" si="474"/>
        <v>0</v>
      </c>
      <c r="GQ96" s="30">
        <f t="shared" si="474"/>
        <v>0</v>
      </c>
      <c r="GR96" s="30">
        <f t="shared" si="474"/>
        <v>0</v>
      </c>
      <c r="GS96" s="30">
        <f t="shared" si="474"/>
        <v>0</v>
      </c>
      <c r="GT96" s="30">
        <f t="shared" si="474"/>
        <v>0</v>
      </c>
      <c r="GU96" s="30">
        <f t="shared" si="474"/>
        <v>0</v>
      </c>
      <c r="GV96" s="30">
        <f t="shared" si="474"/>
        <v>0</v>
      </c>
      <c r="GW96" s="30">
        <f t="shared" si="474"/>
        <v>0</v>
      </c>
      <c r="GX96" s="30">
        <f t="shared" si="474"/>
        <v>0</v>
      </c>
      <c r="GY96" s="30">
        <f t="shared" si="474"/>
        <v>0</v>
      </c>
      <c r="GZ96" s="30">
        <f t="shared" si="474"/>
        <v>0</v>
      </c>
      <c r="HA96" s="30">
        <f t="shared" si="474"/>
        <v>0</v>
      </c>
      <c r="HB96" s="30">
        <f t="shared" si="474"/>
        <v>0</v>
      </c>
      <c r="HC96" s="30">
        <f t="shared" si="474"/>
        <v>0</v>
      </c>
      <c r="HD96" s="30">
        <f t="shared" si="474"/>
        <v>0</v>
      </c>
      <c r="HE96" s="30">
        <f t="shared" si="474"/>
        <v>0</v>
      </c>
      <c r="HF96" s="30">
        <f t="shared" si="474"/>
        <v>0</v>
      </c>
      <c r="HG96" s="30">
        <f t="shared" si="474"/>
        <v>0</v>
      </c>
      <c r="HH96" s="30">
        <f t="shared" si="474"/>
        <v>0</v>
      </c>
      <c r="HI96" s="30">
        <f t="shared" ref="HI96:IN96" si="475">SUM(HI90:HI95)</f>
        <v>0</v>
      </c>
      <c r="HJ96" s="30">
        <f t="shared" si="475"/>
        <v>0</v>
      </c>
      <c r="HK96" s="30">
        <f t="shared" si="475"/>
        <v>0</v>
      </c>
      <c r="HL96" s="30">
        <f t="shared" si="475"/>
        <v>0</v>
      </c>
      <c r="HM96" s="30">
        <f t="shared" si="475"/>
        <v>0</v>
      </c>
      <c r="HN96" s="30">
        <f t="shared" si="475"/>
        <v>0</v>
      </c>
      <c r="HO96" s="30">
        <f t="shared" si="475"/>
        <v>0</v>
      </c>
      <c r="HP96" s="30">
        <f t="shared" si="475"/>
        <v>0</v>
      </c>
      <c r="HQ96" s="30">
        <f t="shared" si="475"/>
        <v>0</v>
      </c>
      <c r="HR96" s="30">
        <f t="shared" si="475"/>
        <v>0</v>
      </c>
      <c r="HS96" s="30">
        <f t="shared" si="475"/>
        <v>0</v>
      </c>
      <c r="HT96" s="30">
        <f t="shared" si="475"/>
        <v>0</v>
      </c>
      <c r="HU96" s="30">
        <f t="shared" si="475"/>
        <v>0</v>
      </c>
      <c r="HV96" s="30">
        <f t="shared" si="475"/>
        <v>0</v>
      </c>
      <c r="HW96" s="30">
        <f t="shared" si="475"/>
        <v>0</v>
      </c>
      <c r="HX96" s="30">
        <f t="shared" si="475"/>
        <v>0</v>
      </c>
      <c r="HY96" s="30">
        <f t="shared" si="475"/>
        <v>0</v>
      </c>
      <c r="HZ96" s="30">
        <f t="shared" si="475"/>
        <v>0</v>
      </c>
      <c r="IA96" s="30">
        <f t="shared" si="475"/>
        <v>0</v>
      </c>
      <c r="IB96" s="30">
        <f t="shared" si="475"/>
        <v>0</v>
      </c>
      <c r="IC96" s="30">
        <f t="shared" si="475"/>
        <v>0</v>
      </c>
      <c r="ID96" s="30">
        <f t="shared" si="475"/>
        <v>0</v>
      </c>
      <c r="IE96" s="30">
        <f t="shared" si="475"/>
        <v>0</v>
      </c>
      <c r="IF96" s="30">
        <f t="shared" si="475"/>
        <v>0</v>
      </c>
      <c r="IG96" s="30">
        <f t="shared" si="475"/>
        <v>0</v>
      </c>
      <c r="IH96" s="30">
        <f t="shared" si="475"/>
        <v>0</v>
      </c>
      <c r="II96" s="30">
        <f t="shared" si="475"/>
        <v>0</v>
      </c>
      <c r="IJ96" s="30">
        <f t="shared" si="475"/>
        <v>0</v>
      </c>
      <c r="IK96" s="30">
        <f t="shared" si="475"/>
        <v>0</v>
      </c>
      <c r="IL96" s="30">
        <f t="shared" si="475"/>
        <v>0</v>
      </c>
      <c r="IM96" s="30">
        <f t="shared" si="475"/>
        <v>0</v>
      </c>
      <c r="IN96" s="30">
        <f t="shared" si="475"/>
        <v>0</v>
      </c>
      <c r="IO96" s="30">
        <f t="shared" ref="IO96:JT96" si="476">SUM(IO90:IO95)</f>
        <v>0</v>
      </c>
      <c r="IP96" s="30">
        <f t="shared" si="476"/>
        <v>0</v>
      </c>
      <c r="IQ96" s="30">
        <f t="shared" si="476"/>
        <v>0</v>
      </c>
      <c r="IR96" s="30">
        <f t="shared" si="476"/>
        <v>0</v>
      </c>
      <c r="IS96" s="30">
        <f t="shared" si="476"/>
        <v>0</v>
      </c>
      <c r="IT96" s="30">
        <f t="shared" si="476"/>
        <v>0</v>
      </c>
      <c r="IU96" s="30">
        <f t="shared" si="476"/>
        <v>0</v>
      </c>
      <c r="IV96" s="30">
        <f t="shared" si="476"/>
        <v>0</v>
      </c>
      <c r="IW96" s="30">
        <f t="shared" si="476"/>
        <v>0</v>
      </c>
      <c r="IX96" s="30">
        <f t="shared" si="476"/>
        <v>0</v>
      </c>
      <c r="IY96" s="30">
        <f t="shared" si="476"/>
        <v>0</v>
      </c>
      <c r="IZ96" s="30">
        <f t="shared" si="476"/>
        <v>0</v>
      </c>
      <c r="JA96" s="30">
        <f t="shared" si="476"/>
        <v>0</v>
      </c>
      <c r="JB96" s="30">
        <f t="shared" si="476"/>
        <v>0</v>
      </c>
      <c r="JC96" s="30">
        <f t="shared" si="476"/>
        <v>0</v>
      </c>
      <c r="JD96" s="30">
        <f t="shared" si="476"/>
        <v>0</v>
      </c>
      <c r="JE96" s="30">
        <f t="shared" si="476"/>
        <v>0</v>
      </c>
      <c r="JF96" s="30">
        <f t="shared" si="476"/>
        <v>0</v>
      </c>
      <c r="JG96" s="30">
        <f t="shared" si="476"/>
        <v>0</v>
      </c>
      <c r="JH96" s="30">
        <f t="shared" si="476"/>
        <v>0</v>
      </c>
      <c r="JI96" s="30">
        <f t="shared" si="476"/>
        <v>0</v>
      </c>
      <c r="JJ96" s="30">
        <f t="shared" si="476"/>
        <v>0</v>
      </c>
      <c r="JK96" s="30">
        <f t="shared" si="476"/>
        <v>0</v>
      </c>
      <c r="JL96" s="30">
        <f t="shared" si="476"/>
        <v>0</v>
      </c>
      <c r="JM96" s="30">
        <f t="shared" si="476"/>
        <v>0</v>
      </c>
      <c r="JN96" s="30">
        <f t="shared" si="476"/>
        <v>0</v>
      </c>
      <c r="JO96" s="30">
        <f t="shared" si="476"/>
        <v>0</v>
      </c>
      <c r="JP96" s="30">
        <f t="shared" si="476"/>
        <v>0</v>
      </c>
      <c r="JQ96" s="30">
        <f t="shared" si="476"/>
        <v>0</v>
      </c>
      <c r="JR96" s="30">
        <f t="shared" si="476"/>
        <v>0</v>
      </c>
      <c r="JS96" s="30">
        <f t="shared" si="476"/>
        <v>0</v>
      </c>
      <c r="JT96" s="30">
        <f t="shared" si="476"/>
        <v>0</v>
      </c>
      <c r="JU96" s="30">
        <f>SUM(JU90:JU95)</f>
        <v>0</v>
      </c>
      <c r="JV96" s="30">
        <f>SUM(JV90:JV95)</f>
        <v>0</v>
      </c>
      <c r="JW96" s="30">
        <f>SUM(JW90:JW95)</f>
        <v>0</v>
      </c>
      <c r="JX96" s="30">
        <f>SUM(JX90:JX95)</f>
        <v>0</v>
      </c>
    </row>
    <row r="97" spans="1:284" s="7" customFormat="1" x14ac:dyDescent="0.2">
      <c r="A97" s="406"/>
      <c r="B97" s="112" t="s">
        <v>117</v>
      </c>
      <c r="C97" s="93"/>
      <c r="D97" s="93"/>
      <c r="E97" s="93"/>
      <c r="F97" s="93"/>
      <c r="G97" s="392">
        <f>I97/Units_SF_M2/12</f>
        <v>0</v>
      </c>
      <c r="H97" s="123">
        <f>I97/Units/12</f>
        <v>0</v>
      </c>
      <c r="I97" s="113">
        <f>-(F96/I87)*I96</f>
        <v>0</v>
      </c>
      <c r="M97" s="38">
        <f t="shared" ref="M97:AR97" si="477">-EW96</f>
        <v>0</v>
      </c>
      <c r="N97" s="38">
        <f t="shared" si="477"/>
        <v>0</v>
      </c>
      <c r="O97" s="38">
        <f t="shared" si="477"/>
        <v>0</v>
      </c>
      <c r="P97" s="38">
        <f t="shared" si="477"/>
        <v>0</v>
      </c>
      <c r="Q97" s="38">
        <f t="shared" si="477"/>
        <v>0</v>
      </c>
      <c r="R97" s="38">
        <f t="shared" si="477"/>
        <v>0</v>
      </c>
      <c r="S97" s="38">
        <f t="shared" si="477"/>
        <v>0</v>
      </c>
      <c r="T97" s="38">
        <f t="shared" si="477"/>
        <v>0</v>
      </c>
      <c r="U97" s="38">
        <f t="shared" si="477"/>
        <v>0</v>
      </c>
      <c r="V97" s="38">
        <f t="shared" si="477"/>
        <v>0</v>
      </c>
      <c r="W97" s="38">
        <f t="shared" si="477"/>
        <v>0</v>
      </c>
      <c r="X97" s="38">
        <f t="shared" si="477"/>
        <v>0</v>
      </c>
      <c r="Y97" s="38">
        <f t="shared" si="477"/>
        <v>0</v>
      </c>
      <c r="Z97" s="38">
        <f t="shared" si="477"/>
        <v>0</v>
      </c>
      <c r="AA97" s="38">
        <f t="shared" si="477"/>
        <v>0</v>
      </c>
      <c r="AB97" s="38">
        <f t="shared" si="477"/>
        <v>0</v>
      </c>
      <c r="AC97" s="38">
        <f t="shared" si="477"/>
        <v>0</v>
      </c>
      <c r="AD97" s="38">
        <f t="shared" si="477"/>
        <v>0</v>
      </c>
      <c r="AE97" s="38">
        <f t="shared" si="477"/>
        <v>-37084.61538461539</v>
      </c>
      <c r="AF97" s="38">
        <f t="shared" si="477"/>
        <v>-37084.61538461539</v>
      </c>
      <c r="AG97" s="38">
        <f t="shared" si="477"/>
        <v>-37084.61538461539</v>
      </c>
      <c r="AH97" s="38">
        <f t="shared" si="477"/>
        <v>-37084.61538461539</v>
      </c>
      <c r="AI97" s="38">
        <f t="shared" si="477"/>
        <v>-37084.61538461539</v>
      </c>
      <c r="AJ97" s="38">
        <f t="shared" si="477"/>
        <v>-37084.61538461539</v>
      </c>
      <c r="AK97" s="38">
        <f t="shared" si="477"/>
        <v>-37084.61538461539</v>
      </c>
      <c r="AL97" s="38">
        <f t="shared" si="477"/>
        <v>-37084.61538461539</v>
      </c>
      <c r="AM97" s="38">
        <f t="shared" si="477"/>
        <v>-37084.61538461539</v>
      </c>
      <c r="AN97" s="38">
        <f t="shared" si="477"/>
        <v>-37084.61538461539</v>
      </c>
      <c r="AO97" s="38">
        <f t="shared" si="477"/>
        <v>-37084.61538461539</v>
      </c>
      <c r="AP97" s="38">
        <f t="shared" si="477"/>
        <v>-37084.61538461539</v>
      </c>
      <c r="AQ97" s="38">
        <f t="shared" si="477"/>
        <v>-38197.153846153844</v>
      </c>
      <c r="AR97" s="38">
        <f t="shared" si="477"/>
        <v>-38197.153846153844</v>
      </c>
      <c r="AS97" s="38">
        <f t="shared" ref="AS97:BX97" si="478">-GC96</f>
        <v>0</v>
      </c>
      <c r="AT97" s="38">
        <f t="shared" si="478"/>
        <v>0</v>
      </c>
      <c r="AU97" s="38">
        <f t="shared" si="478"/>
        <v>0</v>
      </c>
      <c r="AV97" s="38">
        <f t="shared" si="478"/>
        <v>0</v>
      </c>
      <c r="AW97" s="38">
        <f t="shared" si="478"/>
        <v>0</v>
      </c>
      <c r="AX97" s="38">
        <f t="shared" si="478"/>
        <v>0</v>
      </c>
      <c r="AY97" s="38">
        <f t="shared" si="478"/>
        <v>0</v>
      </c>
      <c r="AZ97" s="38">
        <f t="shared" si="478"/>
        <v>0</v>
      </c>
      <c r="BA97" s="38">
        <f t="shared" si="478"/>
        <v>0</v>
      </c>
      <c r="BB97" s="38">
        <f t="shared" si="478"/>
        <v>0</v>
      </c>
      <c r="BC97" s="38">
        <f t="shared" si="478"/>
        <v>0</v>
      </c>
      <c r="BD97" s="38">
        <f t="shared" si="478"/>
        <v>0</v>
      </c>
      <c r="BE97" s="38">
        <f t="shared" si="478"/>
        <v>0</v>
      </c>
      <c r="BF97" s="38">
        <f t="shared" si="478"/>
        <v>0</v>
      </c>
      <c r="BG97" s="38">
        <f t="shared" si="478"/>
        <v>0</v>
      </c>
      <c r="BH97" s="38">
        <f t="shared" si="478"/>
        <v>0</v>
      </c>
      <c r="BI97" s="38">
        <f t="shared" si="478"/>
        <v>0</v>
      </c>
      <c r="BJ97" s="38">
        <f t="shared" si="478"/>
        <v>0</v>
      </c>
      <c r="BK97" s="38">
        <f t="shared" si="478"/>
        <v>0</v>
      </c>
      <c r="BL97" s="38">
        <f t="shared" si="478"/>
        <v>0</v>
      </c>
      <c r="BM97" s="38">
        <f t="shared" si="478"/>
        <v>0</v>
      </c>
      <c r="BN97" s="38">
        <f t="shared" si="478"/>
        <v>0</v>
      </c>
      <c r="BO97" s="38">
        <f t="shared" si="478"/>
        <v>0</v>
      </c>
      <c r="BP97" s="38">
        <f t="shared" si="478"/>
        <v>0</v>
      </c>
      <c r="BQ97" s="38">
        <f t="shared" si="478"/>
        <v>0</v>
      </c>
      <c r="BR97" s="38">
        <f t="shared" si="478"/>
        <v>0</v>
      </c>
      <c r="BS97" s="38">
        <f t="shared" si="478"/>
        <v>0</v>
      </c>
      <c r="BT97" s="38">
        <f t="shared" si="478"/>
        <v>0</v>
      </c>
      <c r="BU97" s="38">
        <f t="shared" si="478"/>
        <v>0</v>
      </c>
      <c r="BV97" s="38">
        <f t="shared" si="478"/>
        <v>0</v>
      </c>
      <c r="BW97" s="38">
        <f t="shared" si="478"/>
        <v>0</v>
      </c>
      <c r="BX97" s="38">
        <f t="shared" si="478"/>
        <v>0</v>
      </c>
      <c r="BY97" s="38">
        <f t="shared" ref="BY97:DD97" si="479">-HI96</f>
        <v>0</v>
      </c>
      <c r="BZ97" s="38">
        <f t="shared" si="479"/>
        <v>0</v>
      </c>
      <c r="CA97" s="38">
        <f t="shared" si="479"/>
        <v>0</v>
      </c>
      <c r="CB97" s="38">
        <f t="shared" si="479"/>
        <v>0</v>
      </c>
      <c r="CC97" s="38">
        <f t="shared" si="479"/>
        <v>0</v>
      </c>
      <c r="CD97" s="38">
        <f t="shared" si="479"/>
        <v>0</v>
      </c>
      <c r="CE97" s="38">
        <f t="shared" si="479"/>
        <v>0</v>
      </c>
      <c r="CF97" s="38">
        <f t="shared" si="479"/>
        <v>0</v>
      </c>
      <c r="CG97" s="38">
        <f t="shared" si="479"/>
        <v>0</v>
      </c>
      <c r="CH97" s="38">
        <f t="shared" si="479"/>
        <v>0</v>
      </c>
      <c r="CI97" s="38">
        <f t="shared" si="479"/>
        <v>0</v>
      </c>
      <c r="CJ97" s="38">
        <f t="shared" si="479"/>
        <v>0</v>
      </c>
      <c r="CK97" s="38">
        <f t="shared" si="479"/>
        <v>0</v>
      </c>
      <c r="CL97" s="38">
        <f t="shared" si="479"/>
        <v>0</v>
      </c>
      <c r="CM97" s="38">
        <f t="shared" si="479"/>
        <v>0</v>
      </c>
      <c r="CN97" s="38">
        <f t="shared" si="479"/>
        <v>0</v>
      </c>
      <c r="CO97" s="38">
        <f t="shared" si="479"/>
        <v>0</v>
      </c>
      <c r="CP97" s="38">
        <f t="shared" si="479"/>
        <v>0</v>
      </c>
      <c r="CQ97" s="38">
        <f t="shared" si="479"/>
        <v>0</v>
      </c>
      <c r="CR97" s="38">
        <f t="shared" si="479"/>
        <v>0</v>
      </c>
      <c r="CS97" s="38">
        <f t="shared" si="479"/>
        <v>0</v>
      </c>
      <c r="CT97" s="38">
        <f t="shared" si="479"/>
        <v>0</v>
      </c>
      <c r="CU97" s="38">
        <f t="shared" si="479"/>
        <v>0</v>
      </c>
      <c r="CV97" s="38">
        <f t="shared" si="479"/>
        <v>0</v>
      </c>
      <c r="CW97" s="38">
        <f t="shared" si="479"/>
        <v>0</v>
      </c>
      <c r="CX97" s="38">
        <f t="shared" si="479"/>
        <v>0</v>
      </c>
      <c r="CY97" s="38">
        <f t="shared" si="479"/>
        <v>0</v>
      </c>
      <c r="CZ97" s="38">
        <f t="shared" si="479"/>
        <v>0</v>
      </c>
      <c r="DA97" s="38">
        <f t="shared" si="479"/>
        <v>0</v>
      </c>
      <c r="DB97" s="38">
        <f t="shared" si="479"/>
        <v>0</v>
      </c>
      <c r="DC97" s="38">
        <f t="shared" si="479"/>
        <v>0</v>
      </c>
      <c r="DD97" s="38">
        <f t="shared" si="479"/>
        <v>0</v>
      </c>
      <c r="DE97" s="38">
        <f t="shared" ref="DE97:EJ97" si="480">-IO96</f>
        <v>0</v>
      </c>
      <c r="DF97" s="38">
        <f t="shared" si="480"/>
        <v>0</v>
      </c>
      <c r="DG97" s="38">
        <f t="shared" si="480"/>
        <v>0</v>
      </c>
      <c r="DH97" s="38">
        <f t="shared" si="480"/>
        <v>0</v>
      </c>
      <c r="DI97" s="38">
        <f t="shared" si="480"/>
        <v>0</v>
      </c>
      <c r="DJ97" s="38">
        <f t="shared" si="480"/>
        <v>0</v>
      </c>
      <c r="DK97" s="38">
        <f t="shared" si="480"/>
        <v>0</v>
      </c>
      <c r="DL97" s="38">
        <f t="shared" si="480"/>
        <v>0</v>
      </c>
      <c r="DM97" s="38">
        <f t="shared" si="480"/>
        <v>0</v>
      </c>
      <c r="DN97" s="38">
        <f t="shared" si="480"/>
        <v>0</v>
      </c>
      <c r="DO97" s="38">
        <f t="shared" si="480"/>
        <v>0</v>
      </c>
      <c r="DP97" s="38">
        <f t="shared" si="480"/>
        <v>0</v>
      </c>
      <c r="DQ97" s="38">
        <f t="shared" si="480"/>
        <v>0</v>
      </c>
      <c r="DR97" s="38">
        <f t="shared" si="480"/>
        <v>0</v>
      </c>
      <c r="DS97" s="38">
        <f t="shared" si="480"/>
        <v>0</v>
      </c>
      <c r="DT97" s="38">
        <f t="shared" si="480"/>
        <v>0</v>
      </c>
      <c r="DU97" s="38">
        <f t="shared" si="480"/>
        <v>0</v>
      </c>
      <c r="DV97" s="38">
        <f t="shared" si="480"/>
        <v>0</v>
      </c>
      <c r="DW97" s="38">
        <f t="shared" si="480"/>
        <v>0</v>
      </c>
      <c r="DX97" s="38">
        <f t="shared" si="480"/>
        <v>0</v>
      </c>
      <c r="DY97" s="38">
        <f t="shared" si="480"/>
        <v>0</v>
      </c>
      <c r="DZ97" s="38">
        <f t="shared" si="480"/>
        <v>0</v>
      </c>
      <c r="EA97" s="38">
        <f t="shared" si="480"/>
        <v>0</v>
      </c>
      <c r="EB97" s="38">
        <f t="shared" si="480"/>
        <v>0</v>
      </c>
      <c r="EC97" s="38">
        <f t="shared" si="480"/>
        <v>0</v>
      </c>
      <c r="ED97" s="38">
        <f t="shared" si="480"/>
        <v>0</v>
      </c>
      <c r="EE97" s="38">
        <f t="shared" si="480"/>
        <v>0</v>
      </c>
      <c r="EF97" s="38">
        <f t="shared" si="480"/>
        <v>0</v>
      </c>
      <c r="EG97" s="38">
        <f t="shared" si="480"/>
        <v>0</v>
      </c>
      <c r="EH97" s="38">
        <f t="shared" si="480"/>
        <v>0</v>
      </c>
      <c r="EI97" s="38">
        <f t="shared" si="480"/>
        <v>0</v>
      </c>
      <c r="EJ97" s="38">
        <f t="shared" si="480"/>
        <v>0</v>
      </c>
      <c r="EK97" s="38">
        <f>-JU96</f>
        <v>0</v>
      </c>
      <c r="EL97" s="38">
        <f>-JV96</f>
        <v>0</v>
      </c>
      <c r="EM97" s="38">
        <f>-JW96</f>
        <v>0</v>
      </c>
      <c r="EN97" s="38">
        <f>-JX96</f>
        <v>0</v>
      </c>
      <c r="EP97" s="37" t="s">
        <v>109</v>
      </c>
      <c r="EQ97" s="24"/>
      <c r="ER97" s="24"/>
      <c r="ES97" s="24"/>
      <c r="ET97" s="24"/>
      <c r="EU97" s="33" t="s">
        <v>110</v>
      </c>
      <c r="EV97" s="26"/>
      <c r="EW97" s="26">
        <f t="shared" ref="EW97:GB97" si="481">EW86</f>
        <v>0</v>
      </c>
      <c r="EX97" s="26">
        <f t="shared" si="481"/>
        <v>0</v>
      </c>
      <c r="EY97" s="26">
        <f t="shared" si="481"/>
        <v>0</v>
      </c>
      <c r="EZ97" s="26">
        <f t="shared" si="481"/>
        <v>0</v>
      </c>
      <c r="FA97" s="26">
        <f t="shared" si="481"/>
        <v>0</v>
      </c>
      <c r="FB97" s="26">
        <f t="shared" si="481"/>
        <v>0</v>
      </c>
      <c r="FC97" s="26">
        <f t="shared" si="481"/>
        <v>0</v>
      </c>
      <c r="FD97" s="26">
        <f t="shared" si="481"/>
        <v>0</v>
      </c>
      <c r="FE97" s="26">
        <f t="shared" si="481"/>
        <v>0</v>
      </c>
      <c r="FF97" s="26">
        <f t="shared" si="481"/>
        <v>0</v>
      </c>
      <c r="FG97" s="26">
        <f t="shared" si="481"/>
        <v>0</v>
      </c>
      <c r="FH97" s="26">
        <f t="shared" si="481"/>
        <v>0</v>
      </c>
      <c r="FI97" s="26">
        <f t="shared" si="481"/>
        <v>0</v>
      </c>
      <c r="FJ97" s="26">
        <f t="shared" si="481"/>
        <v>0</v>
      </c>
      <c r="FK97" s="26">
        <f t="shared" si="481"/>
        <v>0</v>
      </c>
      <c r="FL97" s="26">
        <f t="shared" si="481"/>
        <v>0</v>
      </c>
      <c r="FM97" s="26">
        <f t="shared" si="481"/>
        <v>0</v>
      </c>
      <c r="FN97" s="26">
        <f t="shared" si="481"/>
        <v>0</v>
      </c>
      <c r="FO97" s="26">
        <f t="shared" si="481"/>
        <v>0</v>
      </c>
      <c r="FP97" s="26">
        <f t="shared" si="481"/>
        <v>0</v>
      </c>
      <c r="FQ97" s="26">
        <f t="shared" si="481"/>
        <v>0</v>
      </c>
      <c r="FR97" s="26">
        <f t="shared" si="481"/>
        <v>0</v>
      </c>
      <c r="FS97" s="26">
        <f t="shared" si="481"/>
        <v>0</v>
      </c>
      <c r="FT97" s="26">
        <f t="shared" si="481"/>
        <v>0</v>
      </c>
      <c r="FU97" s="26">
        <f t="shared" si="481"/>
        <v>0</v>
      </c>
      <c r="FV97" s="26">
        <f t="shared" si="481"/>
        <v>0</v>
      </c>
      <c r="FW97" s="26">
        <f t="shared" si="481"/>
        <v>0</v>
      </c>
      <c r="FX97" s="26">
        <f t="shared" si="481"/>
        <v>0</v>
      </c>
      <c r="FY97" s="26">
        <f t="shared" si="481"/>
        <v>0</v>
      </c>
      <c r="FZ97" s="26">
        <f t="shared" si="481"/>
        <v>0</v>
      </c>
      <c r="GA97" s="26">
        <f t="shared" si="481"/>
        <v>0</v>
      </c>
      <c r="GB97" s="26">
        <f t="shared" si="481"/>
        <v>0</v>
      </c>
      <c r="GC97" s="26">
        <f t="shared" ref="GC97:HH97" si="482">GC86</f>
        <v>1</v>
      </c>
      <c r="GD97" s="26">
        <f t="shared" si="482"/>
        <v>2</v>
      </c>
      <c r="GE97" s="26">
        <f t="shared" si="482"/>
        <v>3</v>
      </c>
      <c r="GF97" s="26">
        <f t="shared" si="482"/>
        <v>4</v>
      </c>
      <c r="GG97" s="26">
        <f t="shared" si="482"/>
        <v>5</v>
      </c>
      <c r="GH97" s="26">
        <f t="shared" si="482"/>
        <v>6</v>
      </c>
      <c r="GI97" s="26">
        <f t="shared" si="482"/>
        <v>7</v>
      </c>
      <c r="GJ97" s="26">
        <f t="shared" si="482"/>
        <v>8</v>
      </c>
      <c r="GK97" s="26">
        <f t="shared" si="482"/>
        <v>9</v>
      </c>
      <c r="GL97" s="26">
        <f t="shared" si="482"/>
        <v>10</v>
      </c>
      <c r="GM97" s="26">
        <f t="shared" si="482"/>
        <v>11</v>
      </c>
      <c r="GN97" s="26">
        <f t="shared" si="482"/>
        <v>12</v>
      </c>
      <c r="GO97" s="26">
        <f t="shared" si="482"/>
        <v>13</v>
      </c>
      <c r="GP97" s="26">
        <f t="shared" si="482"/>
        <v>14</v>
      </c>
      <c r="GQ97" s="26">
        <f t="shared" si="482"/>
        <v>15</v>
      </c>
      <c r="GR97" s="26">
        <f t="shared" si="482"/>
        <v>16</v>
      </c>
      <c r="GS97" s="26">
        <f t="shared" si="482"/>
        <v>17</v>
      </c>
      <c r="GT97" s="26">
        <f t="shared" si="482"/>
        <v>18</v>
      </c>
      <c r="GU97" s="26">
        <f t="shared" si="482"/>
        <v>19</v>
      </c>
      <c r="GV97" s="26">
        <f t="shared" si="482"/>
        <v>20</v>
      </c>
      <c r="GW97" s="26">
        <f t="shared" si="482"/>
        <v>21</v>
      </c>
      <c r="GX97" s="26">
        <f t="shared" si="482"/>
        <v>22</v>
      </c>
      <c r="GY97" s="26">
        <f t="shared" si="482"/>
        <v>23</v>
      </c>
      <c r="GZ97" s="26">
        <f t="shared" si="482"/>
        <v>24</v>
      </c>
      <c r="HA97" s="26">
        <f t="shared" si="482"/>
        <v>25</v>
      </c>
      <c r="HB97" s="26">
        <f t="shared" si="482"/>
        <v>26</v>
      </c>
      <c r="HC97" s="26">
        <f t="shared" si="482"/>
        <v>27</v>
      </c>
      <c r="HD97" s="26">
        <f t="shared" si="482"/>
        <v>28</v>
      </c>
      <c r="HE97" s="26">
        <f t="shared" si="482"/>
        <v>29</v>
      </c>
      <c r="HF97" s="26">
        <f t="shared" si="482"/>
        <v>30</v>
      </c>
      <c r="HG97" s="26">
        <f t="shared" si="482"/>
        <v>31</v>
      </c>
      <c r="HH97" s="26">
        <f t="shared" si="482"/>
        <v>32</v>
      </c>
      <c r="HI97" s="26">
        <f t="shared" ref="HI97:IN97" si="483">HI86</f>
        <v>33</v>
      </c>
      <c r="HJ97" s="26">
        <f t="shared" si="483"/>
        <v>34</v>
      </c>
      <c r="HK97" s="26">
        <f t="shared" si="483"/>
        <v>35</v>
      </c>
      <c r="HL97" s="26">
        <f t="shared" si="483"/>
        <v>36</v>
      </c>
      <c r="HM97" s="26">
        <f t="shared" si="483"/>
        <v>37</v>
      </c>
      <c r="HN97" s="26">
        <f t="shared" si="483"/>
        <v>38</v>
      </c>
      <c r="HO97" s="26">
        <f t="shared" si="483"/>
        <v>39</v>
      </c>
      <c r="HP97" s="26">
        <f t="shared" si="483"/>
        <v>40</v>
      </c>
      <c r="HQ97" s="26">
        <f t="shared" si="483"/>
        <v>41</v>
      </c>
      <c r="HR97" s="26">
        <f t="shared" si="483"/>
        <v>42</v>
      </c>
      <c r="HS97" s="26">
        <f t="shared" si="483"/>
        <v>43</v>
      </c>
      <c r="HT97" s="26">
        <f t="shared" si="483"/>
        <v>44</v>
      </c>
      <c r="HU97" s="26">
        <f t="shared" si="483"/>
        <v>45</v>
      </c>
      <c r="HV97" s="26">
        <f t="shared" si="483"/>
        <v>46</v>
      </c>
      <c r="HW97" s="26">
        <f t="shared" si="483"/>
        <v>47</v>
      </c>
      <c r="HX97" s="26">
        <f t="shared" si="483"/>
        <v>48</v>
      </c>
      <c r="HY97" s="26">
        <f t="shared" si="483"/>
        <v>49</v>
      </c>
      <c r="HZ97" s="26">
        <f t="shared" si="483"/>
        <v>50</v>
      </c>
      <c r="IA97" s="26">
        <f t="shared" si="483"/>
        <v>51</v>
      </c>
      <c r="IB97" s="26">
        <f t="shared" si="483"/>
        <v>52</v>
      </c>
      <c r="IC97" s="26">
        <f t="shared" si="483"/>
        <v>53</v>
      </c>
      <c r="ID97" s="26">
        <f t="shared" si="483"/>
        <v>54</v>
      </c>
      <c r="IE97" s="26">
        <f t="shared" si="483"/>
        <v>55</v>
      </c>
      <c r="IF97" s="26">
        <f t="shared" si="483"/>
        <v>56</v>
      </c>
      <c r="IG97" s="26">
        <f t="shared" si="483"/>
        <v>57</v>
      </c>
      <c r="IH97" s="26">
        <f t="shared" si="483"/>
        <v>58</v>
      </c>
      <c r="II97" s="26">
        <f t="shared" si="483"/>
        <v>59</v>
      </c>
      <c r="IJ97" s="26">
        <f t="shared" si="483"/>
        <v>60</v>
      </c>
      <c r="IK97" s="26">
        <f t="shared" si="483"/>
        <v>61</v>
      </c>
      <c r="IL97" s="26">
        <f t="shared" si="483"/>
        <v>62</v>
      </c>
      <c r="IM97" s="26">
        <f t="shared" si="483"/>
        <v>63</v>
      </c>
      <c r="IN97" s="26">
        <f t="shared" si="483"/>
        <v>64</v>
      </c>
      <c r="IO97" s="26">
        <f t="shared" ref="IO97:JX97" si="484">IO86</f>
        <v>65</v>
      </c>
      <c r="IP97" s="26">
        <f t="shared" si="484"/>
        <v>66</v>
      </c>
      <c r="IQ97" s="26">
        <f t="shared" si="484"/>
        <v>67</v>
      </c>
      <c r="IR97" s="26">
        <f t="shared" si="484"/>
        <v>68</v>
      </c>
      <c r="IS97" s="26">
        <f t="shared" si="484"/>
        <v>69</v>
      </c>
      <c r="IT97" s="26">
        <f t="shared" si="484"/>
        <v>70</v>
      </c>
      <c r="IU97" s="26">
        <f t="shared" si="484"/>
        <v>71</v>
      </c>
      <c r="IV97" s="26">
        <f t="shared" si="484"/>
        <v>72</v>
      </c>
      <c r="IW97" s="26">
        <f t="shared" si="484"/>
        <v>73</v>
      </c>
      <c r="IX97" s="26">
        <f t="shared" si="484"/>
        <v>74</v>
      </c>
      <c r="IY97" s="26">
        <f t="shared" si="484"/>
        <v>75</v>
      </c>
      <c r="IZ97" s="26">
        <f t="shared" si="484"/>
        <v>76</v>
      </c>
      <c r="JA97" s="26">
        <f t="shared" si="484"/>
        <v>77</v>
      </c>
      <c r="JB97" s="26">
        <f t="shared" si="484"/>
        <v>78</v>
      </c>
      <c r="JC97" s="26">
        <f t="shared" si="484"/>
        <v>79</v>
      </c>
      <c r="JD97" s="26">
        <f t="shared" si="484"/>
        <v>80</v>
      </c>
      <c r="JE97" s="26">
        <f t="shared" si="484"/>
        <v>81</v>
      </c>
      <c r="JF97" s="26">
        <f t="shared" si="484"/>
        <v>82</v>
      </c>
      <c r="JG97" s="26">
        <f t="shared" si="484"/>
        <v>83</v>
      </c>
      <c r="JH97" s="26">
        <f t="shared" si="484"/>
        <v>84</v>
      </c>
      <c r="JI97" s="26">
        <f t="shared" si="484"/>
        <v>85</v>
      </c>
      <c r="JJ97" s="26">
        <f t="shared" si="484"/>
        <v>86</v>
      </c>
      <c r="JK97" s="26">
        <f t="shared" si="484"/>
        <v>87</v>
      </c>
      <c r="JL97" s="26">
        <f t="shared" si="484"/>
        <v>88</v>
      </c>
      <c r="JM97" s="26">
        <f t="shared" si="484"/>
        <v>89</v>
      </c>
      <c r="JN97" s="26">
        <f t="shared" si="484"/>
        <v>90</v>
      </c>
      <c r="JO97" s="26">
        <f t="shared" si="484"/>
        <v>91</v>
      </c>
      <c r="JP97" s="26">
        <f t="shared" si="484"/>
        <v>92</v>
      </c>
      <c r="JQ97" s="26">
        <f t="shared" si="484"/>
        <v>93</v>
      </c>
      <c r="JR97" s="26">
        <f t="shared" si="484"/>
        <v>94</v>
      </c>
      <c r="JS97" s="26">
        <f t="shared" si="484"/>
        <v>95</v>
      </c>
      <c r="JT97" s="26">
        <f t="shared" si="484"/>
        <v>96</v>
      </c>
      <c r="JU97" s="26">
        <f t="shared" si="484"/>
        <v>97</v>
      </c>
      <c r="JV97" s="26">
        <f t="shared" si="484"/>
        <v>98</v>
      </c>
      <c r="JW97" s="26">
        <f t="shared" si="484"/>
        <v>99</v>
      </c>
      <c r="JX97" s="26">
        <f t="shared" si="484"/>
        <v>100</v>
      </c>
    </row>
    <row r="98" spans="1:284" s="7" customFormat="1" x14ac:dyDescent="0.2">
      <c r="A98" s="406"/>
      <c r="B98" s="112" t="s">
        <v>118</v>
      </c>
      <c r="C98" s="93"/>
      <c r="D98" s="93"/>
      <c r="E98" s="93"/>
      <c r="F98" s="93"/>
      <c r="G98" s="392">
        <f>I98/Units_SF_M2/12</f>
        <v>0</v>
      </c>
      <c r="H98" s="123">
        <f>I98/Units/12</f>
        <v>0</v>
      </c>
      <c r="I98" s="113">
        <v>0</v>
      </c>
      <c r="M98" s="38">
        <f t="shared" ref="M98:AR98" si="485">(-EW103*((12-EW99)/12))-(M96*(1-M84))</f>
        <v>0</v>
      </c>
      <c r="N98" s="38">
        <f t="shared" si="485"/>
        <v>0</v>
      </c>
      <c r="O98" s="38">
        <f t="shared" si="485"/>
        <v>0</v>
      </c>
      <c r="P98" s="38">
        <f t="shared" si="485"/>
        <v>0</v>
      </c>
      <c r="Q98" s="38">
        <f t="shared" si="485"/>
        <v>0</v>
      </c>
      <c r="R98" s="38">
        <f t="shared" si="485"/>
        <v>0</v>
      </c>
      <c r="S98" s="38">
        <f t="shared" si="485"/>
        <v>0</v>
      </c>
      <c r="T98" s="38">
        <f t="shared" si="485"/>
        <v>0</v>
      </c>
      <c r="U98" s="38">
        <f t="shared" si="485"/>
        <v>0</v>
      </c>
      <c r="V98" s="38">
        <f t="shared" si="485"/>
        <v>0</v>
      </c>
      <c r="W98" s="38">
        <f t="shared" si="485"/>
        <v>0</v>
      </c>
      <c r="X98" s="38">
        <f t="shared" si="485"/>
        <v>0</v>
      </c>
      <c r="Y98" s="38">
        <f t="shared" si="485"/>
        <v>0</v>
      </c>
      <c r="Z98" s="38">
        <f t="shared" si="485"/>
        <v>0</v>
      </c>
      <c r="AA98" s="38">
        <f t="shared" si="485"/>
        <v>0</v>
      </c>
      <c r="AB98" s="38">
        <f t="shared" si="485"/>
        <v>0</v>
      </c>
      <c r="AC98" s="38">
        <f t="shared" si="485"/>
        <v>0</v>
      </c>
      <c r="AD98" s="38">
        <f t="shared" si="485"/>
        <v>0</v>
      </c>
      <c r="AE98" s="38">
        <f t="shared" si="485"/>
        <v>-433890</v>
      </c>
      <c r="AF98" s="38">
        <f t="shared" si="485"/>
        <v>-401750</v>
      </c>
      <c r="AG98" s="38">
        <f t="shared" si="485"/>
        <v>-369610</v>
      </c>
      <c r="AH98" s="38">
        <f t="shared" si="485"/>
        <v>-337470</v>
      </c>
      <c r="AI98" s="38">
        <f t="shared" si="485"/>
        <v>-305330</v>
      </c>
      <c r="AJ98" s="38">
        <f t="shared" si="485"/>
        <v>-273190</v>
      </c>
      <c r="AK98" s="38">
        <f t="shared" si="485"/>
        <v>-241050</v>
      </c>
      <c r="AL98" s="38">
        <f t="shared" si="485"/>
        <v>-208910</v>
      </c>
      <c r="AM98" s="38">
        <f t="shared" si="485"/>
        <v>-176770</v>
      </c>
      <c r="AN98" s="38">
        <f t="shared" si="485"/>
        <v>-144630.00000000003</v>
      </c>
      <c r="AO98" s="38">
        <f t="shared" si="485"/>
        <v>-112490.00000000003</v>
      </c>
      <c r="AP98" s="38">
        <f t="shared" si="485"/>
        <v>-80349.999999999985</v>
      </c>
      <c r="AQ98" s="38">
        <f t="shared" si="485"/>
        <v>-49656.299999999988</v>
      </c>
      <c r="AR98" s="38">
        <f t="shared" si="485"/>
        <v>-16552.099999999995</v>
      </c>
      <c r="AS98" s="38">
        <f t="shared" ref="AS98:BX98" si="486">(-GC103*((12-GC99)/12))-(AS96*(1-AS84))</f>
        <v>-13257.75</v>
      </c>
      <c r="AT98" s="38">
        <f t="shared" si="486"/>
        <v>-12052.5</v>
      </c>
      <c r="AU98" s="38">
        <f t="shared" si="486"/>
        <v>-10847.25</v>
      </c>
      <c r="AV98" s="38">
        <f t="shared" si="486"/>
        <v>-9642</v>
      </c>
      <c r="AW98" s="38">
        <f t="shared" si="486"/>
        <v>-8436.75</v>
      </c>
      <c r="AX98" s="38">
        <f t="shared" si="486"/>
        <v>-7231.5</v>
      </c>
      <c r="AY98" s="38">
        <f t="shared" si="486"/>
        <v>-6026.25</v>
      </c>
      <c r="AZ98" s="38">
        <f t="shared" si="486"/>
        <v>-4821</v>
      </c>
      <c r="BA98" s="38">
        <f t="shared" si="486"/>
        <v>-3615.75</v>
      </c>
      <c r="BB98" s="38">
        <f t="shared" si="486"/>
        <v>-2410.5</v>
      </c>
      <c r="BC98" s="38">
        <f t="shared" si="486"/>
        <v>-1241.4074999999962</v>
      </c>
      <c r="BD98" s="38">
        <f t="shared" si="486"/>
        <v>0</v>
      </c>
      <c r="BE98" s="38">
        <f t="shared" si="486"/>
        <v>-13655.482499999958</v>
      </c>
      <c r="BF98" s="38">
        <f t="shared" si="486"/>
        <v>-12414.074999999964</v>
      </c>
      <c r="BG98" s="38">
        <f t="shared" si="486"/>
        <v>-11172.667499999967</v>
      </c>
      <c r="BH98" s="38">
        <f t="shared" si="486"/>
        <v>-9931.2599999999693</v>
      </c>
      <c r="BI98" s="38">
        <f t="shared" si="486"/>
        <v>-8689.8524999999754</v>
      </c>
      <c r="BJ98" s="38">
        <f t="shared" si="486"/>
        <v>-7448.4449999999779</v>
      </c>
      <c r="BK98" s="38">
        <f t="shared" si="486"/>
        <v>-6207.0374999999822</v>
      </c>
      <c r="BL98" s="38">
        <f t="shared" si="486"/>
        <v>-4965.6299999999846</v>
      </c>
      <c r="BM98" s="38">
        <f t="shared" si="486"/>
        <v>-3724.2224999999889</v>
      </c>
      <c r="BN98" s="38">
        <f t="shared" si="486"/>
        <v>-2482.8149999999923</v>
      </c>
      <c r="BO98" s="38">
        <f t="shared" si="486"/>
        <v>-1278.6497250000004</v>
      </c>
      <c r="BP98" s="38">
        <f t="shared" si="486"/>
        <v>0</v>
      </c>
      <c r="BQ98" s="38">
        <f t="shared" si="486"/>
        <v>-14065.146975000005</v>
      </c>
      <c r="BR98" s="38">
        <f t="shared" si="486"/>
        <v>-12786.497250000006</v>
      </c>
      <c r="BS98" s="38">
        <f t="shared" si="486"/>
        <v>-11507.847525000005</v>
      </c>
      <c r="BT98" s="38">
        <f t="shared" si="486"/>
        <v>-10229.197800000004</v>
      </c>
      <c r="BU98" s="38">
        <f t="shared" si="486"/>
        <v>-8950.5480750000042</v>
      </c>
      <c r="BV98" s="38">
        <f t="shared" si="486"/>
        <v>-7671.8983500000031</v>
      </c>
      <c r="BW98" s="38">
        <f t="shared" si="486"/>
        <v>-6393.2486250000029</v>
      </c>
      <c r="BX98" s="38">
        <f t="shared" si="486"/>
        <v>-5114.5989000000018</v>
      </c>
      <c r="BY98" s="38">
        <f t="shared" ref="BY98:DD98" si="487">(-HI103*((12-HI99)/12))-(BY96*(1-BY84))</f>
        <v>-3835.9491750000016</v>
      </c>
      <c r="BZ98" s="38">
        <f t="shared" si="487"/>
        <v>-2557.2994500000009</v>
      </c>
      <c r="CA98" s="38">
        <f t="shared" si="487"/>
        <v>-1317.0092167500018</v>
      </c>
      <c r="CB98" s="38">
        <f t="shared" si="487"/>
        <v>0</v>
      </c>
      <c r="CC98" s="38">
        <f t="shared" si="487"/>
        <v>-14487.10138425002</v>
      </c>
      <c r="CD98" s="38">
        <f t="shared" si="487"/>
        <v>-13170.092167500019</v>
      </c>
      <c r="CE98" s="38">
        <f t="shared" si="487"/>
        <v>-11853.082950750017</v>
      </c>
      <c r="CF98" s="38">
        <f t="shared" si="487"/>
        <v>-10536.073734000014</v>
      </c>
      <c r="CG98" s="38">
        <f t="shared" si="487"/>
        <v>-9219.0645172500135</v>
      </c>
      <c r="CH98" s="38">
        <f t="shared" si="487"/>
        <v>-7902.0553005000111</v>
      </c>
      <c r="CI98" s="38">
        <f t="shared" si="487"/>
        <v>-6585.0460837500095</v>
      </c>
      <c r="CJ98" s="38">
        <f t="shared" si="487"/>
        <v>-5268.0368670000071</v>
      </c>
      <c r="CK98" s="38">
        <f t="shared" si="487"/>
        <v>-3951.0276502500055</v>
      </c>
      <c r="CL98" s="38">
        <f t="shared" si="487"/>
        <v>-2634.0184335000035</v>
      </c>
      <c r="CM98" s="38">
        <f t="shared" si="487"/>
        <v>-1356.5194932525046</v>
      </c>
      <c r="CN98" s="38">
        <f t="shared" si="487"/>
        <v>0</v>
      </c>
      <c r="CO98" s="38">
        <f t="shared" si="487"/>
        <v>-14921.714425777551</v>
      </c>
      <c r="CP98" s="38">
        <f t="shared" si="487"/>
        <v>-13565.194932525046</v>
      </c>
      <c r="CQ98" s="38">
        <f t="shared" si="487"/>
        <v>-12208.675439272542</v>
      </c>
      <c r="CR98" s="38">
        <f t="shared" si="487"/>
        <v>-10852.155946020037</v>
      </c>
      <c r="CS98" s="38">
        <f t="shared" si="487"/>
        <v>-9495.6364527675323</v>
      </c>
      <c r="CT98" s="38">
        <f t="shared" si="487"/>
        <v>-8139.1169595150277</v>
      </c>
      <c r="CU98" s="38">
        <f t="shared" si="487"/>
        <v>-6782.5974662625231</v>
      </c>
      <c r="CV98" s="38">
        <f t="shared" si="487"/>
        <v>-5426.0779730100185</v>
      </c>
      <c r="CW98" s="38">
        <f t="shared" si="487"/>
        <v>-4069.5584797575139</v>
      </c>
      <c r="CX98" s="38">
        <f t="shared" si="487"/>
        <v>-2713.0389865050092</v>
      </c>
      <c r="CY98" s="38">
        <f t="shared" si="487"/>
        <v>-1397.2150780500669</v>
      </c>
      <c r="CZ98" s="38">
        <f t="shared" si="487"/>
        <v>0</v>
      </c>
      <c r="DA98" s="38">
        <f t="shared" si="487"/>
        <v>-15369.365858550736</v>
      </c>
      <c r="DB98" s="38">
        <f t="shared" si="487"/>
        <v>-13972.150780500669</v>
      </c>
      <c r="DC98" s="38">
        <f t="shared" si="487"/>
        <v>-12574.935702450603</v>
      </c>
      <c r="DD98" s="38">
        <f t="shared" si="487"/>
        <v>-11177.720624400536</v>
      </c>
      <c r="DE98" s="38">
        <f t="shared" ref="DE98:EJ98" si="488">(-IO103*((12-IO99)/12))-(DE96*(1-DE84))</f>
        <v>-9780.5055463504686</v>
      </c>
      <c r="DF98" s="38">
        <f t="shared" si="488"/>
        <v>-8383.2904683004017</v>
      </c>
      <c r="DG98" s="38">
        <f t="shared" si="488"/>
        <v>-6986.0753902503347</v>
      </c>
      <c r="DH98" s="38">
        <f t="shared" si="488"/>
        <v>-5588.8603122002678</v>
      </c>
      <c r="DI98" s="38">
        <f t="shared" si="488"/>
        <v>-4191.6452341502008</v>
      </c>
      <c r="DJ98" s="38">
        <f t="shared" si="488"/>
        <v>-2794.4301561001339</v>
      </c>
      <c r="DK98" s="38">
        <f t="shared" si="488"/>
        <v>-1439.1315303915858</v>
      </c>
      <c r="DL98" s="38">
        <f t="shared" si="488"/>
        <v>0</v>
      </c>
      <c r="DM98" s="38">
        <f t="shared" si="488"/>
        <v>-15830.446834307444</v>
      </c>
      <c r="DN98" s="38">
        <f t="shared" si="488"/>
        <v>-14391.315303915861</v>
      </c>
      <c r="DO98" s="38">
        <f t="shared" si="488"/>
        <v>-12952.183773524273</v>
      </c>
      <c r="DP98" s="38">
        <f t="shared" si="488"/>
        <v>-11513.052243132686</v>
      </c>
      <c r="DQ98" s="38">
        <f t="shared" si="488"/>
        <v>-10073.920712741103</v>
      </c>
      <c r="DR98" s="38">
        <f t="shared" si="488"/>
        <v>-8634.7891823495156</v>
      </c>
      <c r="DS98" s="38">
        <f t="shared" si="488"/>
        <v>-7195.6576519579303</v>
      </c>
      <c r="DT98" s="38">
        <f t="shared" si="488"/>
        <v>-5756.5261215663431</v>
      </c>
      <c r="DU98" s="38">
        <f t="shared" si="488"/>
        <v>-4317.3945911747578</v>
      </c>
      <c r="DV98" s="38">
        <f t="shared" si="488"/>
        <v>-2878.2630607831716</v>
      </c>
      <c r="DW98" s="38">
        <f t="shared" si="488"/>
        <v>-1482.3054763033092</v>
      </c>
      <c r="DX98" s="38">
        <f t="shared" si="488"/>
        <v>0</v>
      </c>
      <c r="DY98" s="38">
        <f t="shared" si="488"/>
        <v>-16305.360239336402</v>
      </c>
      <c r="DZ98" s="38">
        <f t="shared" si="488"/>
        <v>-14823.054763033095</v>
      </c>
      <c r="EA98" s="38">
        <f t="shared" si="488"/>
        <v>-13340.749286729784</v>
      </c>
      <c r="EB98" s="38">
        <f t="shared" si="488"/>
        <v>-11858.443810426474</v>
      </c>
      <c r="EC98" s="38">
        <f t="shared" si="488"/>
        <v>-10376.138334123167</v>
      </c>
      <c r="ED98" s="38">
        <f t="shared" si="488"/>
        <v>-8893.8328578198561</v>
      </c>
      <c r="EE98" s="38">
        <f t="shared" si="488"/>
        <v>-7411.5273815165474</v>
      </c>
      <c r="EF98" s="38">
        <f t="shared" si="488"/>
        <v>-5929.2219052132368</v>
      </c>
      <c r="EG98" s="38">
        <f t="shared" si="488"/>
        <v>-4446.9164289099281</v>
      </c>
      <c r="EH98" s="38">
        <f t="shared" si="488"/>
        <v>-2964.6109526066184</v>
      </c>
      <c r="EI98" s="38">
        <f t="shared" si="488"/>
        <v>-1526.7746405924263</v>
      </c>
      <c r="EJ98" s="38">
        <f t="shared" si="488"/>
        <v>0</v>
      </c>
      <c r="EK98" s="38">
        <f>(-JU103*((12-JU99)/12))-(EK96*(1-EK84))</f>
        <v>-16794.521046516689</v>
      </c>
      <c r="EL98" s="38">
        <f>(-JV103*((12-JV99)/12))-(EL96*(1-EL84))</f>
        <v>-15267.746405924263</v>
      </c>
      <c r="EM98" s="38">
        <f>(-JW103*((12-JW99)/12))-(EM96*(1-EM84))</f>
        <v>-13740.971765331837</v>
      </c>
      <c r="EN98" s="38">
        <f>(-JX103*((12-JX99)/12))-(EN96*(1-EN84))</f>
        <v>-12214.19712473941</v>
      </c>
      <c r="EP98" s="24"/>
      <c r="EQ98" s="24"/>
      <c r="ER98" s="24"/>
      <c r="ES98" s="24"/>
      <c r="ET98" s="24"/>
      <c r="EU98" s="33" t="s">
        <v>111</v>
      </c>
      <c r="EV98" s="27"/>
      <c r="EW98" s="27">
        <f t="shared" ref="EW98:HH98" si="489">ROUNDUP(EW97/12,0)</f>
        <v>0</v>
      </c>
      <c r="EX98" s="27">
        <f t="shared" si="489"/>
        <v>0</v>
      </c>
      <c r="EY98" s="27">
        <f t="shared" si="489"/>
        <v>0</v>
      </c>
      <c r="EZ98" s="27">
        <f t="shared" si="489"/>
        <v>0</v>
      </c>
      <c r="FA98" s="27">
        <f t="shared" si="489"/>
        <v>0</v>
      </c>
      <c r="FB98" s="27">
        <f t="shared" si="489"/>
        <v>0</v>
      </c>
      <c r="FC98" s="27">
        <f t="shared" si="489"/>
        <v>0</v>
      </c>
      <c r="FD98" s="27">
        <f t="shared" si="489"/>
        <v>0</v>
      </c>
      <c r="FE98" s="27">
        <f t="shared" si="489"/>
        <v>0</v>
      </c>
      <c r="FF98" s="27">
        <f t="shared" si="489"/>
        <v>0</v>
      </c>
      <c r="FG98" s="27">
        <f t="shared" si="489"/>
        <v>0</v>
      </c>
      <c r="FH98" s="27">
        <f t="shared" si="489"/>
        <v>0</v>
      </c>
      <c r="FI98" s="27">
        <f t="shared" si="489"/>
        <v>0</v>
      </c>
      <c r="FJ98" s="27">
        <f t="shared" si="489"/>
        <v>0</v>
      </c>
      <c r="FK98" s="27">
        <f t="shared" si="489"/>
        <v>0</v>
      </c>
      <c r="FL98" s="27">
        <f t="shared" si="489"/>
        <v>0</v>
      </c>
      <c r="FM98" s="27">
        <f t="shared" si="489"/>
        <v>0</v>
      </c>
      <c r="FN98" s="27">
        <f t="shared" si="489"/>
        <v>0</v>
      </c>
      <c r="FO98" s="27">
        <f t="shared" si="489"/>
        <v>0</v>
      </c>
      <c r="FP98" s="27">
        <f t="shared" si="489"/>
        <v>0</v>
      </c>
      <c r="FQ98" s="27">
        <f t="shared" si="489"/>
        <v>0</v>
      </c>
      <c r="FR98" s="27">
        <f t="shared" si="489"/>
        <v>0</v>
      </c>
      <c r="FS98" s="27">
        <f t="shared" si="489"/>
        <v>0</v>
      </c>
      <c r="FT98" s="27">
        <f t="shared" si="489"/>
        <v>0</v>
      </c>
      <c r="FU98" s="27">
        <f t="shared" si="489"/>
        <v>0</v>
      </c>
      <c r="FV98" s="27">
        <f t="shared" si="489"/>
        <v>0</v>
      </c>
      <c r="FW98" s="27">
        <f t="shared" si="489"/>
        <v>0</v>
      </c>
      <c r="FX98" s="27">
        <f t="shared" si="489"/>
        <v>0</v>
      </c>
      <c r="FY98" s="27">
        <f t="shared" si="489"/>
        <v>0</v>
      </c>
      <c r="FZ98" s="27">
        <f t="shared" si="489"/>
        <v>0</v>
      </c>
      <c r="GA98" s="27">
        <f t="shared" si="489"/>
        <v>0</v>
      </c>
      <c r="GB98" s="27">
        <f t="shared" si="489"/>
        <v>0</v>
      </c>
      <c r="GC98" s="27">
        <f t="shared" si="489"/>
        <v>1</v>
      </c>
      <c r="GD98" s="27">
        <f t="shared" si="489"/>
        <v>1</v>
      </c>
      <c r="GE98" s="27">
        <f t="shared" si="489"/>
        <v>1</v>
      </c>
      <c r="GF98" s="27">
        <f t="shared" si="489"/>
        <v>1</v>
      </c>
      <c r="GG98" s="27">
        <f t="shared" si="489"/>
        <v>1</v>
      </c>
      <c r="GH98" s="27">
        <f t="shared" si="489"/>
        <v>1</v>
      </c>
      <c r="GI98" s="27">
        <f t="shared" si="489"/>
        <v>1</v>
      </c>
      <c r="GJ98" s="27">
        <f t="shared" si="489"/>
        <v>1</v>
      </c>
      <c r="GK98" s="27">
        <f t="shared" si="489"/>
        <v>1</v>
      </c>
      <c r="GL98" s="27">
        <f t="shared" si="489"/>
        <v>1</v>
      </c>
      <c r="GM98" s="27">
        <f t="shared" si="489"/>
        <v>1</v>
      </c>
      <c r="GN98" s="27">
        <f t="shared" si="489"/>
        <v>1</v>
      </c>
      <c r="GO98" s="27">
        <f t="shared" si="489"/>
        <v>2</v>
      </c>
      <c r="GP98" s="27">
        <f t="shared" si="489"/>
        <v>2</v>
      </c>
      <c r="GQ98" s="27">
        <f t="shared" si="489"/>
        <v>2</v>
      </c>
      <c r="GR98" s="27">
        <f t="shared" si="489"/>
        <v>2</v>
      </c>
      <c r="GS98" s="27">
        <f t="shared" si="489"/>
        <v>2</v>
      </c>
      <c r="GT98" s="27">
        <f t="shared" si="489"/>
        <v>2</v>
      </c>
      <c r="GU98" s="27">
        <f t="shared" si="489"/>
        <v>2</v>
      </c>
      <c r="GV98" s="27">
        <f t="shared" si="489"/>
        <v>2</v>
      </c>
      <c r="GW98" s="27">
        <f t="shared" si="489"/>
        <v>2</v>
      </c>
      <c r="GX98" s="27">
        <f t="shared" si="489"/>
        <v>2</v>
      </c>
      <c r="GY98" s="27">
        <f t="shared" si="489"/>
        <v>2</v>
      </c>
      <c r="GZ98" s="27">
        <f t="shared" si="489"/>
        <v>2</v>
      </c>
      <c r="HA98" s="27">
        <f t="shared" si="489"/>
        <v>3</v>
      </c>
      <c r="HB98" s="27">
        <f t="shared" si="489"/>
        <v>3</v>
      </c>
      <c r="HC98" s="27">
        <f t="shared" si="489"/>
        <v>3</v>
      </c>
      <c r="HD98" s="27">
        <f t="shared" si="489"/>
        <v>3</v>
      </c>
      <c r="HE98" s="27">
        <f t="shared" si="489"/>
        <v>3</v>
      </c>
      <c r="HF98" s="27">
        <f t="shared" si="489"/>
        <v>3</v>
      </c>
      <c r="HG98" s="27">
        <f t="shared" si="489"/>
        <v>3</v>
      </c>
      <c r="HH98" s="27">
        <f t="shared" si="489"/>
        <v>3</v>
      </c>
      <c r="HI98" s="27">
        <f t="shared" ref="HI98:JT98" si="490">ROUNDUP(HI97/12,0)</f>
        <v>3</v>
      </c>
      <c r="HJ98" s="27">
        <f t="shared" si="490"/>
        <v>3</v>
      </c>
      <c r="HK98" s="27">
        <f t="shared" si="490"/>
        <v>3</v>
      </c>
      <c r="HL98" s="27">
        <f t="shared" si="490"/>
        <v>3</v>
      </c>
      <c r="HM98" s="27">
        <f t="shared" si="490"/>
        <v>4</v>
      </c>
      <c r="HN98" s="27">
        <f t="shared" si="490"/>
        <v>4</v>
      </c>
      <c r="HO98" s="27">
        <f t="shared" si="490"/>
        <v>4</v>
      </c>
      <c r="HP98" s="27">
        <f t="shared" si="490"/>
        <v>4</v>
      </c>
      <c r="HQ98" s="27">
        <f t="shared" si="490"/>
        <v>4</v>
      </c>
      <c r="HR98" s="27">
        <f t="shared" si="490"/>
        <v>4</v>
      </c>
      <c r="HS98" s="27">
        <f t="shared" si="490"/>
        <v>4</v>
      </c>
      <c r="HT98" s="27">
        <f t="shared" si="490"/>
        <v>4</v>
      </c>
      <c r="HU98" s="27">
        <f t="shared" si="490"/>
        <v>4</v>
      </c>
      <c r="HV98" s="27">
        <f t="shared" si="490"/>
        <v>4</v>
      </c>
      <c r="HW98" s="27">
        <f t="shared" si="490"/>
        <v>4</v>
      </c>
      <c r="HX98" s="27">
        <f t="shared" si="490"/>
        <v>4</v>
      </c>
      <c r="HY98" s="27">
        <f t="shared" si="490"/>
        <v>5</v>
      </c>
      <c r="HZ98" s="27">
        <f t="shared" si="490"/>
        <v>5</v>
      </c>
      <c r="IA98" s="27">
        <f t="shared" si="490"/>
        <v>5</v>
      </c>
      <c r="IB98" s="27">
        <f t="shared" si="490"/>
        <v>5</v>
      </c>
      <c r="IC98" s="27">
        <f t="shared" si="490"/>
        <v>5</v>
      </c>
      <c r="ID98" s="27">
        <f t="shared" si="490"/>
        <v>5</v>
      </c>
      <c r="IE98" s="27">
        <f t="shared" si="490"/>
        <v>5</v>
      </c>
      <c r="IF98" s="27">
        <f t="shared" si="490"/>
        <v>5</v>
      </c>
      <c r="IG98" s="27">
        <f t="shared" si="490"/>
        <v>5</v>
      </c>
      <c r="IH98" s="27">
        <f t="shared" si="490"/>
        <v>5</v>
      </c>
      <c r="II98" s="27">
        <f t="shared" si="490"/>
        <v>5</v>
      </c>
      <c r="IJ98" s="27">
        <f t="shared" si="490"/>
        <v>5</v>
      </c>
      <c r="IK98" s="27">
        <f t="shared" si="490"/>
        <v>6</v>
      </c>
      <c r="IL98" s="27">
        <f t="shared" si="490"/>
        <v>6</v>
      </c>
      <c r="IM98" s="27">
        <f t="shared" si="490"/>
        <v>6</v>
      </c>
      <c r="IN98" s="27">
        <f t="shared" si="490"/>
        <v>6</v>
      </c>
      <c r="IO98" s="27">
        <f t="shared" si="490"/>
        <v>6</v>
      </c>
      <c r="IP98" s="27">
        <f t="shared" si="490"/>
        <v>6</v>
      </c>
      <c r="IQ98" s="27">
        <f t="shared" si="490"/>
        <v>6</v>
      </c>
      <c r="IR98" s="27">
        <f t="shared" si="490"/>
        <v>6</v>
      </c>
      <c r="IS98" s="27">
        <f t="shared" si="490"/>
        <v>6</v>
      </c>
      <c r="IT98" s="27">
        <f t="shared" si="490"/>
        <v>6</v>
      </c>
      <c r="IU98" s="27">
        <f t="shared" si="490"/>
        <v>6</v>
      </c>
      <c r="IV98" s="27">
        <f t="shared" si="490"/>
        <v>6</v>
      </c>
      <c r="IW98" s="27">
        <f t="shared" si="490"/>
        <v>7</v>
      </c>
      <c r="IX98" s="27">
        <f t="shared" si="490"/>
        <v>7</v>
      </c>
      <c r="IY98" s="27">
        <f t="shared" si="490"/>
        <v>7</v>
      </c>
      <c r="IZ98" s="27">
        <f t="shared" si="490"/>
        <v>7</v>
      </c>
      <c r="JA98" s="27">
        <f t="shared" si="490"/>
        <v>7</v>
      </c>
      <c r="JB98" s="27">
        <f t="shared" si="490"/>
        <v>7</v>
      </c>
      <c r="JC98" s="27">
        <f t="shared" si="490"/>
        <v>7</v>
      </c>
      <c r="JD98" s="27">
        <f t="shared" si="490"/>
        <v>7</v>
      </c>
      <c r="JE98" s="27">
        <f t="shared" si="490"/>
        <v>7</v>
      </c>
      <c r="JF98" s="27">
        <f t="shared" si="490"/>
        <v>7</v>
      </c>
      <c r="JG98" s="27">
        <f t="shared" si="490"/>
        <v>7</v>
      </c>
      <c r="JH98" s="27">
        <f t="shared" si="490"/>
        <v>7</v>
      </c>
      <c r="JI98" s="27">
        <f t="shared" si="490"/>
        <v>8</v>
      </c>
      <c r="JJ98" s="27">
        <f t="shared" si="490"/>
        <v>8</v>
      </c>
      <c r="JK98" s="27">
        <f t="shared" si="490"/>
        <v>8</v>
      </c>
      <c r="JL98" s="27">
        <f t="shared" si="490"/>
        <v>8</v>
      </c>
      <c r="JM98" s="27">
        <f t="shared" si="490"/>
        <v>8</v>
      </c>
      <c r="JN98" s="27">
        <f t="shared" si="490"/>
        <v>8</v>
      </c>
      <c r="JO98" s="27">
        <f t="shared" si="490"/>
        <v>8</v>
      </c>
      <c r="JP98" s="27">
        <f t="shared" si="490"/>
        <v>8</v>
      </c>
      <c r="JQ98" s="27">
        <f t="shared" si="490"/>
        <v>8</v>
      </c>
      <c r="JR98" s="27">
        <f t="shared" si="490"/>
        <v>8</v>
      </c>
      <c r="JS98" s="27">
        <f t="shared" si="490"/>
        <v>8</v>
      </c>
      <c r="JT98" s="27">
        <f t="shared" si="490"/>
        <v>8</v>
      </c>
      <c r="JU98" s="27">
        <f>ROUNDUP(JU97/12,0)</f>
        <v>9</v>
      </c>
      <c r="JV98" s="27">
        <f>ROUNDUP(JV97/12,0)</f>
        <v>9</v>
      </c>
      <c r="JW98" s="27">
        <f>ROUNDUP(JW97/12,0)</f>
        <v>9</v>
      </c>
      <c r="JX98" s="27">
        <f>ROUNDUP(JX97/12,0)</f>
        <v>9</v>
      </c>
    </row>
    <row r="99" spans="1:284" s="7" customFormat="1" ht="16.5" x14ac:dyDescent="0.35">
      <c r="A99" s="406"/>
      <c r="B99" s="112" t="s">
        <v>119</v>
      </c>
      <c r="C99" s="93"/>
      <c r="D99" s="114">
        <v>2</v>
      </c>
      <c r="E99" s="115">
        <f>+-D99/C96*I96/12</f>
        <v>-3214</v>
      </c>
      <c r="F99" s="115"/>
      <c r="G99" s="393">
        <f>I99/Units_SF_M2/12</f>
        <v>-1.260392156862745E-2</v>
      </c>
      <c r="H99" s="131">
        <f>I99/Units/12</f>
        <v>-10.713333333333333</v>
      </c>
      <c r="I99" s="117">
        <f>E99*12</f>
        <v>-38568</v>
      </c>
      <c r="M99" s="39">
        <f t="shared" ref="M99:AR99" si="491">IF(M84=0,0,$E99*(1+$D$85)^(EW89-1))</f>
        <v>0</v>
      </c>
      <c r="N99" s="39">
        <f t="shared" si="491"/>
        <v>0</v>
      </c>
      <c r="O99" s="39">
        <f t="shared" si="491"/>
        <v>0</v>
      </c>
      <c r="P99" s="39">
        <f t="shared" si="491"/>
        <v>0</v>
      </c>
      <c r="Q99" s="39">
        <f t="shared" si="491"/>
        <v>0</v>
      </c>
      <c r="R99" s="39">
        <f t="shared" si="491"/>
        <v>0</v>
      </c>
      <c r="S99" s="39">
        <f t="shared" si="491"/>
        <v>0</v>
      </c>
      <c r="T99" s="39">
        <f t="shared" si="491"/>
        <v>0</v>
      </c>
      <c r="U99" s="39">
        <f t="shared" si="491"/>
        <v>0</v>
      </c>
      <c r="V99" s="39">
        <f t="shared" si="491"/>
        <v>0</v>
      </c>
      <c r="W99" s="39">
        <f t="shared" si="491"/>
        <v>0</v>
      </c>
      <c r="X99" s="39">
        <f t="shared" si="491"/>
        <v>0</v>
      </c>
      <c r="Y99" s="39">
        <f t="shared" si="491"/>
        <v>0</v>
      </c>
      <c r="Z99" s="39">
        <f t="shared" si="491"/>
        <v>0</v>
      </c>
      <c r="AA99" s="39">
        <f t="shared" si="491"/>
        <v>0</v>
      </c>
      <c r="AB99" s="39">
        <f t="shared" si="491"/>
        <v>0</v>
      </c>
      <c r="AC99" s="39">
        <f t="shared" si="491"/>
        <v>0</v>
      </c>
      <c r="AD99" s="39">
        <f t="shared" si="491"/>
        <v>0</v>
      </c>
      <c r="AE99" s="39">
        <f t="shared" si="491"/>
        <v>-3214</v>
      </c>
      <c r="AF99" s="39">
        <f t="shared" si="491"/>
        <v>-3214</v>
      </c>
      <c r="AG99" s="39">
        <f t="shared" si="491"/>
        <v>-3214</v>
      </c>
      <c r="AH99" s="39">
        <f t="shared" si="491"/>
        <v>-3214</v>
      </c>
      <c r="AI99" s="39">
        <f t="shared" si="491"/>
        <v>-3214</v>
      </c>
      <c r="AJ99" s="39">
        <f t="shared" si="491"/>
        <v>-3214</v>
      </c>
      <c r="AK99" s="39">
        <f t="shared" si="491"/>
        <v>-3214</v>
      </c>
      <c r="AL99" s="39">
        <f t="shared" si="491"/>
        <v>-3214</v>
      </c>
      <c r="AM99" s="39">
        <f t="shared" si="491"/>
        <v>-3214</v>
      </c>
      <c r="AN99" s="39">
        <f t="shared" si="491"/>
        <v>-3214</v>
      </c>
      <c r="AO99" s="39">
        <f t="shared" si="491"/>
        <v>-3214</v>
      </c>
      <c r="AP99" s="39">
        <f t="shared" si="491"/>
        <v>-3214</v>
      </c>
      <c r="AQ99" s="39">
        <f t="shared" si="491"/>
        <v>-3310.42</v>
      </c>
      <c r="AR99" s="39">
        <f t="shared" si="491"/>
        <v>-3310.42</v>
      </c>
      <c r="AS99" s="39">
        <f t="shared" ref="AS99:BX99" si="492">IF(AS84=0,0,$E99*(1+$D$85)^(GC89-1))</f>
        <v>-3310.42</v>
      </c>
      <c r="AT99" s="39">
        <f t="shared" si="492"/>
        <v>-3310.42</v>
      </c>
      <c r="AU99" s="39">
        <f t="shared" si="492"/>
        <v>-3310.42</v>
      </c>
      <c r="AV99" s="39">
        <f t="shared" si="492"/>
        <v>-3310.42</v>
      </c>
      <c r="AW99" s="39">
        <f t="shared" si="492"/>
        <v>-3310.42</v>
      </c>
      <c r="AX99" s="39">
        <f t="shared" si="492"/>
        <v>-3310.42</v>
      </c>
      <c r="AY99" s="39">
        <f t="shared" si="492"/>
        <v>-3310.42</v>
      </c>
      <c r="AZ99" s="39">
        <f t="shared" si="492"/>
        <v>-3310.42</v>
      </c>
      <c r="BA99" s="39">
        <f t="shared" si="492"/>
        <v>-3310.42</v>
      </c>
      <c r="BB99" s="39">
        <f t="shared" si="492"/>
        <v>-3310.42</v>
      </c>
      <c r="BC99" s="39">
        <f t="shared" si="492"/>
        <v>-3409.7325999999998</v>
      </c>
      <c r="BD99" s="39">
        <f t="shared" si="492"/>
        <v>-3409.7325999999998</v>
      </c>
      <c r="BE99" s="39">
        <f t="shared" si="492"/>
        <v>-3409.7325999999998</v>
      </c>
      <c r="BF99" s="39">
        <f t="shared" si="492"/>
        <v>-3409.7325999999998</v>
      </c>
      <c r="BG99" s="39">
        <f t="shared" si="492"/>
        <v>-3409.7325999999998</v>
      </c>
      <c r="BH99" s="39">
        <f t="shared" si="492"/>
        <v>-3409.7325999999998</v>
      </c>
      <c r="BI99" s="39">
        <f t="shared" si="492"/>
        <v>-3409.7325999999998</v>
      </c>
      <c r="BJ99" s="39">
        <f t="shared" si="492"/>
        <v>-3409.7325999999998</v>
      </c>
      <c r="BK99" s="39">
        <f t="shared" si="492"/>
        <v>-3409.7325999999998</v>
      </c>
      <c r="BL99" s="39">
        <f t="shared" si="492"/>
        <v>-3409.7325999999998</v>
      </c>
      <c r="BM99" s="39">
        <f t="shared" si="492"/>
        <v>-3409.7325999999998</v>
      </c>
      <c r="BN99" s="39">
        <f t="shared" si="492"/>
        <v>-3409.7325999999998</v>
      </c>
      <c r="BO99" s="39">
        <f t="shared" si="492"/>
        <v>-3512.024578</v>
      </c>
      <c r="BP99" s="39">
        <f t="shared" si="492"/>
        <v>-3512.024578</v>
      </c>
      <c r="BQ99" s="39">
        <f t="shared" si="492"/>
        <v>-3512.024578</v>
      </c>
      <c r="BR99" s="39">
        <f t="shared" si="492"/>
        <v>-3512.024578</v>
      </c>
      <c r="BS99" s="39">
        <f t="shared" si="492"/>
        <v>-3512.024578</v>
      </c>
      <c r="BT99" s="39">
        <f t="shared" si="492"/>
        <v>-3512.024578</v>
      </c>
      <c r="BU99" s="39">
        <f t="shared" si="492"/>
        <v>-3512.024578</v>
      </c>
      <c r="BV99" s="39">
        <f t="shared" si="492"/>
        <v>-3512.024578</v>
      </c>
      <c r="BW99" s="39">
        <f t="shared" si="492"/>
        <v>-3512.024578</v>
      </c>
      <c r="BX99" s="39">
        <f t="shared" si="492"/>
        <v>-3512.024578</v>
      </c>
      <c r="BY99" s="39">
        <f t="shared" ref="BY99:DD99" si="493">IF(BY84=0,0,$E99*(1+$D$85)^(HI89-1))</f>
        <v>-3512.024578</v>
      </c>
      <c r="BZ99" s="39">
        <f t="shared" si="493"/>
        <v>-3512.024578</v>
      </c>
      <c r="CA99" s="39">
        <f t="shared" si="493"/>
        <v>-3617.3853153399996</v>
      </c>
      <c r="CB99" s="39">
        <f t="shared" si="493"/>
        <v>-3617.3853153399996</v>
      </c>
      <c r="CC99" s="39">
        <f t="shared" si="493"/>
        <v>-3617.3853153399996</v>
      </c>
      <c r="CD99" s="39">
        <f t="shared" si="493"/>
        <v>-3617.3853153399996</v>
      </c>
      <c r="CE99" s="39">
        <f t="shared" si="493"/>
        <v>-3617.3853153399996</v>
      </c>
      <c r="CF99" s="39">
        <f t="shared" si="493"/>
        <v>-3617.3853153399996</v>
      </c>
      <c r="CG99" s="39">
        <f t="shared" si="493"/>
        <v>-3617.3853153399996</v>
      </c>
      <c r="CH99" s="39">
        <f t="shared" si="493"/>
        <v>-3617.3853153399996</v>
      </c>
      <c r="CI99" s="39">
        <f t="shared" si="493"/>
        <v>-3617.3853153399996</v>
      </c>
      <c r="CJ99" s="39">
        <f t="shared" si="493"/>
        <v>-3617.3853153399996</v>
      </c>
      <c r="CK99" s="39">
        <f t="shared" si="493"/>
        <v>-3617.3853153399996</v>
      </c>
      <c r="CL99" s="39">
        <f t="shared" si="493"/>
        <v>-3617.3853153399996</v>
      </c>
      <c r="CM99" s="39">
        <f t="shared" si="493"/>
        <v>-3725.9068748001996</v>
      </c>
      <c r="CN99" s="39">
        <f t="shared" si="493"/>
        <v>-3725.9068748001996</v>
      </c>
      <c r="CO99" s="39">
        <f t="shared" si="493"/>
        <v>-3725.9068748001996</v>
      </c>
      <c r="CP99" s="39">
        <f t="shared" si="493"/>
        <v>-3725.9068748001996</v>
      </c>
      <c r="CQ99" s="39">
        <f t="shared" si="493"/>
        <v>-3725.9068748001996</v>
      </c>
      <c r="CR99" s="39">
        <f t="shared" si="493"/>
        <v>-3725.9068748001996</v>
      </c>
      <c r="CS99" s="39">
        <f t="shared" si="493"/>
        <v>-3725.9068748001996</v>
      </c>
      <c r="CT99" s="39">
        <f t="shared" si="493"/>
        <v>-3725.9068748001996</v>
      </c>
      <c r="CU99" s="39">
        <f t="shared" si="493"/>
        <v>-3725.9068748001996</v>
      </c>
      <c r="CV99" s="39">
        <f t="shared" si="493"/>
        <v>-3725.9068748001996</v>
      </c>
      <c r="CW99" s="39">
        <f t="shared" si="493"/>
        <v>-3725.9068748001996</v>
      </c>
      <c r="CX99" s="39">
        <f t="shared" si="493"/>
        <v>-3725.9068748001996</v>
      </c>
      <c r="CY99" s="39">
        <f t="shared" si="493"/>
        <v>-3837.6840810442059</v>
      </c>
      <c r="CZ99" s="39">
        <f t="shared" si="493"/>
        <v>-3837.6840810442059</v>
      </c>
      <c r="DA99" s="39">
        <f t="shared" si="493"/>
        <v>-3837.6840810442059</v>
      </c>
      <c r="DB99" s="39">
        <f t="shared" si="493"/>
        <v>-3837.6840810442059</v>
      </c>
      <c r="DC99" s="39">
        <f t="shared" si="493"/>
        <v>-3837.6840810442059</v>
      </c>
      <c r="DD99" s="39">
        <f t="shared" si="493"/>
        <v>-3837.6840810442059</v>
      </c>
      <c r="DE99" s="39">
        <f t="shared" ref="DE99:EJ99" si="494">IF(DE84=0,0,$E99*(1+$D$85)^(IO89-1))</f>
        <v>-3837.6840810442059</v>
      </c>
      <c r="DF99" s="39">
        <f t="shared" si="494"/>
        <v>-3837.6840810442059</v>
      </c>
      <c r="DG99" s="39">
        <f t="shared" si="494"/>
        <v>-3837.6840810442059</v>
      </c>
      <c r="DH99" s="39">
        <f t="shared" si="494"/>
        <v>-3837.6840810442059</v>
      </c>
      <c r="DI99" s="39">
        <f t="shared" si="494"/>
        <v>-3837.6840810442059</v>
      </c>
      <c r="DJ99" s="39">
        <f t="shared" si="494"/>
        <v>-3837.6840810442059</v>
      </c>
      <c r="DK99" s="39">
        <f t="shared" si="494"/>
        <v>-3952.8146034755323</v>
      </c>
      <c r="DL99" s="39">
        <f t="shared" si="494"/>
        <v>-3952.8146034755323</v>
      </c>
      <c r="DM99" s="39">
        <f t="shared" si="494"/>
        <v>-3952.8146034755323</v>
      </c>
      <c r="DN99" s="39">
        <f t="shared" si="494"/>
        <v>-3952.8146034755323</v>
      </c>
      <c r="DO99" s="39">
        <f t="shared" si="494"/>
        <v>-3952.8146034755323</v>
      </c>
      <c r="DP99" s="39">
        <f t="shared" si="494"/>
        <v>-3952.8146034755323</v>
      </c>
      <c r="DQ99" s="39">
        <f t="shared" si="494"/>
        <v>-3952.8146034755323</v>
      </c>
      <c r="DR99" s="39">
        <f t="shared" si="494"/>
        <v>-3952.8146034755323</v>
      </c>
      <c r="DS99" s="39">
        <f t="shared" si="494"/>
        <v>-3952.8146034755323</v>
      </c>
      <c r="DT99" s="39">
        <f t="shared" si="494"/>
        <v>-3952.8146034755323</v>
      </c>
      <c r="DU99" s="39">
        <f t="shared" si="494"/>
        <v>-3952.8146034755323</v>
      </c>
      <c r="DV99" s="39">
        <f t="shared" si="494"/>
        <v>-3952.8146034755323</v>
      </c>
      <c r="DW99" s="39">
        <f t="shared" si="494"/>
        <v>-4071.3990415797975</v>
      </c>
      <c r="DX99" s="39">
        <f t="shared" si="494"/>
        <v>-4071.3990415797975</v>
      </c>
      <c r="DY99" s="39">
        <f t="shared" si="494"/>
        <v>-4071.3990415797975</v>
      </c>
      <c r="DZ99" s="39">
        <f t="shared" si="494"/>
        <v>-4071.3990415797975</v>
      </c>
      <c r="EA99" s="39">
        <f t="shared" si="494"/>
        <v>-4071.3990415797975</v>
      </c>
      <c r="EB99" s="39">
        <f t="shared" si="494"/>
        <v>-4071.3990415797975</v>
      </c>
      <c r="EC99" s="39">
        <f t="shared" si="494"/>
        <v>-4071.3990415797975</v>
      </c>
      <c r="ED99" s="39">
        <f t="shared" si="494"/>
        <v>-4071.3990415797975</v>
      </c>
      <c r="EE99" s="39">
        <f t="shared" si="494"/>
        <v>-4071.3990415797975</v>
      </c>
      <c r="EF99" s="39">
        <f t="shared" si="494"/>
        <v>-4071.3990415797975</v>
      </c>
      <c r="EG99" s="39">
        <f t="shared" si="494"/>
        <v>-4071.3990415797975</v>
      </c>
      <c r="EH99" s="39">
        <f t="shared" si="494"/>
        <v>-4071.3990415797975</v>
      </c>
      <c r="EI99" s="39">
        <f t="shared" si="494"/>
        <v>-4193.5410128271915</v>
      </c>
      <c r="EJ99" s="39">
        <f t="shared" si="494"/>
        <v>-4193.5410128271915</v>
      </c>
      <c r="EK99" s="39">
        <f>IF(EK84=0,0,$E99*(1+$D$85)^(JU89-1))</f>
        <v>-4193.5410128271915</v>
      </c>
      <c r="EL99" s="39">
        <f>IF(EL84=0,0,$E99*(1+$D$85)^(JV89-1))</f>
        <v>-4193.5410128271915</v>
      </c>
      <c r="EM99" s="39">
        <f>IF(EM84=0,0,$E99*(1+$D$85)^(JW89-1))</f>
        <v>-4193.5410128271915</v>
      </c>
      <c r="EN99" s="39">
        <f>IF(EN84=0,0,$E99*(1+$D$85)^(JX89-1))</f>
        <v>-4193.5410128271915</v>
      </c>
      <c r="EP99" s="24"/>
      <c r="EQ99" s="24"/>
      <c r="ER99" s="24"/>
      <c r="ES99" s="24"/>
      <c r="ET99" s="24"/>
      <c r="EU99" s="33" t="s">
        <v>112</v>
      </c>
      <c r="EV99" s="26"/>
      <c r="EW99" s="26">
        <f t="shared" ref="EW99:HH99" si="495">IF(EW98=0,0,12-((EW98*12)-EW97))</f>
        <v>0</v>
      </c>
      <c r="EX99" s="26">
        <f t="shared" si="495"/>
        <v>0</v>
      </c>
      <c r="EY99" s="26">
        <f t="shared" si="495"/>
        <v>0</v>
      </c>
      <c r="EZ99" s="26">
        <f t="shared" si="495"/>
        <v>0</v>
      </c>
      <c r="FA99" s="26">
        <f t="shared" si="495"/>
        <v>0</v>
      </c>
      <c r="FB99" s="26">
        <f t="shared" si="495"/>
        <v>0</v>
      </c>
      <c r="FC99" s="26">
        <f t="shared" si="495"/>
        <v>0</v>
      </c>
      <c r="FD99" s="26">
        <f t="shared" si="495"/>
        <v>0</v>
      </c>
      <c r="FE99" s="26">
        <f t="shared" si="495"/>
        <v>0</v>
      </c>
      <c r="FF99" s="26">
        <f t="shared" si="495"/>
        <v>0</v>
      </c>
      <c r="FG99" s="26">
        <f t="shared" si="495"/>
        <v>0</v>
      </c>
      <c r="FH99" s="26">
        <f t="shared" si="495"/>
        <v>0</v>
      </c>
      <c r="FI99" s="26">
        <f t="shared" si="495"/>
        <v>0</v>
      </c>
      <c r="FJ99" s="26">
        <f t="shared" si="495"/>
        <v>0</v>
      </c>
      <c r="FK99" s="26">
        <f t="shared" si="495"/>
        <v>0</v>
      </c>
      <c r="FL99" s="26">
        <f t="shared" si="495"/>
        <v>0</v>
      </c>
      <c r="FM99" s="26">
        <f t="shared" si="495"/>
        <v>0</v>
      </c>
      <c r="FN99" s="26">
        <f t="shared" si="495"/>
        <v>0</v>
      </c>
      <c r="FO99" s="26">
        <f t="shared" si="495"/>
        <v>0</v>
      </c>
      <c r="FP99" s="26">
        <f t="shared" si="495"/>
        <v>0</v>
      </c>
      <c r="FQ99" s="26">
        <f t="shared" si="495"/>
        <v>0</v>
      </c>
      <c r="FR99" s="26">
        <f t="shared" si="495"/>
        <v>0</v>
      </c>
      <c r="FS99" s="26">
        <f t="shared" si="495"/>
        <v>0</v>
      </c>
      <c r="FT99" s="26">
        <f t="shared" si="495"/>
        <v>0</v>
      </c>
      <c r="FU99" s="26">
        <f t="shared" si="495"/>
        <v>0</v>
      </c>
      <c r="FV99" s="26">
        <f t="shared" si="495"/>
        <v>0</v>
      </c>
      <c r="FW99" s="26">
        <f t="shared" si="495"/>
        <v>0</v>
      </c>
      <c r="FX99" s="26">
        <f t="shared" si="495"/>
        <v>0</v>
      </c>
      <c r="FY99" s="26">
        <f t="shared" si="495"/>
        <v>0</v>
      </c>
      <c r="FZ99" s="26">
        <f t="shared" si="495"/>
        <v>0</v>
      </c>
      <c r="GA99" s="26">
        <f t="shared" si="495"/>
        <v>0</v>
      </c>
      <c r="GB99" s="26">
        <f t="shared" si="495"/>
        <v>0</v>
      </c>
      <c r="GC99" s="26">
        <f t="shared" si="495"/>
        <v>1</v>
      </c>
      <c r="GD99" s="26">
        <f t="shared" si="495"/>
        <v>2</v>
      </c>
      <c r="GE99" s="26">
        <f t="shared" si="495"/>
        <v>3</v>
      </c>
      <c r="GF99" s="26">
        <f t="shared" si="495"/>
        <v>4</v>
      </c>
      <c r="GG99" s="26">
        <f t="shared" si="495"/>
        <v>5</v>
      </c>
      <c r="GH99" s="26">
        <f t="shared" si="495"/>
        <v>6</v>
      </c>
      <c r="GI99" s="26">
        <f t="shared" si="495"/>
        <v>7</v>
      </c>
      <c r="GJ99" s="26">
        <f t="shared" si="495"/>
        <v>8</v>
      </c>
      <c r="GK99" s="26">
        <f t="shared" si="495"/>
        <v>9</v>
      </c>
      <c r="GL99" s="26">
        <f t="shared" si="495"/>
        <v>10</v>
      </c>
      <c r="GM99" s="26">
        <f t="shared" si="495"/>
        <v>11</v>
      </c>
      <c r="GN99" s="26">
        <f t="shared" si="495"/>
        <v>12</v>
      </c>
      <c r="GO99" s="26">
        <f t="shared" si="495"/>
        <v>1</v>
      </c>
      <c r="GP99" s="26">
        <f t="shared" si="495"/>
        <v>2</v>
      </c>
      <c r="GQ99" s="26">
        <f t="shared" si="495"/>
        <v>3</v>
      </c>
      <c r="GR99" s="26">
        <f t="shared" si="495"/>
        <v>4</v>
      </c>
      <c r="GS99" s="26">
        <f t="shared" si="495"/>
        <v>5</v>
      </c>
      <c r="GT99" s="26">
        <f t="shared" si="495"/>
        <v>6</v>
      </c>
      <c r="GU99" s="26">
        <f t="shared" si="495"/>
        <v>7</v>
      </c>
      <c r="GV99" s="26">
        <f t="shared" si="495"/>
        <v>8</v>
      </c>
      <c r="GW99" s="26">
        <f t="shared" si="495"/>
        <v>9</v>
      </c>
      <c r="GX99" s="26">
        <f t="shared" si="495"/>
        <v>10</v>
      </c>
      <c r="GY99" s="26">
        <f t="shared" si="495"/>
        <v>11</v>
      </c>
      <c r="GZ99" s="26">
        <f t="shared" si="495"/>
        <v>12</v>
      </c>
      <c r="HA99" s="26">
        <f t="shared" si="495"/>
        <v>1</v>
      </c>
      <c r="HB99" s="26">
        <f t="shared" si="495"/>
        <v>2</v>
      </c>
      <c r="HC99" s="26">
        <f t="shared" si="495"/>
        <v>3</v>
      </c>
      <c r="HD99" s="26">
        <f t="shared" si="495"/>
        <v>4</v>
      </c>
      <c r="HE99" s="26">
        <f t="shared" si="495"/>
        <v>5</v>
      </c>
      <c r="HF99" s="26">
        <f t="shared" si="495"/>
        <v>6</v>
      </c>
      <c r="HG99" s="26">
        <f t="shared" si="495"/>
        <v>7</v>
      </c>
      <c r="HH99" s="26">
        <f t="shared" si="495"/>
        <v>8</v>
      </c>
      <c r="HI99" s="26">
        <f t="shared" ref="HI99:JT99" si="496">IF(HI98=0,0,12-((HI98*12)-HI97))</f>
        <v>9</v>
      </c>
      <c r="HJ99" s="26">
        <f t="shared" si="496"/>
        <v>10</v>
      </c>
      <c r="HK99" s="26">
        <f t="shared" si="496"/>
        <v>11</v>
      </c>
      <c r="HL99" s="26">
        <f t="shared" si="496"/>
        <v>12</v>
      </c>
      <c r="HM99" s="26">
        <f t="shared" si="496"/>
        <v>1</v>
      </c>
      <c r="HN99" s="26">
        <f t="shared" si="496"/>
        <v>2</v>
      </c>
      <c r="HO99" s="26">
        <f t="shared" si="496"/>
        <v>3</v>
      </c>
      <c r="HP99" s="26">
        <f t="shared" si="496"/>
        <v>4</v>
      </c>
      <c r="HQ99" s="26">
        <f t="shared" si="496"/>
        <v>5</v>
      </c>
      <c r="HR99" s="26">
        <f t="shared" si="496"/>
        <v>6</v>
      </c>
      <c r="HS99" s="26">
        <f t="shared" si="496"/>
        <v>7</v>
      </c>
      <c r="HT99" s="26">
        <f t="shared" si="496"/>
        <v>8</v>
      </c>
      <c r="HU99" s="26">
        <f t="shared" si="496"/>
        <v>9</v>
      </c>
      <c r="HV99" s="26">
        <f t="shared" si="496"/>
        <v>10</v>
      </c>
      <c r="HW99" s="26">
        <f t="shared" si="496"/>
        <v>11</v>
      </c>
      <c r="HX99" s="26">
        <f t="shared" si="496"/>
        <v>12</v>
      </c>
      <c r="HY99" s="26">
        <f t="shared" si="496"/>
        <v>1</v>
      </c>
      <c r="HZ99" s="26">
        <f t="shared" si="496"/>
        <v>2</v>
      </c>
      <c r="IA99" s="26">
        <f t="shared" si="496"/>
        <v>3</v>
      </c>
      <c r="IB99" s="26">
        <f t="shared" si="496"/>
        <v>4</v>
      </c>
      <c r="IC99" s="26">
        <f t="shared" si="496"/>
        <v>5</v>
      </c>
      <c r="ID99" s="26">
        <f t="shared" si="496"/>
        <v>6</v>
      </c>
      <c r="IE99" s="26">
        <f t="shared" si="496"/>
        <v>7</v>
      </c>
      <c r="IF99" s="26">
        <f t="shared" si="496"/>
        <v>8</v>
      </c>
      <c r="IG99" s="26">
        <f t="shared" si="496"/>
        <v>9</v>
      </c>
      <c r="IH99" s="26">
        <f t="shared" si="496"/>
        <v>10</v>
      </c>
      <c r="II99" s="26">
        <f t="shared" si="496"/>
        <v>11</v>
      </c>
      <c r="IJ99" s="26">
        <f t="shared" si="496"/>
        <v>12</v>
      </c>
      <c r="IK99" s="26">
        <f t="shared" si="496"/>
        <v>1</v>
      </c>
      <c r="IL99" s="26">
        <f t="shared" si="496"/>
        <v>2</v>
      </c>
      <c r="IM99" s="26">
        <f t="shared" si="496"/>
        <v>3</v>
      </c>
      <c r="IN99" s="26">
        <f t="shared" si="496"/>
        <v>4</v>
      </c>
      <c r="IO99" s="26">
        <f t="shared" si="496"/>
        <v>5</v>
      </c>
      <c r="IP99" s="26">
        <f t="shared" si="496"/>
        <v>6</v>
      </c>
      <c r="IQ99" s="26">
        <f t="shared" si="496"/>
        <v>7</v>
      </c>
      <c r="IR99" s="26">
        <f t="shared" si="496"/>
        <v>8</v>
      </c>
      <c r="IS99" s="26">
        <f t="shared" si="496"/>
        <v>9</v>
      </c>
      <c r="IT99" s="26">
        <f t="shared" si="496"/>
        <v>10</v>
      </c>
      <c r="IU99" s="26">
        <f t="shared" si="496"/>
        <v>11</v>
      </c>
      <c r="IV99" s="26">
        <f t="shared" si="496"/>
        <v>12</v>
      </c>
      <c r="IW99" s="26">
        <f t="shared" si="496"/>
        <v>1</v>
      </c>
      <c r="IX99" s="26">
        <f t="shared" si="496"/>
        <v>2</v>
      </c>
      <c r="IY99" s="26">
        <f t="shared" si="496"/>
        <v>3</v>
      </c>
      <c r="IZ99" s="26">
        <f t="shared" si="496"/>
        <v>4</v>
      </c>
      <c r="JA99" s="26">
        <f t="shared" si="496"/>
        <v>5</v>
      </c>
      <c r="JB99" s="26">
        <f t="shared" si="496"/>
        <v>6</v>
      </c>
      <c r="JC99" s="26">
        <f t="shared" si="496"/>
        <v>7</v>
      </c>
      <c r="JD99" s="26">
        <f t="shared" si="496"/>
        <v>8</v>
      </c>
      <c r="JE99" s="26">
        <f t="shared" si="496"/>
        <v>9</v>
      </c>
      <c r="JF99" s="26">
        <f t="shared" si="496"/>
        <v>10</v>
      </c>
      <c r="JG99" s="26">
        <f t="shared" si="496"/>
        <v>11</v>
      </c>
      <c r="JH99" s="26">
        <f t="shared" si="496"/>
        <v>12</v>
      </c>
      <c r="JI99" s="26">
        <f t="shared" si="496"/>
        <v>1</v>
      </c>
      <c r="JJ99" s="26">
        <f t="shared" si="496"/>
        <v>2</v>
      </c>
      <c r="JK99" s="26">
        <f t="shared" si="496"/>
        <v>3</v>
      </c>
      <c r="JL99" s="26">
        <f t="shared" si="496"/>
        <v>4</v>
      </c>
      <c r="JM99" s="26">
        <f t="shared" si="496"/>
        <v>5</v>
      </c>
      <c r="JN99" s="26">
        <f t="shared" si="496"/>
        <v>6</v>
      </c>
      <c r="JO99" s="26">
        <f t="shared" si="496"/>
        <v>7</v>
      </c>
      <c r="JP99" s="26">
        <f t="shared" si="496"/>
        <v>8</v>
      </c>
      <c r="JQ99" s="26">
        <f t="shared" si="496"/>
        <v>9</v>
      </c>
      <c r="JR99" s="26">
        <f t="shared" si="496"/>
        <v>10</v>
      </c>
      <c r="JS99" s="26">
        <f t="shared" si="496"/>
        <v>11</v>
      </c>
      <c r="JT99" s="26">
        <f t="shared" si="496"/>
        <v>12</v>
      </c>
      <c r="JU99" s="26">
        <f>IF(JU98=0,0,12-((JU98*12)-JU97))</f>
        <v>1</v>
      </c>
      <c r="JV99" s="26">
        <f>IF(JV98=0,0,12-((JV98*12)-JV97))</f>
        <v>2</v>
      </c>
      <c r="JW99" s="26">
        <f>IF(JW98=0,0,12-((JW98*12)-JW97))</f>
        <v>3</v>
      </c>
      <c r="JX99" s="26">
        <f>IF(JX98=0,0,12-((JX98*12)-JX97))</f>
        <v>4</v>
      </c>
    </row>
    <row r="100" spans="1:284" s="7" customFormat="1" x14ac:dyDescent="0.2">
      <c r="A100" s="406"/>
      <c r="B100" s="92" t="s">
        <v>179</v>
      </c>
      <c r="C100" s="93"/>
      <c r="D100" s="93"/>
      <c r="E100" s="93"/>
      <c r="F100" s="93"/>
      <c r="G100" s="392">
        <f>SUM(G96:G99)</f>
        <v>1.8779843137254901</v>
      </c>
      <c r="H100" s="123">
        <f>SUM(H96:H99)</f>
        <v>1596.2866666666666</v>
      </c>
      <c r="I100" s="113">
        <f>SUM(I96:I99)</f>
        <v>5746632</v>
      </c>
      <c r="K100" s="7" t="s">
        <v>492</v>
      </c>
      <c r="M100" s="38">
        <f>SUM(M96:M99)</f>
        <v>0</v>
      </c>
      <c r="N100" s="38">
        <f t="shared" ref="N100:BY100" si="497">SUM(N96:N99)</f>
        <v>0</v>
      </c>
      <c r="O100" s="38">
        <f t="shared" si="497"/>
        <v>0</v>
      </c>
      <c r="P100" s="38">
        <f t="shared" si="497"/>
        <v>0</v>
      </c>
      <c r="Q100" s="38">
        <f t="shared" si="497"/>
        <v>0</v>
      </c>
      <c r="R100" s="38">
        <f t="shared" si="497"/>
        <v>0</v>
      </c>
      <c r="S100" s="38">
        <f t="shared" si="497"/>
        <v>0</v>
      </c>
      <c r="T100" s="38">
        <f t="shared" si="497"/>
        <v>0</v>
      </c>
      <c r="U100" s="38">
        <f t="shared" si="497"/>
        <v>0</v>
      </c>
      <c r="V100" s="38">
        <f t="shared" si="497"/>
        <v>0</v>
      </c>
      <c r="W100" s="38">
        <f t="shared" si="497"/>
        <v>0</v>
      </c>
      <c r="X100" s="38">
        <f t="shared" si="497"/>
        <v>0</v>
      </c>
      <c r="Y100" s="38">
        <f t="shared" si="497"/>
        <v>0</v>
      </c>
      <c r="Z100" s="38">
        <f t="shared" si="497"/>
        <v>0</v>
      </c>
      <c r="AA100" s="38">
        <f t="shared" si="497"/>
        <v>0</v>
      </c>
      <c r="AB100" s="38">
        <f t="shared" si="497"/>
        <v>0</v>
      </c>
      <c r="AC100" s="38">
        <f t="shared" si="497"/>
        <v>0</v>
      </c>
      <c r="AD100" s="38">
        <f t="shared" si="497"/>
        <v>0</v>
      </c>
      <c r="AE100" s="38">
        <f t="shared" si="497"/>
        <v>7911.3846153846243</v>
      </c>
      <c r="AF100" s="38">
        <f t="shared" si="497"/>
        <v>40051.384615384624</v>
      </c>
      <c r="AG100" s="38">
        <f t="shared" si="497"/>
        <v>72191.384615384624</v>
      </c>
      <c r="AH100" s="38">
        <f t="shared" si="497"/>
        <v>104331.38461538462</v>
      </c>
      <c r="AI100" s="38">
        <f t="shared" si="497"/>
        <v>136471.38461538462</v>
      </c>
      <c r="AJ100" s="38">
        <f t="shared" si="497"/>
        <v>168611.38461538462</v>
      </c>
      <c r="AK100" s="38">
        <f t="shared" si="497"/>
        <v>200751.38461538462</v>
      </c>
      <c r="AL100" s="38">
        <f t="shared" si="497"/>
        <v>232891.38461538462</v>
      </c>
      <c r="AM100" s="38">
        <f t="shared" si="497"/>
        <v>265031.38461538462</v>
      </c>
      <c r="AN100" s="38">
        <f t="shared" si="497"/>
        <v>297171.38461538462</v>
      </c>
      <c r="AO100" s="38">
        <f t="shared" si="497"/>
        <v>329311.38461538462</v>
      </c>
      <c r="AP100" s="38">
        <f t="shared" si="497"/>
        <v>361451.38461538462</v>
      </c>
      <c r="AQ100" s="38">
        <f t="shared" si="497"/>
        <v>405399.12615384615</v>
      </c>
      <c r="AR100" s="38">
        <f t="shared" si="497"/>
        <v>438503.32615384617</v>
      </c>
      <c r="AS100" s="38">
        <f t="shared" si="497"/>
        <v>479994.83</v>
      </c>
      <c r="AT100" s="38">
        <f t="shared" si="497"/>
        <v>481200.08</v>
      </c>
      <c r="AU100" s="38">
        <f t="shared" si="497"/>
        <v>482405.33</v>
      </c>
      <c r="AV100" s="38">
        <f t="shared" si="497"/>
        <v>483610.58</v>
      </c>
      <c r="AW100" s="38">
        <f t="shared" si="497"/>
        <v>484815.83</v>
      </c>
      <c r="AX100" s="38">
        <f t="shared" si="497"/>
        <v>486021.08</v>
      </c>
      <c r="AY100" s="38">
        <f t="shared" si="497"/>
        <v>487226.33</v>
      </c>
      <c r="AZ100" s="38">
        <f t="shared" si="497"/>
        <v>488431.58</v>
      </c>
      <c r="BA100" s="38">
        <f t="shared" si="497"/>
        <v>489636.83</v>
      </c>
      <c r="BB100" s="38">
        <f t="shared" si="497"/>
        <v>490842.08</v>
      </c>
      <c r="BC100" s="38">
        <f t="shared" si="497"/>
        <v>506808.7499</v>
      </c>
      <c r="BD100" s="38">
        <f t="shared" si="497"/>
        <v>508050.15739999997</v>
      </c>
      <c r="BE100" s="38">
        <f t="shared" si="497"/>
        <v>494394.67489999998</v>
      </c>
      <c r="BF100" s="38">
        <f t="shared" si="497"/>
        <v>495636.08240000001</v>
      </c>
      <c r="BG100" s="38">
        <f t="shared" si="497"/>
        <v>496877.48989999999</v>
      </c>
      <c r="BH100" s="38">
        <f t="shared" si="497"/>
        <v>498118.89740000002</v>
      </c>
      <c r="BI100" s="38">
        <f t="shared" si="497"/>
        <v>499360.30489999999</v>
      </c>
      <c r="BJ100" s="38">
        <f t="shared" si="497"/>
        <v>500601.71239999996</v>
      </c>
      <c r="BK100" s="38">
        <f t="shared" si="497"/>
        <v>501843.11989999999</v>
      </c>
      <c r="BL100" s="38">
        <f t="shared" si="497"/>
        <v>503084.52739999996</v>
      </c>
      <c r="BM100" s="38">
        <f t="shared" si="497"/>
        <v>504325.93489999999</v>
      </c>
      <c r="BN100" s="38">
        <f t="shared" si="497"/>
        <v>505567.34239999996</v>
      </c>
      <c r="BO100" s="38">
        <f t="shared" si="497"/>
        <v>522013.01239699993</v>
      </c>
      <c r="BP100" s="38">
        <f t="shared" si="497"/>
        <v>523291.66212199995</v>
      </c>
      <c r="BQ100" s="38">
        <f t="shared" si="497"/>
        <v>509226.51514699997</v>
      </c>
      <c r="BR100" s="38">
        <f t="shared" si="497"/>
        <v>510505.16487199994</v>
      </c>
      <c r="BS100" s="38">
        <f t="shared" si="497"/>
        <v>511783.81459699996</v>
      </c>
      <c r="BT100" s="38">
        <f t="shared" si="497"/>
        <v>513062.46432199993</v>
      </c>
      <c r="BU100" s="38">
        <f t="shared" si="497"/>
        <v>514341.11404699995</v>
      </c>
      <c r="BV100" s="38">
        <f t="shared" si="497"/>
        <v>515619.76377199992</v>
      </c>
      <c r="BW100" s="38">
        <f t="shared" si="497"/>
        <v>516898.41349699994</v>
      </c>
      <c r="BX100" s="38">
        <f t="shared" si="497"/>
        <v>518177.06322199997</v>
      </c>
      <c r="BY100" s="38">
        <f t="shared" si="497"/>
        <v>519455.71294699993</v>
      </c>
      <c r="BZ100" s="38">
        <f t="shared" ref="BZ100:EK100" si="498">SUM(BZ96:BZ99)</f>
        <v>520734.36267199996</v>
      </c>
      <c r="CA100" s="38">
        <f t="shared" si="498"/>
        <v>537673.40276890993</v>
      </c>
      <c r="CB100" s="38">
        <f t="shared" si="498"/>
        <v>538990.41198565997</v>
      </c>
      <c r="CC100" s="38">
        <f t="shared" si="498"/>
        <v>524503.31060140999</v>
      </c>
      <c r="CD100" s="38">
        <f t="shared" si="498"/>
        <v>525820.31981815991</v>
      </c>
      <c r="CE100" s="38">
        <f t="shared" si="498"/>
        <v>527137.32903490996</v>
      </c>
      <c r="CF100" s="38">
        <f t="shared" si="498"/>
        <v>528454.33825166</v>
      </c>
      <c r="CG100" s="38">
        <f t="shared" si="498"/>
        <v>529771.34746840992</v>
      </c>
      <c r="CH100" s="38">
        <f t="shared" si="498"/>
        <v>531088.35668515996</v>
      </c>
      <c r="CI100" s="38">
        <f t="shared" si="498"/>
        <v>532405.36590191</v>
      </c>
      <c r="CJ100" s="38">
        <f t="shared" si="498"/>
        <v>533722.37511865993</v>
      </c>
      <c r="CK100" s="38">
        <f t="shared" si="498"/>
        <v>535039.38433540997</v>
      </c>
      <c r="CL100" s="38">
        <f t="shared" si="498"/>
        <v>536356.39355216001</v>
      </c>
      <c r="CM100" s="38">
        <f t="shared" si="498"/>
        <v>553803.60485197732</v>
      </c>
      <c r="CN100" s="38">
        <f t="shared" si="498"/>
        <v>555160.12434522982</v>
      </c>
      <c r="CO100" s="38">
        <f t="shared" si="498"/>
        <v>540238.40991945227</v>
      </c>
      <c r="CP100" s="38">
        <f t="shared" si="498"/>
        <v>541594.92941270478</v>
      </c>
      <c r="CQ100" s="38">
        <f t="shared" si="498"/>
        <v>542951.44890595728</v>
      </c>
      <c r="CR100" s="38">
        <f t="shared" si="498"/>
        <v>544307.96839920979</v>
      </c>
      <c r="CS100" s="38">
        <f t="shared" si="498"/>
        <v>545664.48789246229</v>
      </c>
      <c r="CT100" s="38">
        <f t="shared" si="498"/>
        <v>547021.00738571479</v>
      </c>
      <c r="CU100" s="38">
        <f t="shared" si="498"/>
        <v>548377.5268789673</v>
      </c>
      <c r="CV100" s="38">
        <f t="shared" si="498"/>
        <v>549734.0463722198</v>
      </c>
      <c r="CW100" s="38">
        <f t="shared" si="498"/>
        <v>551090.56586547231</v>
      </c>
      <c r="CX100" s="38">
        <f t="shared" si="498"/>
        <v>552447.08535872481</v>
      </c>
      <c r="CY100" s="38">
        <f t="shared" si="498"/>
        <v>570417.71299753652</v>
      </c>
      <c r="CZ100" s="38">
        <f t="shared" si="498"/>
        <v>571814.92807558656</v>
      </c>
      <c r="DA100" s="38">
        <f t="shared" si="498"/>
        <v>556445.5622170358</v>
      </c>
      <c r="DB100" s="38">
        <f t="shared" si="498"/>
        <v>557842.77729508595</v>
      </c>
      <c r="DC100" s="38">
        <f t="shared" si="498"/>
        <v>559239.99237313599</v>
      </c>
      <c r="DD100" s="38">
        <f t="shared" si="498"/>
        <v>560637.20745118603</v>
      </c>
      <c r="DE100" s="38">
        <f t="shared" si="498"/>
        <v>562034.42252923606</v>
      </c>
      <c r="DF100" s="38">
        <f t="shared" si="498"/>
        <v>563431.6376072861</v>
      </c>
      <c r="DG100" s="38">
        <f t="shared" si="498"/>
        <v>564828.85268533626</v>
      </c>
      <c r="DH100" s="38">
        <f t="shared" si="498"/>
        <v>566226.06776338629</v>
      </c>
      <c r="DI100" s="38">
        <f t="shared" si="498"/>
        <v>567623.28284143633</v>
      </c>
      <c r="DJ100" s="38">
        <f t="shared" si="498"/>
        <v>569020.49791948649</v>
      </c>
      <c r="DK100" s="38">
        <f t="shared" si="498"/>
        <v>587530.24438746274</v>
      </c>
      <c r="DL100" s="38">
        <f t="shared" si="498"/>
        <v>588969.37591785437</v>
      </c>
      <c r="DM100" s="38">
        <f t="shared" si="498"/>
        <v>573138.92908354697</v>
      </c>
      <c r="DN100" s="38">
        <f t="shared" si="498"/>
        <v>574578.06061393849</v>
      </c>
      <c r="DO100" s="38">
        <f t="shared" si="498"/>
        <v>576017.19214433013</v>
      </c>
      <c r="DP100" s="38">
        <f t="shared" si="498"/>
        <v>577456.32367472164</v>
      </c>
      <c r="DQ100" s="38">
        <f t="shared" si="498"/>
        <v>578895.45520511328</v>
      </c>
      <c r="DR100" s="38">
        <f t="shared" si="498"/>
        <v>580334.5867355048</v>
      </c>
      <c r="DS100" s="38">
        <f t="shared" si="498"/>
        <v>581773.71826589643</v>
      </c>
      <c r="DT100" s="38">
        <f t="shared" si="498"/>
        <v>583212.84979628806</v>
      </c>
      <c r="DU100" s="38">
        <f t="shared" si="498"/>
        <v>584651.98132667958</v>
      </c>
      <c r="DV100" s="38">
        <f t="shared" si="498"/>
        <v>586091.11285707122</v>
      </c>
      <c r="DW100" s="38">
        <f t="shared" si="498"/>
        <v>605156.15171908645</v>
      </c>
      <c r="DX100" s="38">
        <f t="shared" si="498"/>
        <v>606638.45719538978</v>
      </c>
      <c r="DY100" s="38">
        <f t="shared" si="498"/>
        <v>590333.0969560534</v>
      </c>
      <c r="DZ100" s="38">
        <f t="shared" si="498"/>
        <v>591815.40243235673</v>
      </c>
      <c r="EA100" s="38">
        <f t="shared" si="498"/>
        <v>593297.70790865994</v>
      </c>
      <c r="EB100" s="38">
        <f t="shared" si="498"/>
        <v>594780.01338496327</v>
      </c>
      <c r="EC100" s="38">
        <f t="shared" si="498"/>
        <v>596262.3188612666</v>
      </c>
      <c r="ED100" s="38">
        <f t="shared" si="498"/>
        <v>597744.62433756993</v>
      </c>
      <c r="EE100" s="38">
        <f t="shared" si="498"/>
        <v>599226.92981387326</v>
      </c>
      <c r="EF100" s="38">
        <f t="shared" si="498"/>
        <v>600709.23529017658</v>
      </c>
      <c r="EG100" s="38">
        <f t="shared" si="498"/>
        <v>602191.54076647991</v>
      </c>
      <c r="EH100" s="38">
        <f t="shared" si="498"/>
        <v>603673.84624278313</v>
      </c>
      <c r="EI100" s="38">
        <f t="shared" si="498"/>
        <v>623310.83627065911</v>
      </c>
      <c r="EJ100" s="38">
        <f t="shared" si="498"/>
        <v>624837.61091125151</v>
      </c>
      <c r="EK100" s="38">
        <f t="shared" si="498"/>
        <v>608043.08986473479</v>
      </c>
      <c r="EL100" s="38">
        <f>SUM(EL96:EL99)</f>
        <v>609569.86450532719</v>
      </c>
      <c r="EM100" s="38">
        <f>SUM(EM96:EM99)</f>
        <v>611096.6391459197</v>
      </c>
      <c r="EN100" s="38">
        <f>SUM(EN96:EN99)</f>
        <v>612623.4137865121</v>
      </c>
      <c r="EP100" s="24"/>
      <c r="EQ100" s="24"/>
      <c r="ER100" s="24"/>
      <c r="ES100" s="24"/>
      <c r="ET100" s="24"/>
      <c r="EU100" s="33" t="s">
        <v>113</v>
      </c>
      <c r="EV100" s="59"/>
      <c r="EW100" s="59">
        <f t="shared" ref="EW100:HH100" si="499">EW99/12</f>
        <v>0</v>
      </c>
      <c r="EX100" s="59">
        <f t="shared" si="499"/>
        <v>0</v>
      </c>
      <c r="EY100" s="59">
        <f t="shared" si="499"/>
        <v>0</v>
      </c>
      <c r="EZ100" s="59">
        <f t="shared" si="499"/>
        <v>0</v>
      </c>
      <c r="FA100" s="59">
        <f t="shared" si="499"/>
        <v>0</v>
      </c>
      <c r="FB100" s="59">
        <f t="shared" si="499"/>
        <v>0</v>
      </c>
      <c r="FC100" s="59">
        <f t="shared" si="499"/>
        <v>0</v>
      </c>
      <c r="FD100" s="59">
        <f t="shared" si="499"/>
        <v>0</v>
      </c>
      <c r="FE100" s="59">
        <f t="shared" si="499"/>
        <v>0</v>
      </c>
      <c r="FF100" s="59">
        <f t="shared" si="499"/>
        <v>0</v>
      </c>
      <c r="FG100" s="59">
        <f t="shared" si="499"/>
        <v>0</v>
      </c>
      <c r="FH100" s="59">
        <f t="shared" si="499"/>
        <v>0</v>
      </c>
      <c r="FI100" s="59">
        <f t="shared" si="499"/>
        <v>0</v>
      </c>
      <c r="FJ100" s="59">
        <f t="shared" si="499"/>
        <v>0</v>
      </c>
      <c r="FK100" s="59">
        <f t="shared" si="499"/>
        <v>0</v>
      </c>
      <c r="FL100" s="59">
        <f t="shared" si="499"/>
        <v>0</v>
      </c>
      <c r="FM100" s="59">
        <f t="shared" si="499"/>
        <v>0</v>
      </c>
      <c r="FN100" s="59">
        <f t="shared" si="499"/>
        <v>0</v>
      </c>
      <c r="FO100" s="59">
        <f t="shared" si="499"/>
        <v>0</v>
      </c>
      <c r="FP100" s="59">
        <f t="shared" si="499"/>
        <v>0</v>
      </c>
      <c r="FQ100" s="59">
        <f t="shared" si="499"/>
        <v>0</v>
      </c>
      <c r="FR100" s="59">
        <f t="shared" si="499"/>
        <v>0</v>
      </c>
      <c r="FS100" s="59">
        <f t="shared" si="499"/>
        <v>0</v>
      </c>
      <c r="FT100" s="59">
        <f t="shared" si="499"/>
        <v>0</v>
      </c>
      <c r="FU100" s="59">
        <f t="shared" si="499"/>
        <v>0</v>
      </c>
      <c r="FV100" s="59">
        <f t="shared" si="499"/>
        <v>0</v>
      </c>
      <c r="FW100" s="59">
        <f t="shared" si="499"/>
        <v>0</v>
      </c>
      <c r="FX100" s="59">
        <f t="shared" si="499"/>
        <v>0</v>
      </c>
      <c r="FY100" s="59">
        <f t="shared" si="499"/>
        <v>0</v>
      </c>
      <c r="FZ100" s="59">
        <f t="shared" si="499"/>
        <v>0</v>
      </c>
      <c r="GA100" s="59">
        <f t="shared" si="499"/>
        <v>0</v>
      </c>
      <c r="GB100" s="59">
        <f t="shared" si="499"/>
        <v>0</v>
      </c>
      <c r="GC100" s="59">
        <f t="shared" si="499"/>
        <v>8.3333333333333329E-2</v>
      </c>
      <c r="GD100" s="59">
        <f t="shared" si="499"/>
        <v>0.16666666666666666</v>
      </c>
      <c r="GE100" s="59">
        <f t="shared" si="499"/>
        <v>0.25</v>
      </c>
      <c r="GF100" s="59">
        <f t="shared" si="499"/>
        <v>0.33333333333333331</v>
      </c>
      <c r="GG100" s="59">
        <f t="shared" si="499"/>
        <v>0.41666666666666669</v>
      </c>
      <c r="GH100" s="59">
        <f t="shared" si="499"/>
        <v>0.5</v>
      </c>
      <c r="GI100" s="59">
        <f t="shared" si="499"/>
        <v>0.58333333333333337</v>
      </c>
      <c r="GJ100" s="59">
        <f t="shared" si="499"/>
        <v>0.66666666666666663</v>
      </c>
      <c r="GK100" s="59">
        <f t="shared" si="499"/>
        <v>0.75</v>
      </c>
      <c r="GL100" s="59">
        <f t="shared" si="499"/>
        <v>0.83333333333333337</v>
      </c>
      <c r="GM100" s="59">
        <f t="shared" si="499"/>
        <v>0.91666666666666663</v>
      </c>
      <c r="GN100" s="59">
        <f t="shared" si="499"/>
        <v>1</v>
      </c>
      <c r="GO100" s="59">
        <f t="shared" si="499"/>
        <v>8.3333333333333329E-2</v>
      </c>
      <c r="GP100" s="59">
        <f t="shared" si="499"/>
        <v>0.16666666666666666</v>
      </c>
      <c r="GQ100" s="59">
        <f t="shared" si="499"/>
        <v>0.25</v>
      </c>
      <c r="GR100" s="59">
        <f t="shared" si="499"/>
        <v>0.33333333333333331</v>
      </c>
      <c r="GS100" s="59">
        <f t="shared" si="499"/>
        <v>0.41666666666666669</v>
      </c>
      <c r="GT100" s="59">
        <f t="shared" si="499"/>
        <v>0.5</v>
      </c>
      <c r="GU100" s="59">
        <f t="shared" si="499"/>
        <v>0.58333333333333337</v>
      </c>
      <c r="GV100" s="59">
        <f t="shared" si="499"/>
        <v>0.66666666666666663</v>
      </c>
      <c r="GW100" s="59">
        <f t="shared" si="499"/>
        <v>0.75</v>
      </c>
      <c r="GX100" s="59">
        <f t="shared" si="499"/>
        <v>0.83333333333333337</v>
      </c>
      <c r="GY100" s="59">
        <f t="shared" si="499"/>
        <v>0.91666666666666663</v>
      </c>
      <c r="GZ100" s="59">
        <f t="shared" si="499"/>
        <v>1</v>
      </c>
      <c r="HA100" s="59">
        <f t="shared" si="499"/>
        <v>8.3333333333333329E-2</v>
      </c>
      <c r="HB100" s="59">
        <f t="shared" si="499"/>
        <v>0.16666666666666666</v>
      </c>
      <c r="HC100" s="59">
        <f t="shared" si="499"/>
        <v>0.25</v>
      </c>
      <c r="HD100" s="59">
        <f t="shared" si="499"/>
        <v>0.33333333333333331</v>
      </c>
      <c r="HE100" s="59">
        <f t="shared" si="499"/>
        <v>0.41666666666666669</v>
      </c>
      <c r="HF100" s="59">
        <f t="shared" si="499"/>
        <v>0.5</v>
      </c>
      <c r="HG100" s="59">
        <f t="shared" si="499"/>
        <v>0.58333333333333337</v>
      </c>
      <c r="HH100" s="59">
        <f t="shared" si="499"/>
        <v>0.66666666666666663</v>
      </c>
      <c r="HI100" s="59">
        <f t="shared" ref="HI100:JT100" si="500">HI99/12</f>
        <v>0.75</v>
      </c>
      <c r="HJ100" s="59">
        <f t="shared" si="500"/>
        <v>0.83333333333333337</v>
      </c>
      <c r="HK100" s="59">
        <f t="shared" si="500"/>
        <v>0.91666666666666663</v>
      </c>
      <c r="HL100" s="59">
        <f t="shared" si="500"/>
        <v>1</v>
      </c>
      <c r="HM100" s="59">
        <f t="shared" si="500"/>
        <v>8.3333333333333329E-2</v>
      </c>
      <c r="HN100" s="59">
        <f t="shared" si="500"/>
        <v>0.16666666666666666</v>
      </c>
      <c r="HO100" s="59">
        <f t="shared" si="500"/>
        <v>0.25</v>
      </c>
      <c r="HP100" s="59">
        <f t="shared" si="500"/>
        <v>0.33333333333333331</v>
      </c>
      <c r="HQ100" s="59">
        <f t="shared" si="500"/>
        <v>0.41666666666666669</v>
      </c>
      <c r="HR100" s="59">
        <f t="shared" si="500"/>
        <v>0.5</v>
      </c>
      <c r="HS100" s="59">
        <f t="shared" si="500"/>
        <v>0.58333333333333337</v>
      </c>
      <c r="HT100" s="59">
        <f t="shared" si="500"/>
        <v>0.66666666666666663</v>
      </c>
      <c r="HU100" s="59">
        <f t="shared" si="500"/>
        <v>0.75</v>
      </c>
      <c r="HV100" s="59">
        <f t="shared" si="500"/>
        <v>0.83333333333333337</v>
      </c>
      <c r="HW100" s="59">
        <f t="shared" si="500"/>
        <v>0.91666666666666663</v>
      </c>
      <c r="HX100" s="59">
        <f t="shared" si="500"/>
        <v>1</v>
      </c>
      <c r="HY100" s="59">
        <f t="shared" si="500"/>
        <v>8.3333333333333329E-2</v>
      </c>
      <c r="HZ100" s="59">
        <f t="shared" si="500"/>
        <v>0.16666666666666666</v>
      </c>
      <c r="IA100" s="59">
        <f t="shared" si="500"/>
        <v>0.25</v>
      </c>
      <c r="IB100" s="59">
        <f t="shared" si="500"/>
        <v>0.33333333333333331</v>
      </c>
      <c r="IC100" s="59">
        <f t="shared" si="500"/>
        <v>0.41666666666666669</v>
      </c>
      <c r="ID100" s="59">
        <f t="shared" si="500"/>
        <v>0.5</v>
      </c>
      <c r="IE100" s="59">
        <f t="shared" si="500"/>
        <v>0.58333333333333337</v>
      </c>
      <c r="IF100" s="59">
        <f t="shared" si="500"/>
        <v>0.66666666666666663</v>
      </c>
      <c r="IG100" s="59">
        <f t="shared" si="500"/>
        <v>0.75</v>
      </c>
      <c r="IH100" s="59">
        <f t="shared" si="500"/>
        <v>0.83333333333333337</v>
      </c>
      <c r="II100" s="59">
        <f t="shared" si="500"/>
        <v>0.91666666666666663</v>
      </c>
      <c r="IJ100" s="59">
        <f t="shared" si="500"/>
        <v>1</v>
      </c>
      <c r="IK100" s="59">
        <f t="shared" si="500"/>
        <v>8.3333333333333329E-2</v>
      </c>
      <c r="IL100" s="59">
        <f t="shared" si="500"/>
        <v>0.16666666666666666</v>
      </c>
      <c r="IM100" s="59">
        <f t="shared" si="500"/>
        <v>0.25</v>
      </c>
      <c r="IN100" s="59">
        <f t="shared" si="500"/>
        <v>0.33333333333333331</v>
      </c>
      <c r="IO100" s="59">
        <f t="shared" si="500"/>
        <v>0.41666666666666669</v>
      </c>
      <c r="IP100" s="59">
        <f t="shared" si="500"/>
        <v>0.5</v>
      </c>
      <c r="IQ100" s="59">
        <f t="shared" si="500"/>
        <v>0.58333333333333337</v>
      </c>
      <c r="IR100" s="59">
        <f t="shared" si="500"/>
        <v>0.66666666666666663</v>
      </c>
      <c r="IS100" s="59">
        <f t="shared" si="500"/>
        <v>0.75</v>
      </c>
      <c r="IT100" s="59">
        <f t="shared" si="500"/>
        <v>0.83333333333333337</v>
      </c>
      <c r="IU100" s="59">
        <f t="shared" si="500"/>
        <v>0.91666666666666663</v>
      </c>
      <c r="IV100" s="59">
        <f t="shared" si="500"/>
        <v>1</v>
      </c>
      <c r="IW100" s="59">
        <f t="shared" si="500"/>
        <v>8.3333333333333329E-2</v>
      </c>
      <c r="IX100" s="59">
        <f t="shared" si="500"/>
        <v>0.16666666666666666</v>
      </c>
      <c r="IY100" s="59">
        <f t="shared" si="500"/>
        <v>0.25</v>
      </c>
      <c r="IZ100" s="59">
        <f t="shared" si="500"/>
        <v>0.33333333333333331</v>
      </c>
      <c r="JA100" s="59">
        <f t="shared" si="500"/>
        <v>0.41666666666666669</v>
      </c>
      <c r="JB100" s="59">
        <f t="shared" si="500"/>
        <v>0.5</v>
      </c>
      <c r="JC100" s="59">
        <f t="shared" si="500"/>
        <v>0.58333333333333337</v>
      </c>
      <c r="JD100" s="59">
        <f t="shared" si="500"/>
        <v>0.66666666666666663</v>
      </c>
      <c r="JE100" s="59">
        <f t="shared" si="500"/>
        <v>0.75</v>
      </c>
      <c r="JF100" s="59">
        <f t="shared" si="500"/>
        <v>0.83333333333333337</v>
      </c>
      <c r="JG100" s="59">
        <f t="shared" si="500"/>
        <v>0.91666666666666663</v>
      </c>
      <c r="JH100" s="59">
        <f t="shared" si="500"/>
        <v>1</v>
      </c>
      <c r="JI100" s="59">
        <f t="shared" si="500"/>
        <v>8.3333333333333329E-2</v>
      </c>
      <c r="JJ100" s="59">
        <f t="shared" si="500"/>
        <v>0.16666666666666666</v>
      </c>
      <c r="JK100" s="59">
        <f t="shared" si="500"/>
        <v>0.25</v>
      </c>
      <c r="JL100" s="59">
        <f t="shared" si="500"/>
        <v>0.33333333333333331</v>
      </c>
      <c r="JM100" s="59">
        <f t="shared" si="500"/>
        <v>0.41666666666666669</v>
      </c>
      <c r="JN100" s="59">
        <f t="shared" si="500"/>
        <v>0.5</v>
      </c>
      <c r="JO100" s="59">
        <f t="shared" si="500"/>
        <v>0.58333333333333337</v>
      </c>
      <c r="JP100" s="59">
        <f t="shared" si="500"/>
        <v>0.66666666666666663</v>
      </c>
      <c r="JQ100" s="59">
        <f t="shared" si="500"/>
        <v>0.75</v>
      </c>
      <c r="JR100" s="59">
        <f t="shared" si="500"/>
        <v>0.83333333333333337</v>
      </c>
      <c r="JS100" s="59">
        <f t="shared" si="500"/>
        <v>0.91666666666666663</v>
      </c>
      <c r="JT100" s="59">
        <f t="shared" si="500"/>
        <v>1</v>
      </c>
      <c r="JU100" s="59">
        <f>JU99/12</f>
        <v>8.3333333333333329E-2</v>
      </c>
      <c r="JV100" s="59">
        <f>JV99/12</f>
        <v>0.16666666666666666</v>
      </c>
      <c r="JW100" s="59">
        <f>JW99/12</f>
        <v>0.25</v>
      </c>
      <c r="JX100" s="59">
        <f>JX99/12</f>
        <v>0.33333333333333331</v>
      </c>
    </row>
    <row r="101" spans="1:284" s="7" customFormat="1" ht="16.5" x14ac:dyDescent="0.35">
      <c r="A101" s="406"/>
      <c r="B101" s="119" t="s">
        <v>122</v>
      </c>
      <c r="C101" s="102"/>
      <c r="D101" s="102"/>
      <c r="E101" s="102" t="s">
        <v>150</v>
      </c>
      <c r="F101" s="102" t="s">
        <v>149</v>
      </c>
      <c r="G101" s="401" t="str">
        <f>"/"&amp;Unit_Type&amp;"/MO"</f>
        <v>/SF/MO</v>
      </c>
      <c r="H101" s="116" t="s">
        <v>463</v>
      </c>
      <c r="I101" s="102" t="s">
        <v>129</v>
      </c>
      <c r="EP101" s="24"/>
      <c r="EQ101" s="33" t="s">
        <v>220</v>
      </c>
      <c r="ER101" s="79">
        <f>COUNTA($B$102:$B$105)</f>
        <v>4</v>
      </c>
      <c r="ES101" s="24"/>
      <c r="ET101" s="24"/>
      <c r="EU101" s="33" t="s">
        <v>104</v>
      </c>
      <c r="EV101" s="30"/>
      <c r="EW101" s="30">
        <f t="shared" ref="EW101:GB101" si="501">M96</f>
        <v>0</v>
      </c>
      <c r="EX101" s="30">
        <f t="shared" si="501"/>
        <v>0</v>
      </c>
      <c r="EY101" s="30">
        <f t="shared" si="501"/>
        <v>0</v>
      </c>
      <c r="EZ101" s="30">
        <f t="shared" si="501"/>
        <v>0</v>
      </c>
      <c r="FA101" s="30">
        <f t="shared" si="501"/>
        <v>0</v>
      </c>
      <c r="FB101" s="30">
        <f t="shared" si="501"/>
        <v>0</v>
      </c>
      <c r="FC101" s="30">
        <f t="shared" si="501"/>
        <v>0</v>
      </c>
      <c r="FD101" s="30">
        <f t="shared" si="501"/>
        <v>0</v>
      </c>
      <c r="FE101" s="30">
        <f t="shared" si="501"/>
        <v>0</v>
      </c>
      <c r="FF101" s="30">
        <f t="shared" si="501"/>
        <v>0</v>
      </c>
      <c r="FG101" s="30">
        <f t="shared" si="501"/>
        <v>0</v>
      </c>
      <c r="FH101" s="30">
        <f t="shared" si="501"/>
        <v>0</v>
      </c>
      <c r="FI101" s="30">
        <f t="shared" si="501"/>
        <v>0</v>
      </c>
      <c r="FJ101" s="30">
        <f t="shared" si="501"/>
        <v>0</v>
      </c>
      <c r="FK101" s="30">
        <f t="shared" si="501"/>
        <v>0</v>
      </c>
      <c r="FL101" s="30">
        <f t="shared" si="501"/>
        <v>0</v>
      </c>
      <c r="FM101" s="30">
        <f t="shared" si="501"/>
        <v>0</v>
      </c>
      <c r="FN101" s="30">
        <f t="shared" si="501"/>
        <v>0</v>
      </c>
      <c r="FO101" s="30">
        <f t="shared" si="501"/>
        <v>482100</v>
      </c>
      <c r="FP101" s="30">
        <f t="shared" si="501"/>
        <v>482100</v>
      </c>
      <c r="FQ101" s="30">
        <f t="shared" si="501"/>
        <v>482100</v>
      </c>
      <c r="FR101" s="30">
        <f t="shared" si="501"/>
        <v>482100</v>
      </c>
      <c r="FS101" s="30">
        <f t="shared" si="501"/>
        <v>482100</v>
      </c>
      <c r="FT101" s="30">
        <f t="shared" si="501"/>
        <v>482100</v>
      </c>
      <c r="FU101" s="30">
        <f t="shared" si="501"/>
        <v>482100</v>
      </c>
      <c r="FV101" s="30">
        <f t="shared" si="501"/>
        <v>482100</v>
      </c>
      <c r="FW101" s="30">
        <f t="shared" si="501"/>
        <v>482100</v>
      </c>
      <c r="FX101" s="30">
        <f t="shared" si="501"/>
        <v>482100</v>
      </c>
      <c r="FY101" s="30">
        <f t="shared" si="501"/>
        <v>482100</v>
      </c>
      <c r="FZ101" s="30">
        <f t="shared" si="501"/>
        <v>482100</v>
      </c>
      <c r="GA101" s="30">
        <f t="shared" si="501"/>
        <v>496563</v>
      </c>
      <c r="GB101" s="30">
        <f t="shared" si="501"/>
        <v>496563</v>
      </c>
      <c r="GC101" s="30">
        <f t="shared" ref="GC101:HH101" si="502">AS96</f>
        <v>496563</v>
      </c>
      <c r="GD101" s="30">
        <f t="shared" si="502"/>
        <v>496563</v>
      </c>
      <c r="GE101" s="30">
        <f t="shared" si="502"/>
        <v>496563</v>
      </c>
      <c r="GF101" s="30">
        <f t="shared" si="502"/>
        <v>496563</v>
      </c>
      <c r="GG101" s="30">
        <f t="shared" si="502"/>
        <v>496563</v>
      </c>
      <c r="GH101" s="30">
        <f t="shared" si="502"/>
        <v>496563</v>
      </c>
      <c r="GI101" s="30">
        <f t="shared" si="502"/>
        <v>496563</v>
      </c>
      <c r="GJ101" s="30">
        <f t="shared" si="502"/>
        <v>496563</v>
      </c>
      <c r="GK101" s="30">
        <f t="shared" si="502"/>
        <v>496563</v>
      </c>
      <c r="GL101" s="30">
        <f t="shared" si="502"/>
        <v>496563</v>
      </c>
      <c r="GM101" s="30">
        <f t="shared" si="502"/>
        <v>511459.88999999996</v>
      </c>
      <c r="GN101" s="30">
        <f t="shared" si="502"/>
        <v>511459.88999999996</v>
      </c>
      <c r="GO101" s="30">
        <f t="shared" si="502"/>
        <v>511459.88999999996</v>
      </c>
      <c r="GP101" s="30">
        <f t="shared" si="502"/>
        <v>511459.88999999996</v>
      </c>
      <c r="GQ101" s="30">
        <f t="shared" si="502"/>
        <v>511459.88999999996</v>
      </c>
      <c r="GR101" s="30">
        <f t="shared" si="502"/>
        <v>511459.88999999996</v>
      </c>
      <c r="GS101" s="30">
        <f t="shared" si="502"/>
        <v>511459.88999999996</v>
      </c>
      <c r="GT101" s="30">
        <f t="shared" si="502"/>
        <v>511459.88999999996</v>
      </c>
      <c r="GU101" s="30">
        <f t="shared" si="502"/>
        <v>511459.88999999996</v>
      </c>
      <c r="GV101" s="30">
        <f t="shared" si="502"/>
        <v>511459.88999999996</v>
      </c>
      <c r="GW101" s="30">
        <f t="shared" si="502"/>
        <v>511459.88999999996</v>
      </c>
      <c r="GX101" s="30">
        <f t="shared" si="502"/>
        <v>511459.88999999996</v>
      </c>
      <c r="GY101" s="30">
        <f t="shared" si="502"/>
        <v>526803.68669999996</v>
      </c>
      <c r="GZ101" s="30">
        <f t="shared" si="502"/>
        <v>526803.68669999996</v>
      </c>
      <c r="HA101" s="30">
        <f t="shared" si="502"/>
        <v>526803.68669999996</v>
      </c>
      <c r="HB101" s="30">
        <f t="shared" si="502"/>
        <v>526803.68669999996</v>
      </c>
      <c r="HC101" s="30">
        <f t="shared" si="502"/>
        <v>526803.68669999996</v>
      </c>
      <c r="HD101" s="30">
        <f t="shared" si="502"/>
        <v>526803.68669999996</v>
      </c>
      <c r="HE101" s="30">
        <f t="shared" si="502"/>
        <v>526803.68669999996</v>
      </c>
      <c r="HF101" s="30">
        <f t="shared" si="502"/>
        <v>526803.68669999996</v>
      </c>
      <c r="HG101" s="30">
        <f t="shared" si="502"/>
        <v>526803.68669999996</v>
      </c>
      <c r="HH101" s="30">
        <f t="shared" si="502"/>
        <v>526803.68669999996</v>
      </c>
      <c r="HI101" s="30">
        <f t="shared" ref="HI101:IN101" si="503">BY96</f>
        <v>526803.68669999996</v>
      </c>
      <c r="HJ101" s="30">
        <f t="shared" si="503"/>
        <v>526803.68669999996</v>
      </c>
      <c r="HK101" s="30">
        <f t="shared" si="503"/>
        <v>542607.79730099998</v>
      </c>
      <c r="HL101" s="30">
        <f t="shared" si="503"/>
        <v>542607.79730099998</v>
      </c>
      <c r="HM101" s="30">
        <f t="shared" si="503"/>
        <v>542607.79730099998</v>
      </c>
      <c r="HN101" s="30">
        <f t="shared" si="503"/>
        <v>542607.79730099998</v>
      </c>
      <c r="HO101" s="30">
        <f t="shared" si="503"/>
        <v>542607.79730099998</v>
      </c>
      <c r="HP101" s="30">
        <f t="shared" si="503"/>
        <v>542607.79730099998</v>
      </c>
      <c r="HQ101" s="30">
        <f t="shared" si="503"/>
        <v>542607.79730099998</v>
      </c>
      <c r="HR101" s="30">
        <f t="shared" si="503"/>
        <v>542607.79730099998</v>
      </c>
      <c r="HS101" s="30">
        <f t="shared" si="503"/>
        <v>542607.79730099998</v>
      </c>
      <c r="HT101" s="30">
        <f t="shared" si="503"/>
        <v>542607.79730099998</v>
      </c>
      <c r="HU101" s="30">
        <f t="shared" si="503"/>
        <v>542607.79730099998</v>
      </c>
      <c r="HV101" s="30">
        <f t="shared" si="503"/>
        <v>542607.79730099998</v>
      </c>
      <c r="HW101" s="30">
        <f t="shared" si="503"/>
        <v>558886.03122003004</v>
      </c>
      <c r="HX101" s="30">
        <f t="shared" si="503"/>
        <v>558886.03122003004</v>
      </c>
      <c r="HY101" s="30">
        <f t="shared" si="503"/>
        <v>558886.03122003004</v>
      </c>
      <c r="HZ101" s="30">
        <f t="shared" si="503"/>
        <v>558886.03122003004</v>
      </c>
      <c r="IA101" s="30">
        <f t="shared" si="503"/>
        <v>558886.03122003004</v>
      </c>
      <c r="IB101" s="30">
        <f t="shared" si="503"/>
        <v>558886.03122003004</v>
      </c>
      <c r="IC101" s="30">
        <f t="shared" si="503"/>
        <v>558886.03122003004</v>
      </c>
      <c r="ID101" s="30">
        <f t="shared" si="503"/>
        <v>558886.03122003004</v>
      </c>
      <c r="IE101" s="30">
        <f t="shared" si="503"/>
        <v>558886.03122003004</v>
      </c>
      <c r="IF101" s="30">
        <f t="shared" si="503"/>
        <v>558886.03122003004</v>
      </c>
      <c r="IG101" s="30">
        <f t="shared" si="503"/>
        <v>558886.03122003004</v>
      </c>
      <c r="IH101" s="30">
        <f t="shared" si="503"/>
        <v>558886.03122003004</v>
      </c>
      <c r="II101" s="30">
        <f t="shared" si="503"/>
        <v>575652.61215663073</v>
      </c>
      <c r="IJ101" s="30">
        <f t="shared" si="503"/>
        <v>575652.61215663073</v>
      </c>
      <c r="IK101" s="30">
        <f t="shared" si="503"/>
        <v>575652.61215663073</v>
      </c>
      <c r="IL101" s="30">
        <f t="shared" si="503"/>
        <v>575652.61215663073</v>
      </c>
      <c r="IM101" s="30">
        <f t="shared" si="503"/>
        <v>575652.61215663073</v>
      </c>
      <c r="IN101" s="30">
        <f t="shared" si="503"/>
        <v>575652.61215663073</v>
      </c>
      <c r="IO101" s="30">
        <f t="shared" ref="IO101:JT101" si="504">DE96</f>
        <v>575652.61215663073</v>
      </c>
      <c r="IP101" s="30">
        <f t="shared" si="504"/>
        <v>575652.61215663073</v>
      </c>
      <c r="IQ101" s="30">
        <f t="shared" si="504"/>
        <v>575652.61215663073</v>
      </c>
      <c r="IR101" s="30">
        <f t="shared" si="504"/>
        <v>575652.61215663073</v>
      </c>
      <c r="IS101" s="30">
        <f t="shared" si="504"/>
        <v>575652.61215663073</v>
      </c>
      <c r="IT101" s="30">
        <f t="shared" si="504"/>
        <v>575652.61215663073</v>
      </c>
      <c r="IU101" s="30">
        <f t="shared" si="504"/>
        <v>592922.19052132987</v>
      </c>
      <c r="IV101" s="30">
        <f t="shared" si="504"/>
        <v>592922.19052132987</v>
      </c>
      <c r="IW101" s="30">
        <f t="shared" si="504"/>
        <v>592922.19052132987</v>
      </c>
      <c r="IX101" s="30">
        <f t="shared" si="504"/>
        <v>592922.19052132987</v>
      </c>
      <c r="IY101" s="30">
        <f t="shared" si="504"/>
        <v>592922.19052132987</v>
      </c>
      <c r="IZ101" s="30">
        <f t="shared" si="504"/>
        <v>592922.19052132987</v>
      </c>
      <c r="JA101" s="30">
        <f t="shared" si="504"/>
        <v>592922.19052132987</v>
      </c>
      <c r="JB101" s="30">
        <f t="shared" si="504"/>
        <v>592922.19052132987</v>
      </c>
      <c r="JC101" s="30">
        <f t="shared" si="504"/>
        <v>592922.19052132987</v>
      </c>
      <c r="JD101" s="30">
        <f t="shared" si="504"/>
        <v>592922.19052132987</v>
      </c>
      <c r="JE101" s="30">
        <f t="shared" si="504"/>
        <v>592922.19052132987</v>
      </c>
      <c r="JF101" s="30">
        <f t="shared" si="504"/>
        <v>592922.19052132987</v>
      </c>
      <c r="JG101" s="30">
        <f t="shared" si="504"/>
        <v>610709.85623696959</v>
      </c>
      <c r="JH101" s="30">
        <f t="shared" si="504"/>
        <v>610709.85623696959</v>
      </c>
      <c r="JI101" s="30">
        <f t="shared" si="504"/>
        <v>610709.85623696959</v>
      </c>
      <c r="JJ101" s="30">
        <f t="shared" si="504"/>
        <v>610709.85623696959</v>
      </c>
      <c r="JK101" s="30">
        <f t="shared" si="504"/>
        <v>610709.85623696959</v>
      </c>
      <c r="JL101" s="30">
        <f t="shared" si="504"/>
        <v>610709.85623696959</v>
      </c>
      <c r="JM101" s="30">
        <f t="shared" si="504"/>
        <v>610709.85623696959</v>
      </c>
      <c r="JN101" s="30">
        <f t="shared" si="504"/>
        <v>610709.85623696959</v>
      </c>
      <c r="JO101" s="30">
        <f t="shared" si="504"/>
        <v>610709.85623696959</v>
      </c>
      <c r="JP101" s="30">
        <f t="shared" si="504"/>
        <v>610709.85623696959</v>
      </c>
      <c r="JQ101" s="30">
        <f t="shared" si="504"/>
        <v>610709.85623696959</v>
      </c>
      <c r="JR101" s="30">
        <f t="shared" si="504"/>
        <v>610709.85623696959</v>
      </c>
      <c r="JS101" s="30">
        <f t="shared" si="504"/>
        <v>629031.1519240787</v>
      </c>
      <c r="JT101" s="30">
        <f t="shared" si="504"/>
        <v>629031.1519240787</v>
      </c>
      <c r="JU101" s="30">
        <f>EK96</f>
        <v>629031.1519240787</v>
      </c>
      <c r="JV101" s="30">
        <f>EL96</f>
        <v>629031.1519240787</v>
      </c>
      <c r="JW101" s="30">
        <f>EM96</f>
        <v>629031.1519240787</v>
      </c>
      <c r="JX101" s="30">
        <f>EN96</f>
        <v>629031.1519240787</v>
      </c>
    </row>
    <row r="102" spans="1:284" s="7" customFormat="1" x14ac:dyDescent="0.2">
      <c r="A102" s="406"/>
      <c r="B102" s="103" t="s">
        <v>121</v>
      </c>
      <c r="C102" s="120"/>
      <c r="D102" s="120"/>
      <c r="E102" s="121">
        <v>0</v>
      </c>
      <c r="F102" s="122">
        <f>I102/$I$100</f>
        <v>3.1322694754075085E-2</v>
      </c>
      <c r="G102" s="390">
        <f>I102/(Units_SF_M2)/12</f>
        <v>5.8823529411764712E-2</v>
      </c>
      <c r="H102" s="123">
        <f>I102/Units/12</f>
        <v>50</v>
      </c>
      <c r="I102" s="124">
        <f>50*Units*12</f>
        <v>180000</v>
      </c>
      <c r="M102" s="38">
        <f t="shared" ref="M102:V105" si="505">($I102/12*M$84)*(1+$D$85)^(EW$87-1)</f>
        <v>0</v>
      </c>
      <c r="N102" s="38">
        <f t="shared" si="505"/>
        <v>0</v>
      </c>
      <c r="O102" s="38">
        <f t="shared" si="505"/>
        <v>0</v>
      </c>
      <c r="P102" s="38">
        <f t="shared" si="505"/>
        <v>0</v>
      </c>
      <c r="Q102" s="38">
        <f t="shared" si="505"/>
        <v>0</v>
      </c>
      <c r="R102" s="38">
        <f t="shared" si="505"/>
        <v>0</v>
      </c>
      <c r="S102" s="38">
        <f t="shared" si="505"/>
        <v>0</v>
      </c>
      <c r="T102" s="38">
        <f t="shared" si="505"/>
        <v>0</v>
      </c>
      <c r="U102" s="38">
        <f t="shared" si="505"/>
        <v>0</v>
      </c>
      <c r="V102" s="38">
        <f t="shared" si="505"/>
        <v>0</v>
      </c>
      <c r="W102" s="38">
        <f t="shared" ref="W102:AF105" si="506">($I102/12*W$84)*(1+$D$85)^(FG$87-1)</f>
        <v>0</v>
      </c>
      <c r="X102" s="38">
        <f t="shared" si="506"/>
        <v>0</v>
      </c>
      <c r="Y102" s="38">
        <f t="shared" si="506"/>
        <v>0</v>
      </c>
      <c r="Z102" s="38">
        <f t="shared" si="506"/>
        <v>0</v>
      </c>
      <c r="AA102" s="38">
        <f t="shared" si="506"/>
        <v>0</v>
      </c>
      <c r="AB102" s="38">
        <f t="shared" si="506"/>
        <v>0</v>
      </c>
      <c r="AC102" s="38">
        <f t="shared" si="506"/>
        <v>0</v>
      </c>
      <c r="AD102" s="38">
        <f t="shared" si="506"/>
        <v>0</v>
      </c>
      <c r="AE102" s="38">
        <f t="shared" si="506"/>
        <v>1499.9999999999998</v>
      </c>
      <c r="AF102" s="38">
        <f t="shared" si="506"/>
        <v>2499.9999999999995</v>
      </c>
      <c r="AG102" s="38">
        <f t="shared" ref="AG102:AP105" si="507">($I102/12*AG$84)*(1+$D$85)^(FQ$87-1)</f>
        <v>3499.9999999999991</v>
      </c>
      <c r="AH102" s="38">
        <f t="shared" si="507"/>
        <v>4500.0000000000009</v>
      </c>
      <c r="AI102" s="38">
        <f t="shared" si="507"/>
        <v>5500</v>
      </c>
      <c r="AJ102" s="38">
        <f t="shared" si="507"/>
        <v>6500</v>
      </c>
      <c r="AK102" s="38">
        <f t="shared" si="507"/>
        <v>7500</v>
      </c>
      <c r="AL102" s="38">
        <f t="shared" si="507"/>
        <v>8500</v>
      </c>
      <c r="AM102" s="38">
        <f t="shared" si="507"/>
        <v>9500</v>
      </c>
      <c r="AN102" s="38">
        <f t="shared" si="507"/>
        <v>10500</v>
      </c>
      <c r="AO102" s="38">
        <f t="shared" si="507"/>
        <v>11500</v>
      </c>
      <c r="AP102" s="38">
        <f t="shared" si="507"/>
        <v>12500</v>
      </c>
      <c r="AQ102" s="38">
        <f t="shared" ref="AQ102:AZ105" si="508">($I102/12*AQ$84)*(1+$D$85)^(GA$87-1)</f>
        <v>13905</v>
      </c>
      <c r="AR102" s="38">
        <f t="shared" si="508"/>
        <v>14935</v>
      </c>
      <c r="AS102" s="38">
        <f t="shared" si="508"/>
        <v>15450</v>
      </c>
      <c r="AT102" s="38">
        <f t="shared" si="508"/>
        <v>15450</v>
      </c>
      <c r="AU102" s="38">
        <f t="shared" si="508"/>
        <v>15450</v>
      </c>
      <c r="AV102" s="38">
        <f t="shared" si="508"/>
        <v>15450</v>
      </c>
      <c r="AW102" s="38">
        <f t="shared" si="508"/>
        <v>15450</v>
      </c>
      <c r="AX102" s="38">
        <f t="shared" si="508"/>
        <v>15450</v>
      </c>
      <c r="AY102" s="38">
        <f t="shared" si="508"/>
        <v>15450</v>
      </c>
      <c r="AZ102" s="38">
        <f t="shared" si="508"/>
        <v>15450</v>
      </c>
      <c r="BA102" s="38">
        <f t="shared" ref="BA102:BJ105" si="509">($I102/12*BA$84)*(1+$D$85)^(GK$87-1)</f>
        <v>15450</v>
      </c>
      <c r="BB102" s="38">
        <f t="shared" si="509"/>
        <v>15450</v>
      </c>
      <c r="BC102" s="38">
        <f t="shared" si="509"/>
        <v>15913.5</v>
      </c>
      <c r="BD102" s="38">
        <f t="shared" si="509"/>
        <v>15913.5</v>
      </c>
      <c r="BE102" s="38">
        <f t="shared" si="509"/>
        <v>15913.5</v>
      </c>
      <c r="BF102" s="38">
        <f t="shared" si="509"/>
        <v>15913.5</v>
      </c>
      <c r="BG102" s="38">
        <f t="shared" si="509"/>
        <v>15913.5</v>
      </c>
      <c r="BH102" s="38">
        <f t="shared" si="509"/>
        <v>15913.5</v>
      </c>
      <c r="BI102" s="38">
        <f t="shared" si="509"/>
        <v>15913.5</v>
      </c>
      <c r="BJ102" s="38">
        <f t="shared" si="509"/>
        <v>15913.5</v>
      </c>
      <c r="BK102" s="38">
        <f t="shared" ref="BK102:BT105" si="510">($I102/12*BK$84)*(1+$D$85)^(GU$87-1)</f>
        <v>15913.5</v>
      </c>
      <c r="BL102" s="38">
        <f t="shared" si="510"/>
        <v>15913.5</v>
      </c>
      <c r="BM102" s="38">
        <f t="shared" si="510"/>
        <v>15913.5</v>
      </c>
      <c r="BN102" s="38">
        <f t="shared" si="510"/>
        <v>15913.5</v>
      </c>
      <c r="BO102" s="38">
        <f t="shared" si="510"/>
        <v>16390.904999999999</v>
      </c>
      <c r="BP102" s="38">
        <f t="shared" si="510"/>
        <v>16390.904999999999</v>
      </c>
      <c r="BQ102" s="38">
        <f t="shared" si="510"/>
        <v>16390.904999999999</v>
      </c>
      <c r="BR102" s="38">
        <f t="shared" si="510"/>
        <v>16390.904999999999</v>
      </c>
      <c r="BS102" s="38">
        <f t="shared" si="510"/>
        <v>16390.904999999999</v>
      </c>
      <c r="BT102" s="38">
        <f t="shared" si="510"/>
        <v>16390.904999999999</v>
      </c>
      <c r="BU102" s="38">
        <f t="shared" ref="BU102:CD105" si="511">($I102/12*BU$84)*(1+$D$85)^(HE$87-1)</f>
        <v>16390.904999999999</v>
      </c>
      <c r="BV102" s="38">
        <f t="shared" si="511"/>
        <v>16390.904999999999</v>
      </c>
      <c r="BW102" s="38">
        <f t="shared" si="511"/>
        <v>16390.904999999999</v>
      </c>
      <c r="BX102" s="38">
        <f t="shared" si="511"/>
        <v>16390.904999999999</v>
      </c>
      <c r="BY102" s="38">
        <f t="shared" si="511"/>
        <v>16390.904999999999</v>
      </c>
      <c r="BZ102" s="38">
        <f t="shared" si="511"/>
        <v>16390.904999999999</v>
      </c>
      <c r="CA102" s="38">
        <f t="shared" si="511"/>
        <v>16882.632149999998</v>
      </c>
      <c r="CB102" s="38">
        <f t="shared" si="511"/>
        <v>16882.632149999998</v>
      </c>
      <c r="CC102" s="38">
        <f t="shared" si="511"/>
        <v>16882.632149999998</v>
      </c>
      <c r="CD102" s="38">
        <f t="shared" si="511"/>
        <v>16882.632149999998</v>
      </c>
      <c r="CE102" s="38">
        <f t="shared" ref="CE102:CN105" si="512">($I102/12*CE$84)*(1+$D$85)^(HO$87-1)</f>
        <v>16882.632149999998</v>
      </c>
      <c r="CF102" s="38">
        <f t="shared" si="512"/>
        <v>16882.632149999998</v>
      </c>
      <c r="CG102" s="38">
        <f t="shared" si="512"/>
        <v>16882.632149999998</v>
      </c>
      <c r="CH102" s="38">
        <f t="shared" si="512"/>
        <v>16882.632149999998</v>
      </c>
      <c r="CI102" s="38">
        <f t="shared" si="512"/>
        <v>16882.632149999998</v>
      </c>
      <c r="CJ102" s="38">
        <f t="shared" si="512"/>
        <v>16882.632149999998</v>
      </c>
      <c r="CK102" s="38">
        <f t="shared" si="512"/>
        <v>16882.632149999998</v>
      </c>
      <c r="CL102" s="38">
        <f t="shared" si="512"/>
        <v>16882.632149999998</v>
      </c>
      <c r="CM102" s="38">
        <f t="shared" si="512"/>
        <v>17389.111114499996</v>
      </c>
      <c r="CN102" s="38">
        <f t="shared" si="512"/>
        <v>17389.111114499996</v>
      </c>
      <c r="CO102" s="38">
        <f t="shared" ref="CO102:CX105" si="513">($I102/12*CO$84)*(1+$D$85)^(HY$87-1)</f>
        <v>17389.111114499996</v>
      </c>
      <c r="CP102" s="38">
        <f t="shared" si="513"/>
        <v>17389.111114499996</v>
      </c>
      <c r="CQ102" s="38">
        <f t="shared" si="513"/>
        <v>17389.111114499996</v>
      </c>
      <c r="CR102" s="38">
        <f t="shared" si="513"/>
        <v>17389.111114499996</v>
      </c>
      <c r="CS102" s="38">
        <f t="shared" si="513"/>
        <v>17389.111114499996</v>
      </c>
      <c r="CT102" s="38">
        <f t="shared" si="513"/>
        <v>17389.111114499996</v>
      </c>
      <c r="CU102" s="38">
        <f t="shared" si="513"/>
        <v>17389.111114499996</v>
      </c>
      <c r="CV102" s="38">
        <f t="shared" si="513"/>
        <v>17389.111114499996</v>
      </c>
      <c r="CW102" s="38">
        <f t="shared" si="513"/>
        <v>17389.111114499996</v>
      </c>
      <c r="CX102" s="38">
        <f t="shared" si="513"/>
        <v>17389.111114499996</v>
      </c>
      <c r="CY102" s="38">
        <f t="shared" ref="CY102:DH105" si="514">($I102/12*CY$84)*(1+$D$85)^(II$87-1)</f>
        <v>17910.784447934999</v>
      </c>
      <c r="CZ102" s="38">
        <f t="shared" si="514"/>
        <v>17910.784447934999</v>
      </c>
      <c r="DA102" s="38">
        <f t="shared" si="514"/>
        <v>17910.784447934999</v>
      </c>
      <c r="DB102" s="38">
        <f t="shared" si="514"/>
        <v>17910.784447934999</v>
      </c>
      <c r="DC102" s="38">
        <f t="shared" si="514"/>
        <v>17910.784447934999</v>
      </c>
      <c r="DD102" s="38">
        <f t="shared" si="514"/>
        <v>17910.784447934999</v>
      </c>
      <c r="DE102" s="38">
        <f t="shared" si="514"/>
        <v>17910.784447934999</v>
      </c>
      <c r="DF102" s="38">
        <f t="shared" si="514"/>
        <v>17910.784447934999</v>
      </c>
      <c r="DG102" s="38">
        <f t="shared" si="514"/>
        <v>17910.784447934999</v>
      </c>
      <c r="DH102" s="38">
        <f t="shared" si="514"/>
        <v>17910.784447934999</v>
      </c>
      <c r="DI102" s="38">
        <f t="shared" ref="DI102:DR105" si="515">($I102/12*DI$84)*(1+$D$85)^(IS$87-1)</f>
        <v>17910.784447934999</v>
      </c>
      <c r="DJ102" s="38">
        <f t="shared" si="515"/>
        <v>17910.784447934999</v>
      </c>
      <c r="DK102" s="38">
        <f t="shared" si="515"/>
        <v>18448.10798137305</v>
      </c>
      <c r="DL102" s="38">
        <f t="shared" si="515"/>
        <v>18448.10798137305</v>
      </c>
      <c r="DM102" s="38">
        <f t="shared" si="515"/>
        <v>18448.10798137305</v>
      </c>
      <c r="DN102" s="38">
        <f t="shared" si="515"/>
        <v>18448.10798137305</v>
      </c>
      <c r="DO102" s="38">
        <f t="shared" si="515"/>
        <v>18448.10798137305</v>
      </c>
      <c r="DP102" s="38">
        <f t="shared" si="515"/>
        <v>18448.10798137305</v>
      </c>
      <c r="DQ102" s="38">
        <f t="shared" si="515"/>
        <v>18448.10798137305</v>
      </c>
      <c r="DR102" s="38">
        <f t="shared" si="515"/>
        <v>18448.10798137305</v>
      </c>
      <c r="DS102" s="38">
        <f t="shared" ref="DS102:EB105" si="516">($I102/12*DS$84)*(1+$D$85)^(JC$87-1)</f>
        <v>18448.10798137305</v>
      </c>
      <c r="DT102" s="38">
        <f t="shared" si="516"/>
        <v>18448.10798137305</v>
      </c>
      <c r="DU102" s="38">
        <f t="shared" si="516"/>
        <v>18448.10798137305</v>
      </c>
      <c r="DV102" s="38">
        <f t="shared" si="516"/>
        <v>18448.10798137305</v>
      </c>
      <c r="DW102" s="38">
        <f t="shared" si="516"/>
        <v>19001.551220814239</v>
      </c>
      <c r="DX102" s="38">
        <f t="shared" si="516"/>
        <v>19001.551220814239</v>
      </c>
      <c r="DY102" s="38">
        <f t="shared" si="516"/>
        <v>19001.551220814239</v>
      </c>
      <c r="DZ102" s="38">
        <f t="shared" si="516"/>
        <v>19001.551220814239</v>
      </c>
      <c r="EA102" s="38">
        <f t="shared" si="516"/>
        <v>19001.551220814239</v>
      </c>
      <c r="EB102" s="38">
        <f t="shared" si="516"/>
        <v>19001.551220814239</v>
      </c>
      <c r="EC102" s="38">
        <f t="shared" ref="EC102:EL105" si="517">($I102/12*EC$84)*(1+$D$85)^(JM$87-1)</f>
        <v>19001.551220814239</v>
      </c>
      <c r="ED102" s="38">
        <f t="shared" si="517"/>
        <v>19001.551220814239</v>
      </c>
      <c r="EE102" s="38">
        <f t="shared" si="517"/>
        <v>19001.551220814239</v>
      </c>
      <c r="EF102" s="38">
        <f t="shared" si="517"/>
        <v>19001.551220814239</v>
      </c>
      <c r="EG102" s="38">
        <f t="shared" si="517"/>
        <v>19001.551220814239</v>
      </c>
      <c r="EH102" s="38">
        <f t="shared" si="517"/>
        <v>19001.551220814239</v>
      </c>
      <c r="EI102" s="38">
        <f t="shared" si="517"/>
        <v>19571.597757438667</v>
      </c>
      <c r="EJ102" s="38">
        <f t="shared" si="517"/>
        <v>19571.597757438667</v>
      </c>
      <c r="EK102" s="38">
        <f t="shared" si="517"/>
        <v>19571.597757438667</v>
      </c>
      <c r="EL102" s="38">
        <f t="shared" si="517"/>
        <v>19571.597757438667</v>
      </c>
      <c r="EM102" s="38">
        <f t="shared" ref="EM102:EN105" si="518">($I102/12*EM$84)*(1+$D$85)^(JW$87-1)</f>
        <v>19571.597757438667</v>
      </c>
      <c r="EN102" s="38">
        <f t="shared" si="518"/>
        <v>19571.597757438667</v>
      </c>
      <c r="EP102" s="24"/>
      <c r="EQ102" s="24"/>
      <c r="ER102" s="24"/>
      <c r="ES102" s="24"/>
      <c r="ET102" s="24"/>
      <c r="EU102" s="33" t="s">
        <v>114</v>
      </c>
      <c r="EV102" s="30"/>
      <c r="EW102" s="30">
        <f t="shared" ref="EW102:GB102" si="519">(EW101&gt;0)*($C96*$H96*(1+$D$85)^(EW$89-2))</f>
        <v>0</v>
      </c>
      <c r="EX102" s="30">
        <f t="shared" si="519"/>
        <v>0</v>
      </c>
      <c r="EY102" s="30">
        <f t="shared" si="519"/>
        <v>0</v>
      </c>
      <c r="EZ102" s="30">
        <f t="shared" si="519"/>
        <v>0</v>
      </c>
      <c r="FA102" s="30">
        <f t="shared" si="519"/>
        <v>0</v>
      </c>
      <c r="FB102" s="30">
        <f t="shared" si="519"/>
        <v>0</v>
      </c>
      <c r="FC102" s="30">
        <f t="shared" si="519"/>
        <v>0</v>
      </c>
      <c r="FD102" s="30">
        <f t="shared" si="519"/>
        <v>0</v>
      </c>
      <c r="FE102" s="30">
        <f t="shared" si="519"/>
        <v>0</v>
      </c>
      <c r="FF102" s="30">
        <f t="shared" si="519"/>
        <v>0</v>
      </c>
      <c r="FG102" s="30">
        <f t="shared" si="519"/>
        <v>0</v>
      </c>
      <c r="FH102" s="30">
        <f t="shared" si="519"/>
        <v>0</v>
      </c>
      <c r="FI102" s="30">
        <f t="shared" si="519"/>
        <v>0</v>
      </c>
      <c r="FJ102" s="30">
        <f t="shared" si="519"/>
        <v>0</v>
      </c>
      <c r="FK102" s="30">
        <f t="shared" si="519"/>
        <v>0</v>
      </c>
      <c r="FL102" s="30">
        <f t="shared" si="519"/>
        <v>0</v>
      </c>
      <c r="FM102" s="30">
        <f t="shared" si="519"/>
        <v>0</v>
      </c>
      <c r="FN102" s="30">
        <f t="shared" si="519"/>
        <v>0</v>
      </c>
      <c r="FO102" s="30">
        <f t="shared" si="519"/>
        <v>468058.25242718449</v>
      </c>
      <c r="FP102" s="30">
        <f t="shared" si="519"/>
        <v>468058.25242718449</v>
      </c>
      <c r="FQ102" s="30">
        <f t="shared" si="519"/>
        <v>468058.25242718449</v>
      </c>
      <c r="FR102" s="30">
        <f t="shared" si="519"/>
        <v>468058.25242718449</v>
      </c>
      <c r="FS102" s="30">
        <f t="shared" si="519"/>
        <v>468058.25242718449</v>
      </c>
      <c r="FT102" s="30">
        <f t="shared" si="519"/>
        <v>468058.25242718449</v>
      </c>
      <c r="FU102" s="30">
        <f t="shared" si="519"/>
        <v>468058.25242718449</v>
      </c>
      <c r="FV102" s="30">
        <f t="shared" si="519"/>
        <v>468058.25242718449</v>
      </c>
      <c r="FW102" s="30">
        <f t="shared" si="519"/>
        <v>468058.25242718449</v>
      </c>
      <c r="FX102" s="30">
        <f t="shared" si="519"/>
        <v>468058.25242718449</v>
      </c>
      <c r="FY102" s="30">
        <f t="shared" si="519"/>
        <v>468058.25242718449</v>
      </c>
      <c r="FZ102" s="30">
        <f t="shared" si="519"/>
        <v>468058.25242718449</v>
      </c>
      <c r="GA102" s="30">
        <f t="shared" si="519"/>
        <v>482100</v>
      </c>
      <c r="GB102" s="30">
        <f t="shared" si="519"/>
        <v>482100</v>
      </c>
      <c r="GC102" s="30">
        <f t="shared" ref="GC102:HH102" si="520">(GC101&gt;0)*($C96*$H96*(1+$D$85)^(GC$89-2))</f>
        <v>482100</v>
      </c>
      <c r="GD102" s="30">
        <f t="shared" si="520"/>
        <v>482100</v>
      </c>
      <c r="GE102" s="30">
        <f t="shared" si="520"/>
        <v>482100</v>
      </c>
      <c r="GF102" s="30">
        <f t="shared" si="520"/>
        <v>482100</v>
      </c>
      <c r="GG102" s="30">
        <f t="shared" si="520"/>
        <v>482100</v>
      </c>
      <c r="GH102" s="30">
        <f t="shared" si="520"/>
        <v>482100</v>
      </c>
      <c r="GI102" s="30">
        <f t="shared" si="520"/>
        <v>482100</v>
      </c>
      <c r="GJ102" s="30">
        <f t="shared" si="520"/>
        <v>482100</v>
      </c>
      <c r="GK102" s="30">
        <f t="shared" si="520"/>
        <v>482100</v>
      </c>
      <c r="GL102" s="30">
        <f t="shared" si="520"/>
        <v>482100</v>
      </c>
      <c r="GM102" s="30">
        <f t="shared" si="520"/>
        <v>496563</v>
      </c>
      <c r="GN102" s="30">
        <f t="shared" si="520"/>
        <v>496563</v>
      </c>
      <c r="GO102" s="30">
        <f t="shared" si="520"/>
        <v>496563</v>
      </c>
      <c r="GP102" s="30">
        <f t="shared" si="520"/>
        <v>496563</v>
      </c>
      <c r="GQ102" s="30">
        <f t="shared" si="520"/>
        <v>496563</v>
      </c>
      <c r="GR102" s="30">
        <f t="shared" si="520"/>
        <v>496563</v>
      </c>
      <c r="GS102" s="30">
        <f t="shared" si="520"/>
        <v>496563</v>
      </c>
      <c r="GT102" s="30">
        <f t="shared" si="520"/>
        <v>496563</v>
      </c>
      <c r="GU102" s="30">
        <f t="shared" si="520"/>
        <v>496563</v>
      </c>
      <c r="GV102" s="30">
        <f t="shared" si="520"/>
        <v>496563</v>
      </c>
      <c r="GW102" s="30">
        <f t="shared" si="520"/>
        <v>496563</v>
      </c>
      <c r="GX102" s="30">
        <f t="shared" si="520"/>
        <v>496563</v>
      </c>
      <c r="GY102" s="30">
        <f t="shared" si="520"/>
        <v>511459.88999999996</v>
      </c>
      <c r="GZ102" s="30">
        <f t="shared" si="520"/>
        <v>511459.88999999996</v>
      </c>
      <c r="HA102" s="30">
        <f t="shared" si="520"/>
        <v>511459.88999999996</v>
      </c>
      <c r="HB102" s="30">
        <f t="shared" si="520"/>
        <v>511459.88999999996</v>
      </c>
      <c r="HC102" s="30">
        <f t="shared" si="520"/>
        <v>511459.88999999996</v>
      </c>
      <c r="HD102" s="30">
        <f t="shared" si="520"/>
        <v>511459.88999999996</v>
      </c>
      <c r="HE102" s="30">
        <f t="shared" si="520"/>
        <v>511459.88999999996</v>
      </c>
      <c r="HF102" s="30">
        <f t="shared" si="520"/>
        <v>511459.88999999996</v>
      </c>
      <c r="HG102" s="30">
        <f t="shared" si="520"/>
        <v>511459.88999999996</v>
      </c>
      <c r="HH102" s="30">
        <f t="shared" si="520"/>
        <v>511459.88999999996</v>
      </c>
      <c r="HI102" s="30">
        <f t="shared" ref="HI102:IN102" si="521">(HI101&gt;0)*($C96*$H96*(1+$D$85)^(HI$89-2))</f>
        <v>511459.88999999996</v>
      </c>
      <c r="HJ102" s="30">
        <f t="shared" si="521"/>
        <v>511459.88999999996</v>
      </c>
      <c r="HK102" s="30">
        <f t="shared" si="521"/>
        <v>526803.68669999996</v>
      </c>
      <c r="HL102" s="30">
        <f t="shared" si="521"/>
        <v>526803.68669999996</v>
      </c>
      <c r="HM102" s="30">
        <f t="shared" si="521"/>
        <v>526803.68669999996</v>
      </c>
      <c r="HN102" s="30">
        <f t="shared" si="521"/>
        <v>526803.68669999996</v>
      </c>
      <c r="HO102" s="30">
        <f t="shared" si="521"/>
        <v>526803.68669999996</v>
      </c>
      <c r="HP102" s="30">
        <f t="shared" si="521"/>
        <v>526803.68669999996</v>
      </c>
      <c r="HQ102" s="30">
        <f t="shared" si="521"/>
        <v>526803.68669999996</v>
      </c>
      <c r="HR102" s="30">
        <f t="shared" si="521"/>
        <v>526803.68669999996</v>
      </c>
      <c r="HS102" s="30">
        <f t="shared" si="521"/>
        <v>526803.68669999996</v>
      </c>
      <c r="HT102" s="30">
        <f t="shared" si="521"/>
        <v>526803.68669999996</v>
      </c>
      <c r="HU102" s="30">
        <f t="shared" si="521"/>
        <v>526803.68669999996</v>
      </c>
      <c r="HV102" s="30">
        <f t="shared" si="521"/>
        <v>526803.68669999996</v>
      </c>
      <c r="HW102" s="30">
        <f t="shared" si="521"/>
        <v>542607.79730099998</v>
      </c>
      <c r="HX102" s="30">
        <f t="shared" si="521"/>
        <v>542607.79730099998</v>
      </c>
      <c r="HY102" s="30">
        <f t="shared" si="521"/>
        <v>542607.79730099998</v>
      </c>
      <c r="HZ102" s="30">
        <f t="shared" si="521"/>
        <v>542607.79730099998</v>
      </c>
      <c r="IA102" s="30">
        <f t="shared" si="521"/>
        <v>542607.79730099998</v>
      </c>
      <c r="IB102" s="30">
        <f t="shared" si="521"/>
        <v>542607.79730099998</v>
      </c>
      <c r="IC102" s="30">
        <f t="shared" si="521"/>
        <v>542607.79730099998</v>
      </c>
      <c r="ID102" s="30">
        <f t="shared" si="521"/>
        <v>542607.79730099998</v>
      </c>
      <c r="IE102" s="30">
        <f t="shared" si="521"/>
        <v>542607.79730099998</v>
      </c>
      <c r="IF102" s="30">
        <f t="shared" si="521"/>
        <v>542607.79730099998</v>
      </c>
      <c r="IG102" s="30">
        <f t="shared" si="521"/>
        <v>542607.79730099998</v>
      </c>
      <c r="IH102" s="30">
        <f t="shared" si="521"/>
        <v>542607.79730099998</v>
      </c>
      <c r="II102" s="30">
        <f t="shared" si="521"/>
        <v>558886.03122002992</v>
      </c>
      <c r="IJ102" s="30">
        <f t="shared" si="521"/>
        <v>558886.03122002992</v>
      </c>
      <c r="IK102" s="30">
        <f t="shared" si="521"/>
        <v>558886.03122002992</v>
      </c>
      <c r="IL102" s="30">
        <f t="shared" si="521"/>
        <v>558886.03122002992</v>
      </c>
      <c r="IM102" s="30">
        <f t="shared" si="521"/>
        <v>558886.03122002992</v>
      </c>
      <c r="IN102" s="30">
        <f t="shared" si="521"/>
        <v>558886.03122002992</v>
      </c>
      <c r="IO102" s="30">
        <f t="shared" ref="IO102:JT102" si="522">(IO101&gt;0)*($C96*$H96*(1+$D$85)^(IO$89-2))</f>
        <v>558886.03122002992</v>
      </c>
      <c r="IP102" s="30">
        <f t="shared" si="522"/>
        <v>558886.03122002992</v>
      </c>
      <c r="IQ102" s="30">
        <f t="shared" si="522"/>
        <v>558886.03122002992</v>
      </c>
      <c r="IR102" s="30">
        <f t="shared" si="522"/>
        <v>558886.03122002992</v>
      </c>
      <c r="IS102" s="30">
        <f t="shared" si="522"/>
        <v>558886.03122002992</v>
      </c>
      <c r="IT102" s="30">
        <f t="shared" si="522"/>
        <v>558886.03122002992</v>
      </c>
      <c r="IU102" s="30">
        <f t="shared" si="522"/>
        <v>575652.61215663084</v>
      </c>
      <c r="IV102" s="30">
        <f t="shared" si="522"/>
        <v>575652.61215663084</v>
      </c>
      <c r="IW102" s="30">
        <f t="shared" si="522"/>
        <v>575652.61215663084</v>
      </c>
      <c r="IX102" s="30">
        <f t="shared" si="522"/>
        <v>575652.61215663084</v>
      </c>
      <c r="IY102" s="30">
        <f t="shared" si="522"/>
        <v>575652.61215663084</v>
      </c>
      <c r="IZ102" s="30">
        <f t="shared" si="522"/>
        <v>575652.61215663084</v>
      </c>
      <c r="JA102" s="30">
        <f t="shared" si="522"/>
        <v>575652.61215663084</v>
      </c>
      <c r="JB102" s="30">
        <f t="shared" si="522"/>
        <v>575652.61215663084</v>
      </c>
      <c r="JC102" s="30">
        <f t="shared" si="522"/>
        <v>575652.61215663084</v>
      </c>
      <c r="JD102" s="30">
        <f t="shared" si="522"/>
        <v>575652.61215663084</v>
      </c>
      <c r="JE102" s="30">
        <f t="shared" si="522"/>
        <v>575652.61215663084</v>
      </c>
      <c r="JF102" s="30">
        <f t="shared" si="522"/>
        <v>575652.61215663084</v>
      </c>
      <c r="JG102" s="30">
        <f t="shared" si="522"/>
        <v>592922.19052132987</v>
      </c>
      <c r="JH102" s="30">
        <f t="shared" si="522"/>
        <v>592922.19052132987</v>
      </c>
      <c r="JI102" s="30">
        <f t="shared" si="522"/>
        <v>592922.19052132987</v>
      </c>
      <c r="JJ102" s="30">
        <f t="shared" si="522"/>
        <v>592922.19052132987</v>
      </c>
      <c r="JK102" s="30">
        <f t="shared" si="522"/>
        <v>592922.19052132987</v>
      </c>
      <c r="JL102" s="30">
        <f t="shared" si="522"/>
        <v>592922.19052132987</v>
      </c>
      <c r="JM102" s="30">
        <f t="shared" si="522"/>
        <v>592922.19052132987</v>
      </c>
      <c r="JN102" s="30">
        <f t="shared" si="522"/>
        <v>592922.19052132987</v>
      </c>
      <c r="JO102" s="30">
        <f t="shared" si="522"/>
        <v>592922.19052132987</v>
      </c>
      <c r="JP102" s="30">
        <f t="shared" si="522"/>
        <v>592922.19052132987</v>
      </c>
      <c r="JQ102" s="30">
        <f t="shared" si="522"/>
        <v>592922.19052132987</v>
      </c>
      <c r="JR102" s="30">
        <f t="shared" si="522"/>
        <v>592922.19052132987</v>
      </c>
      <c r="JS102" s="30">
        <f t="shared" si="522"/>
        <v>610709.85623696959</v>
      </c>
      <c r="JT102" s="30">
        <f t="shared" si="522"/>
        <v>610709.85623696959</v>
      </c>
      <c r="JU102" s="30">
        <f>(JU101&gt;0)*($C96*$H96*(1+$D$85)^(JU$89-2))</f>
        <v>610709.85623696959</v>
      </c>
      <c r="JV102" s="30">
        <f>(JV101&gt;0)*($C96*$H96*(1+$D$85)^(JV$89-2))</f>
        <v>610709.85623696959</v>
      </c>
      <c r="JW102" s="30">
        <f>(JW101&gt;0)*($C96*$H96*(1+$D$85)^(JW$89-2))</f>
        <v>610709.85623696959</v>
      </c>
      <c r="JX102" s="30">
        <f>(JX101&gt;0)*($C96*$H96*(1+$D$85)^(JX$89-2))</f>
        <v>610709.85623696959</v>
      </c>
    </row>
    <row r="103" spans="1:284" s="7" customFormat="1" x14ac:dyDescent="0.2">
      <c r="A103" s="406"/>
      <c r="B103" s="103" t="s">
        <v>125</v>
      </c>
      <c r="C103" s="120"/>
      <c r="D103" s="120"/>
      <c r="E103" s="121">
        <v>0</v>
      </c>
      <c r="F103" s="122">
        <f>I103/$I$100</f>
        <v>0.04</v>
      </c>
      <c r="G103" s="390">
        <f>I103/(Units_SF_M2)/12</f>
        <v>7.5119372549019611E-2</v>
      </c>
      <c r="H103" s="123">
        <f>I103/Units/12</f>
        <v>63.85146666666666</v>
      </c>
      <c r="I103" s="124">
        <f>+I100*0.04</f>
        <v>229865.28</v>
      </c>
      <c r="M103" s="38">
        <f t="shared" si="505"/>
        <v>0</v>
      </c>
      <c r="N103" s="38">
        <f t="shared" si="505"/>
        <v>0</v>
      </c>
      <c r="O103" s="38">
        <f t="shared" si="505"/>
        <v>0</v>
      </c>
      <c r="P103" s="38">
        <f t="shared" si="505"/>
        <v>0</v>
      </c>
      <c r="Q103" s="38">
        <f t="shared" si="505"/>
        <v>0</v>
      </c>
      <c r="R103" s="38">
        <f t="shared" si="505"/>
        <v>0</v>
      </c>
      <c r="S103" s="38">
        <f t="shared" si="505"/>
        <v>0</v>
      </c>
      <c r="T103" s="38">
        <f t="shared" si="505"/>
        <v>0</v>
      </c>
      <c r="U103" s="38">
        <f t="shared" si="505"/>
        <v>0</v>
      </c>
      <c r="V103" s="38">
        <f t="shared" si="505"/>
        <v>0</v>
      </c>
      <c r="W103" s="38">
        <f t="shared" si="506"/>
        <v>0</v>
      </c>
      <c r="X103" s="38">
        <f t="shared" si="506"/>
        <v>0</v>
      </c>
      <c r="Y103" s="38">
        <f t="shared" si="506"/>
        <v>0</v>
      </c>
      <c r="Z103" s="38">
        <f t="shared" si="506"/>
        <v>0</v>
      </c>
      <c r="AA103" s="38">
        <f t="shared" si="506"/>
        <v>0</v>
      </c>
      <c r="AB103" s="38">
        <f t="shared" si="506"/>
        <v>0</v>
      </c>
      <c r="AC103" s="38">
        <f t="shared" si="506"/>
        <v>0</v>
      </c>
      <c r="AD103" s="38">
        <f t="shared" si="506"/>
        <v>0</v>
      </c>
      <c r="AE103" s="38">
        <f t="shared" si="506"/>
        <v>1915.5439999999994</v>
      </c>
      <c r="AF103" s="38">
        <f t="shared" si="506"/>
        <v>3192.5733333333324</v>
      </c>
      <c r="AG103" s="38">
        <f t="shared" si="507"/>
        <v>4469.6026666666658</v>
      </c>
      <c r="AH103" s="38">
        <f t="shared" si="507"/>
        <v>5746.6320000000005</v>
      </c>
      <c r="AI103" s="38">
        <f t="shared" si="507"/>
        <v>7023.6613333333335</v>
      </c>
      <c r="AJ103" s="38">
        <f t="shared" si="507"/>
        <v>8300.6906666666655</v>
      </c>
      <c r="AK103" s="38">
        <f t="shared" si="507"/>
        <v>9577.7199999999993</v>
      </c>
      <c r="AL103" s="38">
        <f t="shared" si="507"/>
        <v>10854.749333333333</v>
      </c>
      <c r="AM103" s="38">
        <f t="shared" si="507"/>
        <v>12131.778666666665</v>
      </c>
      <c r="AN103" s="38">
        <f t="shared" si="507"/>
        <v>13408.807999999999</v>
      </c>
      <c r="AO103" s="38">
        <f t="shared" si="507"/>
        <v>14685.837333333331</v>
      </c>
      <c r="AP103" s="38">
        <f t="shared" si="507"/>
        <v>15962.866666666667</v>
      </c>
      <c r="AQ103" s="38">
        <f t="shared" si="508"/>
        <v>17757.09288</v>
      </c>
      <c r="AR103" s="38">
        <f t="shared" si="508"/>
        <v>19072.433093333333</v>
      </c>
      <c r="AS103" s="38">
        <f t="shared" si="508"/>
        <v>19730.103199999998</v>
      </c>
      <c r="AT103" s="38">
        <f t="shared" si="508"/>
        <v>19730.103199999998</v>
      </c>
      <c r="AU103" s="38">
        <f t="shared" si="508"/>
        <v>19730.103199999998</v>
      </c>
      <c r="AV103" s="38">
        <f t="shared" si="508"/>
        <v>19730.103199999998</v>
      </c>
      <c r="AW103" s="38">
        <f t="shared" si="508"/>
        <v>19730.103199999998</v>
      </c>
      <c r="AX103" s="38">
        <f t="shared" si="508"/>
        <v>19730.103199999998</v>
      </c>
      <c r="AY103" s="38">
        <f t="shared" si="508"/>
        <v>19730.103199999998</v>
      </c>
      <c r="AZ103" s="38">
        <f t="shared" si="508"/>
        <v>19730.103199999998</v>
      </c>
      <c r="BA103" s="38">
        <f t="shared" si="509"/>
        <v>19730.103199999998</v>
      </c>
      <c r="BB103" s="38">
        <f t="shared" si="509"/>
        <v>19730.103199999998</v>
      </c>
      <c r="BC103" s="38">
        <f t="shared" si="509"/>
        <v>20322.006295999996</v>
      </c>
      <c r="BD103" s="38">
        <f t="shared" si="509"/>
        <v>20322.006295999996</v>
      </c>
      <c r="BE103" s="38">
        <f t="shared" si="509"/>
        <v>20322.006295999996</v>
      </c>
      <c r="BF103" s="38">
        <f t="shared" si="509"/>
        <v>20322.006295999996</v>
      </c>
      <c r="BG103" s="38">
        <f t="shared" si="509"/>
        <v>20322.006295999996</v>
      </c>
      <c r="BH103" s="38">
        <f t="shared" si="509"/>
        <v>20322.006295999996</v>
      </c>
      <c r="BI103" s="38">
        <f t="shared" si="509"/>
        <v>20322.006295999996</v>
      </c>
      <c r="BJ103" s="38">
        <f t="shared" si="509"/>
        <v>20322.006295999996</v>
      </c>
      <c r="BK103" s="38">
        <f t="shared" si="510"/>
        <v>20322.006295999996</v>
      </c>
      <c r="BL103" s="38">
        <f t="shared" si="510"/>
        <v>20322.006295999996</v>
      </c>
      <c r="BM103" s="38">
        <f t="shared" si="510"/>
        <v>20322.006295999996</v>
      </c>
      <c r="BN103" s="38">
        <f t="shared" si="510"/>
        <v>20322.006295999996</v>
      </c>
      <c r="BO103" s="38">
        <f t="shared" si="510"/>
        <v>20931.666484879999</v>
      </c>
      <c r="BP103" s="38">
        <f t="shared" si="510"/>
        <v>20931.666484879999</v>
      </c>
      <c r="BQ103" s="38">
        <f t="shared" si="510"/>
        <v>20931.666484879999</v>
      </c>
      <c r="BR103" s="38">
        <f t="shared" si="510"/>
        <v>20931.666484879999</v>
      </c>
      <c r="BS103" s="38">
        <f t="shared" si="510"/>
        <v>20931.666484879999</v>
      </c>
      <c r="BT103" s="38">
        <f t="shared" si="510"/>
        <v>20931.666484879999</v>
      </c>
      <c r="BU103" s="38">
        <f t="shared" si="511"/>
        <v>20931.666484879999</v>
      </c>
      <c r="BV103" s="38">
        <f t="shared" si="511"/>
        <v>20931.666484879999</v>
      </c>
      <c r="BW103" s="38">
        <f t="shared" si="511"/>
        <v>20931.666484879999</v>
      </c>
      <c r="BX103" s="38">
        <f t="shared" si="511"/>
        <v>20931.666484879999</v>
      </c>
      <c r="BY103" s="38">
        <f t="shared" si="511"/>
        <v>20931.666484879999</v>
      </c>
      <c r="BZ103" s="38">
        <f t="shared" si="511"/>
        <v>20931.666484879999</v>
      </c>
      <c r="CA103" s="38">
        <f t="shared" si="511"/>
        <v>21559.616479426397</v>
      </c>
      <c r="CB103" s="38">
        <f t="shared" si="511"/>
        <v>21559.616479426397</v>
      </c>
      <c r="CC103" s="38">
        <f t="shared" si="511"/>
        <v>21559.616479426397</v>
      </c>
      <c r="CD103" s="38">
        <f t="shared" si="511"/>
        <v>21559.616479426397</v>
      </c>
      <c r="CE103" s="38">
        <f t="shared" si="512"/>
        <v>21559.616479426397</v>
      </c>
      <c r="CF103" s="38">
        <f t="shared" si="512"/>
        <v>21559.616479426397</v>
      </c>
      <c r="CG103" s="38">
        <f t="shared" si="512"/>
        <v>21559.616479426397</v>
      </c>
      <c r="CH103" s="38">
        <f t="shared" si="512"/>
        <v>21559.616479426397</v>
      </c>
      <c r="CI103" s="38">
        <f t="shared" si="512"/>
        <v>21559.616479426397</v>
      </c>
      <c r="CJ103" s="38">
        <f t="shared" si="512"/>
        <v>21559.616479426397</v>
      </c>
      <c r="CK103" s="38">
        <f t="shared" si="512"/>
        <v>21559.616479426397</v>
      </c>
      <c r="CL103" s="38">
        <f t="shared" si="512"/>
        <v>21559.616479426397</v>
      </c>
      <c r="CM103" s="38">
        <f t="shared" si="512"/>
        <v>22206.404973809189</v>
      </c>
      <c r="CN103" s="38">
        <f t="shared" si="512"/>
        <v>22206.404973809189</v>
      </c>
      <c r="CO103" s="38">
        <f t="shared" si="513"/>
        <v>22206.404973809189</v>
      </c>
      <c r="CP103" s="38">
        <f t="shared" si="513"/>
        <v>22206.404973809189</v>
      </c>
      <c r="CQ103" s="38">
        <f t="shared" si="513"/>
        <v>22206.404973809189</v>
      </c>
      <c r="CR103" s="38">
        <f t="shared" si="513"/>
        <v>22206.404973809189</v>
      </c>
      <c r="CS103" s="38">
        <f t="shared" si="513"/>
        <v>22206.404973809189</v>
      </c>
      <c r="CT103" s="38">
        <f t="shared" si="513"/>
        <v>22206.404973809189</v>
      </c>
      <c r="CU103" s="38">
        <f t="shared" si="513"/>
        <v>22206.404973809189</v>
      </c>
      <c r="CV103" s="38">
        <f t="shared" si="513"/>
        <v>22206.404973809189</v>
      </c>
      <c r="CW103" s="38">
        <f t="shared" si="513"/>
        <v>22206.404973809189</v>
      </c>
      <c r="CX103" s="38">
        <f t="shared" si="513"/>
        <v>22206.404973809189</v>
      </c>
      <c r="CY103" s="38">
        <f t="shared" si="514"/>
        <v>22872.597123023465</v>
      </c>
      <c r="CZ103" s="38">
        <f t="shared" si="514"/>
        <v>22872.597123023465</v>
      </c>
      <c r="DA103" s="38">
        <f t="shared" si="514"/>
        <v>22872.597123023465</v>
      </c>
      <c r="DB103" s="38">
        <f t="shared" si="514"/>
        <v>22872.597123023465</v>
      </c>
      <c r="DC103" s="38">
        <f t="shared" si="514"/>
        <v>22872.597123023465</v>
      </c>
      <c r="DD103" s="38">
        <f t="shared" si="514"/>
        <v>22872.597123023465</v>
      </c>
      <c r="DE103" s="38">
        <f t="shared" si="514"/>
        <v>22872.597123023465</v>
      </c>
      <c r="DF103" s="38">
        <f t="shared" si="514"/>
        <v>22872.597123023465</v>
      </c>
      <c r="DG103" s="38">
        <f t="shared" si="514"/>
        <v>22872.597123023465</v>
      </c>
      <c r="DH103" s="38">
        <f t="shared" si="514"/>
        <v>22872.597123023465</v>
      </c>
      <c r="DI103" s="38">
        <f t="shared" si="515"/>
        <v>22872.597123023465</v>
      </c>
      <c r="DJ103" s="38">
        <f t="shared" si="515"/>
        <v>22872.597123023465</v>
      </c>
      <c r="DK103" s="38">
        <f t="shared" si="515"/>
        <v>23558.775036714171</v>
      </c>
      <c r="DL103" s="38">
        <f t="shared" si="515"/>
        <v>23558.775036714171</v>
      </c>
      <c r="DM103" s="38">
        <f t="shared" si="515"/>
        <v>23558.775036714171</v>
      </c>
      <c r="DN103" s="38">
        <f t="shared" si="515"/>
        <v>23558.775036714171</v>
      </c>
      <c r="DO103" s="38">
        <f t="shared" si="515"/>
        <v>23558.775036714171</v>
      </c>
      <c r="DP103" s="38">
        <f t="shared" si="515"/>
        <v>23558.775036714171</v>
      </c>
      <c r="DQ103" s="38">
        <f t="shared" si="515"/>
        <v>23558.775036714171</v>
      </c>
      <c r="DR103" s="38">
        <f t="shared" si="515"/>
        <v>23558.775036714171</v>
      </c>
      <c r="DS103" s="38">
        <f t="shared" si="516"/>
        <v>23558.775036714171</v>
      </c>
      <c r="DT103" s="38">
        <f t="shared" si="516"/>
        <v>23558.775036714171</v>
      </c>
      <c r="DU103" s="38">
        <f t="shared" si="516"/>
        <v>23558.775036714171</v>
      </c>
      <c r="DV103" s="38">
        <f t="shared" si="516"/>
        <v>23558.775036714171</v>
      </c>
      <c r="DW103" s="38">
        <f t="shared" si="516"/>
        <v>24265.538287815591</v>
      </c>
      <c r="DX103" s="38">
        <f t="shared" si="516"/>
        <v>24265.538287815591</v>
      </c>
      <c r="DY103" s="38">
        <f t="shared" si="516"/>
        <v>24265.538287815591</v>
      </c>
      <c r="DZ103" s="38">
        <f t="shared" si="516"/>
        <v>24265.538287815591</v>
      </c>
      <c r="EA103" s="38">
        <f t="shared" si="516"/>
        <v>24265.538287815591</v>
      </c>
      <c r="EB103" s="38">
        <f t="shared" si="516"/>
        <v>24265.538287815591</v>
      </c>
      <c r="EC103" s="38">
        <f t="shared" si="517"/>
        <v>24265.538287815591</v>
      </c>
      <c r="ED103" s="38">
        <f t="shared" si="517"/>
        <v>24265.538287815591</v>
      </c>
      <c r="EE103" s="38">
        <f t="shared" si="517"/>
        <v>24265.538287815591</v>
      </c>
      <c r="EF103" s="38">
        <f t="shared" si="517"/>
        <v>24265.538287815591</v>
      </c>
      <c r="EG103" s="38">
        <f t="shared" si="517"/>
        <v>24265.538287815591</v>
      </c>
      <c r="EH103" s="38">
        <f t="shared" si="517"/>
        <v>24265.538287815591</v>
      </c>
      <c r="EI103" s="38">
        <f t="shared" si="517"/>
        <v>24993.504436450061</v>
      </c>
      <c r="EJ103" s="38">
        <f t="shared" si="517"/>
        <v>24993.504436450061</v>
      </c>
      <c r="EK103" s="38">
        <f t="shared" si="517"/>
        <v>24993.504436450061</v>
      </c>
      <c r="EL103" s="38">
        <f t="shared" si="517"/>
        <v>24993.504436450061</v>
      </c>
      <c r="EM103" s="38">
        <f t="shared" si="518"/>
        <v>24993.504436450061</v>
      </c>
      <c r="EN103" s="38">
        <f t="shared" si="518"/>
        <v>24993.504436450061</v>
      </c>
      <c r="EP103" s="24"/>
      <c r="EQ103" s="24"/>
      <c r="ER103" s="24"/>
      <c r="ES103" s="24"/>
      <c r="ET103" s="24"/>
      <c r="EU103" s="33" t="s">
        <v>115</v>
      </c>
      <c r="EV103" s="24"/>
      <c r="EW103" s="30">
        <f>IF(EW98&gt;0,EW101-EW102,0)</f>
        <v>0</v>
      </c>
      <c r="EX103" s="30">
        <f t="shared" ref="EX103:HI103" si="523">IF(EX98&gt;0,EX101-EX102,0)</f>
        <v>0</v>
      </c>
      <c r="EY103" s="30">
        <f t="shared" si="523"/>
        <v>0</v>
      </c>
      <c r="EZ103" s="30">
        <f t="shared" si="523"/>
        <v>0</v>
      </c>
      <c r="FA103" s="30">
        <f t="shared" si="523"/>
        <v>0</v>
      </c>
      <c r="FB103" s="30">
        <f t="shared" si="523"/>
        <v>0</v>
      </c>
      <c r="FC103" s="30">
        <f t="shared" si="523"/>
        <v>0</v>
      </c>
      <c r="FD103" s="30">
        <f t="shared" si="523"/>
        <v>0</v>
      </c>
      <c r="FE103" s="30">
        <f t="shared" si="523"/>
        <v>0</v>
      </c>
      <c r="FF103" s="30">
        <f t="shared" si="523"/>
        <v>0</v>
      </c>
      <c r="FG103" s="30">
        <f t="shared" si="523"/>
        <v>0</v>
      </c>
      <c r="FH103" s="30">
        <f t="shared" si="523"/>
        <v>0</v>
      </c>
      <c r="FI103" s="30">
        <f t="shared" si="523"/>
        <v>0</v>
      </c>
      <c r="FJ103" s="30">
        <f t="shared" si="523"/>
        <v>0</v>
      </c>
      <c r="FK103" s="30">
        <f t="shared" si="523"/>
        <v>0</v>
      </c>
      <c r="FL103" s="30">
        <f t="shared" si="523"/>
        <v>0</v>
      </c>
      <c r="FM103" s="30">
        <f t="shared" si="523"/>
        <v>0</v>
      </c>
      <c r="FN103" s="30">
        <f t="shared" si="523"/>
        <v>0</v>
      </c>
      <c r="FO103" s="30">
        <f t="shared" si="523"/>
        <v>0</v>
      </c>
      <c r="FP103" s="30">
        <f t="shared" si="523"/>
        <v>0</v>
      </c>
      <c r="FQ103" s="30">
        <f t="shared" si="523"/>
        <v>0</v>
      </c>
      <c r="FR103" s="30">
        <f t="shared" si="523"/>
        <v>0</v>
      </c>
      <c r="FS103" s="30">
        <f t="shared" si="523"/>
        <v>0</v>
      </c>
      <c r="FT103" s="30">
        <f t="shared" si="523"/>
        <v>0</v>
      </c>
      <c r="FU103" s="30">
        <f t="shared" si="523"/>
        <v>0</v>
      </c>
      <c r="FV103" s="30">
        <f t="shared" si="523"/>
        <v>0</v>
      </c>
      <c r="FW103" s="30">
        <f t="shared" si="523"/>
        <v>0</v>
      </c>
      <c r="FX103" s="30">
        <f t="shared" si="523"/>
        <v>0</v>
      </c>
      <c r="FY103" s="30">
        <f t="shared" si="523"/>
        <v>0</v>
      </c>
      <c r="FZ103" s="30">
        <f t="shared" si="523"/>
        <v>0</v>
      </c>
      <c r="GA103" s="30">
        <f t="shared" si="523"/>
        <v>0</v>
      </c>
      <c r="GB103" s="30">
        <f t="shared" si="523"/>
        <v>0</v>
      </c>
      <c r="GC103" s="30">
        <f t="shared" si="523"/>
        <v>14463</v>
      </c>
      <c r="GD103" s="30">
        <f t="shared" si="523"/>
        <v>14463</v>
      </c>
      <c r="GE103" s="30">
        <f t="shared" si="523"/>
        <v>14463</v>
      </c>
      <c r="GF103" s="30">
        <f t="shared" si="523"/>
        <v>14463</v>
      </c>
      <c r="GG103" s="30">
        <f t="shared" si="523"/>
        <v>14463</v>
      </c>
      <c r="GH103" s="30">
        <f t="shared" si="523"/>
        <v>14463</v>
      </c>
      <c r="GI103" s="30">
        <f t="shared" si="523"/>
        <v>14463</v>
      </c>
      <c r="GJ103" s="30">
        <f t="shared" si="523"/>
        <v>14463</v>
      </c>
      <c r="GK103" s="30">
        <f t="shared" si="523"/>
        <v>14463</v>
      </c>
      <c r="GL103" s="30">
        <f t="shared" si="523"/>
        <v>14463</v>
      </c>
      <c r="GM103" s="30">
        <f t="shared" si="523"/>
        <v>14896.889999999956</v>
      </c>
      <c r="GN103" s="30">
        <f t="shared" si="523"/>
        <v>14896.889999999956</v>
      </c>
      <c r="GO103" s="30">
        <f t="shared" si="523"/>
        <v>14896.889999999956</v>
      </c>
      <c r="GP103" s="30">
        <f t="shared" si="523"/>
        <v>14896.889999999956</v>
      </c>
      <c r="GQ103" s="30">
        <f t="shared" si="523"/>
        <v>14896.889999999956</v>
      </c>
      <c r="GR103" s="30">
        <f t="shared" si="523"/>
        <v>14896.889999999956</v>
      </c>
      <c r="GS103" s="30">
        <f t="shared" si="523"/>
        <v>14896.889999999956</v>
      </c>
      <c r="GT103" s="30">
        <f t="shared" si="523"/>
        <v>14896.889999999956</v>
      </c>
      <c r="GU103" s="30">
        <f t="shared" si="523"/>
        <v>14896.889999999956</v>
      </c>
      <c r="GV103" s="30">
        <f t="shared" si="523"/>
        <v>14896.889999999956</v>
      </c>
      <c r="GW103" s="30">
        <f t="shared" si="523"/>
        <v>14896.889999999956</v>
      </c>
      <c r="GX103" s="30">
        <f t="shared" si="523"/>
        <v>14896.889999999956</v>
      </c>
      <c r="GY103" s="30">
        <f t="shared" si="523"/>
        <v>15343.796700000006</v>
      </c>
      <c r="GZ103" s="30">
        <f t="shared" si="523"/>
        <v>15343.796700000006</v>
      </c>
      <c r="HA103" s="30">
        <f t="shared" si="523"/>
        <v>15343.796700000006</v>
      </c>
      <c r="HB103" s="30">
        <f t="shared" si="523"/>
        <v>15343.796700000006</v>
      </c>
      <c r="HC103" s="30">
        <f t="shared" si="523"/>
        <v>15343.796700000006</v>
      </c>
      <c r="HD103" s="30">
        <f t="shared" si="523"/>
        <v>15343.796700000006</v>
      </c>
      <c r="HE103" s="30">
        <f t="shared" si="523"/>
        <v>15343.796700000006</v>
      </c>
      <c r="HF103" s="30">
        <f t="shared" si="523"/>
        <v>15343.796700000006</v>
      </c>
      <c r="HG103" s="30">
        <f t="shared" si="523"/>
        <v>15343.796700000006</v>
      </c>
      <c r="HH103" s="30">
        <f t="shared" si="523"/>
        <v>15343.796700000006</v>
      </c>
      <c r="HI103" s="30">
        <f t="shared" si="523"/>
        <v>15343.796700000006</v>
      </c>
      <c r="HJ103" s="30">
        <f t="shared" ref="HJ103:JU103" si="524">IF(HJ98&gt;0,HJ101-HJ102,0)</f>
        <v>15343.796700000006</v>
      </c>
      <c r="HK103" s="30">
        <f t="shared" si="524"/>
        <v>15804.110601000022</v>
      </c>
      <c r="HL103" s="30">
        <f t="shared" si="524"/>
        <v>15804.110601000022</v>
      </c>
      <c r="HM103" s="30">
        <f t="shared" si="524"/>
        <v>15804.110601000022</v>
      </c>
      <c r="HN103" s="30">
        <f t="shared" si="524"/>
        <v>15804.110601000022</v>
      </c>
      <c r="HO103" s="30">
        <f t="shared" si="524"/>
        <v>15804.110601000022</v>
      </c>
      <c r="HP103" s="30">
        <f t="shared" si="524"/>
        <v>15804.110601000022</v>
      </c>
      <c r="HQ103" s="30">
        <f t="shared" si="524"/>
        <v>15804.110601000022</v>
      </c>
      <c r="HR103" s="30">
        <f t="shared" si="524"/>
        <v>15804.110601000022</v>
      </c>
      <c r="HS103" s="30">
        <f t="shared" si="524"/>
        <v>15804.110601000022</v>
      </c>
      <c r="HT103" s="30">
        <f t="shared" si="524"/>
        <v>15804.110601000022</v>
      </c>
      <c r="HU103" s="30">
        <f t="shared" si="524"/>
        <v>15804.110601000022</v>
      </c>
      <c r="HV103" s="30">
        <f t="shared" si="524"/>
        <v>15804.110601000022</v>
      </c>
      <c r="HW103" s="30">
        <f t="shared" si="524"/>
        <v>16278.233919030055</v>
      </c>
      <c r="HX103" s="30">
        <f t="shared" si="524"/>
        <v>16278.233919030055</v>
      </c>
      <c r="HY103" s="30">
        <f t="shared" si="524"/>
        <v>16278.233919030055</v>
      </c>
      <c r="HZ103" s="30">
        <f t="shared" si="524"/>
        <v>16278.233919030055</v>
      </c>
      <c r="IA103" s="30">
        <f t="shared" si="524"/>
        <v>16278.233919030055</v>
      </c>
      <c r="IB103" s="30">
        <f t="shared" si="524"/>
        <v>16278.233919030055</v>
      </c>
      <c r="IC103" s="30">
        <f t="shared" si="524"/>
        <v>16278.233919030055</v>
      </c>
      <c r="ID103" s="30">
        <f t="shared" si="524"/>
        <v>16278.233919030055</v>
      </c>
      <c r="IE103" s="30">
        <f t="shared" si="524"/>
        <v>16278.233919030055</v>
      </c>
      <c r="IF103" s="30">
        <f t="shared" si="524"/>
        <v>16278.233919030055</v>
      </c>
      <c r="IG103" s="30">
        <f t="shared" si="524"/>
        <v>16278.233919030055</v>
      </c>
      <c r="IH103" s="30">
        <f t="shared" si="524"/>
        <v>16278.233919030055</v>
      </c>
      <c r="II103" s="30">
        <f t="shared" si="524"/>
        <v>16766.580936600803</v>
      </c>
      <c r="IJ103" s="30">
        <f t="shared" si="524"/>
        <v>16766.580936600803</v>
      </c>
      <c r="IK103" s="30">
        <f t="shared" si="524"/>
        <v>16766.580936600803</v>
      </c>
      <c r="IL103" s="30">
        <f t="shared" si="524"/>
        <v>16766.580936600803</v>
      </c>
      <c r="IM103" s="30">
        <f t="shared" si="524"/>
        <v>16766.580936600803</v>
      </c>
      <c r="IN103" s="30">
        <f t="shared" si="524"/>
        <v>16766.580936600803</v>
      </c>
      <c r="IO103" s="30">
        <f t="shared" si="524"/>
        <v>16766.580936600803</v>
      </c>
      <c r="IP103" s="30">
        <f t="shared" si="524"/>
        <v>16766.580936600803</v>
      </c>
      <c r="IQ103" s="30">
        <f t="shared" si="524"/>
        <v>16766.580936600803</v>
      </c>
      <c r="IR103" s="30">
        <f t="shared" si="524"/>
        <v>16766.580936600803</v>
      </c>
      <c r="IS103" s="30">
        <f t="shared" si="524"/>
        <v>16766.580936600803</v>
      </c>
      <c r="IT103" s="30">
        <f t="shared" si="524"/>
        <v>16766.580936600803</v>
      </c>
      <c r="IU103" s="30">
        <f t="shared" si="524"/>
        <v>17269.578364699031</v>
      </c>
      <c r="IV103" s="30">
        <f t="shared" si="524"/>
        <v>17269.578364699031</v>
      </c>
      <c r="IW103" s="30">
        <f t="shared" si="524"/>
        <v>17269.578364699031</v>
      </c>
      <c r="IX103" s="30">
        <f t="shared" si="524"/>
        <v>17269.578364699031</v>
      </c>
      <c r="IY103" s="30">
        <f t="shared" si="524"/>
        <v>17269.578364699031</v>
      </c>
      <c r="IZ103" s="30">
        <f t="shared" si="524"/>
        <v>17269.578364699031</v>
      </c>
      <c r="JA103" s="30">
        <f t="shared" si="524"/>
        <v>17269.578364699031</v>
      </c>
      <c r="JB103" s="30">
        <f t="shared" si="524"/>
        <v>17269.578364699031</v>
      </c>
      <c r="JC103" s="30">
        <f t="shared" si="524"/>
        <v>17269.578364699031</v>
      </c>
      <c r="JD103" s="30">
        <f t="shared" si="524"/>
        <v>17269.578364699031</v>
      </c>
      <c r="JE103" s="30">
        <f t="shared" si="524"/>
        <v>17269.578364699031</v>
      </c>
      <c r="JF103" s="30">
        <f t="shared" si="524"/>
        <v>17269.578364699031</v>
      </c>
      <c r="JG103" s="30">
        <f t="shared" si="524"/>
        <v>17787.665715639712</v>
      </c>
      <c r="JH103" s="30">
        <f t="shared" si="524"/>
        <v>17787.665715639712</v>
      </c>
      <c r="JI103" s="30">
        <f t="shared" si="524"/>
        <v>17787.665715639712</v>
      </c>
      <c r="JJ103" s="30">
        <f t="shared" si="524"/>
        <v>17787.665715639712</v>
      </c>
      <c r="JK103" s="30">
        <f t="shared" si="524"/>
        <v>17787.665715639712</v>
      </c>
      <c r="JL103" s="30">
        <f t="shared" si="524"/>
        <v>17787.665715639712</v>
      </c>
      <c r="JM103" s="30">
        <f t="shared" si="524"/>
        <v>17787.665715639712</v>
      </c>
      <c r="JN103" s="30">
        <f t="shared" si="524"/>
        <v>17787.665715639712</v>
      </c>
      <c r="JO103" s="30">
        <f t="shared" si="524"/>
        <v>17787.665715639712</v>
      </c>
      <c r="JP103" s="30">
        <f t="shared" si="524"/>
        <v>17787.665715639712</v>
      </c>
      <c r="JQ103" s="30">
        <f t="shared" si="524"/>
        <v>17787.665715639712</v>
      </c>
      <c r="JR103" s="30">
        <f t="shared" si="524"/>
        <v>17787.665715639712</v>
      </c>
      <c r="JS103" s="30">
        <f t="shared" si="524"/>
        <v>18321.295687109116</v>
      </c>
      <c r="JT103" s="30">
        <f t="shared" si="524"/>
        <v>18321.295687109116</v>
      </c>
      <c r="JU103" s="30">
        <f t="shared" si="524"/>
        <v>18321.295687109116</v>
      </c>
      <c r="JV103" s="30">
        <f>IF(JV98&gt;0,JV101-JV102,0)</f>
        <v>18321.295687109116</v>
      </c>
      <c r="JW103" s="30">
        <f>IF(JW98&gt;0,JW101-JW102,0)</f>
        <v>18321.295687109116</v>
      </c>
      <c r="JX103" s="30">
        <f>IF(JX98&gt;0,JX101-JX102,0)</f>
        <v>18321.295687109116</v>
      </c>
    </row>
    <row r="104" spans="1:284" s="7" customFormat="1" x14ac:dyDescent="0.2">
      <c r="A104" s="406"/>
      <c r="B104" s="103" t="s">
        <v>124</v>
      </c>
      <c r="C104" s="120"/>
      <c r="D104" s="120"/>
      <c r="E104" s="121">
        <v>0</v>
      </c>
      <c r="F104" s="122">
        <f>I104/$I$100</f>
        <v>4.7610496026194125E-2</v>
      </c>
      <c r="G104" s="390">
        <f>I104/(Units_SF_M2)/12</f>
        <v>8.9411764705882357E-2</v>
      </c>
      <c r="H104" s="123">
        <f>I104/Units/12</f>
        <v>76</v>
      </c>
      <c r="I104" s="124">
        <f>+Parking_Structured*100*12*0.8</f>
        <v>273600</v>
      </c>
      <c r="M104" s="38">
        <f t="shared" si="505"/>
        <v>0</v>
      </c>
      <c r="N104" s="38">
        <f t="shared" si="505"/>
        <v>0</v>
      </c>
      <c r="O104" s="38">
        <f t="shared" si="505"/>
        <v>0</v>
      </c>
      <c r="P104" s="38">
        <f t="shared" si="505"/>
        <v>0</v>
      </c>
      <c r="Q104" s="38">
        <f t="shared" si="505"/>
        <v>0</v>
      </c>
      <c r="R104" s="38">
        <f t="shared" si="505"/>
        <v>0</v>
      </c>
      <c r="S104" s="38">
        <f t="shared" si="505"/>
        <v>0</v>
      </c>
      <c r="T104" s="38">
        <f t="shared" si="505"/>
        <v>0</v>
      </c>
      <c r="U104" s="38">
        <f t="shared" si="505"/>
        <v>0</v>
      </c>
      <c r="V104" s="38">
        <f t="shared" si="505"/>
        <v>0</v>
      </c>
      <c r="W104" s="38">
        <f t="shared" si="506"/>
        <v>0</v>
      </c>
      <c r="X104" s="38">
        <f t="shared" si="506"/>
        <v>0</v>
      </c>
      <c r="Y104" s="38">
        <f t="shared" si="506"/>
        <v>0</v>
      </c>
      <c r="Z104" s="38">
        <f t="shared" si="506"/>
        <v>0</v>
      </c>
      <c r="AA104" s="38">
        <f t="shared" si="506"/>
        <v>0</v>
      </c>
      <c r="AB104" s="38">
        <f t="shared" si="506"/>
        <v>0</v>
      </c>
      <c r="AC104" s="38">
        <f t="shared" si="506"/>
        <v>0</v>
      </c>
      <c r="AD104" s="38">
        <f t="shared" si="506"/>
        <v>0</v>
      </c>
      <c r="AE104" s="38">
        <f t="shared" si="506"/>
        <v>2279.9999999999995</v>
      </c>
      <c r="AF104" s="38">
        <f t="shared" si="506"/>
        <v>3799.9999999999991</v>
      </c>
      <c r="AG104" s="38">
        <f t="shared" si="507"/>
        <v>5319.9999999999991</v>
      </c>
      <c r="AH104" s="38">
        <f t="shared" si="507"/>
        <v>6840.0000000000009</v>
      </c>
      <c r="AI104" s="38">
        <f t="shared" si="507"/>
        <v>8360</v>
      </c>
      <c r="AJ104" s="38">
        <f t="shared" si="507"/>
        <v>9880</v>
      </c>
      <c r="AK104" s="38">
        <f t="shared" si="507"/>
        <v>11400</v>
      </c>
      <c r="AL104" s="38">
        <f t="shared" si="507"/>
        <v>12920</v>
      </c>
      <c r="AM104" s="38">
        <f t="shared" si="507"/>
        <v>14440</v>
      </c>
      <c r="AN104" s="38">
        <f t="shared" si="507"/>
        <v>15959.999999999998</v>
      </c>
      <c r="AO104" s="38">
        <f t="shared" si="507"/>
        <v>17480</v>
      </c>
      <c r="AP104" s="38">
        <f t="shared" si="507"/>
        <v>19000</v>
      </c>
      <c r="AQ104" s="38">
        <f t="shared" si="508"/>
        <v>21135.600000000002</v>
      </c>
      <c r="AR104" s="38">
        <f t="shared" si="508"/>
        <v>22701.200000000001</v>
      </c>
      <c r="AS104" s="38">
        <f t="shared" si="508"/>
        <v>23484</v>
      </c>
      <c r="AT104" s="38">
        <f t="shared" si="508"/>
        <v>23484</v>
      </c>
      <c r="AU104" s="38">
        <f t="shared" si="508"/>
        <v>23484</v>
      </c>
      <c r="AV104" s="38">
        <f t="shared" si="508"/>
        <v>23484</v>
      </c>
      <c r="AW104" s="38">
        <f t="shared" si="508"/>
        <v>23484</v>
      </c>
      <c r="AX104" s="38">
        <f t="shared" si="508"/>
        <v>23484</v>
      </c>
      <c r="AY104" s="38">
        <f t="shared" si="508"/>
        <v>23484</v>
      </c>
      <c r="AZ104" s="38">
        <f t="shared" si="508"/>
        <v>23484</v>
      </c>
      <c r="BA104" s="38">
        <f t="shared" si="509"/>
        <v>23484</v>
      </c>
      <c r="BB104" s="38">
        <f t="shared" si="509"/>
        <v>23484</v>
      </c>
      <c r="BC104" s="38">
        <f t="shared" si="509"/>
        <v>24188.52</v>
      </c>
      <c r="BD104" s="38">
        <f t="shared" si="509"/>
        <v>24188.52</v>
      </c>
      <c r="BE104" s="38">
        <f t="shared" si="509"/>
        <v>24188.52</v>
      </c>
      <c r="BF104" s="38">
        <f t="shared" si="509"/>
        <v>24188.52</v>
      </c>
      <c r="BG104" s="38">
        <f t="shared" si="509"/>
        <v>24188.52</v>
      </c>
      <c r="BH104" s="38">
        <f t="shared" si="509"/>
        <v>24188.52</v>
      </c>
      <c r="BI104" s="38">
        <f t="shared" si="509"/>
        <v>24188.52</v>
      </c>
      <c r="BJ104" s="38">
        <f t="shared" si="509"/>
        <v>24188.52</v>
      </c>
      <c r="BK104" s="38">
        <f t="shared" si="510"/>
        <v>24188.52</v>
      </c>
      <c r="BL104" s="38">
        <f t="shared" si="510"/>
        <v>24188.52</v>
      </c>
      <c r="BM104" s="38">
        <f t="shared" si="510"/>
        <v>24188.52</v>
      </c>
      <c r="BN104" s="38">
        <f t="shared" si="510"/>
        <v>24188.52</v>
      </c>
      <c r="BO104" s="38">
        <f t="shared" si="510"/>
        <v>24914.175599999999</v>
      </c>
      <c r="BP104" s="38">
        <f t="shared" si="510"/>
        <v>24914.175599999999</v>
      </c>
      <c r="BQ104" s="38">
        <f t="shared" si="510"/>
        <v>24914.175599999999</v>
      </c>
      <c r="BR104" s="38">
        <f t="shared" si="510"/>
        <v>24914.175599999999</v>
      </c>
      <c r="BS104" s="38">
        <f t="shared" si="510"/>
        <v>24914.175599999999</v>
      </c>
      <c r="BT104" s="38">
        <f t="shared" si="510"/>
        <v>24914.175599999999</v>
      </c>
      <c r="BU104" s="38">
        <f t="shared" si="511"/>
        <v>24914.175599999999</v>
      </c>
      <c r="BV104" s="38">
        <f t="shared" si="511"/>
        <v>24914.175599999999</v>
      </c>
      <c r="BW104" s="38">
        <f t="shared" si="511"/>
        <v>24914.175599999999</v>
      </c>
      <c r="BX104" s="38">
        <f t="shared" si="511"/>
        <v>24914.175599999999</v>
      </c>
      <c r="BY104" s="38">
        <f t="shared" si="511"/>
        <v>24914.175599999999</v>
      </c>
      <c r="BZ104" s="38">
        <f t="shared" si="511"/>
        <v>24914.175599999999</v>
      </c>
      <c r="CA104" s="38">
        <f t="shared" si="511"/>
        <v>25661.600867999998</v>
      </c>
      <c r="CB104" s="38">
        <f t="shared" si="511"/>
        <v>25661.600867999998</v>
      </c>
      <c r="CC104" s="38">
        <f t="shared" si="511"/>
        <v>25661.600867999998</v>
      </c>
      <c r="CD104" s="38">
        <f t="shared" si="511"/>
        <v>25661.600867999998</v>
      </c>
      <c r="CE104" s="38">
        <f t="shared" si="512"/>
        <v>25661.600867999998</v>
      </c>
      <c r="CF104" s="38">
        <f t="shared" si="512"/>
        <v>25661.600867999998</v>
      </c>
      <c r="CG104" s="38">
        <f t="shared" si="512"/>
        <v>25661.600867999998</v>
      </c>
      <c r="CH104" s="38">
        <f t="shared" si="512"/>
        <v>25661.600867999998</v>
      </c>
      <c r="CI104" s="38">
        <f t="shared" si="512"/>
        <v>25661.600867999998</v>
      </c>
      <c r="CJ104" s="38">
        <f t="shared" si="512"/>
        <v>25661.600867999998</v>
      </c>
      <c r="CK104" s="38">
        <f t="shared" si="512"/>
        <v>25661.600867999998</v>
      </c>
      <c r="CL104" s="38">
        <f t="shared" si="512"/>
        <v>25661.600867999998</v>
      </c>
      <c r="CM104" s="38">
        <f t="shared" si="512"/>
        <v>26431.448894039997</v>
      </c>
      <c r="CN104" s="38">
        <f t="shared" si="512"/>
        <v>26431.448894039997</v>
      </c>
      <c r="CO104" s="38">
        <f t="shared" si="513"/>
        <v>26431.448894039997</v>
      </c>
      <c r="CP104" s="38">
        <f t="shared" si="513"/>
        <v>26431.448894039997</v>
      </c>
      <c r="CQ104" s="38">
        <f t="shared" si="513"/>
        <v>26431.448894039997</v>
      </c>
      <c r="CR104" s="38">
        <f t="shared" si="513"/>
        <v>26431.448894039997</v>
      </c>
      <c r="CS104" s="38">
        <f t="shared" si="513"/>
        <v>26431.448894039997</v>
      </c>
      <c r="CT104" s="38">
        <f t="shared" si="513"/>
        <v>26431.448894039997</v>
      </c>
      <c r="CU104" s="38">
        <f t="shared" si="513"/>
        <v>26431.448894039997</v>
      </c>
      <c r="CV104" s="38">
        <f t="shared" si="513"/>
        <v>26431.448894039997</v>
      </c>
      <c r="CW104" s="38">
        <f t="shared" si="513"/>
        <v>26431.448894039997</v>
      </c>
      <c r="CX104" s="38">
        <f t="shared" si="513"/>
        <v>26431.448894039997</v>
      </c>
      <c r="CY104" s="38">
        <f t="shared" si="514"/>
        <v>27224.392360861199</v>
      </c>
      <c r="CZ104" s="38">
        <f t="shared" si="514"/>
        <v>27224.392360861199</v>
      </c>
      <c r="DA104" s="38">
        <f t="shared" si="514"/>
        <v>27224.392360861199</v>
      </c>
      <c r="DB104" s="38">
        <f t="shared" si="514"/>
        <v>27224.392360861199</v>
      </c>
      <c r="DC104" s="38">
        <f t="shared" si="514"/>
        <v>27224.392360861199</v>
      </c>
      <c r="DD104" s="38">
        <f t="shared" si="514"/>
        <v>27224.392360861199</v>
      </c>
      <c r="DE104" s="38">
        <f t="shared" si="514"/>
        <v>27224.392360861199</v>
      </c>
      <c r="DF104" s="38">
        <f t="shared" si="514"/>
        <v>27224.392360861199</v>
      </c>
      <c r="DG104" s="38">
        <f t="shared" si="514"/>
        <v>27224.392360861199</v>
      </c>
      <c r="DH104" s="38">
        <f t="shared" si="514"/>
        <v>27224.392360861199</v>
      </c>
      <c r="DI104" s="38">
        <f t="shared" si="515"/>
        <v>27224.392360861199</v>
      </c>
      <c r="DJ104" s="38">
        <f t="shared" si="515"/>
        <v>27224.392360861199</v>
      </c>
      <c r="DK104" s="38">
        <f t="shared" si="515"/>
        <v>28041.124131687036</v>
      </c>
      <c r="DL104" s="38">
        <f t="shared" si="515"/>
        <v>28041.124131687036</v>
      </c>
      <c r="DM104" s="38">
        <f t="shared" si="515"/>
        <v>28041.124131687036</v>
      </c>
      <c r="DN104" s="38">
        <f t="shared" si="515"/>
        <v>28041.124131687036</v>
      </c>
      <c r="DO104" s="38">
        <f t="shared" si="515"/>
        <v>28041.124131687036</v>
      </c>
      <c r="DP104" s="38">
        <f t="shared" si="515"/>
        <v>28041.124131687036</v>
      </c>
      <c r="DQ104" s="38">
        <f t="shared" si="515"/>
        <v>28041.124131687036</v>
      </c>
      <c r="DR104" s="38">
        <f t="shared" si="515"/>
        <v>28041.124131687036</v>
      </c>
      <c r="DS104" s="38">
        <f t="shared" si="516"/>
        <v>28041.124131687036</v>
      </c>
      <c r="DT104" s="38">
        <f t="shared" si="516"/>
        <v>28041.124131687036</v>
      </c>
      <c r="DU104" s="38">
        <f t="shared" si="516"/>
        <v>28041.124131687036</v>
      </c>
      <c r="DV104" s="38">
        <f t="shared" si="516"/>
        <v>28041.124131687036</v>
      </c>
      <c r="DW104" s="38">
        <f t="shared" si="516"/>
        <v>28882.357855637641</v>
      </c>
      <c r="DX104" s="38">
        <f t="shared" si="516"/>
        <v>28882.357855637641</v>
      </c>
      <c r="DY104" s="38">
        <f t="shared" si="516"/>
        <v>28882.357855637641</v>
      </c>
      <c r="DZ104" s="38">
        <f t="shared" si="516"/>
        <v>28882.357855637641</v>
      </c>
      <c r="EA104" s="38">
        <f t="shared" si="516"/>
        <v>28882.357855637641</v>
      </c>
      <c r="EB104" s="38">
        <f t="shared" si="516"/>
        <v>28882.357855637641</v>
      </c>
      <c r="EC104" s="38">
        <f t="shared" si="517"/>
        <v>28882.357855637641</v>
      </c>
      <c r="ED104" s="38">
        <f t="shared" si="517"/>
        <v>28882.357855637641</v>
      </c>
      <c r="EE104" s="38">
        <f t="shared" si="517"/>
        <v>28882.357855637641</v>
      </c>
      <c r="EF104" s="38">
        <f t="shared" si="517"/>
        <v>28882.357855637641</v>
      </c>
      <c r="EG104" s="38">
        <f t="shared" si="517"/>
        <v>28882.357855637641</v>
      </c>
      <c r="EH104" s="38">
        <f t="shared" si="517"/>
        <v>28882.357855637641</v>
      </c>
      <c r="EI104" s="38">
        <f t="shared" si="517"/>
        <v>29748.828591306774</v>
      </c>
      <c r="EJ104" s="38">
        <f t="shared" si="517"/>
        <v>29748.828591306774</v>
      </c>
      <c r="EK104" s="38">
        <f t="shared" si="517"/>
        <v>29748.828591306774</v>
      </c>
      <c r="EL104" s="38">
        <f t="shared" si="517"/>
        <v>29748.828591306774</v>
      </c>
      <c r="EM104" s="38">
        <f t="shared" si="518"/>
        <v>29748.828591306774</v>
      </c>
      <c r="EN104" s="38">
        <f t="shared" si="518"/>
        <v>29748.828591306774</v>
      </c>
      <c r="EP104" s="24"/>
      <c r="EQ104" s="24"/>
      <c r="ER104" s="24"/>
      <c r="ES104" s="24"/>
      <c r="ET104" s="24"/>
      <c r="EU104" s="33"/>
      <c r="EV104" s="24"/>
      <c r="EW104" s="24"/>
      <c r="EX104" s="24"/>
      <c r="EY104" s="24"/>
      <c r="EZ104" s="24"/>
      <c r="FA104" s="24"/>
      <c r="FB104" s="24"/>
      <c r="FC104" s="24"/>
      <c r="FD104" s="24"/>
      <c r="FE104" s="24"/>
      <c r="FF104" s="24"/>
      <c r="FG104" s="24"/>
      <c r="FH104" s="24"/>
      <c r="FI104" s="24"/>
      <c r="FJ104" s="24"/>
      <c r="FK104" s="24"/>
      <c r="FL104" s="24"/>
      <c r="FM104" s="24"/>
      <c r="FN104" s="24"/>
      <c r="FO104" s="24"/>
      <c r="FP104" s="24"/>
      <c r="FQ104" s="24"/>
      <c r="FR104" s="24"/>
      <c r="FS104" s="24"/>
      <c r="FT104" s="24"/>
      <c r="FU104" s="24"/>
      <c r="FV104" s="24"/>
      <c r="FW104" s="24"/>
      <c r="FX104" s="24"/>
      <c r="FY104" s="24"/>
      <c r="FZ104" s="24"/>
      <c r="GA104" s="24"/>
      <c r="GB104" s="24"/>
      <c r="GC104" s="24"/>
      <c r="GD104" s="24"/>
      <c r="GE104" s="24"/>
      <c r="GF104" s="24"/>
      <c r="GG104" s="24"/>
      <c r="GH104" s="24"/>
      <c r="GI104" s="24"/>
      <c r="GJ104" s="24"/>
      <c r="GK104" s="24"/>
      <c r="GL104" s="24"/>
      <c r="GM104" s="24"/>
      <c r="GN104" s="24"/>
      <c r="GO104" s="24"/>
      <c r="GP104" s="24"/>
      <c r="GQ104" s="24"/>
      <c r="GR104" s="24"/>
      <c r="GS104" s="24"/>
      <c r="GT104" s="24"/>
      <c r="GU104" s="24"/>
      <c r="GV104" s="24"/>
      <c r="GW104" s="24"/>
      <c r="GX104" s="24"/>
      <c r="GY104" s="24"/>
      <c r="GZ104" s="24"/>
      <c r="HA104" s="24"/>
      <c r="HB104" s="24"/>
      <c r="HC104" s="24"/>
      <c r="HD104" s="24"/>
      <c r="HE104" s="24"/>
      <c r="HF104" s="24"/>
      <c r="HG104" s="24"/>
      <c r="HH104" s="24"/>
      <c r="HI104" s="24"/>
      <c r="HJ104" s="24"/>
      <c r="HK104" s="24"/>
      <c r="HL104" s="24"/>
      <c r="HM104" s="24"/>
      <c r="HN104" s="24"/>
      <c r="HO104" s="24"/>
      <c r="HP104" s="24"/>
      <c r="HQ104" s="24"/>
      <c r="HR104" s="24"/>
      <c r="HS104" s="24"/>
      <c r="HT104" s="24"/>
      <c r="HU104" s="24"/>
      <c r="HV104" s="24"/>
      <c r="HW104" s="24"/>
      <c r="HX104" s="24"/>
      <c r="HY104" s="24"/>
      <c r="HZ104" s="24"/>
      <c r="IA104" s="24"/>
      <c r="IB104" s="24"/>
      <c r="IC104" s="24"/>
      <c r="ID104" s="24"/>
      <c r="IE104" s="24"/>
      <c r="IF104" s="24"/>
      <c r="IG104" s="24"/>
      <c r="IH104" s="24"/>
      <c r="II104" s="24"/>
      <c r="IJ104" s="24"/>
      <c r="IK104" s="24"/>
      <c r="IL104" s="24"/>
      <c r="IM104" s="24"/>
      <c r="IN104" s="24"/>
      <c r="IO104" s="24"/>
      <c r="IP104" s="24"/>
      <c r="IQ104" s="24"/>
      <c r="IR104" s="24"/>
      <c r="IS104" s="24"/>
      <c r="IT104" s="24"/>
      <c r="IU104" s="24"/>
      <c r="IV104" s="24"/>
      <c r="IW104" s="24"/>
      <c r="IX104" s="24"/>
      <c r="IY104" s="24"/>
      <c r="IZ104" s="24"/>
      <c r="JA104" s="24"/>
      <c r="JB104" s="24"/>
      <c r="JC104" s="24"/>
      <c r="JD104" s="24"/>
      <c r="JE104" s="24"/>
      <c r="JF104" s="24"/>
      <c r="JG104" s="24"/>
      <c r="JH104" s="24"/>
      <c r="JI104" s="24"/>
      <c r="JJ104" s="24"/>
      <c r="JK104" s="24"/>
      <c r="JL104" s="24"/>
      <c r="JM104" s="24"/>
      <c r="JN104" s="24"/>
      <c r="JO104" s="24"/>
      <c r="JP104" s="24"/>
      <c r="JQ104" s="24"/>
      <c r="JR104" s="24"/>
      <c r="JS104" s="24"/>
      <c r="JT104" s="24"/>
      <c r="JU104" s="24"/>
      <c r="JV104" s="24"/>
      <c r="JW104" s="24"/>
      <c r="JX104" s="24"/>
    </row>
    <row r="105" spans="1:284" s="7" customFormat="1" ht="16.5" x14ac:dyDescent="0.35">
      <c r="A105" s="406"/>
      <c r="B105" s="103" t="s">
        <v>496</v>
      </c>
      <c r="C105" s="120"/>
      <c r="D105" s="120"/>
      <c r="E105" s="413">
        <v>0</v>
      </c>
      <c r="F105" s="125">
        <f>I105/$I$100</f>
        <v>0</v>
      </c>
      <c r="G105" s="391">
        <f>I105/(Units_SF_M2)/12</f>
        <v>0</v>
      </c>
      <c r="H105" s="126">
        <f>I105/Units/12</f>
        <v>0</v>
      </c>
      <c r="I105" s="127">
        <v>0</v>
      </c>
      <c r="M105" s="39">
        <f t="shared" si="505"/>
        <v>0</v>
      </c>
      <c r="N105" s="39">
        <f t="shared" si="505"/>
        <v>0</v>
      </c>
      <c r="O105" s="39">
        <f t="shared" si="505"/>
        <v>0</v>
      </c>
      <c r="P105" s="39">
        <f t="shared" si="505"/>
        <v>0</v>
      </c>
      <c r="Q105" s="39">
        <f t="shared" si="505"/>
        <v>0</v>
      </c>
      <c r="R105" s="39">
        <f t="shared" si="505"/>
        <v>0</v>
      </c>
      <c r="S105" s="39">
        <f t="shared" si="505"/>
        <v>0</v>
      </c>
      <c r="T105" s="39">
        <f t="shared" si="505"/>
        <v>0</v>
      </c>
      <c r="U105" s="39">
        <f t="shared" si="505"/>
        <v>0</v>
      </c>
      <c r="V105" s="39">
        <f t="shared" si="505"/>
        <v>0</v>
      </c>
      <c r="W105" s="39">
        <f t="shared" si="506"/>
        <v>0</v>
      </c>
      <c r="X105" s="39">
        <f t="shared" si="506"/>
        <v>0</v>
      </c>
      <c r="Y105" s="39">
        <f t="shared" si="506"/>
        <v>0</v>
      </c>
      <c r="Z105" s="39">
        <f t="shared" si="506"/>
        <v>0</v>
      </c>
      <c r="AA105" s="39">
        <f t="shared" si="506"/>
        <v>0</v>
      </c>
      <c r="AB105" s="39">
        <f t="shared" si="506"/>
        <v>0</v>
      </c>
      <c r="AC105" s="39">
        <f t="shared" si="506"/>
        <v>0</v>
      </c>
      <c r="AD105" s="39">
        <f t="shared" si="506"/>
        <v>0</v>
      </c>
      <c r="AE105" s="39">
        <f t="shared" si="506"/>
        <v>0</v>
      </c>
      <c r="AF105" s="39">
        <f t="shared" si="506"/>
        <v>0</v>
      </c>
      <c r="AG105" s="39">
        <f t="shared" si="507"/>
        <v>0</v>
      </c>
      <c r="AH105" s="39">
        <f t="shared" si="507"/>
        <v>0</v>
      </c>
      <c r="AI105" s="39">
        <f t="shared" si="507"/>
        <v>0</v>
      </c>
      <c r="AJ105" s="39">
        <f t="shared" si="507"/>
        <v>0</v>
      </c>
      <c r="AK105" s="39">
        <f t="shared" si="507"/>
        <v>0</v>
      </c>
      <c r="AL105" s="39">
        <f t="shared" si="507"/>
        <v>0</v>
      </c>
      <c r="AM105" s="39">
        <f t="shared" si="507"/>
        <v>0</v>
      </c>
      <c r="AN105" s="39">
        <f t="shared" si="507"/>
        <v>0</v>
      </c>
      <c r="AO105" s="39">
        <f t="shared" si="507"/>
        <v>0</v>
      </c>
      <c r="AP105" s="39">
        <f t="shared" si="507"/>
        <v>0</v>
      </c>
      <c r="AQ105" s="39">
        <f t="shared" si="508"/>
        <v>0</v>
      </c>
      <c r="AR105" s="39">
        <f t="shared" si="508"/>
        <v>0</v>
      </c>
      <c r="AS105" s="39">
        <f t="shared" si="508"/>
        <v>0</v>
      </c>
      <c r="AT105" s="39">
        <f t="shared" si="508"/>
        <v>0</v>
      </c>
      <c r="AU105" s="39">
        <f t="shared" si="508"/>
        <v>0</v>
      </c>
      <c r="AV105" s="39">
        <f t="shared" si="508"/>
        <v>0</v>
      </c>
      <c r="AW105" s="39">
        <f t="shared" si="508"/>
        <v>0</v>
      </c>
      <c r="AX105" s="39">
        <f t="shared" si="508"/>
        <v>0</v>
      </c>
      <c r="AY105" s="39">
        <f t="shared" si="508"/>
        <v>0</v>
      </c>
      <c r="AZ105" s="39">
        <f t="shared" si="508"/>
        <v>0</v>
      </c>
      <c r="BA105" s="39">
        <f t="shared" si="509"/>
        <v>0</v>
      </c>
      <c r="BB105" s="39">
        <f t="shared" si="509"/>
        <v>0</v>
      </c>
      <c r="BC105" s="39">
        <f t="shared" si="509"/>
        <v>0</v>
      </c>
      <c r="BD105" s="39">
        <f t="shared" si="509"/>
        <v>0</v>
      </c>
      <c r="BE105" s="39">
        <f t="shared" si="509"/>
        <v>0</v>
      </c>
      <c r="BF105" s="39">
        <f t="shared" si="509"/>
        <v>0</v>
      </c>
      <c r="BG105" s="39">
        <f t="shared" si="509"/>
        <v>0</v>
      </c>
      <c r="BH105" s="39">
        <f t="shared" si="509"/>
        <v>0</v>
      </c>
      <c r="BI105" s="39">
        <f t="shared" si="509"/>
        <v>0</v>
      </c>
      <c r="BJ105" s="39">
        <f t="shared" si="509"/>
        <v>0</v>
      </c>
      <c r="BK105" s="39">
        <f t="shared" si="510"/>
        <v>0</v>
      </c>
      <c r="BL105" s="39">
        <f t="shared" si="510"/>
        <v>0</v>
      </c>
      <c r="BM105" s="39">
        <f t="shared" si="510"/>
        <v>0</v>
      </c>
      <c r="BN105" s="39">
        <f t="shared" si="510"/>
        <v>0</v>
      </c>
      <c r="BO105" s="39">
        <f t="shared" si="510"/>
        <v>0</v>
      </c>
      <c r="BP105" s="39">
        <f t="shared" si="510"/>
        <v>0</v>
      </c>
      <c r="BQ105" s="39">
        <f t="shared" si="510"/>
        <v>0</v>
      </c>
      <c r="BR105" s="39">
        <f t="shared" si="510"/>
        <v>0</v>
      </c>
      <c r="BS105" s="39">
        <f t="shared" si="510"/>
        <v>0</v>
      </c>
      <c r="BT105" s="39">
        <f t="shared" si="510"/>
        <v>0</v>
      </c>
      <c r="BU105" s="39">
        <f t="shared" si="511"/>
        <v>0</v>
      </c>
      <c r="BV105" s="39">
        <f t="shared" si="511"/>
        <v>0</v>
      </c>
      <c r="BW105" s="39">
        <f t="shared" si="511"/>
        <v>0</v>
      </c>
      <c r="BX105" s="39">
        <f t="shared" si="511"/>
        <v>0</v>
      </c>
      <c r="BY105" s="39">
        <f t="shared" si="511"/>
        <v>0</v>
      </c>
      <c r="BZ105" s="39">
        <f t="shared" si="511"/>
        <v>0</v>
      </c>
      <c r="CA105" s="39">
        <f t="shared" si="511"/>
        <v>0</v>
      </c>
      <c r="CB105" s="39">
        <f t="shared" si="511"/>
        <v>0</v>
      </c>
      <c r="CC105" s="39">
        <f t="shared" si="511"/>
        <v>0</v>
      </c>
      <c r="CD105" s="39">
        <f t="shared" si="511"/>
        <v>0</v>
      </c>
      <c r="CE105" s="39">
        <f t="shared" si="512"/>
        <v>0</v>
      </c>
      <c r="CF105" s="39">
        <f t="shared" si="512"/>
        <v>0</v>
      </c>
      <c r="CG105" s="39">
        <f t="shared" si="512"/>
        <v>0</v>
      </c>
      <c r="CH105" s="39">
        <f t="shared" si="512"/>
        <v>0</v>
      </c>
      <c r="CI105" s="39">
        <f t="shared" si="512"/>
        <v>0</v>
      </c>
      <c r="CJ105" s="39">
        <f t="shared" si="512"/>
        <v>0</v>
      </c>
      <c r="CK105" s="39">
        <f t="shared" si="512"/>
        <v>0</v>
      </c>
      <c r="CL105" s="39">
        <f t="shared" si="512"/>
        <v>0</v>
      </c>
      <c r="CM105" s="39">
        <f t="shared" si="512"/>
        <v>0</v>
      </c>
      <c r="CN105" s="39">
        <f t="shared" si="512"/>
        <v>0</v>
      </c>
      <c r="CO105" s="39">
        <f t="shared" si="513"/>
        <v>0</v>
      </c>
      <c r="CP105" s="39">
        <f t="shared" si="513"/>
        <v>0</v>
      </c>
      <c r="CQ105" s="39">
        <f t="shared" si="513"/>
        <v>0</v>
      </c>
      <c r="CR105" s="39">
        <f t="shared" si="513"/>
        <v>0</v>
      </c>
      <c r="CS105" s="39">
        <f t="shared" si="513"/>
        <v>0</v>
      </c>
      <c r="CT105" s="39">
        <f t="shared" si="513"/>
        <v>0</v>
      </c>
      <c r="CU105" s="39">
        <f t="shared" si="513"/>
        <v>0</v>
      </c>
      <c r="CV105" s="39">
        <f t="shared" si="513"/>
        <v>0</v>
      </c>
      <c r="CW105" s="39">
        <f t="shared" si="513"/>
        <v>0</v>
      </c>
      <c r="CX105" s="39">
        <f t="shared" si="513"/>
        <v>0</v>
      </c>
      <c r="CY105" s="39">
        <f t="shared" si="514"/>
        <v>0</v>
      </c>
      <c r="CZ105" s="39">
        <f t="shared" si="514"/>
        <v>0</v>
      </c>
      <c r="DA105" s="39">
        <f t="shared" si="514"/>
        <v>0</v>
      </c>
      <c r="DB105" s="39">
        <f t="shared" si="514"/>
        <v>0</v>
      </c>
      <c r="DC105" s="39">
        <f t="shared" si="514"/>
        <v>0</v>
      </c>
      <c r="DD105" s="39">
        <f t="shared" si="514"/>
        <v>0</v>
      </c>
      <c r="DE105" s="39">
        <f t="shared" si="514"/>
        <v>0</v>
      </c>
      <c r="DF105" s="39">
        <f t="shared" si="514"/>
        <v>0</v>
      </c>
      <c r="DG105" s="39">
        <f t="shared" si="514"/>
        <v>0</v>
      </c>
      <c r="DH105" s="39">
        <f t="shared" si="514"/>
        <v>0</v>
      </c>
      <c r="DI105" s="39">
        <f t="shared" si="515"/>
        <v>0</v>
      </c>
      <c r="DJ105" s="39">
        <f t="shared" si="515"/>
        <v>0</v>
      </c>
      <c r="DK105" s="39">
        <f t="shared" si="515"/>
        <v>0</v>
      </c>
      <c r="DL105" s="39">
        <f t="shared" si="515"/>
        <v>0</v>
      </c>
      <c r="DM105" s="39">
        <f t="shared" si="515"/>
        <v>0</v>
      </c>
      <c r="DN105" s="39">
        <f t="shared" si="515"/>
        <v>0</v>
      </c>
      <c r="DO105" s="39">
        <f t="shared" si="515"/>
        <v>0</v>
      </c>
      <c r="DP105" s="39">
        <f t="shared" si="515"/>
        <v>0</v>
      </c>
      <c r="DQ105" s="39">
        <f t="shared" si="515"/>
        <v>0</v>
      </c>
      <c r="DR105" s="39">
        <f t="shared" si="515"/>
        <v>0</v>
      </c>
      <c r="DS105" s="39">
        <f t="shared" si="516"/>
        <v>0</v>
      </c>
      <c r="DT105" s="39">
        <f t="shared" si="516"/>
        <v>0</v>
      </c>
      <c r="DU105" s="39">
        <f t="shared" si="516"/>
        <v>0</v>
      </c>
      <c r="DV105" s="39">
        <f t="shared" si="516"/>
        <v>0</v>
      </c>
      <c r="DW105" s="39">
        <f t="shared" si="516"/>
        <v>0</v>
      </c>
      <c r="DX105" s="39">
        <f t="shared" si="516"/>
        <v>0</v>
      </c>
      <c r="DY105" s="39">
        <f t="shared" si="516"/>
        <v>0</v>
      </c>
      <c r="DZ105" s="39">
        <f t="shared" si="516"/>
        <v>0</v>
      </c>
      <c r="EA105" s="39">
        <f t="shared" si="516"/>
        <v>0</v>
      </c>
      <c r="EB105" s="39">
        <f t="shared" si="516"/>
        <v>0</v>
      </c>
      <c r="EC105" s="39">
        <f t="shared" si="517"/>
        <v>0</v>
      </c>
      <c r="ED105" s="39">
        <f t="shared" si="517"/>
        <v>0</v>
      </c>
      <c r="EE105" s="39">
        <f t="shared" si="517"/>
        <v>0</v>
      </c>
      <c r="EF105" s="39">
        <f t="shared" si="517"/>
        <v>0</v>
      </c>
      <c r="EG105" s="39">
        <f t="shared" si="517"/>
        <v>0</v>
      </c>
      <c r="EH105" s="39">
        <f t="shared" si="517"/>
        <v>0</v>
      </c>
      <c r="EI105" s="39">
        <f t="shared" si="517"/>
        <v>0</v>
      </c>
      <c r="EJ105" s="39">
        <f t="shared" si="517"/>
        <v>0</v>
      </c>
      <c r="EK105" s="39">
        <f t="shared" si="517"/>
        <v>0</v>
      </c>
      <c r="EL105" s="39">
        <f t="shared" si="517"/>
        <v>0</v>
      </c>
      <c r="EM105" s="39">
        <f t="shared" si="518"/>
        <v>0</v>
      </c>
      <c r="EN105" s="39">
        <f t="shared" si="518"/>
        <v>0</v>
      </c>
      <c r="EP105" s="24"/>
      <c r="EQ105" s="24"/>
      <c r="ER105" s="24"/>
      <c r="ES105" s="24"/>
      <c r="ET105" s="24"/>
      <c r="EU105" s="33"/>
      <c r="EV105" s="24"/>
      <c r="EW105" s="24"/>
      <c r="EX105" s="24"/>
      <c r="EY105" s="24"/>
      <c r="EZ105" s="24"/>
      <c r="FA105" s="24"/>
      <c r="FB105" s="24"/>
      <c r="FC105" s="24"/>
      <c r="FD105" s="24"/>
      <c r="FE105" s="24"/>
      <c r="FF105" s="24"/>
      <c r="FG105" s="24"/>
      <c r="FH105" s="24"/>
      <c r="FI105" s="24"/>
      <c r="FJ105" s="24"/>
      <c r="FK105" s="24"/>
      <c r="FL105" s="24"/>
      <c r="FM105" s="24"/>
      <c r="FN105" s="24"/>
      <c r="FO105" s="24"/>
      <c r="FP105" s="24"/>
      <c r="FQ105" s="24"/>
      <c r="FR105" s="24"/>
      <c r="FS105" s="24"/>
      <c r="FT105" s="24"/>
      <c r="FU105" s="24"/>
      <c r="FV105" s="24"/>
      <c r="FW105" s="24"/>
      <c r="FX105" s="24"/>
      <c r="FY105" s="24"/>
      <c r="FZ105" s="24"/>
      <c r="GA105" s="24"/>
      <c r="GB105" s="24"/>
      <c r="GC105" s="24"/>
      <c r="GD105" s="24"/>
      <c r="GE105" s="24"/>
      <c r="GF105" s="24"/>
      <c r="GG105" s="24"/>
      <c r="GH105" s="24"/>
      <c r="GI105" s="24"/>
      <c r="GJ105" s="24"/>
      <c r="GK105" s="24"/>
      <c r="GL105" s="24"/>
      <c r="GM105" s="24"/>
      <c r="GN105" s="24"/>
      <c r="GO105" s="24"/>
      <c r="GP105" s="24"/>
      <c r="GQ105" s="24"/>
      <c r="GR105" s="24"/>
      <c r="GS105" s="24"/>
      <c r="GT105" s="24"/>
      <c r="GU105" s="24"/>
      <c r="GV105" s="24"/>
      <c r="GW105" s="24"/>
      <c r="GX105" s="24"/>
      <c r="GY105" s="24"/>
      <c r="GZ105" s="24"/>
      <c r="HA105" s="24"/>
      <c r="HB105" s="24"/>
      <c r="HC105" s="24"/>
      <c r="HD105" s="24"/>
      <c r="HE105" s="24"/>
      <c r="HF105" s="24"/>
      <c r="HG105" s="24"/>
      <c r="HH105" s="24"/>
      <c r="HI105" s="24"/>
      <c r="HJ105" s="24"/>
      <c r="HK105" s="24"/>
      <c r="HL105" s="24"/>
      <c r="HM105" s="24"/>
      <c r="HN105" s="24"/>
      <c r="HO105" s="24"/>
      <c r="HP105" s="24"/>
      <c r="HQ105" s="24"/>
      <c r="HR105" s="24"/>
      <c r="HS105" s="24"/>
      <c r="HT105" s="24"/>
      <c r="HU105" s="24"/>
      <c r="HV105" s="24"/>
      <c r="HW105" s="24"/>
      <c r="HX105" s="24"/>
      <c r="HY105" s="24"/>
      <c r="HZ105" s="24"/>
      <c r="IA105" s="24"/>
      <c r="IB105" s="24"/>
      <c r="IC105" s="24"/>
      <c r="ID105" s="24"/>
      <c r="IE105" s="24"/>
      <c r="IF105" s="24"/>
      <c r="IG105" s="24"/>
      <c r="IH105" s="24"/>
      <c r="II105" s="24"/>
      <c r="IJ105" s="24"/>
      <c r="IK105" s="24"/>
      <c r="IL105" s="24"/>
      <c r="IM105" s="24"/>
      <c r="IN105" s="24"/>
      <c r="IO105" s="24"/>
      <c r="IP105" s="24"/>
      <c r="IQ105" s="24"/>
      <c r="IR105" s="24"/>
      <c r="IS105" s="24"/>
      <c r="IT105" s="24"/>
      <c r="IU105" s="24"/>
      <c r="IV105" s="24"/>
      <c r="IW105" s="24"/>
      <c r="IX105" s="24"/>
      <c r="IY105" s="24"/>
      <c r="IZ105" s="24"/>
      <c r="JA105" s="24"/>
      <c r="JB105" s="24"/>
      <c r="JC105" s="24"/>
      <c r="JD105" s="24"/>
      <c r="JE105" s="24"/>
      <c r="JF105" s="24"/>
      <c r="JG105" s="24"/>
      <c r="JH105" s="24"/>
      <c r="JI105" s="24"/>
      <c r="JJ105" s="24"/>
      <c r="JK105" s="24"/>
      <c r="JL105" s="24"/>
      <c r="JM105" s="24"/>
      <c r="JN105" s="24"/>
      <c r="JO105" s="24"/>
      <c r="JP105" s="24"/>
      <c r="JQ105" s="24"/>
      <c r="JR105" s="24"/>
      <c r="JS105" s="24"/>
      <c r="JT105" s="24"/>
      <c r="JU105" s="24"/>
      <c r="JV105" s="24"/>
      <c r="JW105" s="24"/>
      <c r="JX105" s="24"/>
    </row>
    <row r="106" spans="1:284" s="7" customFormat="1" x14ac:dyDescent="0.2">
      <c r="A106" s="406"/>
      <c r="B106" s="128" t="s">
        <v>126</v>
      </c>
      <c r="C106" s="120"/>
      <c r="D106" s="120"/>
      <c r="E106" s="120"/>
      <c r="F106" s="122">
        <f>I106/$I$100</f>
        <v>0.11893319078026922</v>
      </c>
      <c r="G106" s="390">
        <f>SUM(G102:G105)</f>
        <v>0.22335466666666667</v>
      </c>
      <c r="H106" s="123">
        <f>SUM(H102:H105)</f>
        <v>189.85146666666665</v>
      </c>
      <c r="I106" s="123">
        <f>SUM(I102:I105)</f>
        <v>683465.28</v>
      </c>
      <c r="K106" s="7" t="s">
        <v>125</v>
      </c>
      <c r="M106" s="38">
        <f t="shared" ref="M106:AR106" si="525">SUM(M102:M105)</f>
        <v>0</v>
      </c>
      <c r="N106" s="38">
        <f t="shared" si="525"/>
        <v>0</v>
      </c>
      <c r="O106" s="38">
        <f t="shared" si="525"/>
        <v>0</v>
      </c>
      <c r="P106" s="38">
        <f t="shared" si="525"/>
        <v>0</v>
      </c>
      <c r="Q106" s="38">
        <f t="shared" si="525"/>
        <v>0</v>
      </c>
      <c r="R106" s="38">
        <f t="shared" si="525"/>
        <v>0</v>
      </c>
      <c r="S106" s="38">
        <f t="shared" si="525"/>
        <v>0</v>
      </c>
      <c r="T106" s="38">
        <f t="shared" si="525"/>
        <v>0</v>
      </c>
      <c r="U106" s="38">
        <f t="shared" si="525"/>
        <v>0</v>
      </c>
      <c r="V106" s="38">
        <f t="shared" si="525"/>
        <v>0</v>
      </c>
      <c r="W106" s="38">
        <f t="shared" si="525"/>
        <v>0</v>
      </c>
      <c r="X106" s="38">
        <f t="shared" si="525"/>
        <v>0</v>
      </c>
      <c r="Y106" s="38">
        <f t="shared" si="525"/>
        <v>0</v>
      </c>
      <c r="Z106" s="38">
        <f t="shared" si="525"/>
        <v>0</v>
      </c>
      <c r="AA106" s="38">
        <f t="shared" si="525"/>
        <v>0</v>
      </c>
      <c r="AB106" s="38">
        <f t="shared" si="525"/>
        <v>0</v>
      </c>
      <c r="AC106" s="38">
        <f t="shared" si="525"/>
        <v>0</v>
      </c>
      <c r="AD106" s="38">
        <f t="shared" si="525"/>
        <v>0</v>
      </c>
      <c r="AE106" s="38">
        <f t="shared" si="525"/>
        <v>5695.5439999999981</v>
      </c>
      <c r="AF106" s="38">
        <f t="shared" si="525"/>
        <v>9492.5733333333301</v>
      </c>
      <c r="AG106" s="38">
        <f t="shared" si="525"/>
        <v>13289.602666666664</v>
      </c>
      <c r="AH106" s="38">
        <f t="shared" si="525"/>
        <v>17086.632000000001</v>
      </c>
      <c r="AI106" s="38">
        <f t="shared" si="525"/>
        <v>20883.661333333333</v>
      </c>
      <c r="AJ106" s="38">
        <f t="shared" si="525"/>
        <v>24680.690666666665</v>
      </c>
      <c r="AK106" s="38">
        <f t="shared" si="525"/>
        <v>28477.72</v>
      </c>
      <c r="AL106" s="38">
        <f t="shared" si="525"/>
        <v>32274.749333333333</v>
      </c>
      <c r="AM106" s="38">
        <f t="shared" si="525"/>
        <v>36071.778666666665</v>
      </c>
      <c r="AN106" s="38">
        <f t="shared" si="525"/>
        <v>39868.807999999997</v>
      </c>
      <c r="AO106" s="38">
        <f t="shared" si="525"/>
        <v>43665.837333333329</v>
      </c>
      <c r="AP106" s="38">
        <f t="shared" si="525"/>
        <v>47462.866666666669</v>
      </c>
      <c r="AQ106" s="38">
        <f t="shared" si="525"/>
        <v>52797.692880000002</v>
      </c>
      <c r="AR106" s="38">
        <f t="shared" si="525"/>
        <v>56708.633093333337</v>
      </c>
      <c r="AS106" s="38">
        <f t="shared" ref="AS106:BX106" si="526">SUM(AS102:AS105)</f>
        <v>58664.103199999998</v>
      </c>
      <c r="AT106" s="38">
        <f t="shared" si="526"/>
        <v>58664.103199999998</v>
      </c>
      <c r="AU106" s="38">
        <f t="shared" si="526"/>
        <v>58664.103199999998</v>
      </c>
      <c r="AV106" s="38">
        <f t="shared" si="526"/>
        <v>58664.103199999998</v>
      </c>
      <c r="AW106" s="38">
        <f t="shared" si="526"/>
        <v>58664.103199999998</v>
      </c>
      <c r="AX106" s="38">
        <f t="shared" si="526"/>
        <v>58664.103199999998</v>
      </c>
      <c r="AY106" s="38">
        <f t="shared" si="526"/>
        <v>58664.103199999998</v>
      </c>
      <c r="AZ106" s="38">
        <f t="shared" si="526"/>
        <v>58664.103199999998</v>
      </c>
      <c r="BA106" s="38">
        <f t="shared" si="526"/>
        <v>58664.103199999998</v>
      </c>
      <c r="BB106" s="38">
        <f t="shared" si="526"/>
        <v>58664.103199999998</v>
      </c>
      <c r="BC106" s="38">
        <f t="shared" si="526"/>
        <v>60424.026295999996</v>
      </c>
      <c r="BD106" s="38">
        <f t="shared" si="526"/>
        <v>60424.026295999996</v>
      </c>
      <c r="BE106" s="38">
        <f t="shared" si="526"/>
        <v>60424.026295999996</v>
      </c>
      <c r="BF106" s="38">
        <f t="shared" si="526"/>
        <v>60424.026295999996</v>
      </c>
      <c r="BG106" s="38">
        <f t="shared" si="526"/>
        <v>60424.026295999996</v>
      </c>
      <c r="BH106" s="38">
        <f t="shared" si="526"/>
        <v>60424.026295999996</v>
      </c>
      <c r="BI106" s="38">
        <f t="shared" si="526"/>
        <v>60424.026295999996</v>
      </c>
      <c r="BJ106" s="38">
        <f t="shared" si="526"/>
        <v>60424.026295999996</v>
      </c>
      <c r="BK106" s="38">
        <f t="shared" si="526"/>
        <v>60424.026295999996</v>
      </c>
      <c r="BL106" s="38">
        <f t="shared" si="526"/>
        <v>60424.026295999996</v>
      </c>
      <c r="BM106" s="38">
        <f t="shared" si="526"/>
        <v>60424.026295999996</v>
      </c>
      <c r="BN106" s="38">
        <f t="shared" si="526"/>
        <v>60424.026295999996</v>
      </c>
      <c r="BO106" s="38">
        <f t="shared" si="526"/>
        <v>62236.74708488</v>
      </c>
      <c r="BP106" s="38">
        <f t="shared" si="526"/>
        <v>62236.74708488</v>
      </c>
      <c r="BQ106" s="38">
        <f t="shared" si="526"/>
        <v>62236.74708488</v>
      </c>
      <c r="BR106" s="38">
        <f t="shared" si="526"/>
        <v>62236.74708488</v>
      </c>
      <c r="BS106" s="38">
        <f t="shared" si="526"/>
        <v>62236.74708488</v>
      </c>
      <c r="BT106" s="38">
        <f t="shared" si="526"/>
        <v>62236.74708488</v>
      </c>
      <c r="BU106" s="38">
        <f t="shared" si="526"/>
        <v>62236.74708488</v>
      </c>
      <c r="BV106" s="38">
        <f t="shared" si="526"/>
        <v>62236.74708488</v>
      </c>
      <c r="BW106" s="38">
        <f t="shared" si="526"/>
        <v>62236.74708488</v>
      </c>
      <c r="BX106" s="38">
        <f t="shared" si="526"/>
        <v>62236.74708488</v>
      </c>
      <c r="BY106" s="38">
        <f t="shared" ref="BY106:DD106" si="527">SUM(BY102:BY105)</f>
        <v>62236.74708488</v>
      </c>
      <c r="BZ106" s="38">
        <f t="shared" si="527"/>
        <v>62236.74708488</v>
      </c>
      <c r="CA106" s="38">
        <f t="shared" si="527"/>
        <v>64103.849497426389</v>
      </c>
      <c r="CB106" s="38">
        <f t="shared" si="527"/>
        <v>64103.849497426389</v>
      </c>
      <c r="CC106" s="38">
        <f t="shared" si="527"/>
        <v>64103.849497426389</v>
      </c>
      <c r="CD106" s="38">
        <f t="shared" si="527"/>
        <v>64103.849497426389</v>
      </c>
      <c r="CE106" s="38">
        <f t="shared" si="527"/>
        <v>64103.849497426389</v>
      </c>
      <c r="CF106" s="38">
        <f t="shared" si="527"/>
        <v>64103.849497426389</v>
      </c>
      <c r="CG106" s="38">
        <f t="shared" si="527"/>
        <v>64103.849497426389</v>
      </c>
      <c r="CH106" s="38">
        <f t="shared" si="527"/>
        <v>64103.849497426389</v>
      </c>
      <c r="CI106" s="38">
        <f t="shared" si="527"/>
        <v>64103.849497426389</v>
      </c>
      <c r="CJ106" s="38">
        <f t="shared" si="527"/>
        <v>64103.849497426389</v>
      </c>
      <c r="CK106" s="38">
        <f t="shared" si="527"/>
        <v>64103.849497426389</v>
      </c>
      <c r="CL106" s="38">
        <f t="shared" si="527"/>
        <v>64103.849497426389</v>
      </c>
      <c r="CM106" s="38">
        <f t="shared" si="527"/>
        <v>66026.964982349193</v>
      </c>
      <c r="CN106" s="38">
        <f t="shared" si="527"/>
        <v>66026.964982349193</v>
      </c>
      <c r="CO106" s="38">
        <f t="shared" si="527"/>
        <v>66026.964982349193</v>
      </c>
      <c r="CP106" s="38">
        <f t="shared" si="527"/>
        <v>66026.964982349193</v>
      </c>
      <c r="CQ106" s="38">
        <f t="shared" si="527"/>
        <v>66026.964982349193</v>
      </c>
      <c r="CR106" s="38">
        <f t="shared" si="527"/>
        <v>66026.964982349193</v>
      </c>
      <c r="CS106" s="38">
        <f t="shared" si="527"/>
        <v>66026.964982349193</v>
      </c>
      <c r="CT106" s="38">
        <f t="shared" si="527"/>
        <v>66026.964982349193</v>
      </c>
      <c r="CU106" s="38">
        <f t="shared" si="527"/>
        <v>66026.964982349193</v>
      </c>
      <c r="CV106" s="38">
        <f t="shared" si="527"/>
        <v>66026.964982349193</v>
      </c>
      <c r="CW106" s="38">
        <f t="shared" si="527"/>
        <v>66026.964982349193</v>
      </c>
      <c r="CX106" s="38">
        <f t="shared" si="527"/>
        <v>66026.964982349193</v>
      </c>
      <c r="CY106" s="38">
        <f t="shared" si="527"/>
        <v>68007.773931819655</v>
      </c>
      <c r="CZ106" s="38">
        <f t="shared" si="527"/>
        <v>68007.773931819655</v>
      </c>
      <c r="DA106" s="38">
        <f t="shared" si="527"/>
        <v>68007.773931819655</v>
      </c>
      <c r="DB106" s="38">
        <f t="shared" si="527"/>
        <v>68007.773931819655</v>
      </c>
      <c r="DC106" s="38">
        <f t="shared" si="527"/>
        <v>68007.773931819655</v>
      </c>
      <c r="DD106" s="38">
        <f t="shared" si="527"/>
        <v>68007.773931819655</v>
      </c>
      <c r="DE106" s="38">
        <f t="shared" ref="DE106:EJ106" si="528">SUM(DE102:DE105)</f>
        <v>68007.773931819655</v>
      </c>
      <c r="DF106" s="38">
        <f t="shared" si="528"/>
        <v>68007.773931819655</v>
      </c>
      <c r="DG106" s="38">
        <f t="shared" si="528"/>
        <v>68007.773931819655</v>
      </c>
      <c r="DH106" s="38">
        <f t="shared" si="528"/>
        <v>68007.773931819655</v>
      </c>
      <c r="DI106" s="38">
        <f t="shared" si="528"/>
        <v>68007.773931819655</v>
      </c>
      <c r="DJ106" s="38">
        <f t="shared" si="528"/>
        <v>68007.773931819655</v>
      </c>
      <c r="DK106" s="38">
        <f t="shared" si="528"/>
        <v>70048.007149774261</v>
      </c>
      <c r="DL106" s="38">
        <f t="shared" si="528"/>
        <v>70048.007149774261</v>
      </c>
      <c r="DM106" s="38">
        <f t="shared" si="528"/>
        <v>70048.007149774261</v>
      </c>
      <c r="DN106" s="38">
        <f t="shared" si="528"/>
        <v>70048.007149774261</v>
      </c>
      <c r="DO106" s="38">
        <f t="shared" si="528"/>
        <v>70048.007149774261</v>
      </c>
      <c r="DP106" s="38">
        <f t="shared" si="528"/>
        <v>70048.007149774261</v>
      </c>
      <c r="DQ106" s="38">
        <f t="shared" si="528"/>
        <v>70048.007149774261</v>
      </c>
      <c r="DR106" s="38">
        <f t="shared" si="528"/>
        <v>70048.007149774261</v>
      </c>
      <c r="DS106" s="38">
        <f t="shared" si="528"/>
        <v>70048.007149774261</v>
      </c>
      <c r="DT106" s="38">
        <f t="shared" si="528"/>
        <v>70048.007149774261</v>
      </c>
      <c r="DU106" s="38">
        <f t="shared" si="528"/>
        <v>70048.007149774261</v>
      </c>
      <c r="DV106" s="38">
        <f t="shared" si="528"/>
        <v>70048.007149774261</v>
      </c>
      <c r="DW106" s="38">
        <f t="shared" si="528"/>
        <v>72149.447364267471</v>
      </c>
      <c r="DX106" s="38">
        <f t="shared" si="528"/>
        <v>72149.447364267471</v>
      </c>
      <c r="DY106" s="38">
        <f t="shared" si="528"/>
        <v>72149.447364267471</v>
      </c>
      <c r="DZ106" s="38">
        <f t="shared" si="528"/>
        <v>72149.447364267471</v>
      </c>
      <c r="EA106" s="38">
        <f t="shared" si="528"/>
        <v>72149.447364267471</v>
      </c>
      <c r="EB106" s="38">
        <f t="shared" si="528"/>
        <v>72149.447364267471</v>
      </c>
      <c r="EC106" s="38">
        <f t="shared" si="528"/>
        <v>72149.447364267471</v>
      </c>
      <c r="ED106" s="38">
        <f t="shared" si="528"/>
        <v>72149.447364267471</v>
      </c>
      <c r="EE106" s="38">
        <f t="shared" si="528"/>
        <v>72149.447364267471</v>
      </c>
      <c r="EF106" s="38">
        <f t="shared" si="528"/>
        <v>72149.447364267471</v>
      </c>
      <c r="EG106" s="38">
        <f t="shared" si="528"/>
        <v>72149.447364267471</v>
      </c>
      <c r="EH106" s="38">
        <f t="shared" si="528"/>
        <v>72149.447364267471</v>
      </c>
      <c r="EI106" s="38">
        <f t="shared" si="528"/>
        <v>74313.930785195495</v>
      </c>
      <c r="EJ106" s="38">
        <f t="shared" si="528"/>
        <v>74313.930785195495</v>
      </c>
      <c r="EK106" s="38">
        <f>SUM(EK102:EK105)</f>
        <v>74313.930785195495</v>
      </c>
      <c r="EL106" s="38">
        <f>SUM(EL102:EL105)</f>
        <v>74313.930785195495</v>
      </c>
      <c r="EM106" s="38">
        <f>SUM(EM102:EM105)</f>
        <v>74313.930785195495</v>
      </c>
      <c r="EN106" s="38">
        <f>SUM(EN102:EN105)</f>
        <v>74313.930785195495</v>
      </c>
      <c r="EP106" s="24"/>
      <c r="EQ106" s="24"/>
      <c r="ER106" s="24"/>
      <c r="ES106" s="24"/>
      <c r="ET106" s="24"/>
      <c r="EU106" s="33"/>
      <c r="EV106" s="24"/>
      <c r="EW106" s="24"/>
      <c r="EX106" s="24"/>
      <c r="EY106" s="24"/>
      <c r="EZ106" s="24"/>
      <c r="FA106" s="24"/>
      <c r="FB106" s="24"/>
      <c r="FC106" s="24"/>
      <c r="FD106" s="24"/>
      <c r="FE106" s="24"/>
      <c r="FF106" s="24"/>
      <c r="FG106" s="24"/>
      <c r="FH106" s="24"/>
      <c r="FI106" s="24"/>
      <c r="FJ106" s="24"/>
      <c r="FK106" s="24"/>
      <c r="FL106" s="24"/>
      <c r="FM106" s="24"/>
      <c r="FN106" s="24"/>
      <c r="FO106" s="24"/>
      <c r="FP106" s="24"/>
      <c r="FQ106" s="24"/>
      <c r="FR106" s="24"/>
      <c r="FS106" s="24"/>
      <c r="FT106" s="24"/>
      <c r="FU106" s="24"/>
      <c r="FV106" s="24"/>
      <c r="FW106" s="24"/>
      <c r="FX106" s="24"/>
      <c r="FY106" s="24"/>
      <c r="FZ106" s="24"/>
      <c r="GA106" s="24"/>
      <c r="GB106" s="24"/>
      <c r="GC106" s="24"/>
      <c r="GD106" s="24"/>
      <c r="GE106" s="24"/>
      <c r="GF106" s="24"/>
      <c r="GG106" s="24"/>
      <c r="GH106" s="24"/>
      <c r="GI106" s="24"/>
      <c r="GJ106" s="24"/>
      <c r="GK106" s="24"/>
      <c r="GL106" s="24"/>
      <c r="GM106" s="24"/>
      <c r="GN106" s="24"/>
      <c r="GO106" s="24"/>
      <c r="GP106" s="24"/>
      <c r="GQ106" s="24"/>
      <c r="GR106" s="24"/>
      <c r="GS106" s="24"/>
      <c r="GT106" s="24"/>
      <c r="GU106" s="24"/>
      <c r="GV106" s="24"/>
      <c r="GW106" s="24"/>
      <c r="GX106" s="24"/>
      <c r="GY106" s="24"/>
      <c r="GZ106" s="24"/>
      <c r="HA106" s="24"/>
      <c r="HB106" s="24"/>
      <c r="HC106" s="24"/>
      <c r="HD106" s="24"/>
      <c r="HE106" s="24"/>
      <c r="HF106" s="24"/>
      <c r="HG106" s="24"/>
      <c r="HH106" s="24"/>
      <c r="HI106" s="24"/>
      <c r="HJ106" s="24"/>
      <c r="HK106" s="24"/>
      <c r="HL106" s="24"/>
      <c r="HM106" s="24"/>
      <c r="HN106" s="24"/>
      <c r="HO106" s="24"/>
      <c r="HP106" s="24"/>
      <c r="HQ106" s="24"/>
      <c r="HR106" s="24"/>
      <c r="HS106" s="24"/>
      <c r="HT106" s="24"/>
      <c r="HU106" s="24"/>
      <c r="HV106" s="24"/>
      <c r="HW106" s="24"/>
      <c r="HX106" s="24"/>
      <c r="HY106" s="24"/>
      <c r="HZ106" s="24"/>
      <c r="IA106" s="24"/>
      <c r="IB106" s="24"/>
      <c r="IC106" s="24"/>
      <c r="ID106" s="24"/>
      <c r="IE106" s="24"/>
      <c r="IF106" s="24"/>
      <c r="IG106" s="24"/>
      <c r="IH106" s="24"/>
      <c r="II106" s="24"/>
      <c r="IJ106" s="24"/>
      <c r="IK106" s="24"/>
      <c r="IL106" s="24"/>
      <c r="IM106" s="24"/>
      <c r="IN106" s="24"/>
      <c r="IO106" s="24"/>
      <c r="IP106" s="24"/>
      <c r="IQ106" s="24"/>
      <c r="IR106" s="24"/>
      <c r="IS106" s="24"/>
      <c r="IT106" s="24"/>
      <c r="IU106" s="24"/>
      <c r="IV106" s="24"/>
      <c r="IW106" s="24"/>
      <c r="IX106" s="24"/>
      <c r="IY106" s="24"/>
      <c r="IZ106" s="24"/>
      <c r="JA106" s="24"/>
      <c r="JB106" s="24"/>
      <c r="JC106" s="24"/>
      <c r="JD106" s="24"/>
      <c r="JE106" s="24"/>
      <c r="JF106" s="24"/>
      <c r="JG106" s="24"/>
      <c r="JH106" s="24"/>
      <c r="JI106" s="24"/>
      <c r="JJ106" s="24"/>
      <c r="JK106" s="24"/>
      <c r="JL106" s="24"/>
      <c r="JM106" s="24"/>
      <c r="JN106" s="24"/>
      <c r="JO106" s="24"/>
      <c r="JP106" s="24"/>
      <c r="JQ106" s="24"/>
      <c r="JR106" s="24"/>
      <c r="JS106" s="24"/>
      <c r="JT106" s="24"/>
      <c r="JU106" s="24"/>
      <c r="JV106" s="24"/>
      <c r="JW106" s="24"/>
      <c r="JX106" s="24"/>
    </row>
    <row r="107" spans="1:284" s="7" customFormat="1" x14ac:dyDescent="0.2">
      <c r="A107" s="406"/>
      <c r="B107" s="196" t="s">
        <v>312</v>
      </c>
      <c r="C107" s="82" t="s">
        <v>313</v>
      </c>
      <c r="D107" s="120"/>
      <c r="E107" s="120"/>
      <c r="F107" s="120"/>
      <c r="G107" s="389"/>
      <c r="H107" s="123"/>
      <c r="I107" s="123"/>
      <c r="M107" s="38"/>
      <c r="N107" s="38"/>
      <c r="O107" s="38"/>
      <c r="P107" s="38"/>
      <c r="Q107" s="38"/>
      <c r="R107" s="38"/>
      <c r="S107" s="38"/>
      <c r="T107" s="38"/>
      <c r="U107" s="38"/>
      <c r="V107" s="38"/>
      <c r="W107" s="38"/>
      <c r="X107" s="38"/>
      <c r="Y107" s="38"/>
      <c r="Z107" s="38"/>
      <c r="AA107" s="38"/>
      <c r="AB107" s="38"/>
      <c r="AC107" s="38"/>
      <c r="AD107" s="38"/>
      <c r="AE107" s="38"/>
      <c r="AF107" s="38"/>
      <c r="AG107" s="38"/>
      <c r="AH107" s="38"/>
      <c r="AI107" s="38"/>
      <c r="AJ107" s="38"/>
      <c r="AK107" s="38"/>
      <c r="AL107" s="38"/>
      <c r="AM107" s="38"/>
      <c r="AN107" s="38"/>
      <c r="AO107" s="38"/>
      <c r="AP107" s="38"/>
      <c r="AQ107" s="38"/>
      <c r="AR107" s="38"/>
      <c r="AS107" s="38"/>
      <c r="AT107" s="38"/>
      <c r="AU107" s="38"/>
      <c r="AV107" s="38"/>
      <c r="AW107" s="38"/>
      <c r="AX107" s="38"/>
      <c r="AY107" s="38"/>
      <c r="AZ107" s="38"/>
      <c r="BA107" s="38"/>
      <c r="BB107" s="38"/>
      <c r="BC107" s="38"/>
      <c r="BD107" s="38"/>
      <c r="BE107" s="38"/>
      <c r="BF107" s="38"/>
      <c r="BG107" s="38"/>
      <c r="BH107" s="38"/>
      <c r="BI107" s="38"/>
      <c r="BJ107" s="38"/>
      <c r="BK107" s="38"/>
      <c r="BL107" s="38"/>
      <c r="BM107" s="38"/>
      <c r="BN107" s="38"/>
      <c r="BO107" s="38"/>
      <c r="BP107" s="38"/>
      <c r="BQ107" s="38"/>
      <c r="BR107" s="38"/>
      <c r="BS107" s="38"/>
      <c r="BT107" s="38"/>
      <c r="BU107" s="38"/>
      <c r="BV107" s="38"/>
      <c r="BW107" s="38"/>
      <c r="BX107" s="38"/>
      <c r="BY107" s="38"/>
      <c r="BZ107" s="38"/>
      <c r="CA107" s="38"/>
      <c r="CB107" s="38"/>
      <c r="CC107" s="38"/>
      <c r="CD107" s="38"/>
      <c r="CE107" s="38"/>
      <c r="CF107" s="38"/>
      <c r="CG107" s="38"/>
      <c r="CH107" s="38"/>
      <c r="CI107" s="38"/>
      <c r="CJ107" s="38"/>
      <c r="CK107" s="38"/>
      <c r="CL107" s="38"/>
      <c r="CM107" s="38"/>
      <c r="CN107" s="38"/>
      <c r="CO107" s="38"/>
      <c r="CP107" s="38"/>
      <c r="CQ107" s="38"/>
      <c r="CR107" s="38"/>
      <c r="CS107" s="38"/>
      <c r="CT107" s="38"/>
      <c r="CU107" s="38"/>
      <c r="CV107" s="38"/>
      <c r="CW107" s="38"/>
      <c r="CX107" s="38"/>
      <c r="CY107" s="38"/>
      <c r="CZ107" s="38"/>
      <c r="DA107" s="38"/>
      <c r="DB107" s="38"/>
      <c r="DC107" s="38"/>
      <c r="DD107" s="38"/>
      <c r="DE107" s="38"/>
      <c r="DF107" s="38"/>
      <c r="DG107" s="38"/>
      <c r="DH107" s="38"/>
      <c r="DI107" s="38"/>
      <c r="DJ107" s="38"/>
      <c r="DK107" s="38"/>
      <c r="DL107" s="38"/>
      <c r="DM107" s="38"/>
      <c r="DN107" s="38"/>
      <c r="DO107" s="38"/>
      <c r="DP107" s="38"/>
      <c r="DQ107" s="38"/>
      <c r="DR107" s="38"/>
      <c r="DS107" s="38"/>
      <c r="DT107" s="38"/>
      <c r="DU107" s="38"/>
      <c r="DV107" s="38"/>
      <c r="DW107" s="38"/>
      <c r="DX107" s="38"/>
      <c r="DY107" s="38"/>
      <c r="DZ107" s="38"/>
      <c r="EA107" s="38"/>
      <c r="EB107" s="38"/>
      <c r="EC107" s="38"/>
      <c r="ED107" s="38"/>
      <c r="EE107" s="38"/>
      <c r="EF107" s="38"/>
      <c r="EG107" s="38"/>
      <c r="EH107" s="38"/>
      <c r="EI107" s="38"/>
      <c r="EJ107" s="38"/>
      <c r="EK107" s="38"/>
      <c r="EL107" s="38"/>
      <c r="EM107" s="38"/>
      <c r="EN107" s="38"/>
      <c r="EP107" s="24"/>
      <c r="EQ107" s="24"/>
      <c r="ER107" s="24"/>
      <c r="ES107" s="24"/>
      <c r="ET107" s="24"/>
      <c r="EU107" s="33"/>
      <c r="EV107" s="24"/>
      <c r="EW107" s="24"/>
      <c r="EX107" s="24"/>
      <c r="EY107" s="24"/>
      <c r="EZ107" s="24"/>
      <c r="FA107" s="24"/>
      <c r="FB107" s="24"/>
      <c r="FC107" s="24"/>
      <c r="FD107" s="24"/>
      <c r="FE107" s="24"/>
      <c r="FF107" s="24"/>
      <c r="FG107" s="24"/>
      <c r="FH107" s="24"/>
      <c r="FI107" s="24"/>
      <c r="FJ107" s="24"/>
      <c r="FK107" s="24"/>
      <c r="FL107" s="24"/>
      <c r="FM107" s="24"/>
      <c r="FN107" s="24"/>
      <c r="FO107" s="24"/>
      <c r="FP107" s="24"/>
      <c r="FQ107" s="24"/>
      <c r="FR107" s="24"/>
      <c r="FS107" s="24"/>
      <c r="FT107" s="24"/>
      <c r="FU107" s="24"/>
      <c r="FV107" s="24"/>
      <c r="FW107" s="24"/>
      <c r="FX107" s="24"/>
      <c r="FY107" s="24"/>
      <c r="FZ107" s="24"/>
      <c r="GA107" s="24"/>
      <c r="GB107" s="24"/>
      <c r="GC107" s="24"/>
      <c r="GD107" s="24"/>
      <c r="GE107" s="24"/>
      <c r="GF107" s="24"/>
      <c r="GG107" s="24"/>
      <c r="GH107" s="24"/>
      <c r="GI107" s="24"/>
      <c r="GJ107" s="24"/>
      <c r="GK107" s="24"/>
      <c r="GL107" s="24"/>
      <c r="GM107" s="24"/>
      <c r="GN107" s="24"/>
      <c r="GO107" s="24"/>
      <c r="GP107" s="24"/>
      <c r="GQ107" s="24"/>
      <c r="GR107" s="24"/>
      <c r="GS107" s="24"/>
      <c r="GT107" s="24"/>
      <c r="GU107" s="24"/>
      <c r="GV107" s="24"/>
      <c r="GW107" s="24"/>
      <c r="GX107" s="24"/>
      <c r="GY107" s="24"/>
      <c r="GZ107" s="24"/>
      <c r="HA107" s="24"/>
      <c r="HB107" s="24"/>
      <c r="HC107" s="24"/>
      <c r="HD107" s="24"/>
      <c r="HE107" s="24"/>
      <c r="HF107" s="24"/>
      <c r="HG107" s="24"/>
      <c r="HH107" s="24"/>
      <c r="HI107" s="24"/>
      <c r="HJ107" s="24"/>
      <c r="HK107" s="24"/>
      <c r="HL107" s="24"/>
      <c r="HM107" s="24"/>
      <c r="HN107" s="24"/>
      <c r="HO107" s="24"/>
      <c r="HP107" s="24"/>
      <c r="HQ107" s="24"/>
      <c r="HR107" s="24"/>
      <c r="HS107" s="24"/>
      <c r="HT107" s="24"/>
      <c r="HU107" s="24"/>
      <c r="HV107" s="24"/>
      <c r="HW107" s="24"/>
      <c r="HX107" s="24"/>
      <c r="HY107" s="24"/>
      <c r="HZ107" s="24"/>
      <c r="IA107" s="24"/>
      <c r="IB107" s="24"/>
      <c r="IC107" s="24"/>
      <c r="ID107" s="24"/>
      <c r="IE107" s="24"/>
      <c r="IF107" s="24"/>
      <c r="IG107" s="24"/>
      <c r="IH107" s="24"/>
      <c r="II107" s="24"/>
      <c r="IJ107" s="24"/>
      <c r="IK107" s="24"/>
      <c r="IL107" s="24"/>
      <c r="IM107" s="24"/>
      <c r="IN107" s="24"/>
      <c r="IO107" s="24"/>
      <c r="IP107" s="24"/>
      <c r="IQ107" s="24"/>
      <c r="IR107" s="24"/>
      <c r="IS107" s="24"/>
      <c r="IT107" s="24"/>
      <c r="IU107" s="24"/>
      <c r="IV107" s="24"/>
      <c r="IW107" s="24"/>
      <c r="IX107" s="24"/>
      <c r="IY107" s="24"/>
      <c r="IZ107" s="24"/>
      <c r="JA107" s="24"/>
      <c r="JB107" s="24"/>
      <c r="JC107" s="24"/>
      <c r="JD107" s="24"/>
      <c r="JE107" s="24"/>
      <c r="JF107" s="24"/>
      <c r="JG107" s="24"/>
      <c r="JH107" s="24"/>
      <c r="JI107" s="24"/>
      <c r="JJ107" s="24"/>
      <c r="JK107" s="24"/>
      <c r="JL107" s="24"/>
      <c r="JM107" s="24"/>
      <c r="JN107" s="24"/>
      <c r="JO107" s="24"/>
      <c r="JP107" s="24"/>
      <c r="JQ107" s="24"/>
      <c r="JR107" s="24"/>
      <c r="JS107" s="24"/>
      <c r="JT107" s="24"/>
      <c r="JU107" s="24"/>
      <c r="JV107" s="24"/>
      <c r="JW107" s="24"/>
      <c r="JX107" s="24"/>
    </row>
    <row r="108" spans="1:284" s="7" customFormat="1" ht="0.6" customHeight="1" x14ac:dyDescent="0.2">
      <c r="A108" s="406">
        <v>0</v>
      </c>
      <c r="B108" s="141" t="s">
        <v>315</v>
      </c>
      <c r="C108" s="120"/>
      <c r="D108" s="120"/>
      <c r="E108" s="538">
        <f>IF(Retail_Income_Include?=1,I108/Units_Retail,0)</f>
        <v>0</v>
      </c>
      <c r="F108" s="551" t="str">
        <f>'Retail Income'!H28</f>
        <v>/SF/YR</v>
      </c>
      <c r="G108" s="390">
        <f>I108/(Units_SF_M2)/12</f>
        <v>0</v>
      </c>
      <c r="H108" s="123">
        <f>I108/Units/12</f>
        <v>0</v>
      </c>
      <c r="I108" s="472">
        <f>(Retail_Income_Include?=1)*'Retail Income'!I35</f>
        <v>0</v>
      </c>
      <c r="M108" s="49">
        <f>(Retail_Income_Include?=1)*'Retail Income'!L35</f>
        <v>0</v>
      </c>
      <c r="N108" s="49">
        <f>(Retail_Income_Include?=1)*'Retail Income'!M35</f>
        <v>0</v>
      </c>
      <c r="O108" s="49">
        <f>(Retail_Income_Include?=1)*'Retail Income'!N35</f>
        <v>0</v>
      </c>
      <c r="P108" s="49">
        <f>(Retail_Income_Include?=1)*'Retail Income'!O35</f>
        <v>0</v>
      </c>
      <c r="Q108" s="49">
        <f>(Retail_Income_Include?=1)*'Retail Income'!P35</f>
        <v>0</v>
      </c>
      <c r="R108" s="49">
        <f>(Retail_Income_Include?=1)*'Retail Income'!Q35</f>
        <v>0</v>
      </c>
      <c r="S108" s="49">
        <f>(Retail_Income_Include?=1)*'Retail Income'!R35</f>
        <v>0</v>
      </c>
      <c r="T108" s="49">
        <f>(Retail_Income_Include?=1)*'Retail Income'!S35</f>
        <v>0</v>
      </c>
      <c r="U108" s="49">
        <f>(Retail_Income_Include?=1)*'Retail Income'!T35</f>
        <v>0</v>
      </c>
      <c r="V108" s="49">
        <f>(Retail_Income_Include?=1)*'Retail Income'!U35</f>
        <v>0</v>
      </c>
      <c r="W108" s="49">
        <f>(Retail_Income_Include?=1)*'Retail Income'!V35</f>
        <v>0</v>
      </c>
      <c r="X108" s="49">
        <f>(Retail_Income_Include?=1)*'Retail Income'!W35</f>
        <v>0</v>
      </c>
      <c r="Y108" s="49">
        <f>(Retail_Income_Include?=1)*'Retail Income'!X35</f>
        <v>0</v>
      </c>
      <c r="Z108" s="49">
        <f>(Retail_Income_Include?=1)*'Retail Income'!Y35</f>
        <v>0</v>
      </c>
      <c r="AA108" s="49">
        <f>(Retail_Income_Include?=1)*'Retail Income'!Z35</f>
        <v>0</v>
      </c>
      <c r="AB108" s="49">
        <f>(Retail_Income_Include?=1)*'Retail Income'!AA35</f>
        <v>0</v>
      </c>
      <c r="AC108" s="49">
        <f>(Retail_Income_Include?=1)*'Retail Income'!AB35</f>
        <v>0</v>
      </c>
      <c r="AD108" s="49">
        <f>(Retail_Income_Include?=1)*'Retail Income'!AC35</f>
        <v>0</v>
      </c>
      <c r="AE108" s="49">
        <f>(Retail_Income_Include?=1)*'Retail Income'!AD35</f>
        <v>0</v>
      </c>
      <c r="AF108" s="49">
        <f>(Retail_Income_Include?=1)*'Retail Income'!AE35</f>
        <v>0</v>
      </c>
      <c r="AG108" s="49">
        <f>(Retail_Income_Include?=1)*'Retail Income'!AF35</f>
        <v>0</v>
      </c>
      <c r="AH108" s="49">
        <f>(Retail_Income_Include?=1)*'Retail Income'!AG35</f>
        <v>0</v>
      </c>
      <c r="AI108" s="49">
        <f>(Retail_Income_Include?=1)*'Retail Income'!AH35</f>
        <v>0</v>
      </c>
      <c r="AJ108" s="49">
        <f>(Retail_Income_Include?=1)*'Retail Income'!AI35</f>
        <v>0</v>
      </c>
      <c r="AK108" s="49">
        <f>(Retail_Income_Include?=1)*'Retail Income'!AJ35</f>
        <v>0</v>
      </c>
      <c r="AL108" s="49">
        <f>(Retail_Income_Include?=1)*'Retail Income'!AK35</f>
        <v>0</v>
      </c>
      <c r="AM108" s="49">
        <f>(Retail_Income_Include?=1)*'Retail Income'!AL35</f>
        <v>0</v>
      </c>
      <c r="AN108" s="49">
        <f>(Retail_Income_Include?=1)*'Retail Income'!AM35</f>
        <v>0</v>
      </c>
      <c r="AO108" s="49">
        <f>(Retail_Income_Include?=1)*'Retail Income'!AN35</f>
        <v>0</v>
      </c>
      <c r="AP108" s="49">
        <f>(Retail_Income_Include?=1)*'Retail Income'!AO35</f>
        <v>0</v>
      </c>
      <c r="AQ108" s="49">
        <f>(Retail_Income_Include?=1)*'Retail Income'!AP35</f>
        <v>0</v>
      </c>
      <c r="AR108" s="49">
        <f>(Retail_Income_Include?=1)*'Retail Income'!AQ35</f>
        <v>0</v>
      </c>
      <c r="AS108" s="49">
        <f>(Retail_Income_Include?=1)*'Retail Income'!AR35</f>
        <v>0</v>
      </c>
      <c r="AT108" s="49">
        <f>(Retail_Income_Include?=1)*'Retail Income'!AS35</f>
        <v>0</v>
      </c>
      <c r="AU108" s="49">
        <f>(Retail_Income_Include?=1)*'Retail Income'!AT35</f>
        <v>0</v>
      </c>
      <c r="AV108" s="49">
        <f>(Retail_Income_Include?=1)*'Retail Income'!AU35</f>
        <v>0</v>
      </c>
      <c r="AW108" s="49">
        <f>(Retail_Income_Include?=1)*'Retail Income'!AV35</f>
        <v>0</v>
      </c>
      <c r="AX108" s="49">
        <f>(Retail_Income_Include?=1)*'Retail Income'!AW35</f>
        <v>0</v>
      </c>
      <c r="AY108" s="49">
        <f>(Retail_Income_Include?=1)*'Retail Income'!AX35</f>
        <v>0</v>
      </c>
      <c r="AZ108" s="49">
        <f>(Retail_Income_Include?=1)*'Retail Income'!AY35</f>
        <v>0</v>
      </c>
      <c r="BA108" s="49">
        <f>(Retail_Income_Include?=1)*'Retail Income'!AZ35</f>
        <v>0</v>
      </c>
      <c r="BB108" s="49">
        <f>(Retail_Income_Include?=1)*'Retail Income'!BA35</f>
        <v>0</v>
      </c>
      <c r="BC108" s="49">
        <f>(Retail_Income_Include?=1)*'Retail Income'!BB35</f>
        <v>0</v>
      </c>
      <c r="BD108" s="49">
        <f>(Retail_Income_Include?=1)*'Retail Income'!BC35</f>
        <v>0</v>
      </c>
      <c r="BE108" s="49">
        <f>(Retail_Income_Include?=1)*'Retail Income'!BD35</f>
        <v>0</v>
      </c>
      <c r="BF108" s="49">
        <f>(Retail_Income_Include?=1)*'Retail Income'!BE35</f>
        <v>0</v>
      </c>
      <c r="BG108" s="49">
        <f>(Retail_Income_Include?=1)*'Retail Income'!BF35</f>
        <v>0</v>
      </c>
      <c r="BH108" s="49">
        <f>(Retail_Income_Include?=1)*'Retail Income'!BG35</f>
        <v>0</v>
      </c>
      <c r="BI108" s="49">
        <f>(Retail_Income_Include?=1)*'Retail Income'!BH35</f>
        <v>0</v>
      </c>
      <c r="BJ108" s="49">
        <f>(Retail_Income_Include?=1)*'Retail Income'!BI35</f>
        <v>0</v>
      </c>
      <c r="BK108" s="49">
        <f>(Retail_Income_Include?=1)*'Retail Income'!BJ35</f>
        <v>0</v>
      </c>
      <c r="BL108" s="49">
        <f>(Retail_Income_Include?=1)*'Retail Income'!BK35</f>
        <v>0</v>
      </c>
      <c r="BM108" s="49">
        <f>(Retail_Income_Include?=1)*'Retail Income'!BL35</f>
        <v>0</v>
      </c>
      <c r="BN108" s="49">
        <f>(Retail_Income_Include?=1)*'Retail Income'!BM35</f>
        <v>0</v>
      </c>
      <c r="BO108" s="49">
        <f>(Retail_Income_Include?=1)*'Retail Income'!BN35</f>
        <v>0</v>
      </c>
      <c r="BP108" s="49">
        <f>(Retail_Income_Include?=1)*'Retail Income'!BO35</f>
        <v>0</v>
      </c>
      <c r="BQ108" s="49">
        <f>(Retail_Income_Include?=1)*'Retail Income'!BP35</f>
        <v>0</v>
      </c>
      <c r="BR108" s="49">
        <f>(Retail_Income_Include?=1)*'Retail Income'!BQ35</f>
        <v>0</v>
      </c>
      <c r="BS108" s="49">
        <f>(Retail_Income_Include?=1)*'Retail Income'!BR35</f>
        <v>0</v>
      </c>
      <c r="BT108" s="49">
        <f>(Retail_Income_Include?=1)*'Retail Income'!BS35</f>
        <v>0</v>
      </c>
      <c r="BU108" s="49">
        <f>(Retail_Income_Include?=1)*'Retail Income'!BT35</f>
        <v>0</v>
      </c>
      <c r="BV108" s="49">
        <f>(Retail_Income_Include?=1)*'Retail Income'!BU35</f>
        <v>0</v>
      </c>
      <c r="BW108" s="49">
        <f>(Retail_Income_Include?=1)*'Retail Income'!BV35</f>
        <v>0</v>
      </c>
      <c r="BX108" s="49">
        <f>(Retail_Income_Include?=1)*'Retail Income'!BW35</f>
        <v>0</v>
      </c>
      <c r="BY108" s="49">
        <f>(Retail_Income_Include?=1)*'Retail Income'!BX35</f>
        <v>0</v>
      </c>
      <c r="BZ108" s="49">
        <f>(Retail_Income_Include?=1)*'Retail Income'!BY35</f>
        <v>0</v>
      </c>
      <c r="CA108" s="49">
        <f>(Retail_Income_Include?=1)*'Retail Income'!BZ35</f>
        <v>0</v>
      </c>
      <c r="CB108" s="49">
        <f>(Retail_Income_Include?=1)*'Retail Income'!CA35</f>
        <v>0</v>
      </c>
      <c r="CC108" s="49">
        <f>(Retail_Income_Include?=1)*'Retail Income'!CB35</f>
        <v>0</v>
      </c>
      <c r="CD108" s="49">
        <f>(Retail_Income_Include?=1)*'Retail Income'!CC35</f>
        <v>0</v>
      </c>
      <c r="CE108" s="49">
        <f>(Retail_Income_Include?=1)*'Retail Income'!CD35</f>
        <v>0</v>
      </c>
      <c r="CF108" s="49">
        <f>(Retail_Income_Include?=1)*'Retail Income'!CE35</f>
        <v>0</v>
      </c>
      <c r="CG108" s="49">
        <f>(Retail_Income_Include?=1)*'Retail Income'!CF35</f>
        <v>0</v>
      </c>
      <c r="CH108" s="49">
        <f>(Retail_Income_Include?=1)*'Retail Income'!CG35</f>
        <v>0</v>
      </c>
      <c r="CI108" s="49">
        <f>(Retail_Income_Include?=1)*'Retail Income'!CH35</f>
        <v>0</v>
      </c>
      <c r="CJ108" s="49">
        <f>(Retail_Income_Include?=1)*'Retail Income'!CI35</f>
        <v>0</v>
      </c>
      <c r="CK108" s="49">
        <f>(Retail_Income_Include?=1)*'Retail Income'!CJ35</f>
        <v>0</v>
      </c>
      <c r="CL108" s="49">
        <f>(Retail_Income_Include?=1)*'Retail Income'!CK35</f>
        <v>0</v>
      </c>
      <c r="CM108" s="49">
        <f>(Retail_Income_Include?=1)*'Retail Income'!CL35</f>
        <v>0</v>
      </c>
      <c r="CN108" s="49">
        <f>(Retail_Income_Include?=1)*'Retail Income'!CM35</f>
        <v>0</v>
      </c>
      <c r="CO108" s="49">
        <f>(Retail_Income_Include?=1)*'Retail Income'!CN35</f>
        <v>0</v>
      </c>
      <c r="CP108" s="49">
        <f>(Retail_Income_Include?=1)*'Retail Income'!CO35</f>
        <v>0</v>
      </c>
      <c r="CQ108" s="49">
        <f>(Retail_Income_Include?=1)*'Retail Income'!CP35</f>
        <v>0</v>
      </c>
      <c r="CR108" s="49">
        <f>(Retail_Income_Include?=1)*'Retail Income'!CQ35</f>
        <v>0</v>
      </c>
      <c r="CS108" s="49">
        <f>(Retail_Income_Include?=1)*'Retail Income'!CR35</f>
        <v>0</v>
      </c>
      <c r="CT108" s="49">
        <f>(Retail_Income_Include?=1)*'Retail Income'!CS35</f>
        <v>0</v>
      </c>
      <c r="CU108" s="49">
        <f>(Retail_Income_Include?=1)*'Retail Income'!CT35</f>
        <v>0</v>
      </c>
      <c r="CV108" s="49">
        <f>(Retail_Income_Include?=1)*'Retail Income'!CU35</f>
        <v>0</v>
      </c>
      <c r="CW108" s="49">
        <f>(Retail_Income_Include?=1)*'Retail Income'!CV35</f>
        <v>0</v>
      </c>
      <c r="CX108" s="49">
        <f>(Retail_Income_Include?=1)*'Retail Income'!CW35</f>
        <v>0</v>
      </c>
      <c r="CY108" s="49">
        <f>(Retail_Income_Include?=1)*'Retail Income'!CX35</f>
        <v>0</v>
      </c>
      <c r="CZ108" s="49">
        <f>(Retail_Income_Include?=1)*'Retail Income'!CY35</f>
        <v>0</v>
      </c>
      <c r="DA108" s="49">
        <f>(Retail_Income_Include?=1)*'Retail Income'!CZ35</f>
        <v>0</v>
      </c>
      <c r="DB108" s="49">
        <f>(Retail_Income_Include?=1)*'Retail Income'!DA35</f>
        <v>0</v>
      </c>
      <c r="DC108" s="49">
        <f>(Retail_Income_Include?=1)*'Retail Income'!DB35</f>
        <v>0</v>
      </c>
      <c r="DD108" s="49">
        <f>(Retail_Income_Include?=1)*'Retail Income'!DC35</f>
        <v>0</v>
      </c>
      <c r="DE108" s="49">
        <f>(Retail_Income_Include?=1)*'Retail Income'!DD35</f>
        <v>0</v>
      </c>
      <c r="DF108" s="49">
        <f>(Retail_Income_Include?=1)*'Retail Income'!DE35</f>
        <v>0</v>
      </c>
      <c r="DG108" s="49">
        <f>(Retail_Income_Include?=1)*'Retail Income'!DF35</f>
        <v>0</v>
      </c>
      <c r="DH108" s="49">
        <f>(Retail_Income_Include?=1)*'Retail Income'!DG35</f>
        <v>0</v>
      </c>
      <c r="DI108" s="49">
        <f>(Retail_Income_Include?=1)*'Retail Income'!DH35</f>
        <v>0</v>
      </c>
      <c r="DJ108" s="49">
        <f>(Retail_Income_Include?=1)*'Retail Income'!DI35</f>
        <v>0</v>
      </c>
      <c r="DK108" s="49">
        <f>(Retail_Income_Include?=1)*'Retail Income'!DJ35</f>
        <v>0</v>
      </c>
      <c r="DL108" s="49">
        <f>(Retail_Income_Include?=1)*'Retail Income'!DK35</f>
        <v>0</v>
      </c>
      <c r="DM108" s="49">
        <f>(Retail_Income_Include?=1)*'Retail Income'!DL35</f>
        <v>0</v>
      </c>
      <c r="DN108" s="49">
        <f>(Retail_Income_Include?=1)*'Retail Income'!DM35</f>
        <v>0</v>
      </c>
      <c r="DO108" s="49">
        <f>(Retail_Income_Include?=1)*'Retail Income'!DN35</f>
        <v>0</v>
      </c>
      <c r="DP108" s="49">
        <f>(Retail_Income_Include?=1)*'Retail Income'!DO35</f>
        <v>0</v>
      </c>
      <c r="DQ108" s="49">
        <f>(Retail_Income_Include?=1)*'Retail Income'!DP35</f>
        <v>0</v>
      </c>
      <c r="DR108" s="49">
        <f>(Retail_Income_Include?=1)*'Retail Income'!DQ35</f>
        <v>0</v>
      </c>
      <c r="DS108" s="49">
        <f>(Retail_Income_Include?=1)*'Retail Income'!DR35</f>
        <v>0</v>
      </c>
      <c r="DT108" s="49">
        <f>(Retail_Income_Include?=1)*'Retail Income'!DS35</f>
        <v>0</v>
      </c>
      <c r="DU108" s="49">
        <f>(Retail_Income_Include?=1)*'Retail Income'!DT35</f>
        <v>0</v>
      </c>
      <c r="DV108" s="49">
        <f>(Retail_Income_Include?=1)*'Retail Income'!DU35</f>
        <v>0</v>
      </c>
      <c r="DW108" s="49">
        <f>(Retail_Income_Include?=1)*'Retail Income'!DV35</f>
        <v>0</v>
      </c>
      <c r="DX108" s="49">
        <f>(Retail_Income_Include?=1)*'Retail Income'!DW35</f>
        <v>0</v>
      </c>
      <c r="DY108" s="49">
        <f>(Retail_Income_Include?=1)*'Retail Income'!DX35</f>
        <v>0</v>
      </c>
      <c r="DZ108" s="49">
        <f>(Retail_Income_Include?=1)*'Retail Income'!DY35</f>
        <v>0</v>
      </c>
      <c r="EA108" s="49">
        <f>(Retail_Income_Include?=1)*'Retail Income'!DZ35</f>
        <v>0</v>
      </c>
      <c r="EB108" s="49">
        <f>(Retail_Income_Include?=1)*'Retail Income'!EA35</f>
        <v>0</v>
      </c>
      <c r="EC108" s="49">
        <f>(Retail_Income_Include?=1)*'Retail Income'!EB35</f>
        <v>0</v>
      </c>
      <c r="ED108" s="49">
        <f>(Retail_Income_Include?=1)*'Retail Income'!EC35</f>
        <v>0</v>
      </c>
      <c r="EE108" s="49">
        <f>(Retail_Income_Include?=1)*'Retail Income'!ED35</f>
        <v>0</v>
      </c>
      <c r="EF108" s="49">
        <f>(Retail_Income_Include?=1)*'Retail Income'!EE35</f>
        <v>0</v>
      </c>
      <c r="EG108" s="49">
        <f>(Retail_Income_Include?=1)*'Retail Income'!EF35</f>
        <v>0</v>
      </c>
      <c r="EH108" s="49">
        <f>(Retail_Income_Include?=1)*'Retail Income'!EG35</f>
        <v>0</v>
      </c>
      <c r="EI108" s="49">
        <f>(Retail_Income_Include?=1)*'Retail Income'!EH35</f>
        <v>0</v>
      </c>
      <c r="EJ108" s="49">
        <f>(Retail_Income_Include?=1)*'Retail Income'!EI35</f>
        <v>0</v>
      </c>
      <c r="EK108" s="49">
        <f>(Retail_Income_Include?=1)*'Retail Income'!EJ35</f>
        <v>0</v>
      </c>
      <c r="EL108" s="49">
        <f>(Retail_Income_Include?=1)*'Retail Income'!EK35</f>
        <v>0</v>
      </c>
      <c r="EM108" s="49">
        <f>(Retail_Income_Include?=1)*'Retail Income'!EL35</f>
        <v>0</v>
      </c>
      <c r="EN108" s="49">
        <f>(Retail_Income_Include?=1)*'Retail Income'!EM35</f>
        <v>0</v>
      </c>
      <c r="EP108" s="24"/>
      <c r="EQ108" s="24"/>
      <c r="ER108" s="24"/>
      <c r="ES108" s="24"/>
      <c r="ET108" s="24"/>
      <c r="EU108" s="33"/>
      <c r="EV108" s="24"/>
      <c r="EW108" s="24"/>
      <c r="EX108" s="24"/>
      <c r="EY108" s="24"/>
      <c r="EZ108" s="24"/>
      <c r="FA108" s="24"/>
      <c r="FB108" s="24"/>
      <c r="FC108" s="24"/>
      <c r="FD108" s="24"/>
      <c r="FE108" s="24"/>
      <c r="FF108" s="24"/>
      <c r="FG108" s="24"/>
      <c r="FH108" s="24"/>
      <c r="FI108" s="24"/>
      <c r="FJ108" s="24"/>
      <c r="FK108" s="24"/>
      <c r="FL108" s="24"/>
      <c r="FM108" s="24"/>
      <c r="FN108" s="24"/>
      <c r="FO108" s="24"/>
      <c r="FP108" s="24"/>
      <c r="FQ108" s="24"/>
      <c r="FR108" s="24"/>
      <c r="FS108" s="24"/>
      <c r="FT108" s="24"/>
      <c r="FU108" s="24"/>
      <c r="FV108" s="24"/>
      <c r="FW108" s="24"/>
      <c r="FX108" s="24"/>
      <c r="FY108" s="24"/>
      <c r="FZ108" s="24"/>
      <c r="GA108" s="24"/>
      <c r="GB108" s="24"/>
      <c r="GC108" s="24"/>
      <c r="GD108" s="24"/>
      <c r="GE108" s="24"/>
      <c r="GF108" s="24"/>
      <c r="GG108" s="24"/>
      <c r="GH108" s="24"/>
      <c r="GI108" s="24"/>
      <c r="GJ108" s="24"/>
      <c r="GK108" s="24"/>
      <c r="GL108" s="24"/>
      <c r="GM108" s="24"/>
      <c r="GN108" s="24"/>
      <c r="GO108" s="24"/>
      <c r="GP108" s="24"/>
      <c r="GQ108" s="24"/>
      <c r="GR108" s="24"/>
      <c r="GS108" s="24"/>
      <c r="GT108" s="24"/>
      <c r="GU108" s="24"/>
      <c r="GV108" s="24"/>
      <c r="GW108" s="24"/>
      <c r="GX108" s="24"/>
      <c r="GY108" s="24"/>
      <c r="GZ108" s="24"/>
      <c r="HA108" s="24"/>
      <c r="HB108" s="24"/>
      <c r="HC108" s="24"/>
      <c r="HD108" s="24"/>
      <c r="HE108" s="24"/>
      <c r="HF108" s="24"/>
      <c r="HG108" s="24"/>
      <c r="HH108" s="24"/>
      <c r="HI108" s="24"/>
      <c r="HJ108" s="24"/>
      <c r="HK108" s="24"/>
      <c r="HL108" s="24"/>
      <c r="HM108" s="24"/>
      <c r="HN108" s="24"/>
      <c r="HO108" s="24"/>
      <c r="HP108" s="24"/>
      <c r="HQ108" s="24"/>
      <c r="HR108" s="24"/>
      <c r="HS108" s="24"/>
      <c r="HT108" s="24"/>
      <c r="HU108" s="24"/>
      <c r="HV108" s="24"/>
      <c r="HW108" s="24"/>
      <c r="HX108" s="24"/>
      <c r="HY108" s="24"/>
      <c r="HZ108" s="24"/>
      <c r="IA108" s="24"/>
      <c r="IB108" s="24"/>
      <c r="IC108" s="24"/>
      <c r="ID108" s="24"/>
      <c r="IE108" s="24"/>
      <c r="IF108" s="24"/>
      <c r="IG108" s="24"/>
      <c r="IH108" s="24"/>
      <c r="II108" s="24"/>
      <c r="IJ108" s="24"/>
      <c r="IK108" s="24"/>
      <c r="IL108" s="24"/>
      <c r="IM108" s="24"/>
      <c r="IN108" s="24"/>
      <c r="IO108" s="24"/>
      <c r="IP108" s="24"/>
      <c r="IQ108" s="24"/>
      <c r="IR108" s="24"/>
      <c r="IS108" s="24"/>
      <c r="IT108" s="24"/>
      <c r="IU108" s="24"/>
      <c r="IV108" s="24"/>
      <c r="IW108" s="24"/>
      <c r="IX108" s="24"/>
      <c r="IY108" s="24"/>
      <c r="IZ108" s="24"/>
      <c r="JA108" s="24"/>
      <c r="JB108" s="24"/>
      <c r="JC108" s="24"/>
      <c r="JD108" s="24"/>
      <c r="JE108" s="24"/>
      <c r="JF108" s="24"/>
      <c r="JG108" s="24"/>
      <c r="JH108" s="24"/>
      <c r="JI108" s="24"/>
      <c r="JJ108" s="24"/>
      <c r="JK108" s="24"/>
      <c r="JL108" s="24"/>
      <c r="JM108" s="24"/>
      <c r="JN108" s="24"/>
      <c r="JO108" s="24"/>
      <c r="JP108" s="24"/>
      <c r="JQ108" s="24"/>
      <c r="JR108" s="24"/>
      <c r="JS108" s="24"/>
      <c r="JT108" s="24"/>
      <c r="JU108" s="24"/>
      <c r="JV108" s="24"/>
      <c r="JW108" s="24"/>
      <c r="JX108" s="24"/>
    </row>
    <row r="109" spans="1:284" s="7" customFormat="1" x14ac:dyDescent="0.2">
      <c r="A109" s="406"/>
      <c r="B109" s="129" t="s">
        <v>133</v>
      </c>
      <c r="C109" s="120"/>
      <c r="D109" s="130"/>
      <c r="E109" s="120"/>
      <c r="F109" s="120"/>
      <c r="G109" s="390">
        <f>G108+G106+G100</f>
        <v>2.1013389803921569</v>
      </c>
      <c r="H109" s="404">
        <f>I109/Units/12</f>
        <v>1786.1381333333336</v>
      </c>
      <c r="I109" s="123">
        <f>+I106+I100+I108</f>
        <v>6430097.2800000003</v>
      </c>
      <c r="K109" s="7" t="s">
        <v>491</v>
      </c>
      <c r="M109" s="38">
        <f t="shared" ref="M109:AR109" si="529">+M106+M100+M108</f>
        <v>0</v>
      </c>
      <c r="N109" s="38">
        <f t="shared" si="529"/>
        <v>0</v>
      </c>
      <c r="O109" s="38">
        <f t="shared" si="529"/>
        <v>0</v>
      </c>
      <c r="P109" s="38">
        <f t="shared" si="529"/>
        <v>0</v>
      </c>
      <c r="Q109" s="38">
        <f t="shared" si="529"/>
        <v>0</v>
      </c>
      <c r="R109" s="38">
        <f t="shared" si="529"/>
        <v>0</v>
      </c>
      <c r="S109" s="38">
        <f t="shared" si="529"/>
        <v>0</v>
      </c>
      <c r="T109" s="38">
        <f t="shared" si="529"/>
        <v>0</v>
      </c>
      <c r="U109" s="38">
        <f t="shared" si="529"/>
        <v>0</v>
      </c>
      <c r="V109" s="38">
        <f t="shared" si="529"/>
        <v>0</v>
      </c>
      <c r="W109" s="38">
        <f t="shared" si="529"/>
        <v>0</v>
      </c>
      <c r="X109" s="38">
        <f t="shared" si="529"/>
        <v>0</v>
      </c>
      <c r="Y109" s="38">
        <f t="shared" si="529"/>
        <v>0</v>
      </c>
      <c r="Z109" s="38">
        <f t="shared" si="529"/>
        <v>0</v>
      </c>
      <c r="AA109" s="38">
        <f t="shared" si="529"/>
        <v>0</v>
      </c>
      <c r="AB109" s="38">
        <f t="shared" si="529"/>
        <v>0</v>
      </c>
      <c r="AC109" s="38">
        <f t="shared" si="529"/>
        <v>0</v>
      </c>
      <c r="AD109" s="38">
        <f t="shared" si="529"/>
        <v>0</v>
      </c>
      <c r="AE109" s="38">
        <f t="shared" si="529"/>
        <v>13606.928615384622</v>
      </c>
      <c r="AF109" s="38">
        <f t="shared" si="529"/>
        <v>49543.957948717958</v>
      </c>
      <c r="AG109" s="38">
        <f t="shared" si="529"/>
        <v>85480.987282051283</v>
      </c>
      <c r="AH109" s="38">
        <f t="shared" si="529"/>
        <v>121418.01661538462</v>
      </c>
      <c r="AI109" s="38">
        <f t="shared" si="529"/>
        <v>157355.04594871795</v>
      </c>
      <c r="AJ109" s="38">
        <f t="shared" si="529"/>
        <v>193292.07528205129</v>
      </c>
      <c r="AK109" s="38">
        <f t="shared" si="529"/>
        <v>229229.10461538463</v>
      </c>
      <c r="AL109" s="38">
        <f t="shared" si="529"/>
        <v>265166.13394871796</v>
      </c>
      <c r="AM109" s="38">
        <f t="shared" si="529"/>
        <v>301103.16328205128</v>
      </c>
      <c r="AN109" s="38">
        <f t="shared" si="529"/>
        <v>337040.19261538464</v>
      </c>
      <c r="AO109" s="38">
        <f t="shared" si="529"/>
        <v>372977.22194871795</v>
      </c>
      <c r="AP109" s="38">
        <f t="shared" si="529"/>
        <v>408914.25128205132</v>
      </c>
      <c r="AQ109" s="38">
        <f t="shared" si="529"/>
        <v>458196.81903384614</v>
      </c>
      <c r="AR109" s="38">
        <f t="shared" si="529"/>
        <v>495211.9592471795</v>
      </c>
      <c r="AS109" s="38">
        <f t="shared" ref="AS109:BX109" si="530">+AS106+AS100+AS108</f>
        <v>538658.93319999997</v>
      </c>
      <c r="AT109" s="38">
        <f t="shared" si="530"/>
        <v>539864.18319999997</v>
      </c>
      <c r="AU109" s="38">
        <f t="shared" si="530"/>
        <v>541069.43319999997</v>
      </c>
      <c r="AV109" s="38">
        <f t="shared" si="530"/>
        <v>542274.68319999997</v>
      </c>
      <c r="AW109" s="38">
        <f t="shared" si="530"/>
        <v>543479.93319999997</v>
      </c>
      <c r="AX109" s="38">
        <f t="shared" si="530"/>
        <v>544685.18319999997</v>
      </c>
      <c r="AY109" s="38">
        <f t="shared" si="530"/>
        <v>545890.43319999997</v>
      </c>
      <c r="AZ109" s="38">
        <f t="shared" si="530"/>
        <v>547095.68319999997</v>
      </c>
      <c r="BA109" s="38">
        <f t="shared" si="530"/>
        <v>548300.93319999997</v>
      </c>
      <c r="BB109" s="38">
        <f t="shared" si="530"/>
        <v>549506.18319999997</v>
      </c>
      <c r="BC109" s="38">
        <f t="shared" si="530"/>
        <v>567232.77619599993</v>
      </c>
      <c r="BD109" s="38">
        <f t="shared" si="530"/>
        <v>568474.18369599991</v>
      </c>
      <c r="BE109" s="38">
        <f t="shared" si="530"/>
        <v>554818.70119599998</v>
      </c>
      <c r="BF109" s="38">
        <f t="shared" si="530"/>
        <v>556060.10869599995</v>
      </c>
      <c r="BG109" s="38">
        <f t="shared" si="530"/>
        <v>557301.51619599992</v>
      </c>
      <c r="BH109" s="38">
        <f t="shared" si="530"/>
        <v>558542.92369600001</v>
      </c>
      <c r="BI109" s="38">
        <f t="shared" si="530"/>
        <v>559784.33119599998</v>
      </c>
      <c r="BJ109" s="38">
        <f t="shared" si="530"/>
        <v>561025.73869599996</v>
      </c>
      <c r="BK109" s="38">
        <f t="shared" si="530"/>
        <v>562267.14619600005</v>
      </c>
      <c r="BL109" s="38">
        <f t="shared" si="530"/>
        <v>563508.55369600002</v>
      </c>
      <c r="BM109" s="38">
        <f t="shared" si="530"/>
        <v>564749.96119599999</v>
      </c>
      <c r="BN109" s="38">
        <f t="shared" si="530"/>
        <v>565991.36869599996</v>
      </c>
      <c r="BO109" s="38">
        <f t="shared" si="530"/>
        <v>584249.75948187988</v>
      </c>
      <c r="BP109" s="38">
        <f t="shared" si="530"/>
        <v>585528.40920687991</v>
      </c>
      <c r="BQ109" s="38">
        <f t="shared" si="530"/>
        <v>571463.26223187998</v>
      </c>
      <c r="BR109" s="38">
        <f t="shared" si="530"/>
        <v>572741.91195687989</v>
      </c>
      <c r="BS109" s="38">
        <f t="shared" si="530"/>
        <v>574020.56168187992</v>
      </c>
      <c r="BT109" s="38">
        <f t="shared" si="530"/>
        <v>575299.21140687994</v>
      </c>
      <c r="BU109" s="38">
        <f t="shared" si="530"/>
        <v>576577.86113187997</v>
      </c>
      <c r="BV109" s="38">
        <f t="shared" si="530"/>
        <v>577856.51085687988</v>
      </c>
      <c r="BW109" s="38">
        <f t="shared" si="530"/>
        <v>579135.1605818799</v>
      </c>
      <c r="BX109" s="38">
        <f t="shared" si="530"/>
        <v>580413.81030687992</v>
      </c>
      <c r="BY109" s="38">
        <f t="shared" ref="BY109:DD109" si="531">+BY106+BY100+BY108</f>
        <v>581692.46003187995</v>
      </c>
      <c r="BZ109" s="38">
        <f t="shared" si="531"/>
        <v>582971.10975687997</v>
      </c>
      <c r="CA109" s="38">
        <f t="shared" si="531"/>
        <v>601777.25226633635</v>
      </c>
      <c r="CB109" s="38">
        <f t="shared" si="531"/>
        <v>603094.26148308639</v>
      </c>
      <c r="CC109" s="38">
        <f t="shared" si="531"/>
        <v>588607.16009883641</v>
      </c>
      <c r="CD109" s="38">
        <f t="shared" si="531"/>
        <v>589924.16931558633</v>
      </c>
      <c r="CE109" s="38">
        <f t="shared" si="531"/>
        <v>591241.17853233637</v>
      </c>
      <c r="CF109" s="38">
        <f t="shared" si="531"/>
        <v>592558.18774908641</v>
      </c>
      <c r="CG109" s="38">
        <f t="shared" si="531"/>
        <v>593875.19696583634</v>
      </c>
      <c r="CH109" s="38">
        <f t="shared" si="531"/>
        <v>595192.20618258638</v>
      </c>
      <c r="CI109" s="38">
        <f t="shared" si="531"/>
        <v>596509.21539933642</v>
      </c>
      <c r="CJ109" s="38">
        <f t="shared" si="531"/>
        <v>597826.22461608634</v>
      </c>
      <c r="CK109" s="38">
        <f t="shared" si="531"/>
        <v>599143.23383283638</v>
      </c>
      <c r="CL109" s="38">
        <f t="shared" si="531"/>
        <v>600460.24304958642</v>
      </c>
      <c r="CM109" s="38">
        <f t="shared" si="531"/>
        <v>619830.56983432651</v>
      </c>
      <c r="CN109" s="38">
        <f t="shared" si="531"/>
        <v>621187.08932757901</v>
      </c>
      <c r="CO109" s="38">
        <f t="shared" si="531"/>
        <v>606265.37490180146</v>
      </c>
      <c r="CP109" s="38">
        <f t="shared" si="531"/>
        <v>607621.89439505397</v>
      </c>
      <c r="CQ109" s="38">
        <f t="shared" si="531"/>
        <v>608978.41388830647</v>
      </c>
      <c r="CR109" s="38">
        <f t="shared" si="531"/>
        <v>610334.93338155898</v>
      </c>
      <c r="CS109" s="38">
        <f t="shared" si="531"/>
        <v>611691.45287481148</v>
      </c>
      <c r="CT109" s="38">
        <f t="shared" si="531"/>
        <v>613047.97236806399</v>
      </c>
      <c r="CU109" s="38">
        <f t="shared" si="531"/>
        <v>614404.49186131649</v>
      </c>
      <c r="CV109" s="38">
        <f t="shared" si="531"/>
        <v>615761.011354569</v>
      </c>
      <c r="CW109" s="38">
        <f t="shared" si="531"/>
        <v>617117.5308478215</v>
      </c>
      <c r="CX109" s="38">
        <f t="shared" si="531"/>
        <v>618474.05034107401</v>
      </c>
      <c r="CY109" s="38">
        <f t="shared" si="531"/>
        <v>638425.48692935612</v>
      </c>
      <c r="CZ109" s="38">
        <f t="shared" si="531"/>
        <v>639822.70200740616</v>
      </c>
      <c r="DA109" s="38">
        <f t="shared" si="531"/>
        <v>624453.33614885551</v>
      </c>
      <c r="DB109" s="38">
        <f t="shared" si="531"/>
        <v>625850.55122690555</v>
      </c>
      <c r="DC109" s="38">
        <f t="shared" si="531"/>
        <v>627247.76630495558</v>
      </c>
      <c r="DD109" s="38">
        <f t="shared" si="531"/>
        <v>628644.98138300562</v>
      </c>
      <c r="DE109" s="38">
        <f t="shared" ref="DE109:EJ109" si="532">+DE106+DE100+DE108</f>
        <v>630042.19646105566</v>
      </c>
      <c r="DF109" s="38">
        <f t="shared" si="532"/>
        <v>631439.4115391057</v>
      </c>
      <c r="DG109" s="38">
        <f t="shared" si="532"/>
        <v>632836.62661715597</v>
      </c>
      <c r="DH109" s="38">
        <f t="shared" si="532"/>
        <v>634233.84169520601</v>
      </c>
      <c r="DI109" s="38">
        <f t="shared" si="532"/>
        <v>635631.05677325604</v>
      </c>
      <c r="DJ109" s="38">
        <f t="shared" si="532"/>
        <v>637028.27185130608</v>
      </c>
      <c r="DK109" s="38">
        <f t="shared" si="532"/>
        <v>657578.25153723697</v>
      </c>
      <c r="DL109" s="38">
        <f t="shared" si="532"/>
        <v>659017.3830676286</v>
      </c>
      <c r="DM109" s="38">
        <f t="shared" si="532"/>
        <v>643186.9362333212</v>
      </c>
      <c r="DN109" s="38">
        <f t="shared" si="532"/>
        <v>644626.06776371272</v>
      </c>
      <c r="DO109" s="38">
        <f t="shared" si="532"/>
        <v>646065.19929410436</v>
      </c>
      <c r="DP109" s="38">
        <f t="shared" si="532"/>
        <v>647504.33082449588</v>
      </c>
      <c r="DQ109" s="38">
        <f t="shared" si="532"/>
        <v>648943.46235488751</v>
      </c>
      <c r="DR109" s="38">
        <f t="shared" si="532"/>
        <v>650382.59388527903</v>
      </c>
      <c r="DS109" s="38">
        <f t="shared" si="532"/>
        <v>651821.72541567066</v>
      </c>
      <c r="DT109" s="38">
        <f t="shared" si="532"/>
        <v>653260.8569460623</v>
      </c>
      <c r="DU109" s="38">
        <f t="shared" si="532"/>
        <v>654699.98847645381</v>
      </c>
      <c r="DV109" s="38">
        <f t="shared" si="532"/>
        <v>656139.12000684545</v>
      </c>
      <c r="DW109" s="38">
        <f t="shared" si="532"/>
        <v>677305.59908335388</v>
      </c>
      <c r="DX109" s="38">
        <f t="shared" si="532"/>
        <v>678787.90455965721</v>
      </c>
      <c r="DY109" s="38">
        <f t="shared" si="532"/>
        <v>662482.54432032083</v>
      </c>
      <c r="DZ109" s="38">
        <f t="shared" si="532"/>
        <v>663964.84979662416</v>
      </c>
      <c r="EA109" s="38">
        <f t="shared" si="532"/>
        <v>665447.15527292737</v>
      </c>
      <c r="EB109" s="38">
        <f t="shared" si="532"/>
        <v>666929.4607492307</v>
      </c>
      <c r="EC109" s="38">
        <f t="shared" si="532"/>
        <v>668411.76622553403</v>
      </c>
      <c r="ED109" s="38">
        <f t="shared" si="532"/>
        <v>669894.07170183735</v>
      </c>
      <c r="EE109" s="38">
        <f t="shared" si="532"/>
        <v>671376.37717814068</v>
      </c>
      <c r="EF109" s="38">
        <f t="shared" si="532"/>
        <v>672858.68265444401</v>
      </c>
      <c r="EG109" s="38">
        <f t="shared" si="532"/>
        <v>674340.98813074734</v>
      </c>
      <c r="EH109" s="38">
        <f t="shared" si="532"/>
        <v>675823.29360705055</v>
      </c>
      <c r="EI109" s="38">
        <f t="shared" si="532"/>
        <v>697624.76705585467</v>
      </c>
      <c r="EJ109" s="38">
        <f t="shared" si="532"/>
        <v>699151.54169644695</v>
      </c>
      <c r="EK109" s="38">
        <f>+EK106+EK100+EK108</f>
        <v>682357.02064993023</v>
      </c>
      <c r="EL109" s="38">
        <f>+EL106+EL100+EL108</f>
        <v>683883.79529052274</v>
      </c>
      <c r="EM109" s="38">
        <f>+EM106+EM100+EM108</f>
        <v>685410.56993111526</v>
      </c>
      <c r="EN109" s="38">
        <f>+EN106+EN100+EN108</f>
        <v>686937.34457170754</v>
      </c>
      <c r="EP109" s="24"/>
      <c r="EQ109" s="24"/>
      <c r="ER109" s="24"/>
      <c r="ES109" s="24"/>
      <c r="ET109" s="24"/>
      <c r="EU109" s="33"/>
      <c r="EV109" s="24"/>
      <c r="EW109" s="24"/>
      <c r="EX109" s="24"/>
      <c r="EY109" s="24"/>
      <c r="EZ109" s="24"/>
      <c r="FA109" s="24"/>
      <c r="FB109" s="24"/>
      <c r="FC109" s="24"/>
      <c r="FD109" s="24"/>
      <c r="FE109" s="24"/>
      <c r="FF109" s="24"/>
      <c r="FG109" s="24"/>
      <c r="FH109" s="24"/>
      <c r="FI109" s="24"/>
      <c r="FJ109" s="24"/>
      <c r="FK109" s="24"/>
      <c r="FL109" s="24"/>
      <c r="FM109" s="24"/>
      <c r="FN109" s="24"/>
      <c r="FO109" s="24"/>
      <c r="FP109" s="24"/>
      <c r="FQ109" s="24"/>
      <c r="FR109" s="24"/>
      <c r="FS109" s="24"/>
      <c r="FT109" s="24"/>
      <c r="FU109" s="24"/>
      <c r="FV109" s="24"/>
      <c r="FW109" s="24"/>
      <c r="FX109" s="24"/>
      <c r="FY109" s="24"/>
      <c r="FZ109" s="24"/>
      <c r="GA109" s="24"/>
      <c r="GB109" s="24"/>
      <c r="GC109" s="24"/>
      <c r="GD109" s="24"/>
      <c r="GE109" s="24"/>
      <c r="GF109" s="24"/>
      <c r="GG109" s="24"/>
      <c r="GH109" s="24"/>
      <c r="GI109" s="24"/>
      <c r="GJ109" s="24"/>
      <c r="GK109" s="24"/>
      <c r="GL109" s="24"/>
      <c r="GM109" s="24"/>
      <c r="GN109" s="24"/>
      <c r="GO109" s="24"/>
      <c r="GP109" s="24"/>
      <c r="GQ109" s="24"/>
      <c r="GR109" s="24"/>
      <c r="GS109" s="24"/>
      <c r="GT109" s="24"/>
      <c r="GU109" s="24"/>
      <c r="GV109" s="24"/>
      <c r="GW109" s="24"/>
      <c r="GX109" s="24"/>
      <c r="GY109" s="24"/>
      <c r="GZ109" s="24"/>
      <c r="HA109" s="24"/>
      <c r="HB109" s="24"/>
      <c r="HC109" s="24"/>
      <c r="HD109" s="24"/>
      <c r="HE109" s="24"/>
      <c r="HF109" s="24"/>
      <c r="HG109" s="24"/>
      <c r="HH109" s="24"/>
      <c r="HI109" s="24"/>
      <c r="HJ109" s="24"/>
      <c r="HK109" s="24"/>
      <c r="HL109" s="24"/>
      <c r="HM109" s="24"/>
      <c r="HN109" s="24"/>
      <c r="HO109" s="24"/>
      <c r="HP109" s="24"/>
      <c r="HQ109" s="24"/>
      <c r="HR109" s="24"/>
      <c r="HS109" s="24"/>
      <c r="HT109" s="24"/>
      <c r="HU109" s="24"/>
      <c r="HV109" s="24"/>
      <c r="HW109" s="24"/>
      <c r="HX109" s="24"/>
      <c r="HY109" s="24"/>
      <c r="HZ109" s="24"/>
      <c r="IA109" s="24"/>
      <c r="IB109" s="24"/>
      <c r="IC109" s="24"/>
      <c r="ID109" s="24"/>
      <c r="IE109" s="24"/>
      <c r="IF109" s="24"/>
      <c r="IG109" s="24"/>
      <c r="IH109" s="24"/>
      <c r="II109" s="24"/>
      <c r="IJ109" s="24"/>
      <c r="IK109" s="24"/>
      <c r="IL109" s="24"/>
      <c r="IM109" s="24"/>
      <c r="IN109" s="24"/>
      <c r="IO109" s="24"/>
      <c r="IP109" s="24"/>
      <c r="IQ109" s="24"/>
      <c r="IR109" s="24"/>
      <c r="IS109" s="24"/>
      <c r="IT109" s="24"/>
      <c r="IU109" s="24"/>
      <c r="IV109" s="24"/>
      <c r="IW109" s="24"/>
      <c r="IX109" s="24"/>
      <c r="IY109" s="24"/>
      <c r="IZ109" s="24"/>
      <c r="JA109" s="24"/>
      <c r="JB109" s="24"/>
      <c r="JC109" s="24"/>
      <c r="JD109" s="24"/>
      <c r="JE109" s="24"/>
      <c r="JF109" s="24"/>
      <c r="JG109" s="24"/>
      <c r="JH109" s="24"/>
      <c r="JI109" s="24"/>
      <c r="JJ109" s="24"/>
      <c r="JK109" s="24"/>
      <c r="JL109" s="24"/>
      <c r="JM109" s="24"/>
      <c r="JN109" s="24"/>
      <c r="JO109" s="24"/>
      <c r="JP109" s="24"/>
      <c r="JQ109" s="24"/>
      <c r="JR109" s="24"/>
      <c r="JS109" s="24"/>
      <c r="JT109" s="24"/>
      <c r="JU109" s="24"/>
      <c r="JV109" s="24"/>
      <c r="JW109" s="24"/>
      <c r="JX109" s="24"/>
    </row>
    <row r="110" spans="1:284" s="7" customFormat="1" ht="16.5" x14ac:dyDescent="0.35">
      <c r="A110" s="406"/>
      <c r="B110" s="112" t="str">
        <f>IF(Retail_Income_Include?=1,"- General Vacancy and Credit Loss (Excluding Retail Income)","- General Vacancy and Credit Loss")</f>
        <v>- General Vacancy and Credit Loss</v>
      </c>
      <c r="C110" s="120"/>
      <c r="D110" s="130"/>
      <c r="E110" s="120"/>
      <c r="F110" s="130">
        <v>0.05</v>
      </c>
      <c r="G110" s="391">
        <f>I110/(Units_SF_M2)/12</f>
        <v>-0.10506694901960785</v>
      </c>
      <c r="H110" s="131">
        <f>I110/Units/12</f>
        <v>-89.306906666666691</v>
      </c>
      <c r="I110" s="131">
        <f>-(I100+I106)*F110</f>
        <v>-321504.86400000006</v>
      </c>
      <c r="M110" s="68">
        <f t="shared" ref="M110:AR110" si="533">+-M109*$F$110</f>
        <v>0</v>
      </c>
      <c r="N110" s="68">
        <f t="shared" si="533"/>
        <v>0</v>
      </c>
      <c r="O110" s="68">
        <f t="shared" si="533"/>
        <v>0</v>
      </c>
      <c r="P110" s="68">
        <f t="shared" si="533"/>
        <v>0</v>
      </c>
      <c r="Q110" s="68">
        <f t="shared" si="533"/>
        <v>0</v>
      </c>
      <c r="R110" s="68">
        <f t="shared" si="533"/>
        <v>0</v>
      </c>
      <c r="S110" s="68">
        <f t="shared" si="533"/>
        <v>0</v>
      </c>
      <c r="T110" s="68">
        <f t="shared" si="533"/>
        <v>0</v>
      </c>
      <c r="U110" s="68">
        <f t="shared" si="533"/>
        <v>0</v>
      </c>
      <c r="V110" s="68">
        <f t="shared" si="533"/>
        <v>0</v>
      </c>
      <c r="W110" s="68">
        <f t="shared" si="533"/>
        <v>0</v>
      </c>
      <c r="X110" s="68">
        <f t="shared" si="533"/>
        <v>0</v>
      </c>
      <c r="Y110" s="68">
        <f t="shared" si="533"/>
        <v>0</v>
      </c>
      <c r="Z110" s="68">
        <f t="shared" si="533"/>
        <v>0</v>
      </c>
      <c r="AA110" s="68">
        <f t="shared" si="533"/>
        <v>0</v>
      </c>
      <c r="AB110" s="68">
        <f t="shared" si="533"/>
        <v>0</v>
      </c>
      <c r="AC110" s="68">
        <f t="shared" si="533"/>
        <v>0</v>
      </c>
      <c r="AD110" s="68">
        <f t="shared" si="533"/>
        <v>0</v>
      </c>
      <c r="AE110" s="68">
        <f t="shared" si="533"/>
        <v>-680.34643076923112</v>
      </c>
      <c r="AF110" s="68">
        <f t="shared" si="533"/>
        <v>-2477.1978974358981</v>
      </c>
      <c r="AG110" s="68">
        <f t="shared" si="533"/>
        <v>-4274.0493641025641</v>
      </c>
      <c r="AH110" s="68">
        <f t="shared" si="533"/>
        <v>-6070.9008307692311</v>
      </c>
      <c r="AI110" s="68">
        <f t="shared" si="533"/>
        <v>-7867.7522974358981</v>
      </c>
      <c r="AJ110" s="68">
        <f t="shared" si="533"/>
        <v>-9664.603764102565</v>
      </c>
      <c r="AK110" s="68">
        <f t="shared" si="533"/>
        <v>-11461.455230769232</v>
      </c>
      <c r="AL110" s="68">
        <f t="shared" si="533"/>
        <v>-13258.306697435899</v>
      </c>
      <c r="AM110" s="68">
        <f t="shared" si="533"/>
        <v>-15055.158164102564</v>
      </c>
      <c r="AN110" s="68">
        <f t="shared" si="533"/>
        <v>-16852.009630769233</v>
      </c>
      <c r="AO110" s="68">
        <f t="shared" si="533"/>
        <v>-18648.8610974359</v>
      </c>
      <c r="AP110" s="68">
        <f t="shared" si="533"/>
        <v>-20445.712564102567</v>
      </c>
      <c r="AQ110" s="68">
        <f t="shared" si="533"/>
        <v>-22909.840951692309</v>
      </c>
      <c r="AR110" s="68">
        <f t="shared" si="533"/>
        <v>-24760.597962358977</v>
      </c>
      <c r="AS110" s="68">
        <f t="shared" ref="AS110:BX110" si="534">+-AS109*$F$110</f>
        <v>-26932.946660000001</v>
      </c>
      <c r="AT110" s="68">
        <f t="shared" si="534"/>
        <v>-26993.209159999999</v>
      </c>
      <c r="AU110" s="68">
        <f t="shared" si="534"/>
        <v>-27053.471659999999</v>
      </c>
      <c r="AV110" s="68">
        <f t="shared" si="534"/>
        <v>-27113.73416</v>
      </c>
      <c r="AW110" s="68">
        <f t="shared" si="534"/>
        <v>-27173.996660000001</v>
      </c>
      <c r="AX110" s="68">
        <f t="shared" si="534"/>
        <v>-27234.259160000001</v>
      </c>
      <c r="AY110" s="68">
        <f t="shared" si="534"/>
        <v>-27294.521659999999</v>
      </c>
      <c r="AZ110" s="68">
        <f t="shared" si="534"/>
        <v>-27354.784159999999</v>
      </c>
      <c r="BA110" s="68">
        <f t="shared" si="534"/>
        <v>-27415.04666</v>
      </c>
      <c r="BB110" s="68">
        <f t="shared" si="534"/>
        <v>-27475.309160000001</v>
      </c>
      <c r="BC110" s="68">
        <f t="shared" si="534"/>
        <v>-28361.638809799999</v>
      </c>
      <c r="BD110" s="68">
        <f t="shared" si="534"/>
        <v>-28423.709184799998</v>
      </c>
      <c r="BE110" s="68">
        <f t="shared" si="534"/>
        <v>-27740.935059800002</v>
      </c>
      <c r="BF110" s="68">
        <f t="shared" si="534"/>
        <v>-27803.005434799998</v>
      </c>
      <c r="BG110" s="68">
        <f t="shared" si="534"/>
        <v>-27865.075809799997</v>
      </c>
      <c r="BH110" s="68">
        <f t="shared" si="534"/>
        <v>-27927.146184800004</v>
      </c>
      <c r="BI110" s="68">
        <f t="shared" si="534"/>
        <v>-27989.216559799999</v>
      </c>
      <c r="BJ110" s="68">
        <f t="shared" si="534"/>
        <v>-28051.286934799999</v>
      </c>
      <c r="BK110" s="68">
        <f t="shared" si="534"/>
        <v>-28113.357309800005</v>
      </c>
      <c r="BL110" s="68">
        <f t="shared" si="534"/>
        <v>-28175.427684800001</v>
      </c>
      <c r="BM110" s="68">
        <f t="shared" si="534"/>
        <v>-28237.4980598</v>
      </c>
      <c r="BN110" s="68">
        <f t="shared" si="534"/>
        <v>-28299.5684348</v>
      </c>
      <c r="BO110" s="68">
        <f t="shared" si="534"/>
        <v>-29212.487974093994</v>
      </c>
      <c r="BP110" s="68">
        <f t="shared" si="534"/>
        <v>-29276.420460343998</v>
      </c>
      <c r="BQ110" s="68">
        <f t="shared" si="534"/>
        <v>-28573.163111594</v>
      </c>
      <c r="BR110" s="68">
        <f t="shared" si="534"/>
        <v>-28637.095597843996</v>
      </c>
      <c r="BS110" s="68">
        <f t="shared" si="534"/>
        <v>-28701.028084093996</v>
      </c>
      <c r="BT110" s="68">
        <f t="shared" si="534"/>
        <v>-28764.960570343999</v>
      </c>
      <c r="BU110" s="68">
        <f t="shared" si="534"/>
        <v>-28828.893056593999</v>
      </c>
      <c r="BV110" s="68">
        <f t="shared" si="534"/>
        <v>-28892.825542843995</v>
      </c>
      <c r="BW110" s="68">
        <f t="shared" si="534"/>
        <v>-28956.758029093995</v>
      </c>
      <c r="BX110" s="68">
        <f t="shared" si="534"/>
        <v>-29020.690515343998</v>
      </c>
      <c r="BY110" s="68">
        <f t="shared" ref="BY110:DD110" si="535">+-BY109*$F$110</f>
        <v>-29084.623001593998</v>
      </c>
      <c r="BZ110" s="68">
        <f t="shared" si="535"/>
        <v>-29148.555487844002</v>
      </c>
      <c r="CA110" s="68">
        <f t="shared" si="535"/>
        <v>-30088.862613316818</v>
      </c>
      <c r="CB110" s="68">
        <f t="shared" si="535"/>
        <v>-30154.713074154322</v>
      </c>
      <c r="CC110" s="68">
        <f t="shared" si="535"/>
        <v>-29430.358004941823</v>
      </c>
      <c r="CD110" s="68">
        <f t="shared" si="535"/>
        <v>-29496.208465779317</v>
      </c>
      <c r="CE110" s="68">
        <f t="shared" si="535"/>
        <v>-29562.058926616821</v>
      </c>
      <c r="CF110" s="68">
        <f t="shared" si="535"/>
        <v>-29627.909387454321</v>
      </c>
      <c r="CG110" s="68">
        <f t="shared" si="535"/>
        <v>-29693.759848291818</v>
      </c>
      <c r="CH110" s="68">
        <f t="shared" si="535"/>
        <v>-29759.610309129319</v>
      </c>
      <c r="CI110" s="68">
        <f t="shared" si="535"/>
        <v>-29825.460769966823</v>
      </c>
      <c r="CJ110" s="68">
        <f t="shared" si="535"/>
        <v>-29891.31123080432</v>
      </c>
      <c r="CK110" s="68">
        <f t="shared" si="535"/>
        <v>-29957.161691641821</v>
      </c>
      <c r="CL110" s="68">
        <f t="shared" si="535"/>
        <v>-30023.012152479321</v>
      </c>
      <c r="CM110" s="68">
        <f t="shared" si="535"/>
        <v>-30991.528491716326</v>
      </c>
      <c r="CN110" s="68">
        <f t="shared" si="535"/>
        <v>-31059.354466378951</v>
      </c>
      <c r="CO110" s="68">
        <f t="shared" si="535"/>
        <v>-30313.268745090074</v>
      </c>
      <c r="CP110" s="68">
        <f t="shared" si="535"/>
        <v>-30381.094719752698</v>
      </c>
      <c r="CQ110" s="68">
        <f t="shared" si="535"/>
        <v>-30448.920694415327</v>
      </c>
      <c r="CR110" s="68">
        <f t="shared" si="535"/>
        <v>-30516.746669077951</v>
      </c>
      <c r="CS110" s="68">
        <f t="shared" si="535"/>
        <v>-30584.572643740576</v>
      </c>
      <c r="CT110" s="68">
        <f t="shared" si="535"/>
        <v>-30652.3986184032</v>
      </c>
      <c r="CU110" s="68">
        <f t="shared" si="535"/>
        <v>-30720.224593065825</v>
      </c>
      <c r="CV110" s="68">
        <f t="shared" si="535"/>
        <v>-30788.050567728453</v>
      </c>
      <c r="CW110" s="68">
        <f t="shared" si="535"/>
        <v>-30855.876542391077</v>
      </c>
      <c r="CX110" s="68">
        <f t="shared" si="535"/>
        <v>-30923.702517053702</v>
      </c>
      <c r="CY110" s="68">
        <f t="shared" si="535"/>
        <v>-31921.274346467806</v>
      </c>
      <c r="CZ110" s="68">
        <f t="shared" si="535"/>
        <v>-31991.135100370309</v>
      </c>
      <c r="DA110" s="68">
        <f t="shared" si="535"/>
        <v>-31222.666807442776</v>
      </c>
      <c r="DB110" s="68">
        <f t="shared" si="535"/>
        <v>-31292.52756134528</v>
      </c>
      <c r="DC110" s="68">
        <f t="shared" si="535"/>
        <v>-31362.388315247779</v>
      </c>
      <c r="DD110" s="68">
        <f t="shared" si="535"/>
        <v>-31432.249069150283</v>
      </c>
      <c r="DE110" s="68">
        <f t="shared" ref="DE110:EJ110" si="536">+-DE109*$F$110</f>
        <v>-31502.109823052786</v>
      </c>
      <c r="DF110" s="68">
        <f t="shared" si="536"/>
        <v>-31571.970576955286</v>
      </c>
      <c r="DG110" s="68">
        <f t="shared" si="536"/>
        <v>-31641.8313308578</v>
      </c>
      <c r="DH110" s="68">
        <f t="shared" si="536"/>
        <v>-31711.692084760303</v>
      </c>
      <c r="DI110" s="68">
        <f t="shared" si="536"/>
        <v>-31781.552838662803</v>
      </c>
      <c r="DJ110" s="68">
        <f t="shared" si="536"/>
        <v>-31851.413592565306</v>
      </c>
      <c r="DK110" s="68">
        <f t="shared" si="536"/>
        <v>-32878.912576861847</v>
      </c>
      <c r="DL110" s="68">
        <f t="shared" si="536"/>
        <v>-32950.869153381434</v>
      </c>
      <c r="DM110" s="68">
        <f t="shared" si="536"/>
        <v>-32159.346811666062</v>
      </c>
      <c r="DN110" s="68">
        <f t="shared" si="536"/>
        <v>-32231.303388185639</v>
      </c>
      <c r="DO110" s="68">
        <f t="shared" si="536"/>
        <v>-32303.259964705219</v>
      </c>
      <c r="DP110" s="68">
        <f t="shared" si="536"/>
        <v>-32375.216541224796</v>
      </c>
      <c r="DQ110" s="68">
        <f t="shared" si="536"/>
        <v>-32447.173117744376</v>
      </c>
      <c r="DR110" s="68">
        <f t="shared" si="536"/>
        <v>-32519.129694263953</v>
      </c>
      <c r="DS110" s="68">
        <f t="shared" si="536"/>
        <v>-32591.086270783533</v>
      </c>
      <c r="DT110" s="68">
        <f t="shared" si="536"/>
        <v>-32663.042847303117</v>
      </c>
      <c r="DU110" s="68">
        <f t="shared" si="536"/>
        <v>-32734.999423822694</v>
      </c>
      <c r="DV110" s="68">
        <f t="shared" si="536"/>
        <v>-32806.956000342274</v>
      </c>
      <c r="DW110" s="68">
        <f t="shared" si="536"/>
        <v>-33865.279954167694</v>
      </c>
      <c r="DX110" s="68">
        <f t="shared" si="536"/>
        <v>-33939.395227982859</v>
      </c>
      <c r="DY110" s="68">
        <f t="shared" si="536"/>
        <v>-33124.127216016044</v>
      </c>
      <c r="DZ110" s="68">
        <f t="shared" si="536"/>
        <v>-33198.242489831209</v>
      </c>
      <c r="EA110" s="68">
        <f t="shared" si="536"/>
        <v>-33272.357763646367</v>
      </c>
      <c r="EB110" s="68">
        <f t="shared" si="536"/>
        <v>-33346.473037461539</v>
      </c>
      <c r="EC110" s="68">
        <f t="shared" si="536"/>
        <v>-33420.588311276704</v>
      </c>
      <c r="ED110" s="68">
        <f t="shared" si="536"/>
        <v>-33494.703585091869</v>
      </c>
      <c r="EE110" s="68">
        <f t="shared" si="536"/>
        <v>-33568.818858907034</v>
      </c>
      <c r="EF110" s="68">
        <f t="shared" si="536"/>
        <v>-33642.934132722199</v>
      </c>
      <c r="EG110" s="68">
        <f t="shared" si="536"/>
        <v>-33717.049406537371</v>
      </c>
      <c r="EH110" s="68">
        <f t="shared" si="536"/>
        <v>-33791.164680352529</v>
      </c>
      <c r="EI110" s="68">
        <f t="shared" si="536"/>
        <v>-34881.238352792738</v>
      </c>
      <c r="EJ110" s="68">
        <f t="shared" si="536"/>
        <v>-34957.577084822347</v>
      </c>
      <c r="EK110" s="68">
        <f>+-EK109*$F$110</f>
        <v>-34117.85103249651</v>
      </c>
      <c r="EL110" s="68">
        <f>+-EL109*$F$110</f>
        <v>-34194.189764526142</v>
      </c>
      <c r="EM110" s="68">
        <f>+-EM109*$F$110</f>
        <v>-34270.528496555766</v>
      </c>
      <c r="EN110" s="68">
        <f>+-EN109*$F$110</f>
        <v>-34346.867228585375</v>
      </c>
      <c r="EP110" s="24"/>
      <c r="EQ110" s="24"/>
      <c r="ER110" s="24"/>
      <c r="ES110" s="24"/>
      <c r="ET110" s="24"/>
      <c r="EU110" s="33"/>
      <c r="EV110" s="24"/>
      <c r="EW110" s="24"/>
      <c r="EX110" s="24"/>
      <c r="EY110" s="24"/>
      <c r="EZ110" s="24"/>
      <c r="FA110" s="24"/>
      <c r="FB110" s="24"/>
      <c r="FC110" s="24"/>
      <c r="FD110" s="24"/>
      <c r="FE110" s="24"/>
      <c r="FF110" s="24"/>
      <c r="FG110" s="24"/>
      <c r="FH110" s="24"/>
      <c r="FI110" s="24"/>
      <c r="FJ110" s="24"/>
      <c r="FK110" s="24"/>
      <c r="FL110" s="24"/>
      <c r="FM110" s="24"/>
      <c r="FN110" s="24"/>
      <c r="FO110" s="24"/>
      <c r="FP110" s="24"/>
      <c r="FQ110" s="24"/>
      <c r="FR110" s="24"/>
      <c r="FS110" s="24"/>
      <c r="FT110" s="24"/>
      <c r="FU110" s="24"/>
      <c r="FV110" s="24"/>
      <c r="FW110" s="24"/>
      <c r="FX110" s="24"/>
      <c r="FY110" s="24"/>
      <c r="FZ110" s="24"/>
      <c r="GA110" s="24"/>
      <c r="GB110" s="24"/>
      <c r="GC110" s="24"/>
      <c r="GD110" s="24"/>
      <c r="GE110" s="24"/>
      <c r="GF110" s="24"/>
      <c r="GG110" s="24"/>
      <c r="GH110" s="24"/>
      <c r="GI110" s="24"/>
      <c r="GJ110" s="24"/>
      <c r="GK110" s="24"/>
      <c r="GL110" s="24"/>
      <c r="GM110" s="24"/>
      <c r="GN110" s="24"/>
      <c r="GO110" s="24"/>
      <c r="GP110" s="24"/>
      <c r="GQ110" s="24"/>
      <c r="GR110" s="24"/>
      <c r="GS110" s="24"/>
      <c r="GT110" s="24"/>
      <c r="GU110" s="24"/>
      <c r="GV110" s="24"/>
      <c r="GW110" s="24"/>
      <c r="GX110" s="24"/>
      <c r="GY110" s="24"/>
      <c r="GZ110" s="24"/>
      <c r="HA110" s="24"/>
      <c r="HB110" s="24"/>
      <c r="HC110" s="24"/>
      <c r="HD110" s="24"/>
      <c r="HE110" s="24"/>
      <c r="HF110" s="24"/>
      <c r="HG110" s="24"/>
      <c r="HH110" s="24"/>
      <c r="HI110" s="24"/>
      <c r="HJ110" s="24"/>
      <c r="HK110" s="24"/>
      <c r="HL110" s="24"/>
      <c r="HM110" s="24"/>
      <c r="HN110" s="24"/>
      <c r="HO110" s="24"/>
      <c r="HP110" s="24"/>
      <c r="HQ110" s="24"/>
      <c r="HR110" s="24"/>
      <c r="HS110" s="24"/>
      <c r="HT110" s="24"/>
      <c r="HU110" s="24"/>
      <c r="HV110" s="24"/>
      <c r="HW110" s="24"/>
      <c r="HX110" s="24"/>
      <c r="HY110" s="24"/>
      <c r="HZ110" s="24"/>
      <c r="IA110" s="24"/>
      <c r="IB110" s="24"/>
      <c r="IC110" s="24"/>
      <c r="ID110" s="24"/>
      <c r="IE110" s="24"/>
      <c r="IF110" s="24"/>
      <c r="IG110" s="24"/>
      <c r="IH110" s="24"/>
      <c r="II110" s="24"/>
      <c r="IJ110" s="24"/>
      <c r="IK110" s="24"/>
      <c r="IL110" s="24"/>
      <c r="IM110" s="24"/>
      <c r="IN110" s="24"/>
      <c r="IO110" s="24"/>
      <c r="IP110" s="24"/>
      <c r="IQ110" s="24"/>
      <c r="IR110" s="24"/>
      <c r="IS110" s="24"/>
      <c r="IT110" s="24"/>
      <c r="IU110" s="24"/>
      <c r="IV110" s="24"/>
      <c r="IW110" s="24"/>
      <c r="IX110" s="24"/>
      <c r="IY110" s="24"/>
      <c r="IZ110" s="24"/>
      <c r="JA110" s="24"/>
      <c r="JB110" s="24"/>
      <c r="JC110" s="24"/>
      <c r="JD110" s="24"/>
      <c r="JE110" s="24"/>
      <c r="JF110" s="24"/>
      <c r="JG110" s="24"/>
      <c r="JH110" s="24"/>
      <c r="JI110" s="24"/>
      <c r="JJ110" s="24"/>
      <c r="JK110" s="24"/>
      <c r="JL110" s="24"/>
      <c r="JM110" s="24"/>
      <c r="JN110" s="24"/>
      <c r="JO110" s="24"/>
      <c r="JP110" s="24"/>
      <c r="JQ110" s="24"/>
      <c r="JR110" s="24"/>
      <c r="JS110" s="24"/>
      <c r="JT110" s="24"/>
      <c r="JU110" s="24"/>
      <c r="JV110" s="24"/>
      <c r="JW110" s="24"/>
      <c r="JX110" s="24"/>
    </row>
    <row r="111" spans="1:284" s="7" customFormat="1" x14ac:dyDescent="0.2">
      <c r="A111" s="406"/>
      <c r="B111" s="92" t="s">
        <v>147</v>
      </c>
      <c r="C111" s="120"/>
      <c r="D111" s="120"/>
      <c r="E111" s="120"/>
      <c r="F111" s="389"/>
      <c r="G111" s="390">
        <f>SUM(G109:G110)</f>
        <v>1.996272031372549</v>
      </c>
      <c r="H111" s="123">
        <f>SUM(H109:H110)</f>
        <v>1696.8312266666669</v>
      </c>
      <c r="I111" s="123">
        <f>SUM(I109:I110)</f>
        <v>6108592.4160000002</v>
      </c>
      <c r="K111" s="7" t="s">
        <v>490</v>
      </c>
      <c r="M111" s="38">
        <f>M109+M110</f>
        <v>0</v>
      </c>
      <c r="N111" s="38">
        <f t="shared" ref="N111:BY111" si="537">N109+N110</f>
        <v>0</v>
      </c>
      <c r="O111" s="38">
        <f t="shared" si="537"/>
        <v>0</v>
      </c>
      <c r="P111" s="38">
        <f t="shared" si="537"/>
        <v>0</v>
      </c>
      <c r="Q111" s="38">
        <f t="shared" si="537"/>
        <v>0</v>
      </c>
      <c r="R111" s="38">
        <f t="shared" si="537"/>
        <v>0</v>
      </c>
      <c r="S111" s="38">
        <f t="shared" si="537"/>
        <v>0</v>
      </c>
      <c r="T111" s="38">
        <f t="shared" si="537"/>
        <v>0</v>
      </c>
      <c r="U111" s="38">
        <f t="shared" si="537"/>
        <v>0</v>
      </c>
      <c r="V111" s="38">
        <f t="shared" si="537"/>
        <v>0</v>
      </c>
      <c r="W111" s="38">
        <f t="shared" si="537"/>
        <v>0</v>
      </c>
      <c r="X111" s="38">
        <f t="shared" si="537"/>
        <v>0</v>
      </c>
      <c r="Y111" s="38">
        <f t="shared" si="537"/>
        <v>0</v>
      </c>
      <c r="Z111" s="38">
        <f t="shared" si="537"/>
        <v>0</v>
      </c>
      <c r="AA111" s="38">
        <f t="shared" si="537"/>
        <v>0</v>
      </c>
      <c r="AB111" s="38">
        <f t="shared" si="537"/>
        <v>0</v>
      </c>
      <c r="AC111" s="38">
        <f t="shared" si="537"/>
        <v>0</v>
      </c>
      <c r="AD111" s="38">
        <f t="shared" si="537"/>
        <v>0</v>
      </c>
      <c r="AE111" s="38">
        <f t="shared" si="537"/>
        <v>12926.582184615392</v>
      </c>
      <c r="AF111" s="38">
        <f t="shared" si="537"/>
        <v>47066.760051282057</v>
      </c>
      <c r="AG111" s="38">
        <f t="shared" si="537"/>
        <v>81206.937917948715</v>
      </c>
      <c r="AH111" s="38">
        <f t="shared" si="537"/>
        <v>115347.11578461539</v>
      </c>
      <c r="AI111" s="38">
        <f t="shared" si="537"/>
        <v>149487.29365128206</v>
      </c>
      <c r="AJ111" s="38">
        <f t="shared" si="537"/>
        <v>183627.47151794872</v>
      </c>
      <c r="AK111" s="38">
        <f t="shared" si="537"/>
        <v>217767.64938461539</v>
      </c>
      <c r="AL111" s="38">
        <f t="shared" si="537"/>
        <v>251907.82725128205</v>
      </c>
      <c r="AM111" s="38">
        <f t="shared" si="537"/>
        <v>286048.00511794869</v>
      </c>
      <c r="AN111" s="38">
        <f t="shared" si="537"/>
        <v>320188.18298461539</v>
      </c>
      <c r="AO111" s="38">
        <f t="shared" si="537"/>
        <v>354328.36085128208</v>
      </c>
      <c r="AP111" s="38">
        <f t="shared" si="537"/>
        <v>388468.53871794877</v>
      </c>
      <c r="AQ111" s="38">
        <f t="shared" si="537"/>
        <v>435286.97808215383</v>
      </c>
      <c r="AR111" s="38">
        <f t="shared" si="537"/>
        <v>470451.36128482054</v>
      </c>
      <c r="AS111" s="38">
        <f t="shared" si="537"/>
        <v>511725.98653999995</v>
      </c>
      <c r="AT111" s="38">
        <f t="shared" si="537"/>
        <v>512870.97404</v>
      </c>
      <c r="AU111" s="38">
        <f t="shared" si="537"/>
        <v>514015.96153999999</v>
      </c>
      <c r="AV111" s="38">
        <f t="shared" si="537"/>
        <v>515160.94903999998</v>
      </c>
      <c r="AW111" s="38">
        <f t="shared" si="537"/>
        <v>516305.93653999997</v>
      </c>
      <c r="AX111" s="38">
        <f t="shared" si="537"/>
        <v>517450.92403999995</v>
      </c>
      <c r="AY111" s="38">
        <f t="shared" si="537"/>
        <v>518595.91154</v>
      </c>
      <c r="AZ111" s="38">
        <f t="shared" si="537"/>
        <v>519740.89903999999</v>
      </c>
      <c r="BA111" s="38">
        <f t="shared" si="537"/>
        <v>520885.88653999998</v>
      </c>
      <c r="BB111" s="38">
        <f t="shared" si="537"/>
        <v>522030.87403999997</v>
      </c>
      <c r="BC111" s="38">
        <f t="shared" si="537"/>
        <v>538871.1373861999</v>
      </c>
      <c r="BD111" s="38">
        <f t="shared" si="537"/>
        <v>540050.47451119986</v>
      </c>
      <c r="BE111" s="38">
        <f t="shared" si="537"/>
        <v>527077.76613619993</v>
      </c>
      <c r="BF111" s="38">
        <f t="shared" si="537"/>
        <v>528257.10326120001</v>
      </c>
      <c r="BG111" s="38">
        <f t="shared" si="537"/>
        <v>529436.44038619997</v>
      </c>
      <c r="BH111" s="38">
        <f t="shared" si="537"/>
        <v>530615.77751120005</v>
      </c>
      <c r="BI111" s="38">
        <f t="shared" si="537"/>
        <v>531795.11463620001</v>
      </c>
      <c r="BJ111" s="38">
        <f t="shared" si="537"/>
        <v>532974.45176119998</v>
      </c>
      <c r="BK111" s="38">
        <f t="shared" si="537"/>
        <v>534153.78888620005</v>
      </c>
      <c r="BL111" s="38">
        <f t="shared" si="537"/>
        <v>535333.12601120002</v>
      </c>
      <c r="BM111" s="38">
        <f t="shared" si="537"/>
        <v>536512.46313619998</v>
      </c>
      <c r="BN111" s="38">
        <f t="shared" si="537"/>
        <v>537691.80026119994</v>
      </c>
      <c r="BO111" s="38">
        <f t="shared" si="537"/>
        <v>555037.27150778589</v>
      </c>
      <c r="BP111" s="38">
        <f t="shared" si="537"/>
        <v>556251.98874653596</v>
      </c>
      <c r="BQ111" s="38">
        <f t="shared" si="537"/>
        <v>542890.09912028594</v>
      </c>
      <c r="BR111" s="38">
        <f t="shared" si="537"/>
        <v>544104.8163590359</v>
      </c>
      <c r="BS111" s="38">
        <f t="shared" si="537"/>
        <v>545319.53359778598</v>
      </c>
      <c r="BT111" s="38">
        <f t="shared" si="537"/>
        <v>546534.25083653594</v>
      </c>
      <c r="BU111" s="38">
        <f t="shared" si="537"/>
        <v>547748.96807528601</v>
      </c>
      <c r="BV111" s="38">
        <f t="shared" si="537"/>
        <v>548963.68531403586</v>
      </c>
      <c r="BW111" s="38">
        <f t="shared" si="537"/>
        <v>550178.40255278593</v>
      </c>
      <c r="BX111" s="38">
        <f t="shared" si="537"/>
        <v>551393.11979153589</v>
      </c>
      <c r="BY111" s="38">
        <f t="shared" si="537"/>
        <v>552607.83703028597</v>
      </c>
      <c r="BZ111" s="38">
        <f t="shared" ref="BZ111:EK111" si="538">BZ109+BZ110</f>
        <v>553822.55426903593</v>
      </c>
      <c r="CA111" s="38">
        <f t="shared" si="538"/>
        <v>571688.38965301949</v>
      </c>
      <c r="CB111" s="38">
        <f t="shared" si="538"/>
        <v>572939.54840893205</v>
      </c>
      <c r="CC111" s="38">
        <f t="shared" si="538"/>
        <v>559176.80209389457</v>
      </c>
      <c r="CD111" s="38">
        <f t="shared" si="538"/>
        <v>560427.96084980702</v>
      </c>
      <c r="CE111" s="38">
        <f t="shared" si="538"/>
        <v>561679.11960571958</v>
      </c>
      <c r="CF111" s="38">
        <f t="shared" si="538"/>
        <v>562930.27836163214</v>
      </c>
      <c r="CG111" s="38">
        <f t="shared" si="538"/>
        <v>564181.43711754447</v>
      </c>
      <c r="CH111" s="38">
        <f t="shared" si="538"/>
        <v>565432.59587345703</v>
      </c>
      <c r="CI111" s="38">
        <f t="shared" si="538"/>
        <v>566683.75462936959</v>
      </c>
      <c r="CJ111" s="38">
        <f t="shared" si="538"/>
        <v>567934.91338528204</v>
      </c>
      <c r="CK111" s="38">
        <f t="shared" si="538"/>
        <v>569186.0721411946</v>
      </c>
      <c r="CL111" s="38">
        <f t="shared" si="538"/>
        <v>570437.23089710716</v>
      </c>
      <c r="CM111" s="38">
        <f t="shared" si="538"/>
        <v>588839.04134261014</v>
      </c>
      <c r="CN111" s="38">
        <f t="shared" si="538"/>
        <v>590127.73486120009</v>
      </c>
      <c r="CO111" s="38">
        <f t="shared" si="538"/>
        <v>575952.10615671135</v>
      </c>
      <c r="CP111" s="38">
        <f t="shared" si="538"/>
        <v>577240.7996753013</v>
      </c>
      <c r="CQ111" s="38">
        <f t="shared" si="538"/>
        <v>578529.49319389113</v>
      </c>
      <c r="CR111" s="38">
        <f t="shared" si="538"/>
        <v>579818.18671248108</v>
      </c>
      <c r="CS111" s="38">
        <f t="shared" si="538"/>
        <v>581106.88023107091</v>
      </c>
      <c r="CT111" s="38">
        <f t="shared" si="538"/>
        <v>582395.57374966075</v>
      </c>
      <c r="CU111" s="38">
        <f t="shared" si="538"/>
        <v>583684.2672682507</v>
      </c>
      <c r="CV111" s="38">
        <f t="shared" si="538"/>
        <v>584972.96078684053</v>
      </c>
      <c r="CW111" s="38">
        <f t="shared" si="538"/>
        <v>586261.65430543048</v>
      </c>
      <c r="CX111" s="38">
        <f t="shared" si="538"/>
        <v>587550.34782402031</v>
      </c>
      <c r="CY111" s="38">
        <f t="shared" si="538"/>
        <v>606504.21258288831</v>
      </c>
      <c r="CZ111" s="38">
        <f t="shared" si="538"/>
        <v>607831.56690703589</v>
      </c>
      <c r="DA111" s="38">
        <f t="shared" si="538"/>
        <v>593230.66934141272</v>
      </c>
      <c r="DB111" s="38">
        <f t="shared" si="538"/>
        <v>594558.02366556029</v>
      </c>
      <c r="DC111" s="38">
        <f t="shared" si="538"/>
        <v>595885.37798970775</v>
      </c>
      <c r="DD111" s="38">
        <f t="shared" si="538"/>
        <v>597212.73231385532</v>
      </c>
      <c r="DE111" s="38">
        <f t="shared" si="538"/>
        <v>598540.08663800289</v>
      </c>
      <c r="DF111" s="38">
        <f t="shared" si="538"/>
        <v>599867.44096215046</v>
      </c>
      <c r="DG111" s="38">
        <f t="shared" si="538"/>
        <v>601194.79528629815</v>
      </c>
      <c r="DH111" s="38">
        <f t="shared" si="538"/>
        <v>602522.14961044572</v>
      </c>
      <c r="DI111" s="38">
        <f t="shared" si="538"/>
        <v>603849.50393459329</v>
      </c>
      <c r="DJ111" s="38">
        <f t="shared" si="538"/>
        <v>605176.85825874074</v>
      </c>
      <c r="DK111" s="38">
        <f t="shared" si="538"/>
        <v>624699.33896037517</v>
      </c>
      <c r="DL111" s="38">
        <f t="shared" si="538"/>
        <v>626066.51391424716</v>
      </c>
      <c r="DM111" s="38">
        <f t="shared" si="538"/>
        <v>611027.58942165517</v>
      </c>
      <c r="DN111" s="38">
        <f t="shared" si="538"/>
        <v>612394.76437552704</v>
      </c>
      <c r="DO111" s="38">
        <f t="shared" si="538"/>
        <v>613761.93932939915</v>
      </c>
      <c r="DP111" s="38">
        <f t="shared" si="538"/>
        <v>615129.11428327113</v>
      </c>
      <c r="DQ111" s="38">
        <f t="shared" si="538"/>
        <v>616496.28923714312</v>
      </c>
      <c r="DR111" s="38">
        <f t="shared" si="538"/>
        <v>617863.46419101511</v>
      </c>
      <c r="DS111" s="38">
        <f t="shared" si="538"/>
        <v>619230.6391448871</v>
      </c>
      <c r="DT111" s="38">
        <f t="shared" si="538"/>
        <v>620597.81409875921</v>
      </c>
      <c r="DU111" s="38">
        <f t="shared" si="538"/>
        <v>621964.98905263108</v>
      </c>
      <c r="DV111" s="38">
        <f t="shared" si="538"/>
        <v>623332.16400650318</v>
      </c>
      <c r="DW111" s="38">
        <f t="shared" si="538"/>
        <v>643440.31912918622</v>
      </c>
      <c r="DX111" s="38">
        <f t="shared" si="538"/>
        <v>644848.50933167432</v>
      </c>
      <c r="DY111" s="38">
        <f t="shared" si="538"/>
        <v>629358.41710430477</v>
      </c>
      <c r="DZ111" s="38">
        <f t="shared" si="538"/>
        <v>630766.60730679298</v>
      </c>
      <c r="EA111" s="38">
        <f t="shared" si="538"/>
        <v>632174.79750928096</v>
      </c>
      <c r="EB111" s="38">
        <f t="shared" si="538"/>
        <v>633582.98771176918</v>
      </c>
      <c r="EC111" s="38">
        <f t="shared" si="538"/>
        <v>634991.17791425728</v>
      </c>
      <c r="ED111" s="38">
        <f t="shared" si="538"/>
        <v>636399.36811674549</v>
      </c>
      <c r="EE111" s="38">
        <f t="shared" si="538"/>
        <v>637807.55831923359</v>
      </c>
      <c r="EF111" s="38">
        <f t="shared" si="538"/>
        <v>639215.74852172181</v>
      </c>
      <c r="EG111" s="38">
        <f t="shared" si="538"/>
        <v>640623.93872421002</v>
      </c>
      <c r="EH111" s="38">
        <f t="shared" si="538"/>
        <v>642032.128926698</v>
      </c>
      <c r="EI111" s="38">
        <f t="shared" si="538"/>
        <v>662743.52870306198</v>
      </c>
      <c r="EJ111" s="38">
        <f t="shared" si="538"/>
        <v>664193.9646116246</v>
      </c>
      <c r="EK111" s="38">
        <f t="shared" si="538"/>
        <v>648239.16961743368</v>
      </c>
      <c r="EL111" s="38">
        <f>EL109+EL110</f>
        <v>649689.60552599665</v>
      </c>
      <c r="EM111" s="38">
        <f>EM109+EM110</f>
        <v>651140.04143455951</v>
      </c>
      <c r="EN111" s="38">
        <f>EN109+EN110</f>
        <v>652590.47734312213</v>
      </c>
      <c r="EP111" s="24"/>
      <c r="EQ111" s="24"/>
      <c r="ER111" s="24"/>
      <c r="ES111" s="24"/>
      <c r="ET111" s="24"/>
      <c r="EU111" s="33"/>
      <c r="EV111" s="24"/>
      <c r="EW111" s="24"/>
      <c r="EX111" s="24"/>
      <c r="EY111" s="24"/>
      <c r="EZ111" s="24"/>
      <c r="FA111" s="24"/>
      <c r="FB111" s="24"/>
      <c r="FC111" s="24"/>
      <c r="FD111" s="24"/>
      <c r="FE111" s="24"/>
      <c r="FF111" s="24"/>
      <c r="FG111" s="24"/>
      <c r="FH111" s="24"/>
      <c r="FI111" s="24"/>
      <c r="FJ111" s="24"/>
      <c r="FK111" s="24"/>
      <c r="FL111" s="24"/>
      <c r="FM111" s="24"/>
      <c r="FN111" s="24"/>
      <c r="FO111" s="24"/>
      <c r="FP111" s="24"/>
      <c r="FQ111" s="24"/>
      <c r="FR111" s="24"/>
      <c r="FS111" s="24"/>
      <c r="FT111" s="24"/>
      <c r="FU111" s="24"/>
      <c r="FV111" s="24"/>
      <c r="FW111" s="24"/>
      <c r="FX111" s="24"/>
      <c r="FY111" s="24"/>
      <c r="FZ111" s="24"/>
      <c r="GA111" s="24"/>
      <c r="GB111" s="24"/>
      <c r="GC111" s="24"/>
      <c r="GD111" s="24"/>
      <c r="GE111" s="24"/>
      <c r="GF111" s="24"/>
      <c r="GG111" s="24"/>
      <c r="GH111" s="24"/>
      <c r="GI111" s="24"/>
      <c r="GJ111" s="24"/>
      <c r="GK111" s="24"/>
      <c r="GL111" s="24"/>
      <c r="GM111" s="24"/>
      <c r="GN111" s="24"/>
      <c r="GO111" s="24"/>
      <c r="GP111" s="24"/>
      <c r="GQ111" s="24"/>
      <c r="GR111" s="24"/>
      <c r="GS111" s="24"/>
      <c r="GT111" s="24"/>
      <c r="GU111" s="24"/>
      <c r="GV111" s="24"/>
      <c r="GW111" s="24"/>
      <c r="GX111" s="24"/>
      <c r="GY111" s="24"/>
      <c r="GZ111" s="24"/>
      <c r="HA111" s="24"/>
      <c r="HB111" s="24"/>
      <c r="HC111" s="24"/>
      <c r="HD111" s="24"/>
      <c r="HE111" s="24"/>
      <c r="HF111" s="24"/>
      <c r="HG111" s="24"/>
      <c r="HH111" s="24"/>
      <c r="HI111" s="24"/>
      <c r="HJ111" s="24"/>
      <c r="HK111" s="24"/>
      <c r="HL111" s="24"/>
      <c r="HM111" s="24"/>
      <c r="HN111" s="24"/>
      <c r="HO111" s="24"/>
      <c r="HP111" s="24"/>
      <c r="HQ111" s="24"/>
      <c r="HR111" s="24"/>
      <c r="HS111" s="24"/>
      <c r="HT111" s="24"/>
      <c r="HU111" s="24"/>
      <c r="HV111" s="24"/>
      <c r="HW111" s="24"/>
      <c r="HX111" s="24"/>
      <c r="HY111" s="24"/>
      <c r="HZ111" s="24"/>
      <c r="IA111" s="24"/>
      <c r="IB111" s="24"/>
      <c r="IC111" s="24"/>
      <c r="ID111" s="24"/>
      <c r="IE111" s="24"/>
      <c r="IF111" s="24"/>
      <c r="IG111" s="24"/>
      <c r="IH111" s="24"/>
      <c r="II111" s="24"/>
      <c r="IJ111" s="24"/>
      <c r="IK111" s="24"/>
      <c r="IL111" s="24"/>
      <c r="IM111" s="24"/>
      <c r="IN111" s="24"/>
      <c r="IO111" s="24"/>
      <c r="IP111" s="24"/>
      <c r="IQ111" s="24"/>
      <c r="IR111" s="24"/>
      <c r="IS111" s="24"/>
      <c r="IT111" s="24"/>
      <c r="IU111" s="24"/>
      <c r="IV111" s="24"/>
      <c r="IW111" s="24"/>
      <c r="IX111" s="24"/>
      <c r="IY111" s="24"/>
      <c r="IZ111" s="24"/>
      <c r="JA111" s="24"/>
      <c r="JB111" s="24"/>
      <c r="JC111" s="24"/>
      <c r="JD111" s="24"/>
      <c r="JE111" s="24"/>
      <c r="JF111" s="24"/>
      <c r="JG111" s="24"/>
      <c r="JH111" s="24"/>
      <c r="JI111" s="24"/>
      <c r="JJ111" s="24"/>
      <c r="JK111" s="24"/>
      <c r="JL111" s="24"/>
      <c r="JM111" s="24"/>
      <c r="JN111" s="24"/>
      <c r="JO111" s="24"/>
      <c r="JP111" s="24"/>
      <c r="JQ111" s="24"/>
      <c r="JR111" s="24"/>
      <c r="JS111" s="24"/>
      <c r="JT111" s="24"/>
      <c r="JU111" s="24"/>
      <c r="JV111" s="24"/>
      <c r="JW111" s="24"/>
      <c r="JX111" s="24"/>
    </row>
    <row r="112" spans="1:284" s="7" customFormat="1" ht="4.9000000000000004" customHeight="1" x14ac:dyDescent="0.2">
      <c r="A112" s="406"/>
      <c r="B112" s="92"/>
      <c r="C112" s="120"/>
      <c r="D112" s="120"/>
      <c r="E112" s="120"/>
      <c r="F112" s="120"/>
      <c r="G112" s="120"/>
      <c r="H112" s="120"/>
      <c r="I112" s="123"/>
      <c r="EP112" s="24"/>
      <c r="EQ112" s="24"/>
      <c r="ER112" s="24"/>
      <c r="ES112" s="24"/>
      <c r="ET112" s="24"/>
      <c r="EU112" s="33"/>
      <c r="EV112" s="24"/>
      <c r="EW112" s="24"/>
      <c r="EX112" s="24"/>
      <c r="EY112" s="24"/>
      <c r="EZ112" s="24"/>
      <c r="FA112" s="24"/>
      <c r="FB112" s="24"/>
      <c r="FC112" s="24"/>
      <c r="FD112" s="24"/>
      <c r="FE112" s="24"/>
      <c r="FF112" s="24"/>
      <c r="FG112" s="24"/>
      <c r="FH112" s="24"/>
      <c r="FI112" s="24"/>
      <c r="FJ112" s="24"/>
      <c r="FK112" s="24"/>
      <c r="FL112" s="24"/>
      <c r="FM112" s="24"/>
      <c r="FN112" s="24"/>
      <c r="FO112" s="24"/>
      <c r="FP112" s="24"/>
      <c r="FQ112" s="24"/>
      <c r="FR112" s="24"/>
      <c r="FS112" s="24"/>
      <c r="FT112" s="24"/>
      <c r="FU112" s="24"/>
      <c r="FV112" s="24"/>
      <c r="FW112" s="24"/>
      <c r="FX112" s="24"/>
      <c r="FY112" s="24"/>
      <c r="FZ112" s="24"/>
      <c r="GA112" s="24"/>
      <c r="GB112" s="24"/>
      <c r="GC112" s="24"/>
      <c r="GD112" s="24"/>
      <c r="GE112" s="24"/>
      <c r="GF112" s="24"/>
      <c r="GG112" s="24"/>
      <c r="GH112" s="24"/>
      <c r="GI112" s="24"/>
      <c r="GJ112" s="24"/>
      <c r="GK112" s="24"/>
      <c r="GL112" s="24"/>
      <c r="GM112" s="24"/>
      <c r="GN112" s="24"/>
      <c r="GO112" s="24"/>
      <c r="GP112" s="24"/>
      <c r="GQ112" s="24"/>
      <c r="GR112" s="24"/>
      <c r="GS112" s="24"/>
      <c r="GT112" s="24"/>
      <c r="GU112" s="24"/>
      <c r="GV112" s="24"/>
      <c r="GW112" s="24"/>
      <c r="GX112" s="24"/>
      <c r="GY112" s="24"/>
      <c r="GZ112" s="24"/>
      <c r="HA112" s="24"/>
      <c r="HB112" s="24"/>
      <c r="HC112" s="24"/>
      <c r="HD112" s="24"/>
      <c r="HE112" s="24"/>
      <c r="HF112" s="24"/>
      <c r="HG112" s="24"/>
      <c r="HH112" s="24"/>
      <c r="HI112" s="24"/>
      <c r="HJ112" s="24"/>
      <c r="HK112" s="24"/>
      <c r="HL112" s="24"/>
      <c r="HM112" s="24"/>
      <c r="HN112" s="24"/>
      <c r="HO112" s="24"/>
      <c r="HP112" s="24"/>
      <c r="HQ112" s="24"/>
      <c r="HR112" s="24"/>
      <c r="HS112" s="24"/>
      <c r="HT112" s="24"/>
      <c r="HU112" s="24"/>
      <c r="HV112" s="24"/>
      <c r="HW112" s="24"/>
      <c r="HX112" s="24"/>
      <c r="HY112" s="24"/>
      <c r="HZ112" s="24"/>
      <c r="IA112" s="24"/>
      <c r="IB112" s="24"/>
      <c r="IC112" s="24"/>
      <c r="ID112" s="24"/>
      <c r="IE112" s="24"/>
      <c r="IF112" s="24"/>
      <c r="IG112" s="24"/>
      <c r="IH112" s="24"/>
      <c r="II112" s="24"/>
      <c r="IJ112" s="24"/>
      <c r="IK112" s="24"/>
      <c r="IL112" s="24"/>
      <c r="IM112" s="24"/>
      <c r="IN112" s="24"/>
      <c r="IO112" s="24"/>
      <c r="IP112" s="24"/>
      <c r="IQ112" s="24"/>
      <c r="IR112" s="24"/>
      <c r="IS112" s="24"/>
      <c r="IT112" s="24"/>
      <c r="IU112" s="24"/>
      <c r="IV112" s="24"/>
      <c r="IW112" s="24"/>
      <c r="IX112" s="24"/>
      <c r="IY112" s="24"/>
      <c r="IZ112" s="24"/>
      <c r="JA112" s="24"/>
      <c r="JB112" s="24"/>
      <c r="JC112" s="24"/>
      <c r="JD112" s="24"/>
      <c r="JE112" s="24"/>
      <c r="JF112" s="24"/>
      <c r="JG112" s="24"/>
      <c r="JH112" s="24"/>
      <c r="JI112" s="24"/>
      <c r="JJ112" s="24"/>
      <c r="JK112" s="24"/>
      <c r="JL112" s="24"/>
      <c r="JM112" s="24"/>
      <c r="JN112" s="24"/>
      <c r="JO112" s="24"/>
      <c r="JP112" s="24"/>
      <c r="JQ112" s="24"/>
      <c r="JR112" s="24"/>
      <c r="JS112" s="24"/>
      <c r="JT112" s="24"/>
      <c r="JU112" s="24"/>
      <c r="JV112" s="24"/>
      <c r="JW112" s="24"/>
      <c r="JX112" s="24"/>
    </row>
    <row r="113" spans="1:284" s="7" customFormat="1" x14ac:dyDescent="0.2">
      <c r="A113" s="406"/>
      <c r="B113" s="10" t="s">
        <v>152</v>
      </c>
      <c r="C113" s="66"/>
      <c r="D113" s="66"/>
      <c r="E113" s="66"/>
      <c r="F113" s="66"/>
      <c r="G113" s="66"/>
      <c r="H113" s="66"/>
      <c r="I113" s="81" t="str">
        <f>IF(OpEx_Underwriting_Type=1,"BASIC EXPENSE UNDERWRITING","DETAILED EXPENSE UNDERWRITING")</f>
        <v>BASIC EXPENSE UNDERWRITING</v>
      </c>
      <c r="EP113" s="24"/>
      <c r="EQ113" s="24"/>
      <c r="ER113" s="24"/>
      <c r="ES113" s="24"/>
      <c r="ET113" s="24"/>
      <c r="EU113" s="33" t="s">
        <v>525</v>
      </c>
      <c r="EV113" s="26"/>
      <c r="EW113" s="27">
        <f>ROUNDUP(EW114/12,0)</f>
        <v>0</v>
      </c>
      <c r="EX113" s="27">
        <f t="shared" ref="EX113:HI113" si="539">ROUNDUP(EX114/12,0)</f>
        <v>0</v>
      </c>
      <c r="EY113" s="27">
        <f t="shared" si="539"/>
        <v>0</v>
      </c>
      <c r="EZ113" s="27">
        <f t="shared" si="539"/>
        <v>0</v>
      </c>
      <c r="FA113" s="27">
        <f t="shared" si="539"/>
        <v>0</v>
      </c>
      <c r="FB113" s="27">
        <f t="shared" si="539"/>
        <v>0</v>
      </c>
      <c r="FC113" s="27">
        <f t="shared" si="539"/>
        <v>0</v>
      </c>
      <c r="FD113" s="27">
        <f t="shared" si="539"/>
        <v>0</v>
      </c>
      <c r="FE113" s="27">
        <f t="shared" si="539"/>
        <v>0</v>
      </c>
      <c r="FF113" s="27">
        <f t="shared" si="539"/>
        <v>0</v>
      </c>
      <c r="FG113" s="27">
        <f t="shared" si="539"/>
        <v>0</v>
      </c>
      <c r="FH113" s="27">
        <f t="shared" si="539"/>
        <v>0</v>
      </c>
      <c r="FI113" s="27">
        <f t="shared" si="539"/>
        <v>0</v>
      </c>
      <c r="FJ113" s="27">
        <f t="shared" si="539"/>
        <v>0</v>
      </c>
      <c r="FK113" s="27">
        <f t="shared" si="539"/>
        <v>0</v>
      </c>
      <c r="FL113" s="27">
        <f t="shared" si="539"/>
        <v>0</v>
      </c>
      <c r="FM113" s="27">
        <f t="shared" si="539"/>
        <v>0</v>
      </c>
      <c r="FN113" s="27">
        <f t="shared" si="539"/>
        <v>0</v>
      </c>
      <c r="FO113" s="27">
        <f t="shared" si="539"/>
        <v>1</v>
      </c>
      <c r="FP113" s="27">
        <f t="shared" si="539"/>
        <v>1</v>
      </c>
      <c r="FQ113" s="27">
        <f t="shared" si="539"/>
        <v>1</v>
      </c>
      <c r="FR113" s="27">
        <f t="shared" si="539"/>
        <v>1</v>
      </c>
      <c r="FS113" s="27">
        <f t="shared" si="539"/>
        <v>1</v>
      </c>
      <c r="FT113" s="27">
        <f t="shared" si="539"/>
        <v>1</v>
      </c>
      <c r="FU113" s="27">
        <f t="shared" si="539"/>
        <v>1</v>
      </c>
      <c r="FV113" s="27">
        <f t="shared" si="539"/>
        <v>1</v>
      </c>
      <c r="FW113" s="27">
        <f t="shared" si="539"/>
        <v>1</v>
      </c>
      <c r="FX113" s="27">
        <f t="shared" si="539"/>
        <v>1</v>
      </c>
      <c r="FY113" s="27">
        <f t="shared" si="539"/>
        <v>1</v>
      </c>
      <c r="FZ113" s="27">
        <f t="shared" si="539"/>
        <v>1</v>
      </c>
      <c r="GA113" s="27">
        <f t="shared" si="539"/>
        <v>2</v>
      </c>
      <c r="GB113" s="27">
        <f t="shared" si="539"/>
        <v>2</v>
      </c>
      <c r="GC113" s="27">
        <f t="shared" si="539"/>
        <v>2</v>
      </c>
      <c r="GD113" s="27">
        <f t="shared" si="539"/>
        <v>2</v>
      </c>
      <c r="GE113" s="27">
        <f t="shared" si="539"/>
        <v>2</v>
      </c>
      <c r="GF113" s="27">
        <f t="shared" si="539"/>
        <v>2</v>
      </c>
      <c r="GG113" s="27">
        <f t="shared" si="539"/>
        <v>2</v>
      </c>
      <c r="GH113" s="27">
        <f t="shared" si="539"/>
        <v>2</v>
      </c>
      <c r="GI113" s="27">
        <f t="shared" si="539"/>
        <v>2</v>
      </c>
      <c r="GJ113" s="27">
        <f t="shared" si="539"/>
        <v>2</v>
      </c>
      <c r="GK113" s="27">
        <f t="shared" si="539"/>
        <v>2</v>
      </c>
      <c r="GL113" s="27">
        <f t="shared" si="539"/>
        <v>2</v>
      </c>
      <c r="GM113" s="27">
        <f t="shared" si="539"/>
        <v>3</v>
      </c>
      <c r="GN113" s="27">
        <f t="shared" si="539"/>
        <v>3</v>
      </c>
      <c r="GO113" s="27">
        <f t="shared" si="539"/>
        <v>3</v>
      </c>
      <c r="GP113" s="27">
        <f t="shared" si="539"/>
        <v>3</v>
      </c>
      <c r="GQ113" s="27">
        <f t="shared" si="539"/>
        <v>3</v>
      </c>
      <c r="GR113" s="27">
        <f t="shared" si="539"/>
        <v>3</v>
      </c>
      <c r="GS113" s="27">
        <f t="shared" si="539"/>
        <v>3</v>
      </c>
      <c r="GT113" s="27">
        <f t="shared" si="539"/>
        <v>3</v>
      </c>
      <c r="GU113" s="27">
        <f t="shared" si="539"/>
        <v>3</v>
      </c>
      <c r="GV113" s="27">
        <f t="shared" si="539"/>
        <v>3</v>
      </c>
      <c r="GW113" s="27">
        <f t="shared" si="539"/>
        <v>3</v>
      </c>
      <c r="GX113" s="27">
        <f t="shared" si="539"/>
        <v>3</v>
      </c>
      <c r="GY113" s="27">
        <f t="shared" si="539"/>
        <v>4</v>
      </c>
      <c r="GZ113" s="27">
        <f t="shared" si="539"/>
        <v>4</v>
      </c>
      <c r="HA113" s="27">
        <f t="shared" si="539"/>
        <v>4</v>
      </c>
      <c r="HB113" s="27">
        <f t="shared" si="539"/>
        <v>4</v>
      </c>
      <c r="HC113" s="27">
        <f t="shared" si="539"/>
        <v>4</v>
      </c>
      <c r="HD113" s="27">
        <f t="shared" si="539"/>
        <v>4</v>
      </c>
      <c r="HE113" s="27">
        <f t="shared" si="539"/>
        <v>4</v>
      </c>
      <c r="HF113" s="27">
        <f t="shared" si="539"/>
        <v>4</v>
      </c>
      <c r="HG113" s="27">
        <f t="shared" si="539"/>
        <v>4</v>
      </c>
      <c r="HH113" s="27">
        <f t="shared" si="539"/>
        <v>4</v>
      </c>
      <c r="HI113" s="27">
        <f t="shared" si="539"/>
        <v>4</v>
      </c>
      <c r="HJ113" s="27">
        <f t="shared" ref="HJ113:JU113" si="540">ROUNDUP(HJ114/12,0)</f>
        <v>4</v>
      </c>
      <c r="HK113" s="27">
        <f t="shared" si="540"/>
        <v>5</v>
      </c>
      <c r="HL113" s="27">
        <f t="shared" si="540"/>
        <v>5</v>
      </c>
      <c r="HM113" s="27">
        <f t="shared" si="540"/>
        <v>5</v>
      </c>
      <c r="HN113" s="27">
        <f t="shared" si="540"/>
        <v>5</v>
      </c>
      <c r="HO113" s="27">
        <f t="shared" si="540"/>
        <v>5</v>
      </c>
      <c r="HP113" s="27">
        <f t="shared" si="540"/>
        <v>5</v>
      </c>
      <c r="HQ113" s="27">
        <f t="shared" si="540"/>
        <v>5</v>
      </c>
      <c r="HR113" s="27">
        <f t="shared" si="540"/>
        <v>5</v>
      </c>
      <c r="HS113" s="27">
        <f t="shared" si="540"/>
        <v>5</v>
      </c>
      <c r="HT113" s="27">
        <f t="shared" si="540"/>
        <v>5</v>
      </c>
      <c r="HU113" s="27">
        <f t="shared" si="540"/>
        <v>5</v>
      </c>
      <c r="HV113" s="27">
        <f t="shared" si="540"/>
        <v>5</v>
      </c>
      <c r="HW113" s="27">
        <f t="shared" si="540"/>
        <v>6</v>
      </c>
      <c r="HX113" s="27">
        <f t="shared" si="540"/>
        <v>6</v>
      </c>
      <c r="HY113" s="27">
        <f t="shared" si="540"/>
        <v>6</v>
      </c>
      <c r="HZ113" s="27">
        <f t="shared" si="540"/>
        <v>6</v>
      </c>
      <c r="IA113" s="27">
        <f t="shared" si="540"/>
        <v>6</v>
      </c>
      <c r="IB113" s="27">
        <f t="shared" si="540"/>
        <v>6</v>
      </c>
      <c r="IC113" s="27">
        <f t="shared" si="540"/>
        <v>6</v>
      </c>
      <c r="ID113" s="27">
        <f t="shared" si="540"/>
        <v>6</v>
      </c>
      <c r="IE113" s="27">
        <f t="shared" si="540"/>
        <v>6</v>
      </c>
      <c r="IF113" s="27">
        <f t="shared" si="540"/>
        <v>6</v>
      </c>
      <c r="IG113" s="27">
        <f t="shared" si="540"/>
        <v>6</v>
      </c>
      <c r="IH113" s="27">
        <f t="shared" si="540"/>
        <v>6</v>
      </c>
      <c r="II113" s="27">
        <f t="shared" si="540"/>
        <v>7</v>
      </c>
      <c r="IJ113" s="27">
        <f t="shared" si="540"/>
        <v>7</v>
      </c>
      <c r="IK113" s="27">
        <f t="shared" si="540"/>
        <v>7</v>
      </c>
      <c r="IL113" s="27">
        <f t="shared" si="540"/>
        <v>7</v>
      </c>
      <c r="IM113" s="27">
        <f t="shared" si="540"/>
        <v>7</v>
      </c>
      <c r="IN113" s="27">
        <f t="shared" si="540"/>
        <v>7</v>
      </c>
      <c r="IO113" s="27">
        <f t="shared" si="540"/>
        <v>7</v>
      </c>
      <c r="IP113" s="27">
        <f t="shared" si="540"/>
        <v>7</v>
      </c>
      <c r="IQ113" s="27">
        <f t="shared" si="540"/>
        <v>7</v>
      </c>
      <c r="IR113" s="27">
        <f t="shared" si="540"/>
        <v>7</v>
      </c>
      <c r="IS113" s="27">
        <f t="shared" si="540"/>
        <v>7</v>
      </c>
      <c r="IT113" s="27">
        <f t="shared" si="540"/>
        <v>7</v>
      </c>
      <c r="IU113" s="27">
        <f t="shared" si="540"/>
        <v>8</v>
      </c>
      <c r="IV113" s="27">
        <f t="shared" si="540"/>
        <v>8</v>
      </c>
      <c r="IW113" s="27">
        <f t="shared" si="540"/>
        <v>8</v>
      </c>
      <c r="IX113" s="27">
        <f t="shared" si="540"/>
        <v>8</v>
      </c>
      <c r="IY113" s="27">
        <f t="shared" si="540"/>
        <v>8</v>
      </c>
      <c r="IZ113" s="27">
        <f t="shared" si="540"/>
        <v>8</v>
      </c>
      <c r="JA113" s="27">
        <f t="shared" si="540"/>
        <v>8</v>
      </c>
      <c r="JB113" s="27">
        <f t="shared" si="540"/>
        <v>8</v>
      </c>
      <c r="JC113" s="27">
        <f t="shared" si="540"/>
        <v>8</v>
      </c>
      <c r="JD113" s="27">
        <f t="shared" si="540"/>
        <v>8</v>
      </c>
      <c r="JE113" s="27">
        <f t="shared" si="540"/>
        <v>8</v>
      </c>
      <c r="JF113" s="27">
        <f t="shared" si="540"/>
        <v>8</v>
      </c>
      <c r="JG113" s="27">
        <f t="shared" si="540"/>
        <v>9</v>
      </c>
      <c r="JH113" s="27">
        <f t="shared" si="540"/>
        <v>9</v>
      </c>
      <c r="JI113" s="27">
        <f t="shared" si="540"/>
        <v>9</v>
      </c>
      <c r="JJ113" s="27">
        <f t="shared" si="540"/>
        <v>9</v>
      </c>
      <c r="JK113" s="27">
        <f t="shared" si="540"/>
        <v>9</v>
      </c>
      <c r="JL113" s="27">
        <f t="shared" si="540"/>
        <v>9</v>
      </c>
      <c r="JM113" s="27">
        <f t="shared" si="540"/>
        <v>9</v>
      </c>
      <c r="JN113" s="27">
        <f t="shared" si="540"/>
        <v>9</v>
      </c>
      <c r="JO113" s="27">
        <f t="shared" si="540"/>
        <v>9</v>
      </c>
      <c r="JP113" s="27">
        <f t="shared" si="540"/>
        <v>9</v>
      </c>
      <c r="JQ113" s="27">
        <f t="shared" si="540"/>
        <v>9</v>
      </c>
      <c r="JR113" s="27">
        <f t="shared" si="540"/>
        <v>9</v>
      </c>
      <c r="JS113" s="27">
        <f t="shared" si="540"/>
        <v>10</v>
      </c>
      <c r="JT113" s="27">
        <f t="shared" si="540"/>
        <v>10</v>
      </c>
      <c r="JU113" s="27">
        <f t="shared" si="540"/>
        <v>10</v>
      </c>
      <c r="JV113" s="27">
        <f>ROUNDUP(JV114/12,0)</f>
        <v>10</v>
      </c>
      <c r="JW113" s="27">
        <f>ROUNDUP(JW114/12,0)</f>
        <v>10</v>
      </c>
      <c r="JX113" s="27">
        <f>ROUNDUP(JX114/12,0)</f>
        <v>10</v>
      </c>
    </row>
    <row r="114" spans="1:284" s="7" customFormat="1" x14ac:dyDescent="0.2">
      <c r="A114" s="406"/>
      <c r="B114" s="92" t="s">
        <v>153</v>
      </c>
      <c r="C114" s="120"/>
      <c r="D114" s="96">
        <v>0.03</v>
      </c>
      <c r="E114" s="462">
        <f>Timing_Growth_Begin_Income</f>
        <v>19</v>
      </c>
      <c r="F114" s="120"/>
      <c r="G114" s="93" t="s">
        <v>156</v>
      </c>
      <c r="H114" s="93"/>
      <c r="I114" s="149">
        <v>0.5</v>
      </c>
      <c r="EP114" s="24"/>
      <c r="EQ114" s="24"/>
      <c r="ER114" s="24"/>
      <c r="ES114" s="24"/>
      <c r="ET114" s="24"/>
      <c r="EU114" s="33" t="s">
        <v>523</v>
      </c>
      <c r="EV114" s="26"/>
      <c r="EW114" s="26">
        <f t="shared" ref="EW114:GB114" si="541">MAX(EW3-Timing_Growth_Begin_Expenses+1,0)</f>
        <v>0</v>
      </c>
      <c r="EX114" s="26">
        <f t="shared" si="541"/>
        <v>0</v>
      </c>
      <c r="EY114" s="26">
        <f t="shared" si="541"/>
        <v>0</v>
      </c>
      <c r="EZ114" s="26">
        <f t="shared" si="541"/>
        <v>0</v>
      </c>
      <c r="FA114" s="26">
        <f t="shared" si="541"/>
        <v>0</v>
      </c>
      <c r="FB114" s="26">
        <f t="shared" si="541"/>
        <v>0</v>
      </c>
      <c r="FC114" s="26">
        <f t="shared" si="541"/>
        <v>0</v>
      </c>
      <c r="FD114" s="26">
        <f t="shared" si="541"/>
        <v>0</v>
      </c>
      <c r="FE114" s="26">
        <f t="shared" si="541"/>
        <v>0</v>
      </c>
      <c r="FF114" s="26">
        <f t="shared" si="541"/>
        <v>0</v>
      </c>
      <c r="FG114" s="26">
        <f t="shared" si="541"/>
        <v>0</v>
      </c>
      <c r="FH114" s="26">
        <f t="shared" si="541"/>
        <v>0</v>
      </c>
      <c r="FI114" s="26">
        <f t="shared" si="541"/>
        <v>0</v>
      </c>
      <c r="FJ114" s="26">
        <f t="shared" si="541"/>
        <v>0</v>
      </c>
      <c r="FK114" s="26">
        <f t="shared" si="541"/>
        <v>0</v>
      </c>
      <c r="FL114" s="26">
        <f t="shared" si="541"/>
        <v>0</v>
      </c>
      <c r="FM114" s="26">
        <f t="shared" si="541"/>
        <v>0</v>
      </c>
      <c r="FN114" s="26">
        <f t="shared" si="541"/>
        <v>0</v>
      </c>
      <c r="FO114" s="26">
        <f t="shared" si="541"/>
        <v>1</v>
      </c>
      <c r="FP114" s="26">
        <f t="shared" si="541"/>
        <v>2</v>
      </c>
      <c r="FQ114" s="26">
        <f t="shared" si="541"/>
        <v>3</v>
      </c>
      <c r="FR114" s="26">
        <f t="shared" si="541"/>
        <v>4</v>
      </c>
      <c r="FS114" s="26">
        <f t="shared" si="541"/>
        <v>5</v>
      </c>
      <c r="FT114" s="26">
        <f t="shared" si="541"/>
        <v>6</v>
      </c>
      <c r="FU114" s="26">
        <f t="shared" si="541"/>
        <v>7</v>
      </c>
      <c r="FV114" s="26">
        <f t="shared" si="541"/>
        <v>8</v>
      </c>
      <c r="FW114" s="26">
        <f t="shared" si="541"/>
        <v>9</v>
      </c>
      <c r="FX114" s="26">
        <f t="shared" si="541"/>
        <v>10</v>
      </c>
      <c r="FY114" s="26">
        <f t="shared" si="541"/>
        <v>11</v>
      </c>
      <c r="FZ114" s="26">
        <f t="shared" si="541"/>
        <v>12</v>
      </c>
      <c r="GA114" s="26">
        <f t="shared" si="541"/>
        <v>13</v>
      </c>
      <c r="GB114" s="26">
        <f t="shared" si="541"/>
        <v>14</v>
      </c>
      <c r="GC114" s="26">
        <f t="shared" ref="GC114:HH114" si="542">MAX(GC3-Timing_Growth_Begin_Expenses+1,0)</f>
        <v>15</v>
      </c>
      <c r="GD114" s="26">
        <f t="shared" si="542"/>
        <v>16</v>
      </c>
      <c r="GE114" s="26">
        <f t="shared" si="542"/>
        <v>17</v>
      </c>
      <c r="GF114" s="26">
        <f t="shared" si="542"/>
        <v>18</v>
      </c>
      <c r="GG114" s="26">
        <f t="shared" si="542"/>
        <v>19</v>
      </c>
      <c r="GH114" s="26">
        <f t="shared" si="542"/>
        <v>20</v>
      </c>
      <c r="GI114" s="26">
        <f t="shared" si="542"/>
        <v>21</v>
      </c>
      <c r="GJ114" s="26">
        <f t="shared" si="542"/>
        <v>22</v>
      </c>
      <c r="GK114" s="26">
        <f t="shared" si="542"/>
        <v>23</v>
      </c>
      <c r="GL114" s="26">
        <f t="shared" si="542"/>
        <v>24</v>
      </c>
      <c r="GM114" s="26">
        <f t="shared" si="542"/>
        <v>25</v>
      </c>
      <c r="GN114" s="26">
        <f t="shared" si="542"/>
        <v>26</v>
      </c>
      <c r="GO114" s="26">
        <f t="shared" si="542"/>
        <v>27</v>
      </c>
      <c r="GP114" s="26">
        <f t="shared" si="542"/>
        <v>28</v>
      </c>
      <c r="GQ114" s="26">
        <f t="shared" si="542"/>
        <v>29</v>
      </c>
      <c r="GR114" s="26">
        <f t="shared" si="542"/>
        <v>30</v>
      </c>
      <c r="GS114" s="26">
        <f t="shared" si="542"/>
        <v>31</v>
      </c>
      <c r="GT114" s="26">
        <f t="shared" si="542"/>
        <v>32</v>
      </c>
      <c r="GU114" s="26">
        <f t="shared" si="542"/>
        <v>33</v>
      </c>
      <c r="GV114" s="26">
        <f t="shared" si="542"/>
        <v>34</v>
      </c>
      <c r="GW114" s="26">
        <f t="shared" si="542"/>
        <v>35</v>
      </c>
      <c r="GX114" s="26">
        <f t="shared" si="542"/>
        <v>36</v>
      </c>
      <c r="GY114" s="26">
        <f t="shared" si="542"/>
        <v>37</v>
      </c>
      <c r="GZ114" s="26">
        <f t="shared" si="542"/>
        <v>38</v>
      </c>
      <c r="HA114" s="26">
        <f t="shared" si="542"/>
        <v>39</v>
      </c>
      <c r="HB114" s="26">
        <f t="shared" si="542"/>
        <v>40</v>
      </c>
      <c r="HC114" s="26">
        <f t="shared" si="542"/>
        <v>41</v>
      </c>
      <c r="HD114" s="26">
        <f t="shared" si="542"/>
        <v>42</v>
      </c>
      <c r="HE114" s="26">
        <f t="shared" si="542"/>
        <v>43</v>
      </c>
      <c r="HF114" s="26">
        <f t="shared" si="542"/>
        <v>44</v>
      </c>
      <c r="HG114" s="26">
        <f t="shared" si="542"/>
        <v>45</v>
      </c>
      <c r="HH114" s="26">
        <f t="shared" si="542"/>
        <v>46</v>
      </c>
      <c r="HI114" s="26">
        <f t="shared" ref="HI114:IN114" si="543">MAX(HI3-Timing_Growth_Begin_Expenses+1,0)</f>
        <v>47</v>
      </c>
      <c r="HJ114" s="26">
        <f t="shared" si="543"/>
        <v>48</v>
      </c>
      <c r="HK114" s="26">
        <f t="shared" si="543"/>
        <v>49</v>
      </c>
      <c r="HL114" s="26">
        <f t="shared" si="543"/>
        <v>50</v>
      </c>
      <c r="HM114" s="26">
        <f t="shared" si="543"/>
        <v>51</v>
      </c>
      <c r="HN114" s="26">
        <f t="shared" si="543"/>
        <v>52</v>
      </c>
      <c r="HO114" s="26">
        <f t="shared" si="543"/>
        <v>53</v>
      </c>
      <c r="HP114" s="26">
        <f t="shared" si="543"/>
        <v>54</v>
      </c>
      <c r="HQ114" s="26">
        <f t="shared" si="543"/>
        <v>55</v>
      </c>
      <c r="HR114" s="26">
        <f t="shared" si="543"/>
        <v>56</v>
      </c>
      <c r="HS114" s="26">
        <f t="shared" si="543"/>
        <v>57</v>
      </c>
      <c r="HT114" s="26">
        <f t="shared" si="543"/>
        <v>58</v>
      </c>
      <c r="HU114" s="26">
        <f t="shared" si="543"/>
        <v>59</v>
      </c>
      <c r="HV114" s="26">
        <f t="shared" si="543"/>
        <v>60</v>
      </c>
      <c r="HW114" s="26">
        <f t="shared" si="543"/>
        <v>61</v>
      </c>
      <c r="HX114" s="26">
        <f t="shared" si="543"/>
        <v>62</v>
      </c>
      <c r="HY114" s="26">
        <f t="shared" si="543"/>
        <v>63</v>
      </c>
      <c r="HZ114" s="26">
        <f t="shared" si="543"/>
        <v>64</v>
      </c>
      <c r="IA114" s="26">
        <f t="shared" si="543"/>
        <v>65</v>
      </c>
      <c r="IB114" s="26">
        <f t="shared" si="543"/>
        <v>66</v>
      </c>
      <c r="IC114" s="26">
        <f t="shared" si="543"/>
        <v>67</v>
      </c>
      <c r="ID114" s="26">
        <f t="shared" si="543"/>
        <v>68</v>
      </c>
      <c r="IE114" s="26">
        <f t="shared" si="543"/>
        <v>69</v>
      </c>
      <c r="IF114" s="26">
        <f t="shared" si="543"/>
        <v>70</v>
      </c>
      <c r="IG114" s="26">
        <f t="shared" si="543"/>
        <v>71</v>
      </c>
      <c r="IH114" s="26">
        <f t="shared" si="543"/>
        <v>72</v>
      </c>
      <c r="II114" s="26">
        <f t="shared" si="543"/>
        <v>73</v>
      </c>
      <c r="IJ114" s="26">
        <f t="shared" si="543"/>
        <v>74</v>
      </c>
      <c r="IK114" s="26">
        <f t="shared" si="543"/>
        <v>75</v>
      </c>
      <c r="IL114" s="26">
        <f t="shared" si="543"/>
        <v>76</v>
      </c>
      <c r="IM114" s="26">
        <f t="shared" si="543"/>
        <v>77</v>
      </c>
      <c r="IN114" s="26">
        <f t="shared" si="543"/>
        <v>78</v>
      </c>
      <c r="IO114" s="26">
        <f t="shared" ref="IO114:JX114" si="544">MAX(IO3-Timing_Growth_Begin_Expenses+1,0)</f>
        <v>79</v>
      </c>
      <c r="IP114" s="26">
        <f t="shared" si="544"/>
        <v>80</v>
      </c>
      <c r="IQ114" s="26">
        <f t="shared" si="544"/>
        <v>81</v>
      </c>
      <c r="IR114" s="26">
        <f t="shared" si="544"/>
        <v>82</v>
      </c>
      <c r="IS114" s="26">
        <f t="shared" si="544"/>
        <v>83</v>
      </c>
      <c r="IT114" s="26">
        <f t="shared" si="544"/>
        <v>84</v>
      </c>
      <c r="IU114" s="26">
        <f t="shared" si="544"/>
        <v>85</v>
      </c>
      <c r="IV114" s="26">
        <f t="shared" si="544"/>
        <v>86</v>
      </c>
      <c r="IW114" s="26">
        <f t="shared" si="544"/>
        <v>87</v>
      </c>
      <c r="IX114" s="26">
        <f t="shared" si="544"/>
        <v>88</v>
      </c>
      <c r="IY114" s="26">
        <f t="shared" si="544"/>
        <v>89</v>
      </c>
      <c r="IZ114" s="26">
        <f t="shared" si="544"/>
        <v>90</v>
      </c>
      <c r="JA114" s="26">
        <f t="shared" si="544"/>
        <v>91</v>
      </c>
      <c r="JB114" s="26">
        <f t="shared" si="544"/>
        <v>92</v>
      </c>
      <c r="JC114" s="26">
        <f t="shared" si="544"/>
        <v>93</v>
      </c>
      <c r="JD114" s="26">
        <f t="shared" si="544"/>
        <v>94</v>
      </c>
      <c r="JE114" s="26">
        <f t="shared" si="544"/>
        <v>95</v>
      </c>
      <c r="JF114" s="26">
        <f t="shared" si="544"/>
        <v>96</v>
      </c>
      <c r="JG114" s="26">
        <f t="shared" si="544"/>
        <v>97</v>
      </c>
      <c r="JH114" s="26">
        <f t="shared" si="544"/>
        <v>98</v>
      </c>
      <c r="JI114" s="26">
        <f t="shared" si="544"/>
        <v>99</v>
      </c>
      <c r="JJ114" s="26">
        <f t="shared" si="544"/>
        <v>100</v>
      </c>
      <c r="JK114" s="26">
        <f t="shared" si="544"/>
        <v>101</v>
      </c>
      <c r="JL114" s="26">
        <f t="shared" si="544"/>
        <v>102</v>
      </c>
      <c r="JM114" s="26">
        <f t="shared" si="544"/>
        <v>103</v>
      </c>
      <c r="JN114" s="26">
        <f t="shared" si="544"/>
        <v>104</v>
      </c>
      <c r="JO114" s="26">
        <f t="shared" si="544"/>
        <v>105</v>
      </c>
      <c r="JP114" s="26">
        <f t="shared" si="544"/>
        <v>106</v>
      </c>
      <c r="JQ114" s="26">
        <f t="shared" si="544"/>
        <v>107</v>
      </c>
      <c r="JR114" s="26">
        <f t="shared" si="544"/>
        <v>108</v>
      </c>
      <c r="JS114" s="26">
        <f t="shared" si="544"/>
        <v>109</v>
      </c>
      <c r="JT114" s="26">
        <f t="shared" si="544"/>
        <v>110</v>
      </c>
      <c r="JU114" s="26">
        <f t="shared" si="544"/>
        <v>111</v>
      </c>
      <c r="JV114" s="26">
        <f t="shared" si="544"/>
        <v>112</v>
      </c>
      <c r="JW114" s="26">
        <f t="shared" si="544"/>
        <v>113</v>
      </c>
      <c r="JX114" s="26">
        <f t="shared" si="544"/>
        <v>114</v>
      </c>
    </row>
    <row r="115" spans="1:284" s="7" customFormat="1" x14ac:dyDescent="0.2">
      <c r="A115" s="406"/>
      <c r="B115" s="92"/>
      <c r="C115" s="120"/>
      <c r="D115" s="120"/>
      <c r="E115" s="120"/>
      <c r="F115" s="120"/>
      <c r="G115" s="93" t="s">
        <v>157</v>
      </c>
      <c r="H115" s="120"/>
      <c r="I115" s="149">
        <v>0.75</v>
      </c>
      <c r="EP115" s="24"/>
      <c r="EQ115" s="24"/>
      <c r="ER115" s="24"/>
      <c r="ES115" s="24"/>
      <c r="ET115" s="24"/>
      <c r="EU115" s="33" t="str">
        <f>K84</f>
        <v>Leased %</v>
      </c>
      <c r="EV115" s="60"/>
      <c r="EW115" s="60">
        <f t="shared" ref="EW115:GB115" si="545">M84</f>
        <v>0</v>
      </c>
      <c r="EX115" s="60">
        <f t="shared" si="545"/>
        <v>0</v>
      </c>
      <c r="EY115" s="60">
        <f t="shared" si="545"/>
        <v>0</v>
      </c>
      <c r="EZ115" s="60">
        <f t="shared" si="545"/>
        <v>0</v>
      </c>
      <c r="FA115" s="60">
        <f t="shared" si="545"/>
        <v>0</v>
      </c>
      <c r="FB115" s="60">
        <f t="shared" si="545"/>
        <v>0</v>
      </c>
      <c r="FC115" s="60">
        <f t="shared" si="545"/>
        <v>0</v>
      </c>
      <c r="FD115" s="60">
        <f t="shared" si="545"/>
        <v>0</v>
      </c>
      <c r="FE115" s="60">
        <f t="shared" si="545"/>
        <v>0</v>
      </c>
      <c r="FF115" s="60">
        <f t="shared" si="545"/>
        <v>0</v>
      </c>
      <c r="FG115" s="60">
        <f t="shared" si="545"/>
        <v>0</v>
      </c>
      <c r="FH115" s="60">
        <f t="shared" si="545"/>
        <v>0</v>
      </c>
      <c r="FI115" s="60">
        <f t="shared" si="545"/>
        <v>0</v>
      </c>
      <c r="FJ115" s="60">
        <f t="shared" si="545"/>
        <v>0</v>
      </c>
      <c r="FK115" s="60">
        <f t="shared" si="545"/>
        <v>0</v>
      </c>
      <c r="FL115" s="60">
        <f t="shared" si="545"/>
        <v>0</v>
      </c>
      <c r="FM115" s="60">
        <f t="shared" si="545"/>
        <v>0</v>
      </c>
      <c r="FN115" s="60">
        <f t="shared" si="545"/>
        <v>0</v>
      </c>
      <c r="FO115" s="60">
        <f t="shared" si="545"/>
        <v>9.9999999999999978E-2</v>
      </c>
      <c r="FP115" s="60">
        <f t="shared" si="545"/>
        <v>0.16666666666666663</v>
      </c>
      <c r="FQ115" s="60">
        <f t="shared" si="545"/>
        <v>0.23333333333333328</v>
      </c>
      <c r="FR115" s="60">
        <f t="shared" si="545"/>
        <v>0.30000000000000004</v>
      </c>
      <c r="FS115" s="60">
        <f t="shared" si="545"/>
        <v>0.3666666666666667</v>
      </c>
      <c r="FT115" s="60">
        <f t="shared" si="545"/>
        <v>0.43333333333333335</v>
      </c>
      <c r="FU115" s="60">
        <f t="shared" si="545"/>
        <v>0.5</v>
      </c>
      <c r="FV115" s="60">
        <f t="shared" si="545"/>
        <v>0.56666666666666665</v>
      </c>
      <c r="FW115" s="60">
        <f t="shared" si="545"/>
        <v>0.6333333333333333</v>
      </c>
      <c r="FX115" s="60">
        <f t="shared" si="545"/>
        <v>0.7</v>
      </c>
      <c r="FY115" s="60">
        <f t="shared" si="545"/>
        <v>0.76666666666666661</v>
      </c>
      <c r="FZ115" s="60">
        <f t="shared" si="545"/>
        <v>0.83333333333333337</v>
      </c>
      <c r="GA115" s="60">
        <f t="shared" si="545"/>
        <v>0.9</v>
      </c>
      <c r="GB115" s="60">
        <f t="shared" si="545"/>
        <v>0.96666666666666667</v>
      </c>
      <c r="GC115" s="60">
        <f t="shared" ref="GC115:HH115" si="546">AS84</f>
        <v>1</v>
      </c>
      <c r="GD115" s="60">
        <f t="shared" si="546"/>
        <v>1</v>
      </c>
      <c r="GE115" s="60">
        <f t="shared" si="546"/>
        <v>1</v>
      </c>
      <c r="GF115" s="60">
        <f t="shared" si="546"/>
        <v>1</v>
      </c>
      <c r="GG115" s="60">
        <f t="shared" si="546"/>
        <v>1</v>
      </c>
      <c r="GH115" s="60">
        <f t="shared" si="546"/>
        <v>1</v>
      </c>
      <c r="GI115" s="60">
        <f t="shared" si="546"/>
        <v>1</v>
      </c>
      <c r="GJ115" s="60">
        <f t="shared" si="546"/>
        <v>1</v>
      </c>
      <c r="GK115" s="60">
        <f t="shared" si="546"/>
        <v>1</v>
      </c>
      <c r="GL115" s="60">
        <f t="shared" si="546"/>
        <v>1</v>
      </c>
      <c r="GM115" s="60">
        <f t="shared" si="546"/>
        <v>1</v>
      </c>
      <c r="GN115" s="60">
        <f t="shared" si="546"/>
        <v>1</v>
      </c>
      <c r="GO115" s="60">
        <f t="shared" si="546"/>
        <v>1</v>
      </c>
      <c r="GP115" s="60">
        <f t="shared" si="546"/>
        <v>1</v>
      </c>
      <c r="GQ115" s="60">
        <f t="shared" si="546"/>
        <v>1</v>
      </c>
      <c r="GR115" s="60">
        <f t="shared" si="546"/>
        <v>1</v>
      </c>
      <c r="GS115" s="60">
        <f t="shared" si="546"/>
        <v>1</v>
      </c>
      <c r="GT115" s="60">
        <f t="shared" si="546"/>
        <v>1</v>
      </c>
      <c r="GU115" s="60">
        <f t="shared" si="546"/>
        <v>1</v>
      </c>
      <c r="GV115" s="60">
        <f t="shared" si="546"/>
        <v>1</v>
      </c>
      <c r="GW115" s="60">
        <f t="shared" si="546"/>
        <v>1</v>
      </c>
      <c r="GX115" s="60">
        <f t="shared" si="546"/>
        <v>1</v>
      </c>
      <c r="GY115" s="60">
        <f t="shared" si="546"/>
        <v>1</v>
      </c>
      <c r="GZ115" s="60">
        <f t="shared" si="546"/>
        <v>1</v>
      </c>
      <c r="HA115" s="60">
        <f t="shared" si="546"/>
        <v>1</v>
      </c>
      <c r="HB115" s="60">
        <f t="shared" si="546"/>
        <v>1</v>
      </c>
      <c r="HC115" s="60">
        <f t="shared" si="546"/>
        <v>1</v>
      </c>
      <c r="HD115" s="60">
        <f t="shared" si="546"/>
        <v>1</v>
      </c>
      <c r="HE115" s="60">
        <f t="shared" si="546"/>
        <v>1</v>
      </c>
      <c r="HF115" s="60">
        <f t="shared" si="546"/>
        <v>1</v>
      </c>
      <c r="HG115" s="60">
        <f t="shared" si="546"/>
        <v>1</v>
      </c>
      <c r="HH115" s="60">
        <f t="shared" si="546"/>
        <v>1</v>
      </c>
      <c r="HI115" s="60">
        <f t="shared" ref="HI115:IN115" si="547">BY84</f>
        <v>1</v>
      </c>
      <c r="HJ115" s="60">
        <f t="shared" si="547"/>
        <v>1</v>
      </c>
      <c r="HK115" s="60">
        <f t="shared" si="547"/>
        <v>1</v>
      </c>
      <c r="HL115" s="60">
        <f t="shared" si="547"/>
        <v>1</v>
      </c>
      <c r="HM115" s="60">
        <f t="shared" si="547"/>
        <v>1</v>
      </c>
      <c r="HN115" s="60">
        <f t="shared" si="547"/>
        <v>1</v>
      </c>
      <c r="HO115" s="60">
        <f t="shared" si="547"/>
        <v>1</v>
      </c>
      <c r="HP115" s="60">
        <f t="shared" si="547"/>
        <v>1</v>
      </c>
      <c r="HQ115" s="60">
        <f t="shared" si="547"/>
        <v>1</v>
      </c>
      <c r="HR115" s="60">
        <f t="shared" si="547"/>
        <v>1</v>
      </c>
      <c r="HS115" s="60">
        <f t="shared" si="547"/>
        <v>1</v>
      </c>
      <c r="HT115" s="60">
        <f t="shared" si="547"/>
        <v>1</v>
      </c>
      <c r="HU115" s="60">
        <f t="shared" si="547"/>
        <v>1</v>
      </c>
      <c r="HV115" s="60">
        <f t="shared" si="547"/>
        <v>1</v>
      </c>
      <c r="HW115" s="60">
        <f t="shared" si="547"/>
        <v>1</v>
      </c>
      <c r="HX115" s="60">
        <f t="shared" si="547"/>
        <v>1</v>
      </c>
      <c r="HY115" s="60">
        <f t="shared" si="547"/>
        <v>1</v>
      </c>
      <c r="HZ115" s="60">
        <f t="shared" si="547"/>
        <v>1</v>
      </c>
      <c r="IA115" s="60">
        <f t="shared" si="547"/>
        <v>1</v>
      </c>
      <c r="IB115" s="60">
        <f t="shared" si="547"/>
        <v>1</v>
      </c>
      <c r="IC115" s="60">
        <f t="shared" si="547"/>
        <v>1</v>
      </c>
      <c r="ID115" s="60">
        <f t="shared" si="547"/>
        <v>1</v>
      </c>
      <c r="IE115" s="60">
        <f t="shared" si="547"/>
        <v>1</v>
      </c>
      <c r="IF115" s="60">
        <f t="shared" si="547"/>
        <v>1</v>
      </c>
      <c r="IG115" s="60">
        <f t="shared" si="547"/>
        <v>1</v>
      </c>
      <c r="IH115" s="60">
        <f t="shared" si="547"/>
        <v>1</v>
      </c>
      <c r="II115" s="60">
        <f t="shared" si="547"/>
        <v>1</v>
      </c>
      <c r="IJ115" s="60">
        <f t="shared" si="547"/>
        <v>1</v>
      </c>
      <c r="IK115" s="60">
        <f t="shared" si="547"/>
        <v>1</v>
      </c>
      <c r="IL115" s="60">
        <f t="shared" si="547"/>
        <v>1</v>
      </c>
      <c r="IM115" s="60">
        <f t="shared" si="547"/>
        <v>1</v>
      </c>
      <c r="IN115" s="60">
        <f t="shared" si="547"/>
        <v>1</v>
      </c>
      <c r="IO115" s="60">
        <f t="shared" ref="IO115:JT115" si="548">DE84</f>
        <v>1</v>
      </c>
      <c r="IP115" s="60">
        <f t="shared" si="548"/>
        <v>1</v>
      </c>
      <c r="IQ115" s="60">
        <f t="shared" si="548"/>
        <v>1</v>
      </c>
      <c r="IR115" s="60">
        <f t="shared" si="548"/>
        <v>1</v>
      </c>
      <c r="IS115" s="60">
        <f t="shared" si="548"/>
        <v>1</v>
      </c>
      <c r="IT115" s="60">
        <f t="shared" si="548"/>
        <v>1</v>
      </c>
      <c r="IU115" s="60">
        <f t="shared" si="548"/>
        <v>1</v>
      </c>
      <c r="IV115" s="60">
        <f t="shared" si="548"/>
        <v>1</v>
      </c>
      <c r="IW115" s="60">
        <f t="shared" si="548"/>
        <v>1</v>
      </c>
      <c r="IX115" s="60">
        <f t="shared" si="548"/>
        <v>1</v>
      </c>
      <c r="IY115" s="60">
        <f t="shared" si="548"/>
        <v>1</v>
      </c>
      <c r="IZ115" s="60">
        <f t="shared" si="548"/>
        <v>1</v>
      </c>
      <c r="JA115" s="60">
        <f t="shared" si="548"/>
        <v>1</v>
      </c>
      <c r="JB115" s="60">
        <f t="shared" si="548"/>
        <v>1</v>
      </c>
      <c r="JC115" s="60">
        <f t="shared" si="548"/>
        <v>1</v>
      </c>
      <c r="JD115" s="60">
        <f t="shared" si="548"/>
        <v>1</v>
      </c>
      <c r="JE115" s="60">
        <f t="shared" si="548"/>
        <v>1</v>
      </c>
      <c r="JF115" s="60">
        <f t="shared" si="548"/>
        <v>1</v>
      </c>
      <c r="JG115" s="60">
        <f t="shared" si="548"/>
        <v>1</v>
      </c>
      <c r="JH115" s="60">
        <f t="shared" si="548"/>
        <v>1</v>
      </c>
      <c r="JI115" s="60">
        <f t="shared" si="548"/>
        <v>1</v>
      </c>
      <c r="JJ115" s="60">
        <f t="shared" si="548"/>
        <v>1</v>
      </c>
      <c r="JK115" s="60">
        <f t="shared" si="548"/>
        <v>1</v>
      </c>
      <c r="JL115" s="60">
        <f t="shared" si="548"/>
        <v>1</v>
      </c>
      <c r="JM115" s="60">
        <f t="shared" si="548"/>
        <v>1</v>
      </c>
      <c r="JN115" s="60">
        <f t="shared" si="548"/>
        <v>1</v>
      </c>
      <c r="JO115" s="60">
        <f t="shared" si="548"/>
        <v>1</v>
      </c>
      <c r="JP115" s="60">
        <f t="shared" si="548"/>
        <v>1</v>
      </c>
      <c r="JQ115" s="60">
        <f t="shared" si="548"/>
        <v>1</v>
      </c>
      <c r="JR115" s="60">
        <f t="shared" si="548"/>
        <v>1</v>
      </c>
      <c r="JS115" s="60">
        <f t="shared" si="548"/>
        <v>1</v>
      </c>
      <c r="JT115" s="60">
        <f t="shared" si="548"/>
        <v>1</v>
      </c>
      <c r="JU115" s="60">
        <f>EK84</f>
        <v>1</v>
      </c>
      <c r="JV115" s="60">
        <f>EL84</f>
        <v>1</v>
      </c>
      <c r="JW115" s="60">
        <f>EM84</f>
        <v>1</v>
      </c>
      <c r="JX115" s="60">
        <f>EN84</f>
        <v>1</v>
      </c>
    </row>
    <row r="116" spans="1:284" s="7" customFormat="1" x14ac:dyDescent="0.2">
      <c r="A116" s="406">
        <v>1</v>
      </c>
      <c r="B116" s="196" t="s">
        <v>223</v>
      </c>
      <c r="C116" s="82" t="s">
        <v>222</v>
      </c>
      <c r="D116" s="120"/>
      <c r="E116" s="120"/>
      <c r="F116" s="120"/>
      <c r="G116" s="93" t="s">
        <v>158</v>
      </c>
      <c r="H116" s="120"/>
      <c r="I116" s="149">
        <v>1</v>
      </c>
      <c r="AD116" s="63"/>
      <c r="AE116" s="38"/>
      <c r="EP116" s="24"/>
      <c r="EQ116" s="24"/>
      <c r="ER116" s="24"/>
      <c r="ES116" s="24"/>
      <c r="ET116" s="24"/>
      <c r="EU116" s="33" t="s">
        <v>98</v>
      </c>
      <c r="EV116" s="26"/>
      <c r="EW116" s="26">
        <f t="shared" ref="EW116:GB116" si="549">EW83</f>
        <v>0</v>
      </c>
      <c r="EX116" s="26">
        <f t="shared" si="549"/>
        <v>0</v>
      </c>
      <c r="EY116" s="26">
        <f t="shared" si="549"/>
        <v>0</v>
      </c>
      <c r="EZ116" s="26">
        <f t="shared" si="549"/>
        <v>0</v>
      </c>
      <c r="FA116" s="26">
        <f t="shared" si="549"/>
        <v>0</v>
      </c>
      <c r="FB116" s="26">
        <f t="shared" si="549"/>
        <v>0</v>
      </c>
      <c r="FC116" s="26">
        <f t="shared" si="549"/>
        <v>0</v>
      </c>
      <c r="FD116" s="26">
        <f t="shared" si="549"/>
        <v>0</v>
      </c>
      <c r="FE116" s="26">
        <f t="shared" si="549"/>
        <v>0</v>
      </c>
      <c r="FF116" s="26">
        <f t="shared" si="549"/>
        <v>0</v>
      </c>
      <c r="FG116" s="26">
        <f t="shared" si="549"/>
        <v>0</v>
      </c>
      <c r="FH116" s="26">
        <f t="shared" si="549"/>
        <v>0</v>
      </c>
      <c r="FI116" s="26">
        <f t="shared" si="549"/>
        <v>0</v>
      </c>
      <c r="FJ116" s="26">
        <f t="shared" si="549"/>
        <v>0</v>
      </c>
      <c r="FK116" s="26">
        <f t="shared" si="549"/>
        <v>0</v>
      </c>
      <c r="FL116" s="26">
        <f t="shared" si="549"/>
        <v>0</v>
      </c>
      <c r="FM116" s="26">
        <f t="shared" si="549"/>
        <v>0</v>
      </c>
      <c r="FN116" s="26">
        <f t="shared" si="549"/>
        <v>0</v>
      </c>
      <c r="FO116" s="26">
        <f t="shared" si="549"/>
        <v>1</v>
      </c>
      <c r="FP116" s="26">
        <f t="shared" si="549"/>
        <v>2</v>
      </c>
      <c r="FQ116" s="26">
        <f t="shared" si="549"/>
        <v>3</v>
      </c>
      <c r="FR116" s="26">
        <f t="shared" si="549"/>
        <v>4</v>
      </c>
      <c r="FS116" s="26">
        <f t="shared" si="549"/>
        <v>5</v>
      </c>
      <c r="FT116" s="26">
        <f t="shared" si="549"/>
        <v>6</v>
      </c>
      <c r="FU116" s="26">
        <f t="shared" si="549"/>
        <v>7</v>
      </c>
      <c r="FV116" s="26">
        <f t="shared" si="549"/>
        <v>8</v>
      </c>
      <c r="FW116" s="26">
        <f t="shared" si="549"/>
        <v>9</v>
      </c>
      <c r="FX116" s="26">
        <f t="shared" si="549"/>
        <v>10</v>
      </c>
      <c r="FY116" s="26">
        <f t="shared" si="549"/>
        <v>11</v>
      </c>
      <c r="FZ116" s="26">
        <f t="shared" si="549"/>
        <v>12</v>
      </c>
      <c r="GA116" s="26">
        <f t="shared" si="549"/>
        <v>13</v>
      </c>
      <c r="GB116" s="26">
        <f t="shared" si="549"/>
        <v>14</v>
      </c>
      <c r="GC116" s="26">
        <f t="shared" ref="GC116:HH116" si="550">GC83</f>
        <v>15</v>
      </c>
      <c r="GD116" s="26">
        <f t="shared" si="550"/>
        <v>16</v>
      </c>
      <c r="GE116" s="26">
        <f t="shared" si="550"/>
        <v>17</v>
      </c>
      <c r="GF116" s="26">
        <f t="shared" si="550"/>
        <v>18</v>
      </c>
      <c r="GG116" s="26">
        <f t="shared" si="550"/>
        <v>19</v>
      </c>
      <c r="GH116" s="26">
        <f t="shared" si="550"/>
        <v>20</v>
      </c>
      <c r="GI116" s="26">
        <f t="shared" si="550"/>
        <v>21</v>
      </c>
      <c r="GJ116" s="26">
        <f t="shared" si="550"/>
        <v>22</v>
      </c>
      <c r="GK116" s="26">
        <f t="shared" si="550"/>
        <v>23</v>
      </c>
      <c r="GL116" s="26">
        <f t="shared" si="550"/>
        <v>24</v>
      </c>
      <c r="GM116" s="26">
        <f t="shared" si="550"/>
        <v>25</v>
      </c>
      <c r="GN116" s="26">
        <f t="shared" si="550"/>
        <v>26</v>
      </c>
      <c r="GO116" s="26">
        <f t="shared" si="550"/>
        <v>27</v>
      </c>
      <c r="GP116" s="26">
        <f t="shared" si="550"/>
        <v>28</v>
      </c>
      <c r="GQ116" s="26">
        <f t="shared" si="550"/>
        <v>29</v>
      </c>
      <c r="GR116" s="26">
        <f t="shared" si="550"/>
        <v>30</v>
      </c>
      <c r="GS116" s="26">
        <f t="shared" si="550"/>
        <v>31</v>
      </c>
      <c r="GT116" s="26">
        <f t="shared" si="550"/>
        <v>32</v>
      </c>
      <c r="GU116" s="26">
        <f t="shared" si="550"/>
        <v>33</v>
      </c>
      <c r="GV116" s="26">
        <f t="shared" si="550"/>
        <v>34</v>
      </c>
      <c r="GW116" s="26">
        <f t="shared" si="550"/>
        <v>35</v>
      </c>
      <c r="GX116" s="26">
        <f t="shared" si="550"/>
        <v>36</v>
      </c>
      <c r="GY116" s="26">
        <f t="shared" si="550"/>
        <v>37</v>
      </c>
      <c r="GZ116" s="26">
        <f t="shared" si="550"/>
        <v>38</v>
      </c>
      <c r="HA116" s="26">
        <f t="shared" si="550"/>
        <v>39</v>
      </c>
      <c r="HB116" s="26">
        <f t="shared" si="550"/>
        <v>40</v>
      </c>
      <c r="HC116" s="26">
        <f t="shared" si="550"/>
        <v>41</v>
      </c>
      <c r="HD116" s="26">
        <f t="shared" si="550"/>
        <v>42</v>
      </c>
      <c r="HE116" s="26">
        <f t="shared" si="550"/>
        <v>43</v>
      </c>
      <c r="HF116" s="26">
        <f t="shared" si="550"/>
        <v>44</v>
      </c>
      <c r="HG116" s="26">
        <f t="shared" si="550"/>
        <v>45</v>
      </c>
      <c r="HH116" s="26">
        <f t="shared" si="550"/>
        <v>46</v>
      </c>
      <c r="HI116" s="26">
        <f t="shared" ref="HI116:IN116" si="551">HI83</f>
        <v>47</v>
      </c>
      <c r="HJ116" s="26">
        <f t="shared" si="551"/>
        <v>48</v>
      </c>
      <c r="HK116" s="26">
        <f t="shared" si="551"/>
        <v>49</v>
      </c>
      <c r="HL116" s="26">
        <f t="shared" si="551"/>
        <v>50</v>
      </c>
      <c r="HM116" s="26">
        <f t="shared" si="551"/>
        <v>51</v>
      </c>
      <c r="HN116" s="26">
        <f t="shared" si="551"/>
        <v>52</v>
      </c>
      <c r="HO116" s="26">
        <f t="shared" si="551"/>
        <v>53</v>
      </c>
      <c r="HP116" s="26">
        <f t="shared" si="551"/>
        <v>54</v>
      </c>
      <c r="HQ116" s="26">
        <f t="shared" si="551"/>
        <v>55</v>
      </c>
      <c r="HR116" s="26">
        <f t="shared" si="551"/>
        <v>56</v>
      </c>
      <c r="HS116" s="26">
        <f t="shared" si="551"/>
        <v>57</v>
      </c>
      <c r="HT116" s="26">
        <f t="shared" si="551"/>
        <v>58</v>
      </c>
      <c r="HU116" s="26">
        <f t="shared" si="551"/>
        <v>59</v>
      </c>
      <c r="HV116" s="26">
        <f t="shared" si="551"/>
        <v>60</v>
      </c>
      <c r="HW116" s="26">
        <f t="shared" si="551"/>
        <v>61</v>
      </c>
      <c r="HX116" s="26">
        <f t="shared" si="551"/>
        <v>62</v>
      </c>
      <c r="HY116" s="26">
        <f t="shared" si="551"/>
        <v>63</v>
      </c>
      <c r="HZ116" s="26">
        <f t="shared" si="551"/>
        <v>64</v>
      </c>
      <c r="IA116" s="26">
        <f t="shared" si="551"/>
        <v>65</v>
      </c>
      <c r="IB116" s="26">
        <f t="shared" si="551"/>
        <v>66</v>
      </c>
      <c r="IC116" s="26">
        <f t="shared" si="551"/>
        <v>67</v>
      </c>
      <c r="ID116" s="26">
        <f t="shared" si="551"/>
        <v>68</v>
      </c>
      <c r="IE116" s="26">
        <f t="shared" si="551"/>
        <v>69</v>
      </c>
      <c r="IF116" s="26">
        <f t="shared" si="551"/>
        <v>70</v>
      </c>
      <c r="IG116" s="26">
        <f t="shared" si="551"/>
        <v>71</v>
      </c>
      <c r="IH116" s="26">
        <f t="shared" si="551"/>
        <v>72</v>
      </c>
      <c r="II116" s="26">
        <f t="shared" si="551"/>
        <v>73</v>
      </c>
      <c r="IJ116" s="26">
        <f t="shared" si="551"/>
        <v>74</v>
      </c>
      <c r="IK116" s="26">
        <f t="shared" si="551"/>
        <v>75</v>
      </c>
      <c r="IL116" s="26">
        <f t="shared" si="551"/>
        <v>76</v>
      </c>
      <c r="IM116" s="26">
        <f t="shared" si="551"/>
        <v>77</v>
      </c>
      <c r="IN116" s="26">
        <f t="shared" si="551"/>
        <v>78</v>
      </c>
      <c r="IO116" s="26">
        <f t="shared" ref="IO116:JX116" si="552">IO83</f>
        <v>79</v>
      </c>
      <c r="IP116" s="26">
        <f t="shared" si="552"/>
        <v>80</v>
      </c>
      <c r="IQ116" s="26">
        <f t="shared" si="552"/>
        <v>81</v>
      </c>
      <c r="IR116" s="26">
        <f t="shared" si="552"/>
        <v>82</v>
      </c>
      <c r="IS116" s="26">
        <f t="shared" si="552"/>
        <v>83</v>
      </c>
      <c r="IT116" s="26">
        <f t="shared" si="552"/>
        <v>84</v>
      </c>
      <c r="IU116" s="26">
        <f t="shared" si="552"/>
        <v>85</v>
      </c>
      <c r="IV116" s="26">
        <f t="shared" si="552"/>
        <v>86</v>
      </c>
      <c r="IW116" s="26">
        <f t="shared" si="552"/>
        <v>87</v>
      </c>
      <c r="IX116" s="26">
        <f t="shared" si="552"/>
        <v>88</v>
      </c>
      <c r="IY116" s="26">
        <f t="shared" si="552"/>
        <v>89</v>
      </c>
      <c r="IZ116" s="26">
        <f t="shared" si="552"/>
        <v>90</v>
      </c>
      <c r="JA116" s="26">
        <f t="shared" si="552"/>
        <v>91</v>
      </c>
      <c r="JB116" s="26">
        <f t="shared" si="552"/>
        <v>92</v>
      </c>
      <c r="JC116" s="26">
        <f t="shared" si="552"/>
        <v>93</v>
      </c>
      <c r="JD116" s="26">
        <f t="shared" si="552"/>
        <v>94</v>
      </c>
      <c r="JE116" s="26">
        <f t="shared" si="552"/>
        <v>95</v>
      </c>
      <c r="JF116" s="26">
        <f t="shared" si="552"/>
        <v>96</v>
      </c>
      <c r="JG116" s="26">
        <f t="shared" si="552"/>
        <v>97</v>
      </c>
      <c r="JH116" s="26">
        <f t="shared" si="552"/>
        <v>98</v>
      </c>
      <c r="JI116" s="26">
        <f t="shared" si="552"/>
        <v>99</v>
      </c>
      <c r="JJ116" s="26">
        <f t="shared" si="552"/>
        <v>100</v>
      </c>
      <c r="JK116" s="26">
        <f t="shared" si="552"/>
        <v>101</v>
      </c>
      <c r="JL116" s="26">
        <f t="shared" si="552"/>
        <v>102</v>
      </c>
      <c r="JM116" s="26">
        <f t="shared" si="552"/>
        <v>103</v>
      </c>
      <c r="JN116" s="26">
        <f t="shared" si="552"/>
        <v>104</v>
      </c>
      <c r="JO116" s="26">
        <f t="shared" si="552"/>
        <v>105</v>
      </c>
      <c r="JP116" s="26">
        <f t="shared" si="552"/>
        <v>106</v>
      </c>
      <c r="JQ116" s="26">
        <f t="shared" si="552"/>
        <v>107</v>
      </c>
      <c r="JR116" s="26">
        <f t="shared" si="552"/>
        <v>108</v>
      </c>
      <c r="JS116" s="26">
        <f t="shared" si="552"/>
        <v>109</v>
      </c>
      <c r="JT116" s="26">
        <f t="shared" si="552"/>
        <v>110</v>
      </c>
      <c r="JU116" s="26">
        <f t="shared" si="552"/>
        <v>111</v>
      </c>
      <c r="JV116" s="26">
        <f t="shared" si="552"/>
        <v>112</v>
      </c>
      <c r="JW116" s="26">
        <f t="shared" si="552"/>
        <v>113</v>
      </c>
      <c r="JX116" s="26">
        <f t="shared" si="552"/>
        <v>114</v>
      </c>
    </row>
    <row r="117" spans="1:284" s="7" customFormat="1" x14ac:dyDescent="0.2">
      <c r="A117" s="406"/>
      <c r="B117" s="100" t="s">
        <v>135</v>
      </c>
      <c r="C117" s="120"/>
      <c r="D117" s="120"/>
      <c r="E117" s="102" t="s">
        <v>150</v>
      </c>
      <c r="F117" s="102"/>
      <c r="G117" s="102" t="s">
        <v>151</v>
      </c>
      <c r="H117" s="116" t="s">
        <v>130</v>
      </c>
      <c r="I117" s="102" t="s">
        <v>129</v>
      </c>
      <c r="K117" s="7" t="s">
        <v>489</v>
      </c>
      <c r="AD117" s="63"/>
      <c r="EP117" s="37" t="s">
        <v>135</v>
      </c>
      <c r="EQ117" s="24"/>
      <c r="ER117" s="34" t="s">
        <v>155</v>
      </c>
      <c r="ES117" s="24"/>
      <c r="ET117" s="24"/>
      <c r="EU117" s="33" t="s">
        <v>103</v>
      </c>
      <c r="EV117" s="61"/>
      <c r="EW117" s="61">
        <f t="shared" ref="EW117:GB117" si="553">EW89</f>
        <v>0</v>
      </c>
      <c r="EX117" s="61">
        <f t="shared" si="553"/>
        <v>0</v>
      </c>
      <c r="EY117" s="61">
        <f t="shared" si="553"/>
        <v>0</v>
      </c>
      <c r="EZ117" s="61">
        <f t="shared" si="553"/>
        <v>0</v>
      </c>
      <c r="FA117" s="61">
        <f t="shared" si="553"/>
        <v>0</v>
      </c>
      <c r="FB117" s="61">
        <f t="shared" si="553"/>
        <v>0</v>
      </c>
      <c r="FC117" s="61">
        <f t="shared" si="553"/>
        <v>0</v>
      </c>
      <c r="FD117" s="61">
        <f t="shared" si="553"/>
        <v>0</v>
      </c>
      <c r="FE117" s="61">
        <f t="shared" si="553"/>
        <v>0</v>
      </c>
      <c r="FF117" s="61">
        <f t="shared" si="553"/>
        <v>0</v>
      </c>
      <c r="FG117" s="61">
        <f t="shared" si="553"/>
        <v>0</v>
      </c>
      <c r="FH117" s="61">
        <f t="shared" si="553"/>
        <v>0</v>
      </c>
      <c r="FI117" s="61">
        <f t="shared" si="553"/>
        <v>0</v>
      </c>
      <c r="FJ117" s="61">
        <f t="shared" si="553"/>
        <v>0</v>
      </c>
      <c r="FK117" s="61">
        <f t="shared" si="553"/>
        <v>0</v>
      </c>
      <c r="FL117" s="61">
        <f t="shared" si="553"/>
        <v>0</v>
      </c>
      <c r="FM117" s="61">
        <f t="shared" si="553"/>
        <v>0</v>
      </c>
      <c r="FN117" s="61">
        <f t="shared" si="553"/>
        <v>0</v>
      </c>
      <c r="FO117" s="61">
        <f t="shared" si="553"/>
        <v>1</v>
      </c>
      <c r="FP117" s="61">
        <f t="shared" si="553"/>
        <v>1</v>
      </c>
      <c r="FQ117" s="61">
        <f t="shared" si="553"/>
        <v>1</v>
      </c>
      <c r="FR117" s="61">
        <f t="shared" si="553"/>
        <v>1</v>
      </c>
      <c r="FS117" s="61">
        <f t="shared" si="553"/>
        <v>1</v>
      </c>
      <c r="FT117" s="61">
        <f t="shared" si="553"/>
        <v>1</v>
      </c>
      <c r="FU117" s="61">
        <f t="shared" si="553"/>
        <v>1</v>
      </c>
      <c r="FV117" s="61">
        <f t="shared" si="553"/>
        <v>1</v>
      </c>
      <c r="FW117" s="61">
        <f t="shared" si="553"/>
        <v>1</v>
      </c>
      <c r="FX117" s="61">
        <f t="shared" si="553"/>
        <v>1</v>
      </c>
      <c r="FY117" s="61">
        <f t="shared" si="553"/>
        <v>1</v>
      </c>
      <c r="FZ117" s="61">
        <f t="shared" si="553"/>
        <v>1</v>
      </c>
      <c r="GA117" s="61">
        <f t="shared" si="553"/>
        <v>2</v>
      </c>
      <c r="GB117" s="61">
        <f t="shared" si="553"/>
        <v>2</v>
      </c>
      <c r="GC117" s="61">
        <f t="shared" ref="GC117:HH117" si="554">GC89</f>
        <v>2</v>
      </c>
      <c r="GD117" s="61">
        <f t="shared" si="554"/>
        <v>2</v>
      </c>
      <c r="GE117" s="61">
        <f t="shared" si="554"/>
        <v>2</v>
      </c>
      <c r="GF117" s="61">
        <f t="shared" si="554"/>
        <v>2</v>
      </c>
      <c r="GG117" s="61">
        <f t="shared" si="554"/>
        <v>2</v>
      </c>
      <c r="GH117" s="61">
        <f t="shared" si="554"/>
        <v>2</v>
      </c>
      <c r="GI117" s="61">
        <f t="shared" si="554"/>
        <v>2</v>
      </c>
      <c r="GJ117" s="61">
        <f t="shared" si="554"/>
        <v>2</v>
      </c>
      <c r="GK117" s="61">
        <f t="shared" si="554"/>
        <v>2</v>
      </c>
      <c r="GL117" s="61">
        <f t="shared" si="554"/>
        <v>2</v>
      </c>
      <c r="GM117" s="61">
        <f t="shared" si="554"/>
        <v>3</v>
      </c>
      <c r="GN117" s="61">
        <f t="shared" si="554"/>
        <v>3</v>
      </c>
      <c r="GO117" s="61">
        <f t="shared" si="554"/>
        <v>3</v>
      </c>
      <c r="GP117" s="61">
        <f t="shared" si="554"/>
        <v>3</v>
      </c>
      <c r="GQ117" s="61">
        <f t="shared" si="554"/>
        <v>3</v>
      </c>
      <c r="GR117" s="61">
        <f t="shared" si="554"/>
        <v>3</v>
      </c>
      <c r="GS117" s="61">
        <f t="shared" si="554"/>
        <v>3</v>
      </c>
      <c r="GT117" s="61">
        <f t="shared" si="554"/>
        <v>3</v>
      </c>
      <c r="GU117" s="61">
        <f t="shared" si="554"/>
        <v>3</v>
      </c>
      <c r="GV117" s="61">
        <f t="shared" si="554"/>
        <v>3</v>
      </c>
      <c r="GW117" s="61">
        <f t="shared" si="554"/>
        <v>3</v>
      </c>
      <c r="GX117" s="61">
        <f t="shared" si="554"/>
        <v>3</v>
      </c>
      <c r="GY117" s="61">
        <f t="shared" si="554"/>
        <v>4</v>
      </c>
      <c r="GZ117" s="61">
        <f t="shared" si="554"/>
        <v>4</v>
      </c>
      <c r="HA117" s="61">
        <f t="shared" si="554"/>
        <v>4</v>
      </c>
      <c r="HB117" s="61">
        <f t="shared" si="554"/>
        <v>4</v>
      </c>
      <c r="HC117" s="61">
        <f t="shared" si="554"/>
        <v>4</v>
      </c>
      <c r="HD117" s="61">
        <f t="shared" si="554"/>
        <v>4</v>
      </c>
      <c r="HE117" s="61">
        <f t="shared" si="554"/>
        <v>4</v>
      </c>
      <c r="HF117" s="61">
        <f t="shared" si="554"/>
        <v>4</v>
      </c>
      <c r="HG117" s="61">
        <f t="shared" si="554"/>
        <v>4</v>
      </c>
      <c r="HH117" s="61">
        <f t="shared" si="554"/>
        <v>4</v>
      </c>
      <c r="HI117" s="61">
        <f t="shared" ref="HI117:IN117" si="555">HI89</f>
        <v>4</v>
      </c>
      <c r="HJ117" s="61">
        <f t="shared" si="555"/>
        <v>4</v>
      </c>
      <c r="HK117" s="61">
        <f t="shared" si="555"/>
        <v>5</v>
      </c>
      <c r="HL117" s="61">
        <f t="shared" si="555"/>
        <v>5</v>
      </c>
      <c r="HM117" s="61">
        <f t="shared" si="555"/>
        <v>5</v>
      </c>
      <c r="HN117" s="61">
        <f t="shared" si="555"/>
        <v>5</v>
      </c>
      <c r="HO117" s="61">
        <f t="shared" si="555"/>
        <v>5</v>
      </c>
      <c r="HP117" s="61">
        <f t="shared" si="555"/>
        <v>5</v>
      </c>
      <c r="HQ117" s="61">
        <f t="shared" si="555"/>
        <v>5</v>
      </c>
      <c r="HR117" s="61">
        <f t="shared" si="555"/>
        <v>5</v>
      </c>
      <c r="HS117" s="61">
        <f t="shared" si="555"/>
        <v>5</v>
      </c>
      <c r="HT117" s="61">
        <f t="shared" si="555"/>
        <v>5</v>
      </c>
      <c r="HU117" s="61">
        <f t="shared" si="555"/>
        <v>5</v>
      </c>
      <c r="HV117" s="61">
        <f t="shared" si="555"/>
        <v>5</v>
      </c>
      <c r="HW117" s="61">
        <f t="shared" si="555"/>
        <v>6</v>
      </c>
      <c r="HX117" s="61">
        <f t="shared" si="555"/>
        <v>6</v>
      </c>
      <c r="HY117" s="61">
        <f t="shared" si="555"/>
        <v>6</v>
      </c>
      <c r="HZ117" s="61">
        <f t="shared" si="555"/>
        <v>6</v>
      </c>
      <c r="IA117" s="61">
        <f t="shared" si="555"/>
        <v>6</v>
      </c>
      <c r="IB117" s="61">
        <f t="shared" si="555"/>
        <v>6</v>
      </c>
      <c r="IC117" s="61">
        <f t="shared" si="555"/>
        <v>6</v>
      </c>
      <c r="ID117" s="61">
        <f t="shared" si="555"/>
        <v>6</v>
      </c>
      <c r="IE117" s="61">
        <f t="shared" si="555"/>
        <v>6</v>
      </c>
      <c r="IF117" s="61">
        <f t="shared" si="555"/>
        <v>6</v>
      </c>
      <c r="IG117" s="61">
        <f t="shared" si="555"/>
        <v>6</v>
      </c>
      <c r="IH117" s="61">
        <f t="shared" si="555"/>
        <v>6</v>
      </c>
      <c r="II117" s="61">
        <f t="shared" si="555"/>
        <v>7</v>
      </c>
      <c r="IJ117" s="61">
        <f t="shared" si="555"/>
        <v>7</v>
      </c>
      <c r="IK117" s="61">
        <f t="shared" si="555"/>
        <v>7</v>
      </c>
      <c r="IL117" s="61">
        <f t="shared" si="555"/>
        <v>7</v>
      </c>
      <c r="IM117" s="61">
        <f t="shared" si="555"/>
        <v>7</v>
      </c>
      <c r="IN117" s="61">
        <f t="shared" si="555"/>
        <v>7</v>
      </c>
      <c r="IO117" s="61">
        <f t="shared" ref="IO117:JX117" si="556">IO89</f>
        <v>7</v>
      </c>
      <c r="IP117" s="61">
        <f t="shared" si="556"/>
        <v>7</v>
      </c>
      <c r="IQ117" s="61">
        <f t="shared" si="556"/>
        <v>7</v>
      </c>
      <c r="IR117" s="61">
        <f t="shared" si="556"/>
        <v>7</v>
      </c>
      <c r="IS117" s="61">
        <f t="shared" si="556"/>
        <v>7</v>
      </c>
      <c r="IT117" s="61">
        <f t="shared" si="556"/>
        <v>7</v>
      </c>
      <c r="IU117" s="61">
        <f t="shared" si="556"/>
        <v>8</v>
      </c>
      <c r="IV117" s="61">
        <f t="shared" si="556"/>
        <v>8</v>
      </c>
      <c r="IW117" s="61">
        <f t="shared" si="556"/>
        <v>8</v>
      </c>
      <c r="IX117" s="61">
        <f t="shared" si="556"/>
        <v>8</v>
      </c>
      <c r="IY117" s="61">
        <f t="shared" si="556"/>
        <v>8</v>
      </c>
      <c r="IZ117" s="61">
        <f t="shared" si="556"/>
        <v>8</v>
      </c>
      <c r="JA117" s="61">
        <f t="shared" si="556"/>
        <v>8</v>
      </c>
      <c r="JB117" s="61">
        <f t="shared" si="556"/>
        <v>8</v>
      </c>
      <c r="JC117" s="61">
        <f t="shared" si="556"/>
        <v>8</v>
      </c>
      <c r="JD117" s="61">
        <f t="shared" si="556"/>
        <v>8</v>
      </c>
      <c r="JE117" s="61">
        <f t="shared" si="556"/>
        <v>8</v>
      </c>
      <c r="JF117" s="61">
        <f t="shared" si="556"/>
        <v>8</v>
      </c>
      <c r="JG117" s="61">
        <f t="shared" si="556"/>
        <v>9</v>
      </c>
      <c r="JH117" s="61">
        <f t="shared" si="556"/>
        <v>9</v>
      </c>
      <c r="JI117" s="61">
        <f t="shared" si="556"/>
        <v>9</v>
      </c>
      <c r="JJ117" s="61">
        <f t="shared" si="556"/>
        <v>9</v>
      </c>
      <c r="JK117" s="61">
        <f t="shared" si="556"/>
        <v>9</v>
      </c>
      <c r="JL117" s="61">
        <f t="shared" si="556"/>
        <v>9</v>
      </c>
      <c r="JM117" s="61">
        <f t="shared" si="556"/>
        <v>9</v>
      </c>
      <c r="JN117" s="61">
        <f t="shared" si="556"/>
        <v>9</v>
      </c>
      <c r="JO117" s="61">
        <f t="shared" si="556"/>
        <v>9</v>
      </c>
      <c r="JP117" s="61">
        <f t="shared" si="556"/>
        <v>9</v>
      </c>
      <c r="JQ117" s="61">
        <f t="shared" si="556"/>
        <v>9</v>
      </c>
      <c r="JR117" s="61">
        <f t="shared" si="556"/>
        <v>9</v>
      </c>
      <c r="JS117" s="61">
        <f t="shared" si="556"/>
        <v>10</v>
      </c>
      <c r="JT117" s="61">
        <f t="shared" si="556"/>
        <v>10</v>
      </c>
      <c r="JU117" s="61">
        <f t="shared" si="556"/>
        <v>10</v>
      </c>
      <c r="JV117" s="61">
        <f t="shared" si="556"/>
        <v>10</v>
      </c>
      <c r="JW117" s="61">
        <f t="shared" si="556"/>
        <v>10</v>
      </c>
      <c r="JX117" s="61">
        <f t="shared" si="556"/>
        <v>10</v>
      </c>
    </row>
    <row r="118" spans="1:284" s="7" customFormat="1" x14ac:dyDescent="0.2">
      <c r="A118" s="406"/>
      <c r="B118" s="141" t="s">
        <v>136</v>
      </c>
      <c r="C118" s="120"/>
      <c r="D118" s="120"/>
      <c r="E118" s="173">
        <v>1</v>
      </c>
      <c r="F118" s="173"/>
      <c r="G118" s="122">
        <f>I118/$I$111</f>
        <v>3.5196324350738939E-2</v>
      </c>
      <c r="H118" s="123">
        <f t="shared" ref="H118:H128" si="557">I118/Units</f>
        <v>716.66666666666663</v>
      </c>
      <c r="I118" s="124">
        <v>215000</v>
      </c>
      <c r="M118" s="38">
        <f t="shared" ref="M118:V124" si="558">(EW118+($I118/12*M$84*(1-$E118)))*(1+$D$114)^(EW$113-1)</f>
        <v>0</v>
      </c>
      <c r="N118" s="38">
        <f t="shared" si="558"/>
        <v>0</v>
      </c>
      <c r="O118" s="38">
        <f t="shared" si="558"/>
        <v>0</v>
      </c>
      <c r="P118" s="38">
        <f t="shared" si="558"/>
        <v>0</v>
      </c>
      <c r="Q118" s="38">
        <f t="shared" si="558"/>
        <v>0</v>
      </c>
      <c r="R118" s="38">
        <f t="shared" si="558"/>
        <v>0</v>
      </c>
      <c r="S118" s="38">
        <f t="shared" si="558"/>
        <v>0</v>
      </c>
      <c r="T118" s="38">
        <f t="shared" si="558"/>
        <v>0</v>
      </c>
      <c r="U118" s="38">
        <f t="shared" si="558"/>
        <v>0</v>
      </c>
      <c r="V118" s="38">
        <f t="shared" si="558"/>
        <v>0</v>
      </c>
      <c r="W118" s="38">
        <f t="shared" ref="W118:AF124" si="559">(FG118+($I118/12*W$84*(1-$E118)))*(1+$D$114)^(FG$113-1)</f>
        <v>0</v>
      </c>
      <c r="X118" s="38">
        <f t="shared" si="559"/>
        <v>0</v>
      </c>
      <c r="Y118" s="38">
        <f t="shared" si="559"/>
        <v>0</v>
      </c>
      <c r="Z118" s="38">
        <f t="shared" si="559"/>
        <v>0</v>
      </c>
      <c r="AA118" s="38">
        <f t="shared" si="559"/>
        <v>0</v>
      </c>
      <c r="AB118" s="38">
        <f t="shared" si="559"/>
        <v>0</v>
      </c>
      <c r="AC118" s="38">
        <f t="shared" si="559"/>
        <v>0</v>
      </c>
      <c r="AD118" s="38">
        <f t="shared" si="559"/>
        <v>0</v>
      </c>
      <c r="AE118" s="38">
        <f t="shared" si="559"/>
        <v>17916.666666666668</v>
      </c>
      <c r="AF118" s="38">
        <f t="shared" si="559"/>
        <v>17916.666666666668</v>
      </c>
      <c r="AG118" s="38">
        <f t="shared" ref="AG118:AP124" si="560">(FQ118+($I118/12*AG$84*(1-$E118)))*(1+$D$114)^(FQ$113-1)</f>
        <v>17916.666666666668</v>
      </c>
      <c r="AH118" s="38">
        <f t="shared" si="560"/>
        <v>17916.666666666668</v>
      </c>
      <c r="AI118" s="38">
        <f t="shared" si="560"/>
        <v>17916.666666666668</v>
      </c>
      <c r="AJ118" s="38">
        <f t="shared" si="560"/>
        <v>17916.666666666668</v>
      </c>
      <c r="AK118" s="38">
        <f t="shared" si="560"/>
        <v>17916.666666666668</v>
      </c>
      <c r="AL118" s="38">
        <f t="shared" si="560"/>
        <v>17916.666666666668</v>
      </c>
      <c r="AM118" s="38">
        <f t="shared" si="560"/>
        <v>17916.666666666668</v>
      </c>
      <c r="AN118" s="38">
        <f t="shared" si="560"/>
        <v>17916.666666666668</v>
      </c>
      <c r="AO118" s="38">
        <f t="shared" si="560"/>
        <v>17916.666666666668</v>
      </c>
      <c r="AP118" s="38">
        <f t="shared" si="560"/>
        <v>17916.666666666668</v>
      </c>
      <c r="AQ118" s="38">
        <f t="shared" ref="AQ118:AZ124" si="561">(GA118+($I118/12*AQ$84*(1-$E118)))*(1+$D$114)^(GA$113-1)</f>
        <v>18454.166666666668</v>
      </c>
      <c r="AR118" s="38">
        <f t="shared" si="561"/>
        <v>18454.166666666668</v>
      </c>
      <c r="AS118" s="38">
        <f t="shared" si="561"/>
        <v>18454.166666666668</v>
      </c>
      <c r="AT118" s="38">
        <f t="shared" si="561"/>
        <v>18454.166666666668</v>
      </c>
      <c r="AU118" s="38">
        <f t="shared" si="561"/>
        <v>18454.166666666668</v>
      </c>
      <c r="AV118" s="38">
        <f t="shared" si="561"/>
        <v>18454.166666666668</v>
      </c>
      <c r="AW118" s="38">
        <f t="shared" si="561"/>
        <v>18454.166666666668</v>
      </c>
      <c r="AX118" s="38">
        <f t="shared" si="561"/>
        <v>18454.166666666668</v>
      </c>
      <c r="AY118" s="38">
        <f t="shared" si="561"/>
        <v>18454.166666666668</v>
      </c>
      <c r="AZ118" s="38">
        <f t="shared" si="561"/>
        <v>18454.166666666668</v>
      </c>
      <c r="BA118" s="38">
        <f t="shared" ref="BA118:BJ124" si="562">(GK118+($I118/12*BA$84*(1-$E118)))*(1+$D$114)^(GK$113-1)</f>
        <v>18454.166666666668</v>
      </c>
      <c r="BB118" s="38">
        <f t="shared" si="562"/>
        <v>18454.166666666668</v>
      </c>
      <c r="BC118" s="38">
        <f t="shared" si="562"/>
        <v>19007.791666666668</v>
      </c>
      <c r="BD118" s="38">
        <f t="shared" si="562"/>
        <v>19007.791666666668</v>
      </c>
      <c r="BE118" s="38">
        <f t="shared" si="562"/>
        <v>19007.791666666668</v>
      </c>
      <c r="BF118" s="38">
        <f t="shared" si="562"/>
        <v>19007.791666666668</v>
      </c>
      <c r="BG118" s="38">
        <f t="shared" si="562"/>
        <v>19007.791666666668</v>
      </c>
      <c r="BH118" s="38">
        <f t="shared" si="562"/>
        <v>19007.791666666668</v>
      </c>
      <c r="BI118" s="38">
        <f t="shared" si="562"/>
        <v>19007.791666666668</v>
      </c>
      <c r="BJ118" s="38">
        <f t="shared" si="562"/>
        <v>19007.791666666668</v>
      </c>
      <c r="BK118" s="38">
        <f t="shared" ref="BK118:BT124" si="563">(GU118+($I118/12*BK$84*(1-$E118)))*(1+$D$114)^(GU$113-1)</f>
        <v>19007.791666666668</v>
      </c>
      <c r="BL118" s="38">
        <f t="shared" si="563"/>
        <v>19007.791666666668</v>
      </c>
      <c r="BM118" s="38">
        <f t="shared" si="563"/>
        <v>19007.791666666668</v>
      </c>
      <c r="BN118" s="38">
        <f t="shared" si="563"/>
        <v>19007.791666666668</v>
      </c>
      <c r="BO118" s="38">
        <f t="shared" si="563"/>
        <v>19578.025416666667</v>
      </c>
      <c r="BP118" s="38">
        <f t="shared" si="563"/>
        <v>19578.025416666667</v>
      </c>
      <c r="BQ118" s="38">
        <f t="shared" si="563"/>
        <v>19578.025416666667</v>
      </c>
      <c r="BR118" s="38">
        <f t="shared" si="563"/>
        <v>19578.025416666667</v>
      </c>
      <c r="BS118" s="38">
        <f t="shared" si="563"/>
        <v>19578.025416666667</v>
      </c>
      <c r="BT118" s="38">
        <f t="shared" si="563"/>
        <v>19578.025416666667</v>
      </c>
      <c r="BU118" s="38">
        <f t="shared" ref="BU118:CD124" si="564">(HE118+($I118/12*BU$84*(1-$E118)))*(1+$D$114)^(HE$113-1)</f>
        <v>19578.025416666667</v>
      </c>
      <c r="BV118" s="38">
        <f t="shared" si="564"/>
        <v>19578.025416666667</v>
      </c>
      <c r="BW118" s="38">
        <f t="shared" si="564"/>
        <v>19578.025416666667</v>
      </c>
      <c r="BX118" s="38">
        <f t="shared" si="564"/>
        <v>19578.025416666667</v>
      </c>
      <c r="BY118" s="38">
        <f t="shared" si="564"/>
        <v>19578.025416666667</v>
      </c>
      <c r="BZ118" s="38">
        <f t="shared" si="564"/>
        <v>19578.025416666667</v>
      </c>
      <c r="CA118" s="38">
        <f t="shared" si="564"/>
        <v>20165.366179166667</v>
      </c>
      <c r="CB118" s="38">
        <f t="shared" si="564"/>
        <v>20165.366179166667</v>
      </c>
      <c r="CC118" s="38">
        <f t="shared" si="564"/>
        <v>20165.366179166667</v>
      </c>
      <c r="CD118" s="38">
        <f t="shared" si="564"/>
        <v>20165.366179166667</v>
      </c>
      <c r="CE118" s="38">
        <f t="shared" ref="CE118:CN124" si="565">(HO118+($I118/12*CE$84*(1-$E118)))*(1+$D$114)^(HO$113-1)</f>
        <v>20165.366179166667</v>
      </c>
      <c r="CF118" s="38">
        <f t="shared" si="565"/>
        <v>20165.366179166667</v>
      </c>
      <c r="CG118" s="38">
        <f t="shared" si="565"/>
        <v>20165.366179166667</v>
      </c>
      <c r="CH118" s="38">
        <f t="shared" si="565"/>
        <v>20165.366179166667</v>
      </c>
      <c r="CI118" s="38">
        <f t="shared" si="565"/>
        <v>20165.366179166667</v>
      </c>
      <c r="CJ118" s="38">
        <f t="shared" si="565"/>
        <v>20165.366179166667</v>
      </c>
      <c r="CK118" s="38">
        <f t="shared" si="565"/>
        <v>20165.366179166667</v>
      </c>
      <c r="CL118" s="38">
        <f t="shared" si="565"/>
        <v>20165.366179166667</v>
      </c>
      <c r="CM118" s="38">
        <f t="shared" si="565"/>
        <v>20770.327164541664</v>
      </c>
      <c r="CN118" s="38">
        <f t="shared" si="565"/>
        <v>20770.327164541664</v>
      </c>
      <c r="CO118" s="38">
        <f t="shared" ref="CO118:CX124" si="566">(HY118+($I118/12*CO$84*(1-$E118)))*(1+$D$114)^(HY$113-1)</f>
        <v>20770.327164541664</v>
      </c>
      <c r="CP118" s="38">
        <f t="shared" si="566"/>
        <v>20770.327164541664</v>
      </c>
      <c r="CQ118" s="38">
        <f t="shared" si="566"/>
        <v>20770.327164541664</v>
      </c>
      <c r="CR118" s="38">
        <f t="shared" si="566"/>
        <v>20770.327164541664</v>
      </c>
      <c r="CS118" s="38">
        <f t="shared" si="566"/>
        <v>20770.327164541664</v>
      </c>
      <c r="CT118" s="38">
        <f t="shared" si="566"/>
        <v>20770.327164541664</v>
      </c>
      <c r="CU118" s="38">
        <f t="shared" si="566"/>
        <v>20770.327164541664</v>
      </c>
      <c r="CV118" s="38">
        <f t="shared" si="566"/>
        <v>20770.327164541664</v>
      </c>
      <c r="CW118" s="38">
        <f t="shared" si="566"/>
        <v>20770.327164541664</v>
      </c>
      <c r="CX118" s="38">
        <f t="shared" si="566"/>
        <v>20770.327164541664</v>
      </c>
      <c r="CY118" s="38">
        <f t="shared" ref="CY118:DH124" si="567">(II118+($I118/12*CY$84*(1-$E118)))*(1+$D$114)^(II$113-1)</f>
        <v>21393.436979477916</v>
      </c>
      <c r="CZ118" s="38">
        <f t="shared" si="567"/>
        <v>21393.436979477916</v>
      </c>
      <c r="DA118" s="38">
        <f t="shared" si="567"/>
        <v>21393.436979477916</v>
      </c>
      <c r="DB118" s="38">
        <f t="shared" si="567"/>
        <v>21393.436979477916</v>
      </c>
      <c r="DC118" s="38">
        <f t="shared" si="567"/>
        <v>21393.436979477916</v>
      </c>
      <c r="DD118" s="38">
        <f t="shared" si="567"/>
        <v>21393.436979477916</v>
      </c>
      <c r="DE118" s="38">
        <f t="shared" si="567"/>
        <v>21393.436979477916</v>
      </c>
      <c r="DF118" s="38">
        <f t="shared" si="567"/>
        <v>21393.436979477916</v>
      </c>
      <c r="DG118" s="38">
        <f t="shared" si="567"/>
        <v>21393.436979477916</v>
      </c>
      <c r="DH118" s="38">
        <f t="shared" si="567"/>
        <v>21393.436979477916</v>
      </c>
      <c r="DI118" s="38">
        <f t="shared" ref="DI118:DR124" si="568">(IS118+($I118/12*DI$84*(1-$E118)))*(1+$D$114)^(IS$113-1)</f>
        <v>21393.436979477916</v>
      </c>
      <c r="DJ118" s="38">
        <f t="shared" si="568"/>
        <v>21393.436979477916</v>
      </c>
      <c r="DK118" s="38">
        <f t="shared" si="568"/>
        <v>22035.240088862254</v>
      </c>
      <c r="DL118" s="38">
        <f t="shared" si="568"/>
        <v>22035.240088862254</v>
      </c>
      <c r="DM118" s="38">
        <f t="shared" si="568"/>
        <v>22035.240088862254</v>
      </c>
      <c r="DN118" s="38">
        <f t="shared" si="568"/>
        <v>22035.240088862254</v>
      </c>
      <c r="DO118" s="38">
        <f t="shared" si="568"/>
        <v>22035.240088862254</v>
      </c>
      <c r="DP118" s="38">
        <f t="shared" si="568"/>
        <v>22035.240088862254</v>
      </c>
      <c r="DQ118" s="38">
        <f t="shared" si="568"/>
        <v>22035.240088862254</v>
      </c>
      <c r="DR118" s="38">
        <f t="shared" si="568"/>
        <v>22035.240088862254</v>
      </c>
      <c r="DS118" s="38">
        <f t="shared" ref="DS118:EB124" si="569">(JC118+($I118/12*DS$84*(1-$E118)))*(1+$D$114)^(JC$113-1)</f>
        <v>22035.240088862254</v>
      </c>
      <c r="DT118" s="38">
        <f t="shared" si="569"/>
        <v>22035.240088862254</v>
      </c>
      <c r="DU118" s="38">
        <f t="shared" si="569"/>
        <v>22035.240088862254</v>
      </c>
      <c r="DV118" s="38">
        <f t="shared" si="569"/>
        <v>22035.240088862254</v>
      </c>
      <c r="DW118" s="38">
        <f t="shared" si="569"/>
        <v>22696.297291528121</v>
      </c>
      <c r="DX118" s="38">
        <f t="shared" si="569"/>
        <v>22696.297291528121</v>
      </c>
      <c r="DY118" s="38">
        <f t="shared" si="569"/>
        <v>22696.297291528121</v>
      </c>
      <c r="DZ118" s="38">
        <f t="shared" si="569"/>
        <v>22696.297291528121</v>
      </c>
      <c r="EA118" s="38">
        <f t="shared" si="569"/>
        <v>22696.297291528121</v>
      </c>
      <c r="EB118" s="38">
        <f t="shared" si="569"/>
        <v>22696.297291528121</v>
      </c>
      <c r="EC118" s="38">
        <f t="shared" ref="EC118:EL124" si="570">(JM118+($I118/12*EC$84*(1-$E118)))*(1+$D$114)^(JM$113-1)</f>
        <v>22696.297291528121</v>
      </c>
      <c r="ED118" s="38">
        <f t="shared" si="570"/>
        <v>22696.297291528121</v>
      </c>
      <c r="EE118" s="38">
        <f t="shared" si="570"/>
        <v>22696.297291528121</v>
      </c>
      <c r="EF118" s="38">
        <f t="shared" si="570"/>
        <v>22696.297291528121</v>
      </c>
      <c r="EG118" s="38">
        <f t="shared" si="570"/>
        <v>22696.297291528121</v>
      </c>
      <c r="EH118" s="38">
        <f t="shared" si="570"/>
        <v>22696.297291528121</v>
      </c>
      <c r="EI118" s="38">
        <f t="shared" si="570"/>
        <v>23377.186210273965</v>
      </c>
      <c r="EJ118" s="38">
        <f t="shared" si="570"/>
        <v>23377.186210273965</v>
      </c>
      <c r="EK118" s="38">
        <f t="shared" si="570"/>
        <v>23377.186210273965</v>
      </c>
      <c r="EL118" s="38">
        <f t="shared" si="570"/>
        <v>23377.186210273965</v>
      </c>
      <c r="EM118" s="38">
        <f t="shared" ref="EM118:EN124" si="571">(JW118+($I118/12*EM$84*(1-$E118)))*(1+$D$114)^(JW$113-1)</f>
        <v>23377.186210273965</v>
      </c>
      <c r="EN118" s="38">
        <f t="shared" si="571"/>
        <v>23377.186210273965</v>
      </c>
      <c r="EP118" s="24" t="s">
        <v>161</v>
      </c>
      <c r="EQ118" s="24"/>
      <c r="ER118" s="59">
        <f>E118</f>
        <v>1</v>
      </c>
      <c r="ES118" s="24"/>
      <c r="ET118" s="24"/>
      <c r="EU118" s="33"/>
      <c r="EV118" s="24" t="s">
        <v>159</v>
      </c>
      <c r="EW118" s="30">
        <f t="shared" ref="EW118:FL126" si="572">+IF(EW$3&lt;Timing_Operation_Begin_Month,0,$I118/12*$ER118)</f>
        <v>0</v>
      </c>
      <c r="EX118" s="30">
        <f t="shared" si="572"/>
        <v>0</v>
      </c>
      <c r="EY118" s="30">
        <f t="shared" si="572"/>
        <v>0</v>
      </c>
      <c r="EZ118" s="30">
        <f t="shared" si="572"/>
        <v>0</v>
      </c>
      <c r="FA118" s="30">
        <f t="shared" si="572"/>
        <v>0</v>
      </c>
      <c r="FB118" s="30">
        <f t="shared" si="572"/>
        <v>0</v>
      </c>
      <c r="FC118" s="30">
        <f t="shared" si="572"/>
        <v>0</v>
      </c>
      <c r="FD118" s="30">
        <f t="shared" si="572"/>
        <v>0</v>
      </c>
      <c r="FE118" s="30">
        <f t="shared" si="572"/>
        <v>0</v>
      </c>
      <c r="FF118" s="30">
        <f t="shared" si="572"/>
        <v>0</v>
      </c>
      <c r="FG118" s="30">
        <f t="shared" ref="FG118:FP124" si="573">+IF(FG$3&lt;Timing_Operation_Begin_Month,0,$I118/12*$ER118)</f>
        <v>0</v>
      </c>
      <c r="FH118" s="30">
        <f t="shared" si="573"/>
        <v>0</v>
      </c>
      <c r="FI118" s="30">
        <f t="shared" si="573"/>
        <v>0</v>
      </c>
      <c r="FJ118" s="30">
        <f t="shared" si="573"/>
        <v>0</v>
      </c>
      <c r="FK118" s="30">
        <f t="shared" si="573"/>
        <v>0</v>
      </c>
      <c r="FL118" s="30">
        <f t="shared" si="573"/>
        <v>0</v>
      </c>
      <c r="FM118" s="30">
        <f t="shared" si="573"/>
        <v>0</v>
      </c>
      <c r="FN118" s="30">
        <f t="shared" si="573"/>
        <v>0</v>
      </c>
      <c r="FO118" s="30">
        <f t="shared" si="573"/>
        <v>17916.666666666668</v>
      </c>
      <c r="FP118" s="30">
        <f t="shared" si="573"/>
        <v>17916.666666666668</v>
      </c>
      <c r="FQ118" s="30">
        <f t="shared" ref="FQ118:FZ124" si="574">+IF(FQ$3&lt;Timing_Operation_Begin_Month,0,$I118/12*$ER118)</f>
        <v>17916.666666666668</v>
      </c>
      <c r="FR118" s="30">
        <f t="shared" si="574"/>
        <v>17916.666666666668</v>
      </c>
      <c r="FS118" s="30">
        <f t="shared" si="574"/>
        <v>17916.666666666668</v>
      </c>
      <c r="FT118" s="30">
        <f t="shared" si="574"/>
        <v>17916.666666666668</v>
      </c>
      <c r="FU118" s="30">
        <f t="shared" si="574"/>
        <v>17916.666666666668</v>
      </c>
      <c r="FV118" s="30">
        <f t="shared" si="574"/>
        <v>17916.666666666668</v>
      </c>
      <c r="FW118" s="30">
        <f t="shared" si="574"/>
        <v>17916.666666666668</v>
      </c>
      <c r="FX118" s="30">
        <f t="shared" si="574"/>
        <v>17916.666666666668</v>
      </c>
      <c r="FY118" s="30">
        <f t="shared" si="574"/>
        <v>17916.666666666668</v>
      </c>
      <c r="FZ118" s="30">
        <f t="shared" si="574"/>
        <v>17916.666666666668</v>
      </c>
      <c r="GA118" s="30">
        <f t="shared" ref="GA118:GJ124" si="575">+IF(GA$3&lt;Timing_Operation_Begin_Month,0,$I118/12*$ER118)</f>
        <v>17916.666666666668</v>
      </c>
      <c r="GB118" s="30">
        <f t="shared" si="575"/>
        <v>17916.666666666668</v>
      </c>
      <c r="GC118" s="30">
        <f t="shared" si="575"/>
        <v>17916.666666666668</v>
      </c>
      <c r="GD118" s="30">
        <f t="shared" si="575"/>
        <v>17916.666666666668</v>
      </c>
      <c r="GE118" s="30">
        <f t="shared" si="575"/>
        <v>17916.666666666668</v>
      </c>
      <c r="GF118" s="30">
        <f t="shared" si="575"/>
        <v>17916.666666666668</v>
      </c>
      <c r="GG118" s="30">
        <f t="shared" si="575"/>
        <v>17916.666666666668</v>
      </c>
      <c r="GH118" s="30">
        <f t="shared" si="575"/>
        <v>17916.666666666668</v>
      </c>
      <c r="GI118" s="30">
        <f t="shared" si="575"/>
        <v>17916.666666666668</v>
      </c>
      <c r="GJ118" s="30">
        <f t="shared" si="575"/>
        <v>17916.666666666668</v>
      </c>
      <c r="GK118" s="30">
        <f t="shared" ref="GK118:GT124" si="576">+IF(GK$3&lt;Timing_Operation_Begin_Month,0,$I118/12*$ER118)</f>
        <v>17916.666666666668</v>
      </c>
      <c r="GL118" s="30">
        <f t="shared" si="576"/>
        <v>17916.666666666668</v>
      </c>
      <c r="GM118" s="30">
        <f t="shared" si="576"/>
        <v>17916.666666666668</v>
      </c>
      <c r="GN118" s="30">
        <f t="shared" si="576"/>
        <v>17916.666666666668</v>
      </c>
      <c r="GO118" s="30">
        <f t="shared" si="576"/>
        <v>17916.666666666668</v>
      </c>
      <c r="GP118" s="30">
        <f t="shared" si="576"/>
        <v>17916.666666666668</v>
      </c>
      <c r="GQ118" s="30">
        <f t="shared" si="576"/>
        <v>17916.666666666668</v>
      </c>
      <c r="GR118" s="30">
        <f t="shared" si="576"/>
        <v>17916.666666666668</v>
      </c>
      <c r="GS118" s="30">
        <f t="shared" si="576"/>
        <v>17916.666666666668</v>
      </c>
      <c r="GT118" s="30">
        <f t="shared" si="576"/>
        <v>17916.666666666668</v>
      </c>
      <c r="GU118" s="30">
        <f t="shared" ref="GU118:HD124" si="577">+IF(GU$3&lt;Timing_Operation_Begin_Month,0,$I118/12*$ER118)</f>
        <v>17916.666666666668</v>
      </c>
      <c r="GV118" s="30">
        <f t="shared" si="577"/>
        <v>17916.666666666668</v>
      </c>
      <c r="GW118" s="30">
        <f t="shared" si="577"/>
        <v>17916.666666666668</v>
      </c>
      <c r="GX118" s="30">
        <f t="shared" si="577"/>
        <v>17916.666666666668</v>
      </c>
      <c r="GY118" s="30">
        <f t="shared" si="577"/>
        <v>17916.666666666668</v>
      </c>
      <c r="GZ118" s="30">
        <f t="shared" si="577"/>
        <v>17916.666666666668</v>
      </c>
      <c r="HA118" s="30">
        <f t="shared" si="577"/>
        <v>17916.666666666668</v>
      </c>
      <c r="HB118" s="30">
        <f t="shared" si="577"/>
        <v>17916.666666666668</v>
      </c>
      <c r="HC118" s="30">
        <f t="shared" si="577"/>
        <v>17916.666666666668</v>
      </c>
      <c r="HD118" s="30">
        <f t="shared" si="577"/>
        <v>17916.666666666668</v>
      </c>
      <c r="HE118" s="30">
        <f t="shared" ref="HE118:HN124" si="578">+IF(HE$3&lt;Timing_Operation_Begin_Month,0,$I118/12*$ER118)</f>
        <v>17916.666666666668</v>
      </c>
      <c r="HF118" s="30">
        <f t="shared" si="578"/>
        <v>17916.666666666668</v>
      </c>
      <c r="HG118" s="30">
        <f t="shared" si="578"/>
        <v>17916.666666666668</v>
      </c>
      <c r="HH118" s="30">
        <f t="shared" si="578"/>
        <v>17916.666666666668</v>
      </c>
      <c r="HI118" s="30">
        <f t="shared" si="578"/>
        <v>17916.666666666668</v>
      </c>
      <c r="HJ118" s="30">
        <f t="shared" si="578"/>
        <v>17916.666666666668</v>
      </c>
      <c r="HK118" s="30">
        <f t="shared" si="578"/>
        <v>17916.666666666668</v>
      </c>
      <c r="HL118" s="30">
        <f t="shared" si="578"/>
        <v>17916.666666666668</v>
      </c>
      <c r="HM118" s="30">
        <f t="shared" si="578"/>
        <v>17916.666666666668</v>
      </c>
      <c r="HN118" s="30">
        <f t="shared" si="578"/>
        <v>17916.666666666668</v>
      </c>
      <c r="HO118" s="30">
        <f t="shared" ref="HO118:HX124" si="579">+IF(HO$3&lt;Timing_Operation_Begin_Month,0,$I118/12*$ER118)</f>
        <v>17916.666666666668</v>
      </c>
      <c r="HP118" s="30">
        <f t="shared" si="579"/>
        <v>17916.666666666668</v>
      </c>
      <c r="HQ118" s="30">
        <f t="shared" si="579"/>
        <v>17916.666666666668</v>
      </c>
      <c r="HR118" s="30">
        <f t="shared" si="579"/>
        <v>17916.666666666668</v>
      </c>
      <c r="HS118" s="30">
        <f t="shared" si="579"/>
        <v>17916.666666666668</v>
      </c>
      <c r="HT118" s="30">
        <f t="shared" si="579"/>
        <v>17916.666666666668</v>
      </c>
      <c r="HU118" s="30">
        <f t="shared" si="579"/>
        <v>17916.666666666668</v>
      </c>
      <c r="HV118" s="30">
        <f t="shared" si="579"/>
        <v>17916.666666666668</v>
      </c>
      <c r="HW118" s="30">
        <f t="shared" si="579"/>
        <v>17916.666666666668</v>
      </c>
      <c r="HX118" s="30">
        <f t="shared" si="579"/>
        <v>17916.666666666668</v>
      </c>
      <c r="HY118" s="30">
        <f t="shared" ref="HY118:IH124" si="580">+IF(HY$3&lt;Timing_Operation_Begin_Month,0,$I118/12*$ER118)</f>
        <v>17916.666666666668</v>
      </c>
      <c r="HZ118" s="30">
        <f t="shared" si="580"/>
        <v>17916.666666666668</v>
      </c>
      <c r="IA118" s="30">
        <f t="shared" si="580"/>
        <v>17916.666666666668</v>
      </c>
      <c r="IB118" s="30">
        <f t="shared" si="580"/>
        <v>17916.666666666668</v>
      </c>
      <c r="IC118" s="30">
        <f t="shared" si="580"/>
        <v>17916.666666666668</v>
      </c>
      <c r="ID118" s="30">
        <f t="shared" si="580"/>
        <v>17916.666666666668</v>
      </c>
      <c r="IE118" s="30">
        <f t="shared" si="580"/>
        <v>17916.666666666668</v>
      </c>
      <c r="IF118" s="30">
        <f t="shared" si="580"/>
        <v>17916.666666666668</v>
      </c>
      <c r="IG118" s="30">
        <f t="shared" si="580"/>
        <v>17916.666666666668</v>
      </c>
      <c r="IH118" s="30">
        <f t="shared" si="580"/>
        <v>17916.666666666668</v>
      </c>
      <c r="II118" s="30">
        <f t="shared" ref="II118:IR124" si="581">+IF(II$3&lt;Timing_Operation_Begin_Month,0,$I118/12*$ER118)</f>
        <v>17916.666666666668</v>
      </c>
      <c r="IJ118" s="30">
        <f t="shared" si="581"/>
        <v>17916.666666666668</v>
      </c>
      <c r="IK118" s="30">
        <f t="shared" si="581"/>
        <v>17916.666666666668</v>
      </c>
      <c r="IL118" s="30">
        <f t="shared" si="581"/>
        <v>17916.666666666668</v>
      </c>
      <c r="IM118" s="30">
        <f t="shared" si="581"/>
        <v>17916.666666666668</v>
      </c>
      <c r="IN118" s="30">
        <f t="shared" si="581"/>
        <v>17916.666666666668</v>
      </c>
      <c r="IO118" s="30">
        <f t="shared" si="581"/>
        <v>17916.666666666668</v>
      </c>
      <c r="IP118" s="30">
        <f t="shared" si="581"/>
        <v>17916.666666666668</v>
      </c>
      <c r="IQ118" s="30">
        <f t="shared" si="581"/>
        <v>17916.666666666668</v>
      </c>
      <c r="IR118" s="30">
        <f t="shared" si="581"/>
        <v>17916.666666666668</v>
      </c>
      <c r="IS118" s="30">
        <f t="shared" ref="IS118:JB124" si="582">+IF(IS$3&lt;Timing_Operation_Begin_Month,0,$I118/12*$ER118)</f>
        <v>17916.666666666668</v>
      </c>
      <c r="IT118" s="30">
        <f t="shared" si="582"/>
        <v>17916.666666666668</v>
      </c>
      <c r="IU118" s="30">
        <f t="shared" si="582"/>
        <v>17916.666666666668</v>
      </c>
      <c r="IV118" s="30">
        <f t="shared" si="582"/>
        <v>17916.666666666668</v>
      </c>
      <c r="IW118" s="30">
        <f t="shared" si="582"/>
        <v>17916.666666666668</v>
      </c>
      <c r="IX118" s="30">
        <f t="shared" si="582"/>
        <v>17916.666666666668</v>
      </c>
      <c r="IY118" s="30">
        <f t="shared" si="582"/>
        <v>17916.666666666668</v>
      </c>
      <c r="IZ118" s="30">
        <f t="shared" si="582"/>
        <v>17916.666666666668</v>
      </c>
      <c r="JA118" s="30">
        <f t="shared" si="582"/>
        <v>17916.666666666668</v>
      </c>
      <c r="JB118" s="30">
        <f t="shared" si="582"/>
        <v>17916.666666666668</v>
      </c>
      <c r="JC118" s="30">
        <f t="shared" ref="JC118:JL124" si="583">+IF(JC$3&lt;Timing_Operation_Begin_Month,0,$I118/12*$ER118)</f>
        <v>17916.666666666668</v>
      </c>
      <c r="JD118" s="30">
        <f t="shared" si="583"/>
        <v>17916.666666666668</v>
      </c>
      <c r="JE118" s="30">
        <f t="shared" si="583"/>
        <v>17916.666666666668</v>
      </c>
      <c r="JF118" s="30">
        <f t="shared" si="583"/>
        <v>17916.666666666668</v>
      </c>
      <c r="JG118" s="30">
        <f t="shared" si="583"/>
        <v>17916.666666666668</v>
      </c>
      <c r="JH118" s="30">
        <f t="shared" si="583"/>
        <v>17916.666666666668</v>
      </c>
      <c r="JI118" s="30">
        <f t="shared" si="583"/>
        <v>17916.666666666668</v>
      </c>
      <c r="JJ118" s="30">
        <f t="shared" si="583"/>
        <v>17916.666666666668</v>
      </c>
      <c r="JK118" s="30">
        <f t="shared" si="583"/>
        <v>17916.666666666668</v>
      </c>
      <c r="JL118" s="30">
        <f t="shared" si="583"/>
        <v>17916.666666666668</v>
      </c>
      <c r="JM118" s="30">
        <f t="shared" ref="JM118:JX124" si="584">+IF(JM$3&lt;Timing_Operation_Begin_Month,0,$I118/12*$ER118)</f>
        <v>17916.666666666668</v>
      </c>
      <c r="JN118" s="30">
        <f t="shared" si="584"/>
        <v>17916.666666666668</v>
      </c>
      <c r="JO118" s="30">
        <f t="shared" si="584"/>
        <v>17916.666666666668</v>
      </c>
      <c r="JP118" s="30">
        <f t="shared" si="584"/>
        <v>17916.666666666668</v>
      </c>
      <c r="JQ118" s="30">
        <f t="shared" si="584"/>
        <v>17916.666666666668</v>
      </c>
      <c r="JR118" s="30">
        <f t="shared" si="584"/>
        <v>17916.666666666668</v>
      </c>
      <c r="JS118" s="30">
        <f t="shared" si="584"/>
        <v>17916.666666666668</v>
      </c>
      <c r="JT118" s="30">
        <f t="shared" si="584"/>
        <v>17916.666666666668</v>
      </c>
      <c r="JU118" s="30">
        <f t="shared" si="584"/>
        <v>17916.666666666668</v>
      </c>
      <c r="JV118" s="30">
        <f t="shared" si="584"/>
        <v>17916.666666666668</v>
      </c>
      <c r="JW118" s="30">
        <f t="shared" si="584"/>
        <v>17916.666666666668</v>
      </c>
      <c r="JX118" s="30">
        <f t="shared" si="584"/>
        <v>17916.666666666668</v>
      </c>
    </row>
    <row r="119" spans="1:284" s="7" customFormat="1" x14ac:dyDescent="0.2">
      <c r="A119" s="406"/>
      <c r="B119" s="141" t="s">
        <v>137</v>
      </c>
      <c r="C119" s="120"/>
      <c r="D119" s="120"/>
      <c r="E119" s="173">
        <v>1</v>
      </c>
      <c r="F119" s="173"/>
      <c r="G119" s="122">
        <f t="shared" ref="G119:G128" si="585">I119/$I$111</f>
        <v>6.4679384888264899E-2</v>
      </c>
      <c r="H119" s="123">
        <f t="shared" si="557"/>
        <v>1317</v>
      </c>
      <c r="I119" s="124">
        <v>395100</v>
      </c>
      <c r="M119" s="38">
        <f t="shared" si="558"/>
        <v>0</v>
      </c>
      <c r="N119" s="38">
        <f t="shared" si="558"/>
        <v>0</v>
      </c>
      <c r="O119" s="38">
        <f t="shared" si="558"/>
        <v>0</v>
      </c>
      <c r="P119" s="38">
        <f t="shared" si="558"/>
        <v>0</v>
      </c>
      <c r="Q119" s="38">
        <f t="shared" si="558"/>
        <v>0</v>
      </c>
      <c r="R119" s="38">
        <f t="shared" si="558"/>
        <v>0</v>
      </c>
      <c r="S119" s="38">
        <f t="shared" si="558"/>
        <v>0</v>
      </c>
      <c r="T119" s="38">
        <f t="shared" si="558"/>
        <v>0</v>
      </c>
      <c r="U119" s="38">
        <f t="shared" si="558"/>
        <v>0</v>
      </c>
      <c r="V119" s="38">
        <f t="shared" si="558"/>
        <v>0</v>
      </c>
      <c r="W119" s="38">
        <f t="shared" si="559"/>
        <v>0</v>
      </c>
      <c r="X119" s="38">
        <f t="shared" si="559"/>
        <v>0</v>
      </c>
      <c r="Y119" s="38">
        <f t="shared" si="559"/>
        <v>0</v>
      </c>
      <c r="Z119" s="38">
        <f t="shared" si="559"/>
        <v>0</v>
      </c>
      <c r="AA119" s="38">
        <f t="shared" si="559"/>
        <v>0</v>
      </c>
      <c r="AB119" s="38">
        <f t="shared" si="559"/>
        <v>0</v>
      </c>
      <c r="AC119" s="38">
        <f t="shared" si="559"/>
        <v>0</v>
      </c>
      <c r="AD119" s="38">
        <f t="shared" si="559"/>
        <v>0</v>
      </c>
      <c r="AE119" s="38">
        <f t="shared" si="559"/>
        <v>32925</v>
      </c>
      <c r="AF119" s="38">
        <f t="shared" si="559"/>
        <v>32925</v>
      </c>
      <c r="AG119" s="38">
        <f t="shared" si="560"/>
        <v>32925</v>
      </c>
      <c r="AH119" s="38">
        <f t="shared" si="560"/>
        <v>32925</v>
      </c>
      <c r="AI119" s="38">
        <f t="shared" si="560"/>
        <v>32925</v>
      </c>
      <c r="AJ119" s="38">
        <f t="shared" si="560"/>
        <v>32925</v>
      </c>
      <c r="AK119" s="38">
        <f t="shared" si="560"/>
        <v>32925</v>
      </c>
      <c r="AL119" s="38">
        <f t="shared" si="560"/>
        <v>32925</v>
      </c>
      <c r="AM119" s="38">
        <f t="shared" si="560"/>
        <v>32925</v>
      </c>
      <c r="AN119" s="38">
        <f t="shared" si="560"/>
        <v>32925</v>
      </c>
      <c r="AO119" s="38">
        <f t="shared" si="560"/>
        <v>32925</v>
      </c>
      <c r="AP119" s="38">
        <f t="shared" si="560"/>
        <v>32925</v>
      </c>
      <c r="AQ119" s="38">
        <f t="shared" si="561"/>
        <v>33912.75</v>
      </c>
      <c r="AR119" s="38">
        <f t="shared" si="561"/>
        <v>33912.75</v>
      </c>
      <c r="AS119" s="38">
        <f t="shared" si="561"/>
        <v>33912.75</v>
      </c>
      <c r="AT119" s="38">
        <f t="shared" si="561"/>
        <v>33912.75</v>
      </c>
      <c r="AU119" s="38">
        <f t="shared" si="561"/>
        <v>33912.75</v>
      </c>
      <c r="AV119" s="38">
        <f t="shared" si="561"/>
        <v>33912.75</v>
      </c>
      <c r="AW119" s="38">
        <f t="shared" si="561"/>
        <v>33912.75</v>
      </c>
      <c r="AX119" s="38">
        <f t="shared" si="561"/>
        <v>33912.75</v>
      </c>
      <c r="AY119" s="38">
        <f t="shared" si="561"/>
        <v>33912.75</v>
      </c>
      <c r="AZ119" s="38">
        <f t="shared" si="561"/>
        <v>33912.75</v>
      </c>
      <c r="BA119" s="38">
        <f t="shared" si="562"/>
        <v>33912.75</v>
      </c>
      <c r="BB119" s="38">
        <f t="shared" si="562"/>
        <v>33912.75</v>
      </c>
      <c r="BC119" s="38">
        <f t="shared" si="562"/>
        <v>34930.1325</v>
      </c>
      <c r="BD119" s="38">
        <f t="shared" si="562"/>
        <v>34930.1325</v>
      </c>
      <c r="BE119" s="38">
        <f t="shared" si="562"/>
        <v>34930.1325</v>
      </c>
      <c r="BF119" s="38">
        <f t="shared" si="562"/>
        <v>34930.1325</v>
      </c>
      <c r="BG119" s="38">
        <f t="shared" si="562"/>
        <v>34930.1325</v>
      </c>
      <c r="BH119" s="38">
        <f t="shared" si="562"/>
        <v>34930.1325</v>
      </c>
      <c r="BI119" s="38">
        <f t="shared" si="562"/>
        <v>34930.1325</v>
      </c>
      <c r="BJ119" s="38">
        <f t="shared" si="562"/>
        <v>34930.1325</v>
      </c>
      <c r="BK119" s="38">
        <f t="shared" si="563"/>
        <v>34930.1325</v>
      </c>
      <c r="BL119" s="38">
        <f t="shared" si="563"/>
        <v>34930.1325</v>
      </c>
      <c r="BM119" s="38">
        <f t="shared" si="563"/>
        <v>34930.1325</v>
      </c>
      <c r="BN119" s="38">
        <f t="shared" si="563"/>
        <v>34930.1325</v>
      </c>
      <c r="BO119" s="38">
        <f t="shared" si="563"/>
        <v>35978.036475000001</v>
      </c>
      <c r="BP119" s="38">
        <f t="shared" si="563"/>
        <v>35978.036475000001</v>
      </c>
      <c r="BQ119" s="38">
        <f t="shared" si="563"/>
        <v>35978.036475000001</v>
      </c>
      <c r="BR119" s="38">
        <f t="shared" si="563"/>
        <v>35978.036475000001</v>
      </c>
      <c r="BS119" s="38">
        <f t="shared" si="563"/>
        <v>35978.036475000001</v>
      </c>
      <c r="BT119" s="38">
        <f t="shared" si="563"/>
        <v>35978.036475000001</v>
      </c>
      <c r="BU119" s="38">
        <f t="shared" si="564"/>
        <v>35978.036475000001</v>
      </c>
      <c r="BV119" s="38">
        <f t="shared" si="564"/>
        <v>35978.036475000001</v>
      </c>
      <c r="BW119" s="38">
        <f t="shared" si="564"/>
        <v>35978.036475000001</v>
      </c>
      <c r="BX119" s="38">
        <f t="shared" si="564"/>
        <v>35978.036475000001</v>
      </c>
      <c r="BY119" s="38">
        <f t="shared" si="564"/>
        <v>35978.036475000001</v>
      </c>
      <c r="BZ119" s="38">
        <f t="shared" si="564"/>
        <v>35978.036475000001</v>
      </c>
      <c r="CA119" s="38">
        <f t="shared" si="564"/>
        <v>37057.377569249998</v>
      </c>
      <c r="CB119" s="38">
        <f t="shared" si="564"/>
        <v>37057.377569249998</v>
      </c>
      <c r="CC119" s="38">
        <f t="shared" si="564"/>
        <v>37057.377569249998</v>
      </c>
      <c r="CD119" s="38">
        <f t="shared" si="564"/>
        <v>37057.377569249998</v>
      </c>
      <c r="CE119" s="38">
        <f t="shared" si="565"/>
        <v>37057.377569249998</v>
      </c>
      <c r="CF119" s="38">
        <f t="shared" si="565"/>
        <v>37057.377569249998</v>
      </c>
      <c r="CG119" s="38">
        <f t="shared" si="565"/>
        <v>37057.377569249998</v>
      </c>
      <c r="CH119" s="38">
        <f t="shared" si="565"/>
        <v>37057.377569249998</v>
      </c>
      <c r="CI119" s="38">
        <f t="shared" si="565"/>
        <v>37057.377569249998</v>
      </c>
      <c r="CJ119" s="38">
        <f t="shared" si="565"/>
        <v>37057.377569249998</v>
      </c>
      <c r="CK119" s="38">
        <f t="shared" si="565"/>
        <v>37057.377569249998</v>
      </c>
      <c r="CL119" s="38">
        <f t="shared" si="565"/>
        <v>37057.377569249998</v>
      </c>
      <c r="CM119" s="38">
        <f t="shared" si="565"/>
        <v>38169.098896327494</v>
      </c>
      <c r="CN119" s="38">
        <f t="shared" si="565"/>
        <v>38169.098896327494</v>
      </c>
      <c r="CO119" s="38">
        <f t="shared" si="566"/>
        <v>38169.098896327494</v>
      </c>
      <c r="CP119" s="38">
        <f t="shared" si="566"/>
        <v>38169.098896327494</v>
      </c>
      <c r="CQ119" s="38">
        <f t="shared" si="566"/>
        <v>38169.098896327494</v>
      </c>
      <c r="CR119" s="38">
        <f t="shared" si="566"/>
        <v>38169.098896327494</v>
      </c>
      <c r="CS119" s="38">
        <f t="shared" si="566"/>
        <v>38169.098896327494</v>
      </c>
      <c r="CT119" s="38">
        <f t="shared" si="566"/>
        <v>38169.098896327494</v>
      </c>
      <c r="CU119" s="38">
        <f t="shared" si="566"/>
        <v>38169.098896327494</v>
      </c>
      <c r="CV119" s="38">
        <f t="shared" si="566"/>
        <v>38169.098896327494</v>
      </c>
      <c r="CW119" s="38">
        <f t="shared" si="566"/>
        <v>38169.098896327494</v>
      </c>
      <c r="CX119" s="38">
        <f t="shared" si="566"/>
        <v>38169.098896327494</v>
      </c>
      <c r="CY119" s="38">
        <f t="shared" si="567"/>
        <v>39314.171863217322</v>
      </c>
      <c r="CZ119" s="38">
        <f t="shared" si="567"/>
        <v>39314.171863217322</v>
      </c>
      <c r="DA119" s="38">
        <f t="shared" si="567"/>
        <v>39314.171863217322</v>
      </c>
      <c r="DB119" s="38">
        <f t="shared" si="567"/>
        <v>39314.171863217322</v>
      </c>
      <c r="DC119" s="38">
        <f t="shared" si="567"/>
        <v>39314.171863217322</v>
      </c>
      <c r="DD119" s="38">
        <f t="shared" si="567"/>
        <v>39314.171863217322</v>
      </c>
      <c r="DE119" s="38">
        <f t="shared" si="567"/>
        <v>39314.171863217322</v>
      </c>
      <c r="DF119" s="38">
        <f t="shared" si="567"/>
        <v>39314.171863217322</v>
      </c>
      <c r="DG119" s="38">
        <f t="shared" si="567"/>
        <v>39314.171863217322</v>
      </c>
      <c r="DH119" s="38">
        <f t="shared" si="567"/>
        <v>39314.171863217322</v>
      </c>
      <c r="DI119" s="38">
        <f t="shared" si="568"/>
        <v>39314.171863217322</v>
      </c>
      <c r="DJ119" s="38">
        <f t="shared" si="568"/>
        <v>39314.171863217322</v>
      </c>
      <c r="DK119" s="38">
        <f t="shared" si="568"/>
        <v>40493.597019113848</v>
      </c>
      <c r="DL119" s="38">
        <f t="shared" si="568"/>
        <v>40493.597019113848</v>
      </c>
      <c r="DM119" s="38">
        <f t="shared" si="568"/>
        <v>40493.597019113848</v>
      </c>
      <c r="DN119" s="38">
        <f t="shared" si="568"/>
        <v>40493.597019113848</v>
      </c>
      <c r="DO119" s="38">
        <f t="shared" si="568"/>
        <v>40493.597019113848</v>
      </c>
      <c r="DP119" s="38">
        <f t="shared" si="568"/>
        <v>40493.597019113848</v>
      </c>
      <c r="DQ119" s="38">
        <f t="shared" si="568"/>
        <v>40493.597019113848</v>
      </c>
      <c r="DR119" s="38">
        <f t="shared" si="568"/>
        <v>40493.597019113848</v>
      </c>
      <c r="DS119" s="38">
        <f t="shared" si="569"/>
        <v>40493.597019113848</v>
      </c>
      <c r="DT119" s="38">
        <f t="shared" si="569"/>
        <v>40493.597019113848</v>
      </c>
      <c r="DU119" s="38">
        <f t="shared" si="569"/>
        <v>40493.597019113848</v>
      </c>
      <c r="DV119" s="38">
        <f t="shared" si="569"/>
        <v>40493.597019113848</v>
      </c>
      <c r="DW119" s="38">
        <f t="shared" si="569"/>
        <v>41708.404929687254</v>
      </c>
      <c r="DX119" s="38">
        <f t="shared" si="569"/>
        <v>41708.404929687254</v>
      </c>
      <c r="DY119" s="38">
        <f t="shared" si="569"/>
        <v>41708.404929687254</v>
      </c>
      <c r="DZ119" s="38">
        <f t="shared" si="569"/>
        <v>41708.404929687254</v>
      </c>
      <c r="EA119" s="38">
        <f t="shared" si="569"/>
        <v>41708.404929687254</v>
      </c>
      <c r="EB119" s="38">
        <f t="shared" si="569"/>
        <v>41708.404929687254</v>
      </c>
      <c r="EC119" s="38">
        <f t="shared" si="570"/>
        <v>41708.404929687254</v>
      </c>
      <c r="ED119" s="38">
        <f t="shared" si="570"/>
        <v>41708.404929687254</v>
      </c>
      <c r="EE119" s="38">
        <f t="shared" si="570"/>
        <v>41708.404929687254</v>
      </c>
      <c r="EF119" s="38">
        <f t="shared" si="570"/>
        <v>41708.404929687254</v>
      </c>
      <c r="EG119" s="38">
        <f t="shared" si="570"/>
        <v>41708.404929687254</v>
      </c>
      <c r="EH119" s="38">
        <f t="shared" si="570"/>
        <v>41708.404929687254</v>
      </c>
      <c r="EI119" s="38">
        <f t="shared" si="570"/>
        <v>42959.657077577875</v>
      </c>
      <c r="EJ119" s="38">
        <f t="shared" si="570"/>
        <v>42959.657077577875</v>
      </c>
      <c r="EK119" s="38">
        <f t="shared" si="570"/>
        <v>42959.657077577875</v>
      </c>
      <c r="EL119" s="38">
        <f t="shared" si="570"/>
        <v>42959.657077577875</v>
      </c>
      <c r="EM119" s="38">
        <f t="shared" si="571"/>
        <v>42959.657077577875</v>
      </c>
      <c r="EN119" s="38">
        <f t="shared" si="571"/>
        <v>42959.657077577875</v>
      </c>
      <c r="EP119" s="24"/>
      <c r="EQ119" s="24"/>
      <c r="ER119" s="59">
        <f t="shared" ref="ER119:ER126" si="586">E119</f>
        <v>1</v>
      </c>
      <c r="ES119" s="24"/>
      <c r="ET119" s="24"/>
      <c r="EU119" s="33"/>
      <c r="EV119" s="24" t="s">
        <v>159</v>
      </c>
      <c r="EW119" s="30">
        <f t="shared" si="572"/>
        <v>0</v>
      </c>
      <c r="EX119" s="30">
        <f t="shared" si="572"/>
        <v>0</v>
      </c>
      <c r="EY119" s="30">
        <f t="shared" si="572"/>
        <v>0</v>
      </c>
      <c r="EZ119" s="30">
        <f t="shared" si="572"/>
        <v>0</v>
      </c>
      <c r="FA119" s="30">
        <f t="shared" si="572"/>
        <v>0</v>
      </c>
      <c r="FB119" s="30">
        <f t="shared" si="572"/>
        <v>0</v>
      </c>
      <c r="FC119" s="30">
        <f t="shared" si="572"/>
        <v>0</v>
      </c>
      <c r="FD119" s="30">
        <f t="shared" si="572"/>
        <v>0</v>
      </c>
      <c r="FE119" s="30">
        <f t="shared" si="572"/>
        <v>0</v>
      </c>
      <c r="FF119" s="30">
        <f t="shared" si="572"/>
        <v>0</v>
      </c>
      <c r="FG119" s="30">
        <f t="shared" si="573"/>
        <v>0</v>
      </c>
      <c r="FH119" s="30">
        <f t="shared" si="573"/>
        <v>0</v>
      </c>
      <c r="FI119" s="30">
        <f t="shared" si="573"/>
        <v>0</v>
      </c>
      <c r="FJ119" s="30">
        <f t="shared" si="573"/>
        <v>0</v>
      </c>
      <c r="FK119" s="30">
        <f t="shared" si="573"/>
        <v>0</v>
      </c>
      <c r="FL119" s="30">
        <f t="shared" si="573"/>
        <v>0</v>
      </c>
      <c r="FM119" s="30">
        <f t="shared" si="573"/>
        <v>0</v>
      </c>
      <c r="FN119" s="30">
        <f t="shared" si="573"/>
        <v>0</v>
      </c>
      <c r="FO119" s="30">
        <f t="shared" si="573"/>
        <v>32925</v>
      </c>
      <c r="FP119" s="30">
        <f t="shared" si="573"/>
        <v>32925</v>
      </c>
      <c r="FQ119" s="30">
        <f t="shared" si="574"/>
        <v>32925</v>
      </c>
      <c r="FR119" s="30">
        <f t="shared" si="574"/>
        <v>32925</v>
      </c>
      <c r="FS119" s="30">
        <f t="shared" si="574"/>
        <v>32925</v>
      </c>
      <c r="FT119" s="30">
        <f t="shared" si="574"/>
        <v>32925</v>
      </c>
      <c r="FU119" s="30">
        <f t="shared" si="574"/>
        <v>32925</v>
      </c>
      <c r="FV119" s="30">
        <f t="shared" si="574"/>
        <v>32925</v>
      </c>
      <c r="FW119" s="30">
        <f t="shared" si="574"/>
        <v>32925</v>
      </c>
      <c r="FX119" s="30">
        <f t="shared" si="574"/>
        <v>32925</v>
      </c>
      <c r="FY119" s="30">
        <f t="shared" si="574"/>
        <v>32925</v>
      </c>
      <c r="FZ119" s="30">
        <f t="shared" si="574"/>
        <v>32925</v>
      </c>
      <c r="GA119" s="30">
        <f t="shared" si="575"/>
        <v>32925</v>
      </c>
      <c r="GB119" s="30">
        <f t="shared" si="575"/>
        <v>32925</v>
      </c>
      <c r="GC119" s="30">
        <f t="shared" si="575"/>
        <v>32925</v>
      </c>
      <c r="GD119" s="30">
        <f t="shared" si="575"/>
        <v>32925</v>
      </c>
      <c r="GE119" s="30">
        <f t="shared" si="575"/>
        <v>32925</v>
      </c>
      <c r="GF119" s="30">
        <f t="shared" si="575"/>
        <v>32925</v>
      </c>
      <c r="GG119" s="30">
        <f t="shared" si="575"/>
        <v>32925</v>
      </c>
      <c r="GH119" s="30">
        <f t="shared" si="575"/>
        <v>32925</v>
      </c>
      <c r="GI119" s="30">
        <f t="shared" si="575"/>
        <v>32925</v>
      </c>
      <c r="GJ119" s="30">
        <f t="shared" si="575"/>
        <v>32925</v>
      </c>
      <c r="GK119" s="30">
        <f t="shared" si="576"/>
        <v>32925</v>
      </c>
      <c r="GL119" s="30">
        <f t="shared" si="576"/>
        <v>32925</v>
      </c>
      <c r="GM119" s="30">
        <f t="shared" si="576"/>
        <v>32925</v>
      </c>
      <c r="GN119" s="30">
        <f t="shared" si="576"/>
        <v>32925</v>
      </c>
      <c r="GO119" s="30">
        <f t="shared" si="576"/>
        <v>32925</v>
      </c>
      <c r="GP119" s="30">
        <f t="shared" si="576"/>
        <v>32925</v>
      </c>
      <c r="GQ119" s="30">
        <f t="shared" si="576"/>
        <v>32925</v>
      </c>
      <c r="GR119" s="30">
        <f t="shared" si="576"/>
        <v>32925</v>
      </c>
      <c r="GS119" s="30">
        <f t="shared" si="576"/>
        <v>32925</v>
      </c>
      <c r="GT119" s="30">
        <f t="shared" si="576"/>
        <v>32925</v>
      </c>
      <c r="GU119" s="30">
        <f t="shared" si="577"/>
        <v>32925</v>
      </c>
      <c r="GV119" s="30">
        <f t="shared" si="577"/>
        <v>32925</v>
      </c>
      <c r="GW119" s="30">
        <f t="shared" si="577"/>
        <v>32925</v>
      </c>
      <c r="GX119" s="30">
        <f t="shared" si="577"/>
        <v>32925</v>
      </c>
      <c r="GY119" s="30">
        <f t="shared" si="577"/>
        <v>32925</v>
      </c>
      <c r="GZ119" s="30">
        <f t="shared" si="577"/>
        <v>32925</v>
      </c>
      <c r="HA119" s="30">
        <f t="shared" si="577"/>
        <v>32925</v>
      </c>
      <c r="HB119" s="30">
        <f t="shared" si="577"/>
        <v>32925</v>
      </c>
      <c r="HC119" s="30">
        <f t="shared" si="577"/>
        <v>32925</v>
      </c>
      <c r="HD119" s="30">
        <f t="shared" si="577"/>
        <v>32925</v>
      </c>
      <c r="HE119" s="30">
        <f t="shared" si="578"/>
        <v>32925</v>
      </c>
      <c r="HF119" s="30">
        <f t="shared" si="578"/>
        <v>32925</v>
      </c>
      <c r="HG119" s="30">
        <f t="shared" si="578"/>
        <v>32925</v>
      </c>
      <c r="HH119" s="30">
        <f t="shared" si="578"/>
        <v>32925</v>
      </c>
      <c r="HI119" s="30">
        <f t="shared" si="578"/>
        <v>32925</v>
      </c>
      <c r="HJ119" s="30">
        <f t="shared" si="578"/>
        <v>32925</v>
      </c>
      <c r="HK119" s="30">
        <f t="shared" si="578"/>
        <v>32925</v>
      </c>
      <c r="HL119" s="30">
        <f t="shared" si="578"/>
        <v>32925</v>
      </c>
      <c r="HM119" s="30">
        <f t="shared" si="578"/>
        <v>32925</v>
      </c>
      <c r="HN119" s="30">
        <f t="shared" si="578"/>
        <v>32925</v>
      </c>
      <c r="HO119" s="30">
        <f t="shared" si="579"/>
        <v>32925</v>
      </c>
      <c r="HP119" s="30">
        <f t="shared" si="579"/>
        <v>32925</v>
      </c>
      <c r="HQ119" s="30">
        <f t="shared" si="579"/>
        <v>32925</v>
      </c>
      <c r="HR119" s="30">
        <f t="shared" si="579"/>
        <v>32925</v>
      </c>
      <c r="HS119" s="30">
        <f t="shared" si="579"/>
        <v>32925</v>
      </c>
      <c r="HT119" s="30">
        <f t="shared" si="579"/>
        <v>32925</v>
      </c>
      <c r="HU119" s="30">
        <f t="shared" si="579"/>
        <v>32925</v>
      </c>
      <c r="HV119" s="30">
        <f t="shared" si="579"/>
        <v>32925</v>
      </c>
      <c r="HW119" s="30">
        <f t="shared" si="579"/>
        <v>32925</v>
      </c>
      <c r="HX119" s="30">
        <f t="shared" si="579"/>
        <v>32925</v>
      </c>
      <c r="HY119" s="30">
        <f t="shared" si="580"/>
        <v>32925</v>
      </c>
      <c r="HZ119" s="30">
        <f t="shared" si="580"/>
        <v>32925</v>
      </c>
      <c r="IA119" s="30">
        <f t="shared" si="580"/>
        <v>32925</v>
      </c>
      <c r="IB119" s="30">
        <f t="shared" si="580"/>
        <v>32925</v>
      </c>
      <c r="IC119" s="30">
        <f t="shared" si="580"/>
        <v>32925</v>
      </c>
      <c r="ID119" s="30">
        <f t="shared" si="580"/>
        <v>32925</v>
      </c>
      <c r="IE119" s="30">
        <f t="shared" si="580"/>
        <v>32925</v>
      </c>
      <c r="IF119" s="30">
        <f t="shared" si="580"/>
        <v>32925</v>
      </c>
      <c r="IG119" s="30">
        <f t="shared" si="580"/>
        <v>32925</v>
      </c>
      <c r="IH119" s="30">
        <f t="shared" si="580"/>
        <v>32925</v>
      </c>
      <c r="II119" s="30">
        <f t="shared" si="581"/>
        <v>32925</v>
      </c>
      <c r="IJ119" s="30">
        <f t="shared" si="581"/>
        <v>32925</v>
      </c>
      <c r="IK119" s="30">
        <f t="shared" si="581"/>
        <v>32925</v>
      </c>
      <c r="IL119" s="30">
        <f t="shared" si="581"/>
        <v>32925</v>
      </c>
      <c r="IM119" s="30">
        <f t="shared" si="581"/>
        <v>32925</v>
      </c>
      <c r="IN119" s="30">
        <f t="shared" si="581"/>
        <v>32925</v>
      </c>
      <c r="IO119" s="30">
        <f t="shared" si="581"/>
        <v>32925</v>
      </c>
      <c r="IP119" s="30">
        <f t="shared" si="581"/>
        <v>32925</v>
      </c>
      <c r="IQ119" s="30">
        <f t="shared" si="581"/>
        <v>32925</v>
      </c>
      <c r="IR119" s="30">
        <f t="shared" si="581"/>
        <v>32925</v>
      </c>
      <c r="IS119" s="30">
        <f t="shared" si="582"/>
        <v>32925</v>
      </c>
      <c r="IT119" s="30">
        <f t="shared" si="582"/>
        <v>32925</v>
      </c>
      <c r="IU119" s="30">
        <f t="shared" si="582"/>
        <v>32925</v>
      </c>
      <c r="IV119" s="30">
        <f t="shared" si="582"/>
        <v>32925</v>
      </c>
      <c r="IW119" s="30">
        <f t="shared" si="582"/>
        <v>32925</v>
      </c>
      <c r="IX119" s="30">
        <f t="shared" si="582"/>
        <v>32925</v>
      </c>
      <c r="IY119" s="30">
        <f t="shared" si="582"/>
        <v>32925</v>
      </c>
      <c r="IZ119" s="30">
        <f t="shared" si="582"/>
        <v>32925</v>
      </c>
      <c r="JA119" s="30">
        <f t="shared" si="582"/>
        <v>32925</v>
      </c>
      <c r="JB119" s="30">
        <f t="shared" si="582"/>
        <v>32925</v>
      </c>
      <c r="JC119" s="30">
        <f t="shared" si="583"/>
        <v>32925</v>
      </c>
      <c r="JD119" s="30">
        <f t="shared" si="583"/>
        <v>32925</v>
      </c>
      <c r="JE119" s="30">
        <f t="shared" si="583"/>
        <v>32925</v>
      </c>
      <c r="JF119" s="30">
        <f t="shared" si="583"/>
        <v>32925</v>
      </c>
      <c r="JG119" s="30">
        <f t="shared" si="583"/>
        <v>32925</v>
      </c>
      <c r="JH119" s="30">
        <f t="shared" si="583"/>
        <v>32925</v>
      </c>
      <c r="JI119" s="30">
        <f t="shared" si="583"/>
        <v>32925</v>
      </c>
      <c r="JJ119" s="30">
        <f t="shared" si="583"/>
        <v>32925</v>
      </c>
      <c r="JK119" s="30">
        <f t="shared" si="583"/>
        <v>32925</v>
      </c>
      <c r="JL119" s="30">
        <f t="shared" si="583"/>
        <v>32925</v>
      </c>
      <c r="JM119" s="30">
        <f t="shared" si="584"/>
        <v>32925</v>
      </c>
      <c r="JN119" s="30">
        <f t="shared" si="584"/>
        <v>32925</v>
      </c>
      <c r="JO119" s="30">
        <f t="shared" si="584"/>
        <v>32925</v>
      </c>
      <c r="JP119" s="30">
        <f t="shared" si="584"/>
        <v>32925</v>
      </c>
      <c r="JQ119" s="30">
        <f t="shared" si="584"/>
        <v>32925</v>
      </c>
      <c r="JR119" s="30">
        <f t="shared" si="584"/>
        <v>32925</v>
      </c>
      <c r="JS119" s="30">
        <f t="shared" si="584"/>
        <v>32925</v>
      </c>
      <c r="JT119" s="30">
        <f t="shared" si="584"/>
        <v>32925</v>
      </c>
      <c r="JU119" s="30">
        <f t="shared" si="584"/>
        <v>32925</v>
      </c>
      <c r="JV119" s="30">
        <f t="shared" si="584"/>
        <v>32925</v>
      </c>
      <c r="JW119" s="30">
        <f t="shared" si="584"/>
        <v>32925</v>
      </c>
      <c r="JX119" s="30">
        <f t="shared" si="584"/>
        <v>32925</v>
      </c>
    </row>
    <row r="120" spans="1:284" s="7" customFormat="1" x14ac:dyDescent="0.2">
      <c r="A120" s="406"/>
      <c r="B120" s="141" t="s">
        <v>268</v>
      </c>
      <c r="C120" s="120"/>
      <c r="D120" s="120"/>
      <c r="E120" s="173">
        <v>0.75</v>
      </c>
      <c r="F120" s="173"/>
      <c r="G120" s="122">
        <f t="shared" si="585"/>
        <v>3.9288920205476023E-2</v>
      </c>
      <c r="H120" s="123">
        <f t="shared" si="557"/>
        <v>800</v>
      </c>
      <c r="I120" s="124">
        <v>240000</v>
      </c>
      <c r="M120" s="38">
        <f t="shared" si="558"/>
        <v>0</v>
      </c>
      <c r="N120" s="38">
        <f t="shared" si="558"/>
        <v>0</v>
      </c>
      <c r="O120" s="38">
        <f t="shared" si="558"/>
        <v>0</v>
      </c>
      <c r="P120" s="38">
        <f t="shared" si="558"/>
        <v>0</v>
      </c>
      <c r="Q120" s="38">
        <f t="shared" si="558"/>
        <v>0</v>
      </c>
      <c r="R120" s="38">
        <f t="shared" si="558"/>
        <v>0</v>
      </c>
      <c r="S120" s="38">
        <f t="shared" si="558"/>
        <v>0</v>
      </c>
      <c r="T120" s="38">
        <f t="shared" si="558"/>
        <v>0</v>
      </c>
      <c r="U120" s="38">
        <f t="shared" si="558"/>
        <v>0</v>
      </c>
      <c r="V120" s="38">
        <f t="shared" si="558"/>
        <v>0</v>
      </c>
      <c r="W120" s="38">
        <f t="shared" si="559"/>
        <v>0</v>
      </c>
      <c r="X120" s="38">
        <f t="shared" si="559"/>
        <v>0</v>
      </c>
      <c r="Y120" s="38">
        <f t="shared" si="559"/>
        <v>0</v>
      </c>
      <c r="Z120" s="38">
        <f t="shared" si="559"/>
        <v>0</v>
      </c>
      <c r="AA120" s="38">
        <f t="shared" si="559"/>
        <v>0</v>
      </c>
      <c r="AB120" s="38">
        <f t="shared" si="559"/>
        <v>0</v>
      </c>
      <c r="AC120" s="38">
        <f t="shared" si="559"/>
        <v>0</v>
      </c>
      <c r="AD120" s="38">
        <f t="shared" si="559"/>
        <v>0</v>
      </c>
      <c r="AE120" s="38">
        <f t="shared" si="559"/>
        <v>15500</v>
      </c>
      <c r="AF120" s="38">
        <f t="shared" si="559"/>
        <v>15833.333333333334</v>
      </c>
      <c r="AG120" s="38">
        <f t="shared" si="560"/>
        <v>16166.666666666666</v>
      </c>
      <c r="AH120" s="38">
        <f t="shared" si="560"/>
        <v>16500</v>
      </c>
      <c r="AI120" s="38">
        <f t="shared" si="560"/>
        <v>16833.333333333332</v>
      </c>
      <c r="AJ120" s="38">
        <f t="shared" si="560"/>
        <v>17166.666666666668</v>
      </c>
      <c r="AK120" s="38">
        <f t="shared" si="560"/>
        <v>17500</v>
      </c>
      <c r="AL120" s="38">
        <f t="shared" si="560"/>
        <v>17833.333333333332</v>
      </c>
      <c r="AM120" s="38">
        <f t="shared" si="560"/>
        <v>18166.666666666668</v>
      </c>
      <c r="AN120" s="38">
        <f t="shared" si="560"/>
        <v>18500</v>
      </c>
      <c r="AO120" s="38">
        <f t="shared" si="560"/>
        <v>18833.333333333332</v>
      </c>
      <c r="AP120" s="38">
        <f t="shared" si="560"/>
        <v>19166.666666666668</v>
      </c>
      <c r="AQ120" s="38">
        <f t="shared" si="561"/>
        <v>20085</v>
      </c>
      <c r="AR120" s="38">
        <f t="shared" si="561"/>
        <v>20428.333333333332</v>
      </c>
      <c r="AS120" s="38">
        <f t="shared" si="561"/>
        <v>20600</v>
      </c>
      <c r="AT120" s="38">
        <f t="shared" si="561"/>
        <v>20600</v>
      </c>
      <c r="AU120" s="38">
        <f t="shared" si="561"/>
        <v>20600</v>
      </c>
      <c r="AV120" s="38">
        <f t="shared" si="561"/>
        <v>20600</v>
      </c>
      <c r="AW120" s="38">
        <f t="shared" si="561"/>
        <v>20600</v>
      </c>
      <c r="AX120" s="38">
        <f t="shared" si="561"/>
        <v>20600</v>
      </c>
      <c r="AY120" s="38">
        <f t="shared" si="561"/>
        <v>20600</v>
      </c>
      <c r="AZ120" s="38">
        <f t="shared" si="561"/>
        <v>20600</v>
      </c>
      <c r="BA120" s="38">
        <f t="shared" si="562"/>
        <v>20600</v>
      </c>
      <c r="BB120" s="38">
        <f t="shared" si="562"/>
        <v>20600</v>
      </c>
      <c r="BC120" s="38">
        <f t="shared" si="562"/>
        <v>21218</v>
      </c>
      <c r="BD120" s="38">
        <f t="shared" si="562"/>
        <v>21218</v>
      </c>
      <c r="BE120" s="38">
        <f t="shared" si="562"/>
        <v>21218</v>
      </c>
      <c r="BF120" s="38">
        <f t="shared" si="562"/>
        <v>21218</v>
      </c>
      <c r="BG120" s="38">
        <f t="shared" si="562"/>
        <v>21218</v>
      </c>
      <c r="BH120" s="38">
        <f t="shared" si="562"/>
        <v>21218</v>
      </c>
      <c r="BI120" s="38">
        <f t="shared" si="562"/>
        <v>21218</v>
      </c>
      <c r="BJ120" s="38">
        <f t="shared" si="562"/>
        <v>21218</v>
      </c>
      <c r="BK120" s="38">
        <f t="shared" si="563"/>
        <v>21218</v>
      </c>
      <c r="BL120" s="38">
        <f t="shared" si="563"/>
        <v>21218</v>
      </c>
      <c r="BM120" s="38">
        <f t="shared" si="563"/>
        <v>21218</v>
      </c>
      <c r="BN120" s="38">
        <f t="shared" si="563"/>
        <v>21218</v>
      </c>
      <c r="BO120" s="38">
        <f t="shared" si="563"/>
        <v>21854.54</v>
      </c>
      <c r="BP120" s="38">
        <f t="shared" si="563"/>
        <v>21854.54</v>
      </c>
      <c r="BQ120" s="38">
        <f t="shared" si="563"/>
        <v>21854.54</v>
      </c>
      <c r="BR120" s="38">
        <f t="shared" si="563"/>
        <v>21854.54</v>
      </c>
      <c r="BS120" s="38">
        <f t="shared" si="563"/>
        <v>21854.54</v>
      </c>
      <c r="BT120" s="38">
        <f t="shared" si="563"/>
        <v>21854.54</v>
      </c>
      <c r="BU120" s="38">
        <f t="shared" si="564"/>
        <v>21854.54</v>
      </c>
      <c r="BV120" s="38">
        <f t="shared" si="564"/>
        <v>21854.54</v>
      </c>
      <c r="BW120" s="38">
        <f t="shared" si="564"/>
        <v>21854.54</v>
      </c>
      <c r="BX120" s="38">
        <f t="shared" si="564"/>
        <v>21854.54</v>
      </c>
      <c r="BY120" s="38">
        <f t="shared" si="564"/>
        <v>21854.54</v>
      </c>
      <c r="BZ120" s="38">
        <f t="shared" si="564"/>
        <v>21854.54</v>
      </c>
      <c r="CA120" s="38">
        <f t="shared" si="564"/>
        <v>22510.176199999998</v>
      </c>
      <c r="CB120" s="38">
        <f t="shared" si="564"/>
        <v>22510.176199999998</v>
      </c>
      <c r="CC120" s="38">
        <f t="shared" si="564"/>
        <v>22510.176199999998</v>
      </c>
      <c r="CD120" s="38">
        <f t="shared" si="564"/>
        <v>22510.176199999998</v>
      </c>
      <c r="CE120" s="38">
        <f t="shared" si="565"/>
        <v>22510.176199999998</v>
      </c>
      <c r="CF120" s="38">
        <f t="shared" si="565"/>
        <v>22510.176199999998</v>
      </c>
      <c r="CG120" s="38">
        <f t="shared" si="565"/>
        <v>22510.176199999998</v>
      </c>
      <c r="CH120" s="38">
        <f t="shared" si="565"/>
        <v>22510.176199999998</v>
      </c>
      <c r="CI120" s="38">
        <f t="shared" si="565"/>
        <v>22510.176199999998</v>
      </c>
      <c r="CJ120" s="38">
        <f t="shared" si="565"/>
        <v>22510.176199999998</v>
      </c>
      <c r="CK120" s="38">
        <f t="shared" si="565"/>
        <v>22510.176199999998</v>
      </c>
      <c r="CL120" s="38">
        <f t="shared" si="565"/>
        <v>22510.176199999998</v>
      </c>
      <c r="CM120" s="38">
        <f t="shared" si="565"/>
        <v>23185.481485999997</v>
      </c>
      <c r="CN120" s="38">
        <f t="shared" si="565"/>
        <v>23185.481485999997</v>
      </c>
      <c r="CO120" s="38">
        <f t="shared" si="566"/>
        <v>23185.481485999997</v>
      </c>
      <c r="CP120" s="38">
        <f t="shared" si="566"/>
        <v>23185.481485999997</v>
      </c>
      <c r="CQ120" s="38">
        <f t="shared" si="566"/>
        <v>23185.481485999997</v>
      </c>
      <c r="CR120" s="38">
        <f t="shared" si="566"/>
        <v>23185.481485999997</v>
      </c>
      <c r="CS120" s="38">
        <f t="shared" si="566"/>
        <v>23185.481485999997</v>
      </c>
      <c r="CT120" s="38">
        <f t="shared" si="566"/>
        <v>23185.481485999997</v>
      </c>
      <c r="CU120" s="38">
        <f t="shared" si="566"/>
        <v>23185.481485999997</v>
      </c>
      <c r="CV120" s="38">
        <f t="shared" si="566"/>
        <v>23185.481485999997</v>
      </c>
      <c r="CW120" s="38">
        <f t="shared" si="566"/>
        <v>23185.481485999997</v>
      </c>
      <c r="CX120" s="38">
        <f t="shared" si="566"/>
        <v>23185.481485999997</v>
      </c>
      <c r="CY120" s="38">
        <f t="shared" si="567"/>
        <v>23881.04593058</v>
      </c>
      <c r="CZ120" s="38">
        <f t="shared" si="567"/>
        <v>23881.04593058</v>
      </c>
      <c r="DA120" s="38">
        <f t="shared" si="567"/>
        <v>23881.04593058</v>
      </c>
      <c r="DB120" s="38">
        <f t="shared" si="567"/>
        <v>23881.04593058</v>
      </c>
      <c r="DC120" s="38">
        <f t="shared" si="567"/>
        <v>23881.04593058</v>
      </c>
      <c r="DD120" s="38">
        <f t="shared" si="567"/>
        <v>23881.04593058</v>
      </c>
      <c r="DE120" s="38">
        <f t="shared" si="567"/>
        <v>23881.04593058</v>
      </c>
      <c r="DF120" s="38">
        <f t="shared" si="567"/>
        <v>23881.04593058</v>
      </c>
      <c r="DG120" s="38">
        <f t="shared" si="567"/>
        <v>23881.04593058</v>
      </c>
      <c r="DH120" s="38">
        <f t="shared" si="567"/>
        <v>23881.04593058</v>
      </c>
      <c r="DI120" s="38">
        <f t="shared" si="568"/>
        <v>23881.04593058</v>
      </c>
      <c r="DJ120" s="38">
        <f t="shared" si="568"/>
        <v>23881.04593058</v>
      </c>
      <c r="DK120" s="38">
        <f t="shared" si="568"/>
        <v>24597.4773084974</v>
      </c>
      <c r="DL120" s="38">
        <f t="shared" si="568"/>
        <v>24597.4773084974</v>
      </c>
      <c r="DM120" s="38">
        <f t="shared" si="568"/>
        <v>24597.4773084974</v>
      </c>
      <c r="DN120" s="38">
        <f t="shared" si="568"/>
        <v>24597.4773084974</v>
      </c>
      <c r="DO120" s="38">
        <f t="shared" si="568"/>
        <v>24597.4773084974</v>
      </c>
      <c r="DP120" s="38">
        <f t="shared" si="568"/>
        <v>24597.4773084974</v>
      </c>
      <c r="DQ120" s="38">
        <f t="shared" si="568"/>
        <v>24597.4773084974</v>
      </c>
      <c r="DR120" s="38">
        <f t="shared" si="568"/>
        <v>24597.4773084974</v>
      </c>
      <c r="DS120" s="38">
        <f t="shared" si="569"/>
        <v>24597.4773084974</v>
      </c>
      <c r="DT120" s="38">
        <f t="shared" si="569"/>
        <v>24597.4773084974</v>
      </c>
      <c r="DU120" s="38">
        <f t="shared" si="569"/>
        <v>24597.4773084974</v>
      </c>
      <c r="DV120" s="38">
        <f t="shared" si="569"/>
        <v>24597.4773084974</v>
      </c>
      <c r="DW120" s="38">
        <f t="shared" si="569"/>
        <v>25335.401627752319</v>
      </c>
      <c r="DX120" s="38">
        <f t="shared" si="569"/>
        <v>25335.401627752319</v>
      </c>
      <c r="DY120" s="38">
        <f t="shared" si="569"/>
        <v>25335.401627752319</v>
      </c>
      <c r="DZ120" s="38">
        <f t="shared" si="569"/>
        <v>25335.401627752319</v>
      </c>
      <c r="EA120" s="38">
        <f t="shared" si="569"/>
        <v>25335.401627752319</v>
      </c>
      <c r="EB120" s="38">
        <f t="shared" si="569"/>
        <v>25335.401627752319</v>
      </c>
      <c r="EC120" s="38">
        <f t="shared" si="570"/>
        <v>25335.401627752319</v>
      </c>
      <c r="ED120" s="38">
        <f t="shared" si="570"/>
        <v>25335.401627752319</v>
      </c>
      <c r="EE120" s="38">
        <f t="shared" si="570"/>
        <v>25335.401627752319</v>
      </c>
      <c r="EF120" s="38">
        <f t="shared" si="570"/>
        <v>25335.401627752319</v>
      </c>
      <c r="EG120" s="38">
        <f t="shared" si="570"/>
        <v>25335.401627752319</v>
      </c>
      <c r="EH120" s="38">
        <f t="shared" si="570"/>
        <v>25335.401627752319</v>
      </c>
      <c r="EI120" s="38">
        <f t="shared" si="570"/>
        <v>26095.463676584888</v>
      </c>
      <c r="EJ120" s="38">
        <f t="shared" si="570"/>
        <v>26095.463676584888</v>
      </c>
      <c r="EK120" s="38">
        <f t="shared" si="570"/>
        <v>26095.463676584888</v>
      </c>
      <c r="EL120" s="38">
        <f t="shared" si="570"/>
        <v>26095.463676584888</v>
      </c>
      <c r="EM120" s="38">
        <f t="shared" si="571"/>
        <v>26095.463676584888</v>
      </c>
      <c r="EN120" s="38">
        <f t="shared" si="571"/>
        <v>26095.463676584888</v>
      </c>
      <c r="EP120" s="24"/>
      <c r="EQ120" s="24"/>
      <c r="ER120" s="59">
        <f t="shared" si="586"/>
        <v>0.75</v>
      </c>
      <c r="ES120" s="24"/>
      <c r="ET120" s="24"/>
      <c r="EU120" s="33"/>
      <c r="EV120" s="24" t="s">
        <v>159</v>
      </c>
      <c r="EW120" s="30">
        <f t="shared" si="572"/>
        <v>0</v>
      </c>
      <c r="EX120" s="30">
        <f t="shared" si="572"/>
        <v>0</v>
      </c>
      <c r="EY120" s="30">
        <f t="shared" si="572"/>
        <v>0</v>
      </c>
      <c r="EZ120" s="30">
        <f t="shared" si="572"/>
        <v>0</v>
      </c>
      <c r="FA120" s="30">
        <f t="shared" si="572"/>
        <v>0</v>
      </c>
      <c r="FB120" s="30">
        <f t="shared" si="572"/>
        <v>0</v>
      </c>
      <c r="FC120" s="30">
        <f t="shared" si="572"/>
        <v>0</v>
      </c>
      <c r="FD120" s="30">
        <f t="shared" si="572"/>
        <v>0</v>
      </c>
      <c r="FE120" s="30">
        <f t="shared" si="572"/>
        <v>0</v>
      </c>
      <c r="FF120" s="30">
        <f t="shared" si="572"/>
        <v>0</v>
      </c>
      <c r="FG120" s="30">
        <f t="shared" si="573"/>
        <v>0</v>
      </c>
      <c r="FH120" s="30">
        <f t="shared" si="573"/>
        <v>0</v>
      </c>
      <c r="FI120" s="30">
        <f t="shared" si="573"/>
        <v>0</v>
      </c>
      <c r="FJ120" s="30">
        <f t="shared" si="573"/>
        <v>0</v>
      </c>
      <c r="FK120" s="30">
        <f t="shared" si="573"/>
        <v>0</v>
      </c>
      <c r="FL120" s="30">
        <f t="shared" si="573"/>
        <v>0</v>
      </c>
      <c r="FM120" s="30">
        <f t="shared" si="573"/>
        <v>0</v>
      </c>
      <c r="FN120" s="30">
        <f t="shared" si="573"/>
        <v>0</v>
      </c>
      <c r="FO120" s="30">
        <f t="shared" si="573"/>
        <v>15000</v>
      </c>
      <c r="FP120" s="30">
        <f t="shared" si="573"/>
        <v>15000</v>
      </c>
      <c r="FQ120" s="30">
        <f t="shared" si="574"/>
        <v>15000</v>
      </c>
      <c r="FR120" s="30">
        <f t="shared" si="574"/>
        <v>15000</v>
      </c>
      <c r="FS120" s="30">
        <f t="shared" si="574"/>
        <v>15000</v>
      </c>
      <c r="FT120" s="30">
        <f t="shared" si="574"/>
        <v>15000</v>
      </c>
      <c r="FU120" s="30">
        <f t="shared" si="574"/>
        <v>15000</v>
      </c>
      <c r="FV120" s="30">
        <f t="shared" si="574"/>
        <v>15000</v>
      </c>
      <c r="FW120" s="30">
        <f t="shared" si="574"/>
        <v>15000</v>
      </c>
      <c r="FX120" s="30">
        <f t="shared" si="574"/>
        <v>15000</v>
      </c>
      <c r="FY120" s="30">
        <f t="shared" si="574"/>
        <v>15000</v>
      </c>
      <c r="FZ120" s="30">
        <f t="shared" si="574"/>
        <v>15000</v>
      </c>
      <c r="GA120" s="30">
        <f t="shared" si="575"/>
        <v>15000</v>
      </c>
      <c r="GB120" s="30">
        <f t="shared" si="575"/>
        <v>15000</v>
      </c>
      <c r="GC120" s="30">
        <f t="shared" si="575"/>
        <v>15000</v>
      </c>
      <c r="GD120" s="30">
        <f t="shared" si="575"/>
        <v>15000</v>
      </c>
      <c r="GE120" s="30">
        <f t="shared" si="575"/>
        <v>15000</v>
      </c>
      <c r="GF120" s="30">
        <f t="shared" si="575"/>
        <v>15000</v>
      </c>
      <c r="GG120" s="30">
        <f t="shared" si="575"/>
        <v>15000</v>
      </c>
      <c r="GH120" s="30">
        <f t="shared" si="575"/>
        <v>15000</v>
      </c>
      <c r="GI120" s="30">
        <f t="shared" si="575"/>
        <v>15000</v>
      </c>
      <c r="GJ120" s="30">
        <f t="shared" si="575"/>
        <v>15000</v>
      </c>
      <c r="GK120" s="30">
        <f t="shared" si="576"/>
        <v>15000</v>
      </c>
      <c r="GL120" s="30">
        <f t="shared" si="576"/>
        <v>15000</v>
      </c>
      <c r="GM120" s="30">
        <f t="shared" si="576"/>
        <v>15000</v>
      </c>
      <c r="GN120" s="30">
        <f t="shared" si="576"/>
        <v>15000</v>
      </c>
      <c r="GO120" s="30">
        <f t="shared" si="576"/>
        <v>15000</v>
      </c>
      <c r="GP120" s="30">
        <f t="shared" si="576"/>
        <v>15000</v>
      </c>
      <c r="GQ120" s="30">
        <f t="shared" si="576"/>
        <v>15000</v>
      </c>
      <c r="GR120" s="30">
        <f t="shared" si="576"/>
        <v>15000</v>
      </c>
      <c r="GS120" s="30">
        <f t="shared" si="576"/>
        <v>15000</v>
      </c>
      <c r="GT120" s="30">
        <f t="shared" si="576"/>
        <v>15000</v>
      </c>
      <c r="GU120" s="30">
        <f t="shared" si="577"/>
        <v>15000</v>
      </c>
      <c r="GV120" s="30">
        <f t="shared" si="577"/>
        <v>15000</v>
      </c>
      <c r="GW120" s="30">
        <f t="shared" si="577"/>
        <v>15000</v>
      </c>
      <c r="GX120" s="30">
        <f t="shared" si="577"/>
        <v>15000</v>
      </c>
      <c r="GY120" s="30">
        <f t="shared" si="577"/>
        <v>15000</v>
      </c>
      <c r="GZ120" s="30">
        <f t="shared" si="577"/>
        <v>15000</v>
      </c>
      <c r="HA120" s="30">
        <f t="shared" si="577"/>
        <v>15000</v>
      </c>
      <c r="HB120" s="30">
        <f t="shared" si="577"/>
        <v>15000</v>
      </c>
      <c r="HC120" s="30">
        <f t="shared" si="577"/>
        <v>15000</v>
      </c>
      <c r="HD120" s="30">
        <f t="shared" si="577"/>
        <v>15000</v>
      </c>
      <c r="HE120" s="30">
        <f t="shared" si="578"/>
        <v>15000</v>
      </c>
      <c r="HF120" s="30">
        <f t="shared" si="578"/>
        <v>15000</v>
      </c>
      <c r="HG120" s="30">
        <f t="shared" si="578"/>
        <v>15000</v>
      </c>
      <c r="HH120" s="30">
        <f t="shared" si="578"/>
        <v>15000</v>
      </c>
      <c r="HI120" s="30">
        <f t="shared" si="578"/>
        <v>15000</v>
      </c>
      <c r="HJ120" s="30">
        <f t="shared" si="578"/>
        <v>15000</v>
      </c>
      <c r="HK120" s="30">
        <f t="shared" si="578"/>
        <v>15000</v>
      </c>
      <c r="HL120" s="30">
        <f t="shared" si="578"/>
        <v>15000</v>
      </c>
      <c r="HM120" s="30">
        <f t="shared" si="578"/>
        <v>15000</v>
      </c>
      <c r="HN120" s="30">
        <f t="shared" si="578"/>
        <v>15000</v>
      </c>
      <c r="HO120" s="30">
        <f t="shared" si="579"/>
        <v>15000</v>
      </c>
      <c r="HP120" s="30">
        <f t="shared" si="579"/>
        <v>15000</v>
      </c>
      <c r="HQ120" s="30">
        <f t="shared" si="579"/>
        <v>15000</v>
      </c>
      <c r="HR120" s="30">
        <f t="shared" si="579"/>
        <v>15000</v>
      </c>
      <c r="HS120" s="30">
        <f t="shared" si="579"/>
        <v>15000</v>
      </c>
      <c r="HT120" s="30">
        <f t="shared" si="579"/>
        <v>15000</v>
      </c>
      <c r="HU120" s="30">
        <f t="shared" si="579"/>
        <v>15000</v>
      </c>
      <c r="HV120" s="30">
        <f t="shared" si="579"/>
        <v>15000</v>
      </c>
      <c r="HW120" s="30">
        <f t="shared" si="579"/>
        <v>15000</v>
      </c>
      <c r="HX120" s="30">
        <f t="shared" si="579"/>
        <v>15000</v>
      </c>
      <c r="HY120" s="30">
        <f t="shared" si="580"/>
        <v>15000</v>
      </c>
      <c r="HZ120" s="30">
        <f t="shared" si="580"/>
        <v>15000</v>
      </c>
      <c r="IA120" s="30">
        <f t="shared" si="580"/>
        <v>15000</v>
      </c>
      <c r="IB120" s="30">
        <f t="shared" si="580"/>
        <v>15000</v>
      </c>
      <c r="IC120" s="30">
        <f t="shared" si="580"/>
        <v>15000</v>
      </c>
      <c r="ID120" s="30">
        <f t="shared" si="580"/>
        <v>15000</v>
      </c>
      <c r="IE120" s="30">
        <f t="shared" si="580"/>
        <v>15000</v>
      </c>
      <c r="IF120" s="30">
        <f t="shared" si="580"/>
        <v>15000</v>
      </c>
      <c r="IG120" s="30">
        <f t="shared" si="580"/>
        <v>15000</v>
      </c>
      <c r="IH120" s="30">
        <f t="shared" si="580"/>
        <v>15000</v>
      </c>
      <c r="II120" s="30">
        <f t="shared" si="581"/>
        <v>15000</v>
      </c>
      <c r="IJ120" s="30">
        <f t="shared" si="581"/>
        <v>15000</v>
      </c>
      <c r="IK120" s="30">
        <f t="shared" si="581"/>
        <v>15000</v>
      </c>
      <c r="IL120" s="30">
        <f t="shared" si="581"/>
        <v>15000</v>
      </c>
      <c r="IM120" s="30">
        <f t="shared" si="581"/>
        <v>15000</v>
      </c>
      <c r="IN120" s="30">
        <f t="shared" si="581"/>
        <v>15000</v>
      </c>
      <c r="IO120" s="30">
        <f t="shared" si="581"/>
        <v>15000</v>
      </c>
      <c r="IP120" s="30">
        <f t="shared" si="581"/>
        <v>15000</v>
      </c>
      <c r="IQ120" s="30">
        <f t="shared" si="581"/>
        <v>15000</v>
      </c>
      <c r="IR120" s="30">
        <f t="shared" si="581"/>
        <v>15000</v>
      </c>
      <c r="IS120" s="30">
        <f t="shared" si="582"/>
        <v>15000</v>
      </c>
      <c r="IT120" s="30">
        <f t="shared" si="582"/>
        <v>15000</v>
      </c>
      <c r="IU120" s="30">
        <f t="shared" si="582"/>
        <v>15000</v>
      </c>
      <c r="IV120" s="30">
        <f t="shared" si="582"/>
        <v>15000</v>
      </c>
      <c r="IW120" s="30">
        <f t="shared" si="582"/>
        <v>15000</v>
      </c>
      <c r="IX120" s="30">
        <f t="shared" si="582"/>
        <v>15000</v>
      </c>
      <c r="IY120" s="30">
        <f t="shared" si="582"/>
        <v>15000</v>
      </c>
      <c r="IZ120" s="30">
        <f t="shared" si="582"/>
        <v>15000</v>
      </c>
      <c r="JA120" s="30">
        <f t="shared" si="582"/>
        <v>15000</v>
      </c>
      <c r="JB120" s="30">
        <f t="shared" si="582"/>
        <v>15000</v>
      </c>
      <c r="JC120" s="30">
        <f t="shared" si="583"/>
        <v>15000</v>
      </c>
      <c r="JD120" s="30">
        <f t="shared" si="583"/>
        <v>15000</v>
      </c>
      <c r="JE120" s="30">
        <f t="shared" si="583"/>
        <v>15000</v>
      </c>
      <c r="JF120" s="30">
        <f t="shared" si="583"/>
        <v>15000</v>
      </c>
      <c r="JG120" s="30">
        <f t="shared" si="583"/>
        <v>15000</v>
      </c>
      <c r="JH120" s="30">
        <f t="shared" si="583"/>
        <v>15000</v>
      </c>
      <c r="JI120" s="30">
        <f t="shared" si="583"/>
        <v>15000</v>
      </c>
      <c r="JJ120" s="30">
        <f t="shared" si="583"/>
        <v>15000</v>
      </c>
      <c r="JK120" s="30">
        <f t="shared" si="583"/>
        <v>15000</v>
      </c>
      <c r="JL120" s="30">
        <f t="shared" si="583"/>
        <v>15000</v>
      </c>
      <c r="JM120" s="30">
        <f t="shared" si="584"/>
        <v>15000</v>
      </c>
      <c r="JN120" s="30">
        <f t="shared" si="584"/>
        <v>15000</v>
      </c>
      <c r="JO120" s="30">
        <f t="shared" si="584"/>
        <v>15000</v>
      </c>
      <c r="JP120" s="30">
        <f t="shared" si="584"/>
        <v>15000</v>
      </c>
      <c r="JQ120" s="30">
        <f t="shared" si="584"/>
        <v>15000</v>
      </c>
      <c r="JR120" s="30">
        <f t="shared" si="584"/>
        <v>15000</v>
      </c>
      <c r="JS120" s="30">
        <f t="shared" si="584"/>
        <v>15000</v>
      </c>
      <c r="JT120" s="30">
        <f t="shared" si="584"/>
        <v>15000</v>
      </c>
      <c r="JU120" s="30">
        <f t="shared" si="584"/>
        <v>15000</v>
      </c>
      <c r="JV120" s="30">
        <f t="shared" si="584"/>
        <v>15000</v>
      </c>
      <c r="JW120" s="30">
        <f t="shared" si="584"/>
        <v>15000</v>
      </c>
      <c r="JX120" s="30">
        <f t="shared" si="584"/>
        <v>15000</v>
      </c>
    </row>
    <row r="121" spans="1:284" s="7" customFormat="1" x14ac:dyDescent="0.2">
      <c r="A121" s="406"/>
      <c r="B121" s="141" t="s">
        <v>138</v>
      </c>
      <c r="C121" s="120"/>
      <c r="D121" s="120"/>
      <c r="E121" s="173">
        <v>1</v>
      </c>
      <c r="F121" s="173"/>
      <c r="G121" s="122">
        <f t="shared" si="585"/>
        <v>2.1281498444632844E-2</v>
      </c>
      <c r="H121" s="123">
        <f t="shared" si="557"/>
        <v>433.33333333333331</v>
      </c>
      <c r="I121" s="124">
        <v>130000</v>
      </c>
      <c r="M121" s="38">
        <f t="shared" si="558"/>
        <v>0</v>
      </c>
      <c r="N121" s="38">
        <f t="shared" si="558"/>
        <v>0</v>
      </c>
      <c r="O121" s="38">
        <f t="shared" si="558"/>
        <v>0</v>
      </c>
      <c r="P121" s="38">
        <f t="shared" si="558"/>
        <v>0</v>
      </c>
      <c r="Q121" s="38">
        <f t="shared" si="558"/>
        <v>0</v>
      </c>
      <c r="R121" s="38">
        <f t="shared" si="558"/>
        <v>0</v>
      </c>
      <c r="S121" s="38">
        <f t="shared" si="558"/>
        <v>0</v>
      </c>
      <c r="T121" s="38">
        <f t="shared" si="558"/>
        <v>0</v>
      </c>
      <c r="U121" s="38">
        <f t="shared" si="558"/>
        <v>0</v>
      </c>
      <c r="V121" s="38">
        <f t="shared" si="558"/>
        <v>0</v>
      </c>
      <c r="W121" s="38">
        <f t="shared" si="559"/>
        <v>0</v>
      </c>
      <c r="X121" s="38">
        <f t="shared" si="559"/>
        <v>0</v>
      </c>
      <c r="Y121" s="38">
        <f t="shared" si="559"/>
        <v>0</v>
      </c>
      <c r="Z121" s="38">
        <f t="shared" si="559"/>
        <v>0</v>
      </c>
      <c r="AA121" s="38">
        <f t="shared" si="559"/>
        <v>0</v>
      </c>
      <c r="AB121" s="38">
        <f t="shared" si="559"/>
        <v>0</v>
      </c>
      <c r="AC121" s="38">
        <f t="shared" si="559"/>
        <v>0</v>
      </c>
      <c r="AD121" s="38">
        <f t="shared" si="559"/>
        <v>0</v>
      </c>
      <c r="AE121" s="38">
        <f t="shared" si="559"/>
        <v>10833.333333333334</v>
      </c>
      <c r="AF121" s="38">
        <f t="shared" si="559"/>
        <v>10833.333333333334</v>
      </c>
      <c r="AG121" s="38">
        <f t="shared" si="560"/>
        <v>10833.333333333334</v>
      </c>
      <c r="AH121" s="38">
        <f t="shared" si="560"/>
        <v>10833.333333333334</v>
      </c>
      <c r="AI121" s="38">
        <f t="shared" si="560"/>
        <v>10833.333333333334</v>
      </c>
      <c r="AJ121" s="38">
        <f t="shared" si="560"/>
        <v>10833.333333333334</v>
      </c>
      <c r="AK121" s="38">
        <f t="shared" si="560"/>
        <v>10833.333333333334</v>
      </c>
      <c r="AL121" s="38">
        <f t="shared" si="560"/>
        <v>10833.333333333334</v>
      </c>
      <c r="AM121" s="38">
        <f t="shared" si="560"/>
        <v>10833.333333333334</v>
      </c>
      <c r="AN121" s="38">
        <f t="shared" si="560"/>
        <v>10833.333333333334</v>
      </c>
      <c r="AO121" s="38">
        <f t="shared" si="560"/>
        <v>10833.333333333334</v>
      </c>
      <c r="AP121" s="38">
        <f t="shared" si="560"/>
        <v>10833.333333333334</v>
      </c>
      <c r="AQ121" s="38">
        <f t="shared" si="561"/>
        <v>11158.333333333334</v>
      </c>
      <c r="AR121" s="38">
        <f t="shared" si="561"/>
        <v>11158.333333333334</v>
      </c>
      <c r="AS121" s="38">
        <f t="shared" si="561"/>
        <v>11158.333333333334</v>
      </c>
      <c r="AT121" s="38">
        <f t="shared" si="561"/>
        <v>11158.333333333334</v>
      </c>
      <c r="AU121" s="38">
        <f t="shared" si="561"/>
        <v>11158.333333333334</v>
      </c>
      <c r="AV121" s="38">
        <f t="shared" si="561"/>
        <v>11158.333333333334</v>
      </c>
      <c r="AW121" s="38">
        <f t="shared" si="561"/>
        <v>11158.333333333334</v>
      </c>
      <c r="AX121" s="38">
        <f t="shared" si="561"/>
        <v>11158.333333333334</v>
      </c>
      <c r="AY121" s="38">
        <f t="shared" si="561"/>
        <v>11158.333333333334</v>
      </c>
      <c r="AZ121" s="38">
        <f t="shared" si="561"/>
        <v>11158.333333333334</v>
      </c>
      <c r="BA121" s="38">
        <f t="shared" si="562"/>
        <v>11158.333333333334</v>
      </c>
      <c r="BB121" s="38">
        <f t="shared" si="562"/>
        <v>11158.333333333334</v>
      </c>
      <c r="BC121" s="38">
        <f t="shared" si="562"/>
        <v>11493.083333333334</v>
      </c>
      <c r="BD121" s="38">
        <f t="shared" si="562"/>
        <v>11493.083333333334</v>
      </c>
      <c r="BE121" s="38">
        <f t="shared" si="562"/>
        <v>11493.083333333334</v>
      </c>
      <c r="BF121" s="38">
        <f t="shared" si="562"/>
        <v>11493.083333333334</v>
      </c>
      <c r="BG121" s="38">
        <f t="shared" si="562"/>
        <v>11493.083333333334</v>
      </c>
      <c r="BH121" s="38">
        <f t="shared" si="562"/>
        <v>11493.083333333334</v>
      </c>
      <c r="BI121" s="38">
        <f t="shared" si="562"/>
        <v>11493.083333333334</v>
      </c>
      <c r="BJ121" s="38">
        <f t="shared" si="562"/>
        <v>11493.083333333334</v>
      </c>
      <c r="BK121" s="38">
        <f t="shared" si="563"/>
        <v>11493.083333333334</v>
      </c>
      <c r="BL121" s="38">
        <f t="shared" si="563"/>
        <v>11493.083333333334</v>
      </c>
      <c r="BM121" s="38">
        <f t="shared" si="563"/>
        <v>11493.083333333334</v>
      </c>
      <c r="BN121" s="38">
        <f t="shared" si="563"/>
        <v>11493.083333333334</v>
      </c>
      <c r="BO121" s="38">
        <f t="shared" si="563"/>
        <v>11837.875833333334</v>
      </c>
      <c r="BP121" s="38">
        <f t="shared" si="563"/>
        <v>11837.875833333334</v>
      </c>
      <c r="BQ121" s="38">
        <f t="shared" si="563"/>
        <v>11837.875833333334</v>
      </c>
      <c r="BR121" s="38">
        <f t="shared" si="563"/>
        <v>11837.875833333334</v>
      </c>
      <c r="BS121" s="38">
        <f t="shared" si="563"/>
        <v>11837.875833333334</v>
      </c>
      <c r="BT121" s="38">
        <f t="shared" si="563"/>
        <v>11837.875833333334</v>
      </c>
      <c r="BU121" s="38">
        <f t="shared" si="564"/>
        <v>11837.875833333334</v>
      </c>
      <c r="BV121" s="38">
        <f t="shared" si="564"/>
        <v>11837.875833333334</v>
      </c>
      <c r="BW121" s="38">
        <f t="shared" si="564"/>
        <v>11837.875833333334</v>
      </c>
      <c r="BX121" s="38">
        <f t="shared" si="564"/>
        <v>11837.875833333334</v>
      </c>
      <c r="BY121" s="38">
        <f t="shared" si="564"/>
        <v>11837.875833333334</v>
      </c>
      <c r="BZ121" s="38">
        <f t="shared" si="564"/>
        <v>11837.875833333334</v>
      </c>
      <c r="CA121" s="38">
        <f t="shared" si="564"/>
        <v>12193.012108333332</v>
      </c>
      <c r="CB121" s="38">
        <f t="shared" si="564"/>
        <v>12193.012108333332</v>
      </c>
      <c r="CC121" s="38">
        <f t="shared" si="564"/>
        <v>12193.012108333332</v>
      </c>
      <c r="CD121" s="38">
        <f t="shared" si="564"/>
        <v>12193.012108333332</v>
      </c>
      <c r="CE121" s="38">
        <f t="shared" si="565"/>
        <v>12193.012108333332</v>
      </c>
      <c r="CF121" s="38">
        <f t="shared" si="565"/>
        <v>12193.012108333332</v>
      </c>
      <c r="CG121" s="38">
        <f t="shared" si="565"/>
        <v>12193.012108333332</v>
      </c>
      <c r="CH121" s="38">
        <f t="shared" si="565"/>
        <v>12193.012108333332</v>
      </c>
      <c r="CI121" s="38">
        <f t="shared" si="565"/>
        <v>12193.012108333332</v>
      </c>
      <c r="CJ121" s="38">
        <f t="shared" si="565"/>
        <v>12193.012108333332</v>
      </c>
      <c r="CK121" s="38">
        <f t="shared" si="565"/>
        <v>12193.012108333332</v>
      </c>
      <c r="CL121" s="38">
        <f t="shared" si="565"/>
        <v>12193.012108333332</v>
      </c>
      <c r="CM121" s="38">
        <f t="shared" si="565"/>
        <v>12558.802471583333</v>
      </c>
      <c r="CN121" s="38">
        <f t="shared" si="565"/>
        <v>12558.802471583333</v>
      </c>
      <c r="CO121" s="38">
        <f t="shared" si="566"/>
        <v>12558.802471583333</v>
      </c>
      <c r="CP121" s="38">
        <f t="shared" si="566"/>
        <v>12558.802471583333</v>
      </c>
      <c r="CQ121" s="38">
        <f t="shared" si="566"/>
        <v>12558.802471583333</v>
      </c>
      <c r="CR121" s="38">
        <f t="shared" si="566"/>
        <v>12558.802471583333</v>
      </c>
      <c r="CS121" s="38">
        <f t="shared" si="566"/>
        <v>12558.802471583333</v>
      </c>
      <c r="CT121" s="38">
        <f t="shared" si="566"/>
        <v>12558.802471583333</v>
      </c>
      <c r="CU121" s="38">
        <f t="shared" si="566"/>
        <v>12558.802471583333</v>
      </c>
      <c r="CV121" s="38">
        <f t="shared" si="566"/>
        <v>12558.802471583333</v>
      </c>
      <c r="CW121" s="38">
        <f t="shared" si="566"/>
        <v>12558.802471583333</v>
      </c>
      <c r="CX121" s="38">
        <f t="shared" si="566"/>
        <v>12558.802471583333</v>
      </c>
      <c r="CY121" s="38">
        <f t="shared" si="567"/>
        <v>12935.566545730833</v>
      </c>
      <c r="CZ121" s="38">
        <f t="shared" si="567"/>
        <v>12935.566545730833</v>
      </c>
      <c r="DA121" s="38">
        <f t="shared" si="567"/>
        <v>12935.566545730833</v>
      </c>
      <c r="DB121" s="38">
        <f t="shared" si="567"/>
        <v>12935.566545730833</v>
      </c>
      <c r="DC121" s="38">
        <f t="shared" si="567"/>
        <v>12935.566545730833</v>
      </c>
      <c r="DD121" s="38">
        <f t="shared" si="567"/>
        <v>12935.566545730833</v>
      </c>
      <c r="DE121" s="38">
        <f t="shared" si="567"/>
        <v>12935.566545730833</v>
      </c>
      <c r="DF121" s="38">
        <f t="shared" si="567"/>
        <v>12935.566545730833</v>
      </c>
      <c r="DG121" s="38">
        <f t="shared" si="567"/>
        <v>12935.566545730833</v>
      </c>
      <c r="DH121" s="38">
        <f t="shared" si="567"/>
        <v>12935.566545730833</v>
      </c>
      <c r="DI121" s="38">
        <f t="shared" si="568"/>
        <v>12935.566545730833</v>
      </c>
      <c r="DJ121" s="38">
        <f t="shared" si="568"/>
        <v>12935.566545730833</v>
      </c>
      <c r="DK121" s="38">
        <f t="shared" si="568"/>
        <v>13323.63354210276</v>
      </c>
      <c r="DL121" s="38">
        <f t="shared" si="568"/>
        <v>13323.63354210276</v>
      </c>
      <c r="DM121" s="38">
        <f t="shared" si="568"/>
        <v>13323.63354210276</v>
      </c>
      <c r="DN121" s="38">
        <f t="shared" si="568"/>
        <v>13323.63354210276</v>
      </c>
      <c r="DO121" s="38">
        <f t="shared" si="568"/>
        <v>13323.63354210276</v>
      </c>
      <c r="DP121" s="38">
        <f t="shared" si="568"/>
        <v>13323.63354210276</v>
      </c>
      <c r="DQ121" s="38">
        <f t="shared" si="568"/>
        <v>13323.63354210276</v>
      </c>
      <c r="DR121" s="38">
        <f t="shared" si="568"/>
        <v>13323.63354210276</v>
      </c>
      <c r="DS121" s="38">
        <f t="shared" si="569"/>
        <v>13323.63354210276</v>
      </c>
      <c r="DT121" s="38">
        <f t="shared" si="569"/>
        <v>13323.63354210276</v>
      </c>
      <c r="DU121" s="38">
        <f t="shared" si="569"/>
        <v>13323.63354210276</v>
      </c>
      <c r="DV121" s="38">
        <f t="shared" si="569"/>
        <v>13323.63354210276</v>
      </c>
      <c r="DW121" s="38">
        <f t="shared" si="569"/>
        <v>13723.342548365839</v>
      </c>
      <c r="DX121" s="38">
        <f t="shared" si="569"/>
        <v>13723.342548365839</v>
      </c>
      <c r="DY121" s="38">
        <f t="shared" si="569"/>
        <v>13723.342548365839</v>
      </c>
      <c r="DZ121" s="38">
        <f t="shared" si="569"/>
        <v>13723.342548365839</v>
      </c>
      <c r="EA121" s="38">
        <f t="shared" si="569"/>
        <v>13723.342548365839</v>
      </c>
      <c r="EB121" s="38">
        <f t="shared" si="569"/>
        <v>13723.342548365839</v>
      </c>
      <c r="EC121" s="38">
        <f t="shared" si="570"/>
        <v>13723.342548365839</v>
      </c>
      <c r="ED121" s="38">
        <f t="shared" si="570"/>
        <v>13723.342548365839</v>
      </c>
      <c r="EE121" s="38">
        <f t="shared" si="570"/>
        <v>13723.342548365839</v>
      </c>
      <c r="EF121" s="38">
        <f t="shared" si="570"/>
        <v>13723.342548365839</v>
      </c>
      <c r="EG121" s="38">
        <f t="shared" si="570"/>
        <v>13723.342548365839</v>
      </c>
      <c r="EH121" s="38">
        <f t="shared" si="570"/>
        <v>13723.342548365839</v>
      </c>
      <c r="EI121" s="38">
        <f t="shared" si="570"/>
        <v>14135.042824816815</v>
      </c>
      <c r="EJ121" s="38">
        <f t="shared" si="570"/>
        <v>14135.042824816815</v>
      </c>
      <c r="EK121" s="38">
        <f t="shared" si="570"/>
        <v>14135.042824816815</v>
      </c>
      <c r="EL121" s="38">
        <f t="shared" si="570"/>
        <v>14135.042824816815</v>
      </c>
      <c r="EM121" s="38">
        <f t="shared" si="571"/>
        <v>14135.042824816815</v>
      </c>
      <c r="EN121" s="38">
        <f t="shared" si="571"/>
        <v>14135.042824816815</v>
      </c>
      <c r="EP121" s="24"/>
      <c r="EQ121" s="24"/>
      <c r="ER121" s="59">
        <f t="shared" si="586"/>
        <v>1</v>
      </c>
      <c r="ES121" s="24"/>
      <c r="ET121" s="24"/>
      <c r="EU121" s="33"/>
      <c r="EV121" s="24" t="s">
        <v>159</v>
      </c>
      <c r="EW121" s="30">
        <f t="shared" si="572"/>
        <v>0</v>
      </c>
      <c r="EX121" s="30">
        <f t="shared" si="572"/>
        <v>0</v>
      </c>
      <c r="EY121" s="30">
        <f t="shared" si="572"/>
        <v>0</v>
      </c>
      <c r="EZ121" s="30">
        <f t="shared" si="572"/>
        <v>0</v>
      </c>
      <c r="FA121" s="30">
        <f t="shared" si="572"/>
        <v>0</v>
      </c>
      <c r="FB121" s="30">
        <f t="shared" si="572"/>
        <v>0</v>
      </c>
      <c r="FC121" s="30">
        <f t="shared" si="572"/>
        <v>0</v>
      </c>
      <c r="FD121" s="30">
        <f t="shared" si="572"/>
        <v>0</v>
      </c>
      <c r="FE121" s="30">
        <f t="shared" si="572"/>
        <v>0</v>
      </c>
      <c r="FF121" s="30">
        <f t="shared" si="572"/>
        <v>0</v>
      </c>
      <c r="FG121" s="30">
        <f t="shared" si="573"/>
        <v>0</v>
      </c>
      <c r="FH121" s="30">
        <f t="shared" si="573"/>
        <v>0</v>
      </c>
      <c r="FI121" s="30">
        <f t="shared" si="573"/>
        <v>0</v>
      </c>
      <c r="FJ121" s="30">
        <f t="shared" si="573"/>
        <v>0</v>
      </c>
      <c r="FK121" s="30">
        <f t="shared" si="573"/>
        <v>0</v>
      </c>
      <c r="FL121" s="30">
        <f t="shared" si="573"/>
        <v>0</v>
      </c>
      <c r="FM121" s="30">
        <f t="shared" si="573"/>
        <v>0</v>
      </c>
      <c r="FN121" s="30">
        <f t="shared" si="573"/>
        <v>0</v>
      </c>
      <c r="FO121" s="30">
        <f t="shared" si="573"/>
        <v>10833.333333333334</v>
      </c>
      <c r="FP121" s="30">
        <f t="shared" si="573"/>
        <v>10833.333333333334</v>
      </c>
      <c r="FQ121" s="30">
        <f t="shared" si="574"/>
        <v>10833.333333333334</v>
      </c>
      <c r="FR121" s="30">
        <f t="shared" si="574"/>
        <v>10833.333333333334</v>
      </c>
      <c r="FS121" s="30">
        <f t="shared" si="574"/>
        <v>10833.333333333334</v>
      </c>
      <c r="FT121" s="30">
        <f t="shared" si="574"/>
        <v>10833.333333333334</v>
      </c>
      <c r="FU121" s="30">
        <f t="shared" si="574"/>
        <v>10833.333333333334</v>
      </c>
      <c r="FV121" s="30">
        <f t="shared" si="574"/>
        <v>10833.333333333334</v>
      </c>
      <c r="FW121" s="30">
        <f t="shared" si="574"/>
        <v>10833.333333333334</v>
      </c>
      <c r="FX121" s="30">
        <f t="shared" si="574"/>
        <v>10833.333333333334</v>
      </c>
      <c r="FY121" s="30">
        <f t="shared" si="574"/>
        <v>10833.333333333334</v>
      </c>
      <c r="FZ121" s="30">
        <f t="shared" si="574"/>
        <v>10833.333333333334</v>
      </c>
      <c r="GA121" s="30">
        <f t="shared" si="575"/>
        <v>10833.333333333334</v>
      </c>
      <c r="GB121" s="30">
        <f t="shared" si="575"/>
        <v>10833.333333333334</v>
      </c>
      <c r="GC121" s="30">
        <f t="shared" si="575"/>
        <v>10833.333333333334</v>
      </c>
      <c r="GD121" s="30">
        <f t="shared" si="575"/>
        <v>10833.333333333334</v>
      </c>
      <c r="GE121" s="30">
        <f t="shared" si="575"/>
        <v>10833.333333333334</v>
      </c>
      <c r="GF121" s="30">
        <f t="shared" si="575"/>
        <v>10833.333333333334</v>
      </c>
      <c r="GG121" s="30">
        <f t="shared" si="575"/>
        <v>10833.333333333334</v>
      </c>
      <c r="GH121" s="30">
        <f t="shared" si="575"/>
        <v>10833.333333333334</v>
      </c>
      <c r="GI121" s="30">
        <f t="shared" si="575"/>
        <v>10833.333333333334</v>
      </c>
      <c r="GJ121" s="30">
        <f t="shared" si="575"/>
        <v>10833.333333333334</v>
      </c>
      <c r="GK121" s="30">
        <f t="shared" si="576"/>
        <v>10833.333333333334</v>
      </c>
      <c r="GL121" s="30">
        <f t="shared" si="576"/>
        <v>10833.333333333334</v>
      </c>
      <c r="GM121" s="30">
        <f t="shared" si="576"/>
        <v>10833.333333333334</v>
      </c>
      <c r="GN121" s="30">
        <f t="shared" si="576"/>
        <v>10833.333333333334</v>
      </c>
      <c r="GO121" s="30">
        <f t="shared" si="576"/>
        <v>10833.333333333334</v>
      </c>
      <c r="GP121" s="30">
        <f t="shared" si="576"/>
        <v>10833.333333333334</v>
      </c>
      <c r="GQ121" s="30">
        <f t="shared" si="576"/>
        <v>10833.333333333334</v>
      </c>
      <c r="GR121" s="30">
        <f t="shared" si="576"/>
        <v>10833.333333333334</v>
      </c>
      <c r="GS121" s="30">
        <f t="shared" si="576"/>
        <v>10833.333333333334</v>
      </c>
      <c r="GT121" s="30">
        <f t="shared" si="576"/>
        <v>10833.333333333334</v>
      </c>
      <c r="GU121" s="30">
        <f t="shared" si="577"/>
        <v>10833.333333333334</v>
      </c>
      <c r="GV121" s="30">
        <f t="shared" si="577"/>
        <v>10833.333333333334</v>
      </c>
      <c r="GW121" s="30">
        <f t="shared" si="577"/>
        <v>10833.333333333334</v>
      </c>
      <c r="GX121" s="30">
        <f t="shared" si="577"/>
        <v>10833.333333333334</v>
      </c>
      <c r="GY121" s="30">
        <f t="shared" si="577"/>
        <v>10833.333333333334</v>
      </c>
      <c r="GZ121" s="30">
        <f t="shared" si="577"/>
        <v>10833.333333333334</v>
      </c>
      <c r="HA121" s="30">
        <f t="shared" si="577"/>
        <v>10833.333333333334</v>
      </c>
      <c r="HB121" s="30">
        <f t="shared" si="577"/>
        <v>10833.333333333334</v>
      </c>
      <c r="HC121" s="30">
        <f t="shared" si="577"/>
        <v>10833.333333333334</v>
      </c>
      <c r="HD121" s="30">
        <f t="shared" si="577"/>
        <v>10833.333333333334</v>
      </c>
      <c r="HE121" s="30">
        <f t="shared" si="578"/>
        <v>10833.333333333334</v>
      </c>
      <c r="HF121" s="30">
        <f t="shared" si="578"/>
        <v>10833.333333333334</v>
      </c>
      <c r="HG121" s="30">
        <f t="shared" si="578"/>
        <v>10833.333333333334</v>
      </c>
      <c r="HH121" s="30">
        <f t="shared" si="578"/>
        <v>10833.333333333334</v>
      </c>
      <c r="HI121" s="30">
        <f t="shared" si="578"/>
        <v>10833.333333333334</v>
      </c>
      <c r="HJ121" s="30">
        <f t="shared" si="578"/>
        <v>10833.333333333334</v>
      </c>
      <c r="HK121" s="30">
        <f t="shared" si="578"/>
        <v>10833.333333333334</v>
      </c>
      <c r="HL121" s="30">
        <f t="shared" si="578"/>
        <v>10833.333333333334</v>
      </c>
      <c r="HM121" s="30">
        <f t="shared" si="578"/>
        <v>10833.333333333334</v>
      </c>
      <c r="HN121" s="30">
        <f t="shared" si="578"/>
        <v>10833.333333333334</v>
      </c>
      <c r="HO121" s="30">
        <f t="shared" si="579"/>
        <v>10833.333333333334</v>
      </c>
      <c r="HP121" s="30">
        <f t="shared" si="579"/>
        <v>10833.333333333334</v>
      </c>
      <c r="HQ121" s="30">
        <f t="shared" si="579"/>
        <v>10833.333333333334</v>
      </c>
      <c r="HR121" s="30">
        <f t="shared" si="579"/>
        <v>10833.333333333334</v>
      </c>
      <c r="HS121" s="30">
        <f t="shared" si="579"/>
        <v>10833.333333333334</v>
      </c>
      <c r="HT121" s="30">
        <f t="shared" si="579"/>
        <v>10833.333333333334</v>
      </c>
      <c r="HU121" s="30">
        <f t="shared" si="579"/>
        <v>10833.333333333334</v>
      </c>
      <c r="HV121" s="30">
        <f t="shared" si="579"/>
        <v>10833.333333333334</v>
      </c>
      <c r="HW121" s="30">
        <f t="shared" si="579"/>
        <v>10833.333333333334</v>
      </c>
      <c r="HX121" s="30">
        <f t="shared" si="579"/>
        <v>10833.333333333334</v>
      </c>
      <c r="HY121" s="30">
        <f t="shared" si="580"/>
        <v>10833.333333333334</v>
      </c>
      <c r="HZ121" s="30">
        <f t="shared" si="580"/>
        <v>10833.333333333334</v>
      </c>
      <c r="IA121" s="30">
        <f t="shared" si="580"/>
        <v>10833.333333333334</v>
      </c>
      <c r="IB121" s="30">
        <f t="shared" si="580"/>
        <v>10833.333333333334</v>
      </c>
      <c r="IC121" s="30">
        <f t="shared" si="580"/>
        <v>10833.333333333334</v>
      </c>
      <c r="ID121" s="30">
        <f t="shared" si="580"/>
        <v>10833.333333333334</v>
      </c>
      <c r="IE121" s="30">
        <f t="shared" si="580"/>
        <v>10833.333333333334</v>
      </c>
      <c r="IF121" s="30">
        <f t="shared" si="580"/>
        <v>10833.333333333334</v>
      </c>
      <c r="IG121" s="30">
        <f t="shared" si="580"/>
        <v>10833.333333333334</v>
      </c>
      <c r="IH121" s="30">
        <f t="shared" si="580"/>
        <v>10833.333333333334</v>
      </c>
      <c r="II121" s="30">
        <f t="shared" si="581"/>
        <v>10833.333333333334</v>
      </c>
      <c r="IJ121" s="30">
        <f t="shared" si="581"/>
        <v>10833.333333333334</v>
      </c>
      <c r="IK121" s="30">
        <f t="shared" si="581"/>
        <v>10833.333333333334</v>
      </c>
      <c r="IL121" s="30">
        <f t="shared" si="581"/>
        <v>10833.333333333334</v>
      </c>
      <c r="IM121" s="30">
        <f t="shared" si="581"/>
        <v>10833.333333333334</v>
      </c>
      <c r="IN121" s="30">
        <f t="shared" si="581"/>
        <v>10833.333333333334</v>
      </c>
      <c r="IO121" s="30">
        <f t="shared" si="581"/>
        <v>10833.333333333334</v>
      </c>
      <c r="IP121" s="30">
        <f t="shared" si="581"/>
        <v>10833.333333333334</v>
      </c>
      <c r="IQ121" s="30">
        <f t="shared" si="581"/>
        <v>10833.333333333334</v>
      </c>
      <c r="IR121" s="30">
        <f t="shared" si="581"/>
        <v>10833.333333333334</v>
      </c>
      <c r="IS121" s="30">
        <f t="shared" si="582"/>
        <v>10833.333333333334</v>
      </c>
      <c r="IT121" s="30">
        <f t="shared" si="582"/>
        <v>10833.333333333334</v>
      </c>
      <c r="IU121" s="30">
        <f t="shared" si="582"/>
        <v>10833.333333333334</v>
      </c>
      <c r="IV121" s="30">
        <f t="shared" si="582"/>
        <v>10833.333333333334</v>
      </c>
      <c r="IW121" s="30">
        <f t="shared" si="582"/>
        <v>10833.333333333334</v>
      </c>
      <c r="IX121" s="30">
        <f t="shared" si="582"/>
        <v>10833.333333333334</v>
      </c>
      <c r="IY121" s="30">
        <f t="shared" si="582"/>
        <v>10833.333333333334</v>
      </c>
      <c r="IZ121" s="30">
        <f t="shared" si="582"/>
        <v>10833.333333333334</v>
      </c>
      <c r="JA121" s="30">
        <f t="shared" si="582"/>
        <v>10833.333333333334</v>
      </c>
      <c r="JB121" s="30">
        <f t="shared" si="582"/>
        <v>10833.333333333334</v>
      </c>
      <c r="JC121" s="30">
        <f t="shared" si="583"/>
        <v>10833.333333333334</v>
      </c>
      <c r="JD121" s="30">
        <f t="shared" si="583"/>
        <v>10833.333333333334</v>
      </c>
      <c r="JE121" s="30">
        <f t="shared" si="583"/>
        <v>10833.333333333334</v>
      </c>
      <c r="JF121" s="30">
        <f t="shared" si="583"/>
        <v>10833.333333333334</v>
      </c>
      <c r="JG121" s="30">
        <f t="shared" si="583"/>
        <v>10833.333333333334</v>
      </c>
      <c r="JH121" s="30">
        <f t="shared" si="583"/>
        <v>10833.333333333334</v>
      </c>
      <c r="JI121" s="30">
        <f t="shared" si="583"/>
        <v>10833.333333333334</v>
      </c>
      <c r="JJ121" s="30">
        <f t="shared" si="583"/>
        <v>10833.333333333334</v>
      </c>
      <c r="JK121" s="30">
        <f t="shared" si="583"/>
        <v>10833.333333333334</v>
      </c>
      <c r="JL121" s="30">
        <f t="shared" si="583"/>
        <v>10833.333333333334</v>
      </c>
      <c r="JM121" s="30">
        <f t="shared" si="584"/>
        <v>10833.333333333334</v>
      </c>
      <c r="JN121" s="30">
        <f t="shared" si="584"/>
        <v>10833.333333333334</v>
      </c>
      <c r="JO121" s="30">
        <f t="shared" si="584"/>
        <v>10833.333333333334</v>
      </c>
      <c r="JP121" s="30">
        <f t="shared" si="584"/>
        <v>10833.333333333334</v>
      </c>
      <c r="JQ121" s="30">
        <f t="shared" si="584"/>
        <v>10833.333333333334</v>
      </c>
      <c r="JR121" s="30">
        <f t="shared" si="584"/>
        <v>10833.333333333334</v>
      </c>
      <c r="JS121" s="30">
        <f t="shared" si="584"/>
        <v>10833.333333333334</v>
      </c>
      <c r="JT121" s="30">
        <f t="shared" si="584"/>
        <v>10833.333333333334</v>
      </c>
      <c r="JU121" s="30">
        <f t="shared" si="584"/>
        <v>10833.333333333334</v>
      </c>
      <c r="JV121" s="30">
        <f t="shared" si="584"/>
        <v>10833.333333333334</v>
      </c>
      <c r="JW121" s="30">
        <f t="shared" si="584"/>
        <v>10833.333333333334</v>
      </c>
      <c r="JX121" s="30">
        <f t="shared" si="584"/>
        <v>10833.333333333334</v>
      </c>
    </row>
    <row r="122" spans="1:284" s="7" customFormat="1" x14ac:dyDescent="0.2">
      <c r="A122" s="406"/>
      <c r="B122" s="141" t="s">
        <v>139</v>
      </c>
      <c r="C122" s="120"/>
      <c r="D122" s="120"/>
      <c r="E122" s="173">
        <v>0.5</v>
      </c>
      <c r="F122" s="173"/>
      <c r="G122" s="122">
        <f t="shared" si="585"/>
        <v>4.5837073573055359E-2</v>
      </c>
      <c r="H122" s="123">
        <f t="shared" si="557"/>
        <v>933.33333333333337</v>
      </c>
      <c r="I122" s="124">
        <v>280000</v>
      </c>
      <c r="M122" s="38">
        <f t="shared" si="558"/>
        <v>0</v>
      </c>
      <c r="N122" s="38">
        <f t="shared" si="558"/>
        <v>0</v>
      </c>
      <c r="O122" s="38">
        <f t="shared" si="558"/>
        <v>0</v>
      </c>
      <c r="P122" s="38">
        <f t="shared" si="558"/>
        <v>0</v>
      </c>
      <c r="Q122" s="38">
        <f t="shared" si="558"/>
        <v>0</v>
      </c>
      <c r="R122" s="38">
        <f t="shared" si="558"/>
        <v>0</v>
      </c>
      <c r="S122" s="38">
        <f t="shared" si="558"/>
        <v>0</v>
      </c>
      <c r="T122" s="38">
        <f t="shared" si="558"/>
        <v>0</v>
      </c>
      <c r="U122" s="38">
        <f t="shared" si="558"/>
        <v>0</v>
      </c>
      <c r="V122" s="38">
        <f t="shared" si="558"/>
        <v>0</v>
      </c>
      <c r="W122" s="38">
        <f t="shared" si="559"/>
        <v>0</v>
      </c>
      <c r="X122" s="38">
        <f t="shared" si="559"/>
        <v>0</v>
      </c>
      <c r="Y122" s="38">
        <f t="shared" si="559"/>
        <v>0</v>
      </c>
      <c r="Z122" s="38">
        <f t="shared" si="559"/>
        <v>0</v>
      </c>
      <c r="AA122" s="38">
        <f t="shared" si="559"/>
        <v>0</v>
      </c>
      <c r="AB122" s="38">
        <f t="shared" si="559"/>
        <v>0</v>
      </c>
      <c r="AC122" s="38">
        <f t="shared" si="559"/>
        <v>0</v>
      </c>
      <c r="AD122" s="38">
        <f t="shared" si="559"/>
        <v>0</v>
      </c>
      <c r="AE122" s="38">
        <f t="shared" si="559"/>
        <v>12833.333333333332</v>
      </c>
      <c r="AF122" s="38">
        <f t="shared" si="559"/>
        <v>13611.111111111109</v>
      </c>
      <c r="AG122" s="38">
        <f t="shared" si="560"/>
        <v>14388.888888888887</v>
      </c>
      <c r="AH122" s="38">
        <f t="shared" si="560"/>
        <v>15166.666666666666</v>
      </c>
      <c r="AI122" s="38">
        <f t="shared" si="560"/>
        <v>15944.444444444445</v>
      </c>
      <c r="AJ122" s="38">
        <f t="shared" si="560"/>
        <v>16722.222222222223</v>
      </c>
      <c r="AK122" s="38">
        <f t="shared" si="560"/>
        <v>17500</v>
      </c>
      <c r="AL122" s="38">
        <f t="shared" si="560"/>
        <v>18277.777777777777</v>
      </c>
      <c r="AM122" s="38">
        <f t="shared" si="560"/>
        <v>19055.555555555555</v>
      </c>
      <c r="AN122" s="38">
        <f t="shared" si="560"/>
        <v>19833.333333333332</v>
      </c>
      <c r="AO122" s="38">
        <f t="shared" si="560"/>
        <v>20611.111111111109</v>
      </c>
      <c r="AP122" s="38">
        <f t="shared" si="560"/>
        <v>21388.888888888891</v>
      </c>
      <c r="AQ122" s="38">
        <f t="shared" si="561"/>
        <v>22831.666666666664</v>
      </c>
      <c r="AR122" s="38">
        <f t="shared" si="561"/>
        <v>23632.777777777781</v>
      </c>
      <c r="AS122" s="38">
        <f t="shared" si="561"/>
        <v>24033.333333333332</v>
      </c>
      <c r="AT122" s="38">
        <f t="shared" si="561"/>
        <v>24033.333333333332</v>
      </c>
      <c r="AU122" s="38">
        <f t="shared" si="561"/>
        <v>24033.333333333332</v>
      </c>
      <c r="AV122" s="38">
        <f t="shared" si="561"/>
        <v>24033.333333333332</v>
      </c>
      <c r="AW122" s="38">
        <f t="shared" si="561"/>
        <v>24033.333333333332</v>
      </c>
      <c r="AX122" s="38">
        <f t="shared" si="561"/>
        <v>24033.333333333332</v>
      </c>
      <c r="AY122" s="38">
        <f t="shared" si="561"/>
        <v>24033.333333333332</v>
      </c>
      <c r="AZ122" s="38">
        <f t="shared" si="561"/>
        <v>24033.333333333332</v>
      </c>
      <c r="BA122" s="38">
        <f t="shared" si="562"/>
        <v>24033.333333333332</v>
      </c>
      <c r="BB122" s="38">
        <f t="shared" si="562"/>
        <v>24033.333333333332</v>
      </c>
      <c r="BC122" s="38">
        <f t="shared" si="562"/>
        <v>24754.333333333332</v>
      </c>
      <c r="BD122" s="38">
        <f t="shared" si="562"/>
        <v>24754.333333333332</v>
      </c>
      <c r="BE122" s="38">
        <f t="shared" si="562"/>
        <v>24754.333333333332</v>
      </c>
      <c r="BF122" s="38">
        <f t="shared" si="562"/>
        <v>24754.333333333332</v>
      </c>
      <c r="BG122" s="38">
        <f t="shared" si="562"/>
        <v>24754.333333333332</v>
      </c>
      <c r="BH122" s="38">
        <f t="shared" si="562"/>
        <v>24754.333333333332</v>
      </c>
      <c r="BI122" s="38">
        <f t="shared" si="562"/>
        <v>24754.333333333332</v>
      </c>
      <c r="BJ122" s="38">
        <f t="shared" si="562"/>
        <v>24754.333333333332</v>
      </c>
      <c r="BK122" s="38">
        <f t="shared" si="563"/>
        <v>24754.333333333332</v>
      </c>
      <c r="BL122" s="38">
        <f t="shared" si="563"/>
        <v>24754.333333333332</v>
      </c>
      <c r="BM122" s="38">
        <f t="shared" si="563"/>
        <v>24754.333333333332</v>
      </c>
      <c r="BN122" s="38">
        <f t="shared" si="563"/>
        <v>24754.333333333332</v>
      </c>
      <c r="BO122" s="38">
        <f t="shared" si="563"/>
        <v>25496.963333333333</v>
      </c>
      <c r="BP122" s="38">
        <f t="shared" si="563"/>
        <v>25496.963333333333</v>
      </c>
      <c r="BQ122" s="38">
        <f t="shared" si="563"/>
        <v>25496.963333333333</v>
      </c>
      <c r="BR122" s="38">
        <f t="shared" si="563"/>
        <v>25496.963333333333</v>
      </c>
      <c r="BS122" s="38">
        <f t="shared" si="563"/>
        <v>25496.963333333333</v>
      </c>
      <c r="BT122" s="38">
        <f t="shared" si="563"/>
        <v>25496.963333333333</v>
      </c>
      <c r="BU122" s="38">
        <f t="shared" si="564"/>
        <v>25496.963333333333</v>
      </c>
      <c r="BV122" s="38">
        <f t="shared" si="564"/>
        <v>25496.963333333333</v>
      </c>
      <c r="BW122" s="38">
        <f t="shared" si="564"/>
        <v>25496.963333333333</v>
      </c>
      <c r="BX122" s="38">
        <f t="shared" si="564"/>
        <v>25496.963333333333</v>
      </c>
      <c r="BY122" s="38">
        <f t="shared" si="564"/>
        <v>25496.963333333333</v>
      </c>
      <c r="BZ122" s="38">
        <f t="shared" si="564"/>
        <v>25496.963333333333</v>
      </c>
      <c r="CA122" s="38">
        <f t="shared" si="564"/>
        <v>26261.872233333332</v>
      </c>
      <c r="CB122" s="38">
        <f t="shared" si="564"/>
        <v>26261.872233333332</v>
      </c>
      <c r="CC122" s="38">
        <f t="shared" si="564"/>
        <v>26261.872233333332</v>
      </c>
      <c r="CD122" s="38">
        <f t="shared" si="564"/>
        <v>26261.872233333332</v>
      </c>
      <c r="CE122" s="38">
        <f t="shared" si="565"/>
        <v>26261.872233333332</v>
      </c>
      <c r="CF122" s="38">
        <f t="shared" si="565"/>
        <v>26261.872233333332</v>
      </c>
      <c r="CG122" s="38">
        <f t="shared" si="565"/>
        <v>26261.872233333332</v>
      </c>
      <c r="CH122" s="38">
        <f t="shared" si="565"/>
        <v>26261.872233333332</v>
      </c>
      <c r="CI122" s="38">
        <f t="shared" si="565"/>
        <v>26261.872233333332</v>
      </c>
      <c r="CJ122" s="38">
        <f t="shared" si="565"/>
        <v>26261.872233333332</v>
      </c>
      <c r="CK122" s="38">
        <f t="shared" si="565"/>
        <v>26261.872233333332</v>
      </c>
      <c r="CL122" s="38">
        <f t="shared" si="565"/>
        <v>26261.872233333332</v>
      </c>
      <c r="CM122" s="38">
        <f t="shared" si="565"/>
        <v>27049.72840033333</v>
      </c>
      <c r="CN122" s="38">
        <f t="shared" si="565"/>
        <v>27049.72840033333</v>
      </c>
      <c r="CO122" s="38">
        <f t="shared" si="566"/>
        <v>27049.72840033333</v>
      </c>
      <c r="CP122" s="38">
        <f t="shared" si="566"/>
        <v>27049.72840033333</v>
      </c>
      <c r="CQ122" s="38">
        <f t="shared" si="566"/>
        <v>27049.72840033333</v>
      </c>
      <c r="CR122" s="38">
        <f t="shared" si="566"/>
        <v>27049.72840033333</v>
      </c>
      <c r="CS122" s="38">
        <f t="shared" si="566"/>
        <v>27049.72840033333</v>
      </c>
      <c r="CT122" s="38">
        <f t="shared" si="566"/>
        <v>27049.72840033333</v>
      </c>
      <c r="CU122" s="38">
        <f t="shared" si="566"/>
        <v>27049.72840033333</v>
      </c>
      <c r="CV122" s="38">
        <f t="shared" si="566"/>
        <v>27049.72840033333</v>
      </c>
      <c r="CW122" s="38">
        <f t="shared" si="566"/>
        <v>27049.72840033333</v>
      </c>
      <c r="CX122" s="38">
        <f t="shared" si="566"/>
        <v>27049.72840033333</v>
      </c>
      <c r="CY122" s="38">
        <f t="shared" si="567"/>
        <v>27861.22025234333</v>
      </c>
      <c r="CZ122" s="38">
        <f t="shared" si="567"/>
        <v>27861.22025234333</v>
      </c>
      <c r="DA122" s="38">
        <f t="shared" si="567"/>
        <v>27861.22025234333</v>
      </c>
      <c r="DB122" s="38">
        <f t="shared" si="567"/>
        <v>27861.22025234333</v>
      </c>
      <c r="DC122" s="38">
        <f t="shared" si="567"/>
        <v>27861.22025234333</v>
      </c>
      <c r="DD122" s="38">
        <f t="shared" si="567"/>
        <v>27861.22025234333</v>
      </c>
      <c r="DE122" s="38">
        <f t="shared" si="567"/>
        <v>27861.22025234333</v>
      </c>
      <c r="DF122" s="38">
        <f t="shared" si="567"/>
        <v>27861.22025234333</v>
      </c>
      <c r="DG122" s="38">
        <f t="shared" si="567"/>
        <v>27861.22025234333</v>
      </c>
      <c r="DH122" s="38">
        <f t="shared" si="567"/>
        <v>27861.22025234333</v>
      </c>
      <c r="DI122" s="38">
        <f t="shared" si="568"/>
        <v>27861.22025234333</v>
      </c>
      <c r="DJ122" s="38">
        <f t="shared" si="568"/>
        <v>27861.22025234333</v>
      </c>
      <c r="DK122" s="38">
        <f t="shared" si="568"/>
        <v>28697.056859913631</v>
      </c>
      <c r="DL122" s="38">
        <f t="shared" si="568"/>
        <v>28697.056859913631</v>
      </c>
      <c r="DM122" s="38">
        <f t="shared" si="568"/>
        <v>28697.056859913631</v>
      </c>
      <c r="DN122" s="38">
        <f t="shared" si="568"/>
        <v>28697.056859913631</v>
      </c>
      <c r="DO122" s="38">
        <f t="shared" si="568"/>
        <v>28697.056859913631</v>
      </c>
      <c r="DP122" s="38">
        <f t="shared" si="568"/>
        <v>28697.056859913631</v>
      </c>
      <c r="DQ122" s="38">
        <f t="shared" si="568"/>
        <v>28697.056859913631</v>
      </c>
      <c r="DR122" s="38">
        <f t="shared" si="568"/>
        <v>28697.056859913631</v>
      </c>
      <c r="DS122" s="38">
        <f t="shared" si="569"/>
        <v>28697.056859913631</v>
      </c>
      <c r="DT122" s="38">
        <f t="shared" si="569"/>
        <v>28697.056859913631</v>
      </c>
      <c r="DU122" s="38">
        <f t="shared" si="569"/>
        <v>28697.056859913631</v>
      </c>
      <c r="DV122" s="38">
        <f t="shared" si="569"/>
        <v>28697.056859913631</v>
      </c>
      <c r="DW122" s="38">
        <f t="shared" si="569"/>
        <v>29557.968565711039</v>
      </c>
      <c r="DX122" s="38">
        <f t="shared" si="569"/>
        <v>29557.968565711039</v>
      </c>
      <c r="DY122" s="38">
        <f t="shared" si="569"/>
        <v>29557.968565711039</v>
      </c>
      <c r="DZ122" s="38">
        <f t="shared" si="569"/>
        <v>29557.968565711039</v>
      </c>
      <c r="EA122" s="38">
        <f t="shared" si="569"/>
        <v>29557.968565711039</v>
      </c>
      <c r="EB122" s="38">
        <f t="shared" si="569"/>
        <v>29557.968565711039</v>
      </c>
      <c r="EC122" s="38">
        <f t="shared" si="570"/>
        <v>29557.968565711039</v>
      </c>
      <c r="ED122" s="38">
        <f t="shared" si="570"/>
        <v>29557.968565711039</v>
      </c>
      <c r="EE122" s="38">
        <f t="shared" si="570"/>
        <v>29557.968565711039</v>
      </c>
      <c r="EF122" s="38">
        <f t="shared" si="570"/>
        <v>29557.968565711039</v>
      </c>
      <c r="EG122" s="38">
        <f t="shared" si="570"/>
        <v>29557.968565711039</v>
      </c>
      <c r="EH122" s="38">
        <f t="shared" si="570"/>
        <v>29557.968565711039</v>
      </c>
      <c r="EI122" s="38">
        <f t="shared" si="570"/>
        <v>30444.70762268237</v>
      </c>
      <c r="EJ122" s="38">
        <f t="shared" si="570"/>
        <v>30444.70762268237</v>
      </c>
      <c r="EK122" s="38">
        <f t="shared" si="570"/>
        <v>30444.70762268237</v>
      </c>
      <c r="EL122" s="38">
        <f t="shared" si="570"/>
        <v>30444.70762268237</v>
      </c>
      <c r="EM122" s="38">
        <f t="shared" si="571"/>
        <v>30444.70762268237</v>
      </c>
      <c r="EN122" s="38">
        <f t="shared" si="571"/>
        <v>30444.70762268237</v>
      </c>
      <c r="EP122" s="24"/>
      <c r="EQ122" s="24"/>
      <c r="ER122" s="59">
        <f t="shared" si="586"/>
        <v>0.5</v>
      </c>
      <c r="ES122" s="24"/>
      <c r="ET122" s="24"/>
      <c r="EU122" s="33"/>
      <c r="EV122" s="24" t="s">
        <v>159</v>
      </c>
      <c r="EW122" s="30">
        <f t="shared" si="572"/>
        <v>0</v>
      </c>
      <c r="EX122" s="30">
        <f t="shared" si="572"/>
        <v>0</v>
      </c>
      <c r="EY122" s="30">
        <f t="shared" si="572"/>
        <v>0</v>
      </c>
      <c r="EZ122" s="30">
        <f t="shared" si="572"/>
        <v>0</v>
      </c>
      <c r="FA122" s="30">
        <f t="shared" si="572"/>
        <v>0</v>
      </c>
      <c r="FB122" s="30">
        <f t="shared" si="572"/>
        <v>0</v>
      </c>
      <c r="FC122" s="30">
        <f t="shared" si="572"/>
        <v>0</v>
      </c>
      <c r="FD122" s="30">
        <f t="shared" si="572"/>
        <v>0</v>
      </c>
      <c r="FE122" s="30">
        <f t="shared" si="572"/>
        <v>0</v>
      </c>
      <c r="FF122" s="30">
        <f t="shared" si="572"/>
        <v>0</v>
      </c>
      <c r="FG122" s="30">
        <f t="shared" si="573"/>
        <v>0</v>
      </c>
      <c r="FH122" s="30">
        <f t="shared" si="573"/>
        <v>0</v>
      </c>
      <c r="FI122" s="30">
        <f t="shared" si="573"/>
        <v>0</v>
      </c>
      <c r="FJ122" s="30">
        <f t="shared" si="573"/>
        <v>0</v>
      </c>
      <c r="FK122" s="30">
        <f t="shared" si="573"/>
        <v>0</v>
      </c>
      <c r="FL122" s="30">
        <f t="shared" si="573"/>
        <v>0</v>
      </c>
      <c r="FM122" s="30">
        <f t="shared" si="573"/>
        <v>0</v>
      </c>
      <c r="FN122" s="30">
        <f t="shared" si="573"/>
        <v>0</v>
      </c>
      <c r="FO122" s="30">
        <f t="shared" si="573"/>
        <v>11666.666666666666</v>
      </c>
      <c r="FP122" s="30">
        <f t="shared" si="573"/>
        <v>11666.666666666666</v>
      </c>
      <c r="FQ122" s="30">
        <f t="shared" si="574"/>
        <v>11666.666666666666</v>
      </c>
      <c r="FR122" s="30">
        <f t="shared" si="574"/>
        <v>11666.666666666666</v>
      </c>
      <c r="FS122" s="30">
        <f t="shared" si="574"/>
        <v>11666.666666666666</v>
      </c>
      <c r="FT122" s="30">
        <f t="shared" si="574"/>
        <v>11666.666666666666</v>
      </c>
      <c r="FU122" s="30">
        <f t="shared" si="574"/>
        <v>11666.666666666666</v>
      </c>
      <c r="FV122" s="30">
        <f t="shared" si="574"/>
        <v>11666.666666666666</v>
      </c>
      <c r="FW122" s="30">
        <f t="shared" si="574"/>
        <v>11666.666666666666</v>
      </c>
      <c r="FX122" s="30">
        <f t="shared" si="574"/>
        <v>11666.666666666666</v>
      </c>
      <c r="FY122" s="30">
        <f t="shared" si="574"/>
        <v>11666.666666666666</v>
      </c>
      <c r="FZ122" s="30">
        <f t="shared" si="574"/>
        <v>11666.666666666666</v>
      </c>
      <c r="GA122" s="30">
        <f t="shared" si="575"/>
        <v>11666.666666666666</v>
      </c>
      <c r="GB122" s="30">
        <f t="shared" si="575"/>
        <v>11666.666666666666</v>
      </c>
      <c r="GC122" s="30">
        <f t="shared" si="575"/>
        <v>11666.666666666666</v>
      </c>
      <c r="GD122" s="30">
        <f t="shared" si="575"/>
        <v>11666.666666666666</v>
      </c>
      <c r="GE122" s="30">
        <f t="shared" si="575"/>
        <v>11666.666666666666</v>
      </c>
      <c r="GF122" s="30">
        <f t="shared" si="575"/>
        <v>11666.666666666666</v>
      </c>
      <c r="GG122" s="30">
        <f t="shared" si="575"/>
        <v>11666.666666666666</v>
      </c>
      <c r="GH122" s="30">
        <f t="shared" si="575"/>
        <v>11666.666666666666</v>
      </c>
      <c r="GI122" s="30">
        <f t="shared" si="575"/>
        <v>11666.666666666666</v>
      </c>
      <c r="GJ122" s="30">
        <f t="shared" si="575"/>
        <v>11666.666666666666</v>
      </c>
      <c r="GK122" s="30">
        <f t="shared" si="576"/>
        <v>11666.666666666666</v>
      </c>
      <c r="GL122" s="30">
        <f t="shared" si="576"/>
        <v>11666.666666666666</v>
      </c>
      <c r="GM122" s="30">
        <f t="shared" si="576"/>
        <v>11666.666666666666</v>
      </c>
      <c r="GN122" s="30">
        <f t="shared" si="576"/>
        <v>11666.666666666666</v>
      </c>
      <c r="GO122" s="30">
        <f t="shared" si="576"/>
        <v>11666.666666666666</v>
      </c>
      <c r="GP122" s="30">
        <f t="shared" si="576"/>
        <v>11666.666666666666</v>
      </c>
      <c r="GQ122" s="30">
        <f t="shared" si="576"/>
        <v>11666.666666666666</v>
      </c>
      <c r="GR122" s="30">
        <f t="shared" si="576"/>
        <v>11666.666666666666</v>
      </c>
      <c r="GS122" s="30">
        <f t="shared" si="576"/>
        <v>11666.666666666666</v>
      </c>
      <c r="GT122" s="30">
        <f t="shared" si="576"/>
        <v>11666.666666666666</v>
      </c>
      <c r="GU122" s="30">
        <f t="shared" si="577"/>
        <v>11666.666666666666</v>
      </c>
      <c r="GV122" s="30">
        <f t="shared" si="577"/>
        <v>11666.666666666666</v>
      </c>
      <c r="GW122" s="30">
        <f t="shared" si="577"/>
        <v>11666.666666666666</v>
      </c>
      <c r="GX122" s="30">
        <f t="shared" si="577"/>
        <v>11666.666666666666</v>
      </c>
      <c r="GY122" s="30">
        <f t="shared" si="577"/>
        <v>11666.666666666666</v>
      </c>
      <c r="GZ122" s="30">
        <f t="shared" si="577"/>
        <v>11666.666666666666</v>
      </c>
      <c r="HA122" s="30">
        <f t="shared" si="577"/>
        <v>11666.666666666666</v>
      </c>
      <c r="HB122" s="30">
        <f t="shared" si="577"/>
        <v>11666.666666666666</v>
      </c>
      <c r="HC122" s="30">
        <f t="shared" si="577"/>
        <v>11666.666666666666</v>
      </c>
      <c r="HD122" s="30">
        <f t="shared" si="577"/>
        <v>11666.666666666666</v>
      </c>
      <c r="HE122" s="30">
        <f t="shared" si="578"/>
        <v>11666.666666666666</v>
      </c>
      <c r="HF122" s="30">
        <f t="shared" si="578"/>
        <v>11666.666666666666</v>
      </c>
      <c r="HG122" s="30">
        <f t="shared" si="578"/>
        <v>11666.666666666666</v>
      </c>
      <c r="HH122" s="30">
        <f t="shared" si="578"/>
        <v>11666.666666666666</v>
      </c>
      <c r="HI122" s="30">
        <f t="shared" si="578"/>
        <v>11666.666666666666</v>
      </c>
      <c r="HJ122" s="30">
        <f t="shared" si="578"/>
        <v>11666.666666666666</v>
      </c>
      <c r="HK122" s="30">
        <f t="shared" si="578"/>
        <v>11666.666666666666</v>
      </c>
      <c r="HL122" s="30">
        <f t="shared" si="578"/>
        <v>11666.666666666666</v>
      </c>
      <c r="HM122" s="30">
        <f t="shared" si="578"/>
        <v>11666.666666666666</v>
      </c>
      <c r="HN122" s="30">
        <f t="shared" si="578"/>
        <v>11666.666666666666</v>
      </c>
      <c r="HO122" s="30">
        <f t="shared" si="579"/>
        <v>11666.666666666666</v>
      </c>
      <c r="HP122" s="30">
        <f t="shared" si="579"/>
        <v>11666.666666666666</v>
      </c>
      <c r="HQ122" s="30">
        <f t="shared" si="579"/>
        <v>11666.666666666666</v>
      </c>
      <c r="HR122" s="30">
        <f t="shared" si="579"/>
        <v>11666.666666666666</v>
      </c>
      <c r="HS122" s="30">
        <f t="shared" si="579"/>
        <v>11666.666666666666</v>
      </c>
      <c r="HT122" s="30">
        <f t="shared" si="579"/>
        <v>11666.666666666666</v>
      </c>
      <c r="HU122" s="30">
        <f t="shared" si="579"/>
        <v>11666.666666666666</v>
      </c>
      <c r="HV122" s="30">
        <f t="shared" si="579"/>
        <v>11666.666666666666</v>
      </c>
      <c r="HW122" s="30">
        <f t="shared" si="579"/>
        <v>11666.666666666666</v>
      </c>
      <c r="HX122" s="30">
        <f t="shared" si="579"/>
        <v>11666.666666666666</v>
      </c>
      <c r="HY122" s="30">
        <f t="shared" si="580"/>
        <v>11666.666666666666</v>
      </c>
      <c r="HZ122" s="30">
        <f t="shared" si="580"/>
        <v>11666.666666666666</v>
      </c>
      <c r="IA122" s="30">
        <f t="shared" si="580"/>
        <v>11666.666666666666</v>
      </c>
      <c r="IB122" s="30">
        <f t="shared" si="580"/>
        <v>11666.666666666666</v>
      </c>
      <c r="IC122" s="30">
        <f t="shared" si="580"/>
        <v>11666.666666666666</v>
      </c>
      <c r="ID122" s="30">
        <f t="shared" si="580"/>
        <v>11666.666666666666</v>
      </c>
      <c r="IE122" s="30">
        <f t="shared" si="580"/>
        <v>11666.666666666666</v>
      </c>
      <c r="IF122" s="30">
        <f t="shared" si="580"/>
        <v>11666.666666666666</v>
      </c>
      <c r="IG122" s="30">
        <f t="shared" si="580"/>
        <v>11666.666666666666</v>
      </c>
      <c r="IH122" s="30">
        <f t="shared" si="580"/>
        <v>11666.666666666666</v>
      </c>
      <c r="II122" s="30">
        <f t="shared" si="581"/>
        <v>11666.666666666666</v>
      </c>
      <c r="IJ122" s="30">
        <f t="shared" si="581"/>
        <v>11666.666666666666</v>
      </c>
      <c r="IK122" s="30">
        <f t="shared" si="581"/>
        <v>11666.666666666666</v>
      </c>
      <c r="IL122" s="30">
        <f t="shared" si="581"/>
        <v>11666.666666666666</v>
      </c>
      <c r="IM122" s="30">
        <f t="shared" si="581"/>
        <v>11666.666666666666</v>
      </c>
      <c r="IN122" s="30">
        <f t="shared" si="581"/>
        <v>11666.666666666666</v>
      </c>
      <c r="IO122" s="30">
        <f t="shared" si="581"/>
        <v>11666.666666666666</v>
      </c>
      <c r="IP122" s="30">
        <f t="shared" si="581"/>
        <v>11666.666666666666</v>
      </c>
      <c r="IQ122" s="30">
        <f t="shared" si="581"/>
        <v>11666.666666666666</v>
      </c>
      <c r="IR122" s="30">
        <f t="shared" si="581"/>
        <v>11666.666666666666</v>
      </c>
      <c r="IS122" s="30">
        <f t="shared" si="582"/>
        <v>11666.666666666666</v>
      </c>
      <c r="IT122" s="30">
        <f t="shared" si="582"/>
        <v>11666.666666666666</v>
      </c>
      <c r="IU122" s="30">
        <f t="shared" si="582"/>
        <v>11666.666666666666</v>
      </c>
      <c r="IV122" s="30">
        <f t="shared" si="582"/>
        <v>11666.666666666666</v>
      </c>
      <c r="IW122" s="30">
        <f t="shared" si="582"/>
        <v>11666.666666666666</v>
      </c>
      <c r="IX122" s="30">
        <f t="shared" si="582"/>
        <v>11666.666666666666</v>
      </c>
      <c r="IY122" s="30">
        <f t="shared" si="582"/>
        <v>11666.666666666666</v>
      </c>
      <c r="IZ122" s="30">
        <f t="shared" si="582"/>
        <v>11666.666666666666</v>
      </c>
      <c r="JA122" s="30">
        <f t="shared" si="582"/>
        <v>11666.666666666666</v>
      </c>
      <c r="JB122" s="30">
        <f t="shared" si="582"/>
        <v>11666.666666666666</v>
      </c>
      <c r="JC122" s="30">
        <f t="shared" si="583"/>
        <v>11666.666666666666</v>
      </c>
      <c r="JD122" s="30">
        <f t="shared" si="583"/>
        <v>11666.666666666666</v>
      </c>
      <c r="JE122" s="30">
        <f t="shared" si="583"/>
        <v>11666.666666666666</v>
      </c>
      <c r="JF122" s="30">
        <f t="shared" si="583"/>
        <v>11666.666666666666</v>
      </c>
      <c r="JG122" s="30">
        <f t="shared" si="583"/>
        <v>11666.666666666666</v>
      </c>
      <c r="JH122" s="30">
        <f t="shared" si="583"/>
        <v>11666.666666666666</v>
      </c>
      <c r="JI122" s="30">
        <f t="shared" si="583"/>
        <v>11666.666666666666</v>
      </c>
      <c r="JJ122" s="30">
        <f t="shared" si="583"/>
        <v>11666.666666666666</v>
      </c>
      <c r="JK122" s="30">
        <f t="shared" si="583"/>
        <v>11666.666666666666</v>
      </c>
      <c r="JL122" s="30">
        <f t="shared" si="583"/>
        <v>11666.666666666666</v>
      </c>
      <c r="JM122" s="30">
        <f t="shared" si="584"/>
        <v>11666.666666666666</v>
      </c>
      <c r="JN122" s="30">
        <f t="shared" si="584"/>
        <v>11666.666666666666</v>
      </c>
      <c r="JO122" s="30">
        <f t="shared" si="584"/>
        <v>11666.666666666666</v>
      </c>
      <c r="JP122" s="30">
        <f t="shared" si="584"/>
        <v>11666.666666666666</v>
      </c>
      <c r="JQ122" s="30">
        <f t="shared" si="584"/>
        <v>11666.666666666666</v>
      </c>
      <c r="JR122" s="30">
        <f t="shared" si="584"/>
        <v>11666.666666666666</v>
      </c>
      <c r="JS122" s="30">
        <f t="shared" si="584"/>
        <v>11666.666666666666</v>
      </c>
      <c r="JT122" s="30">
        <f t="shared" si="584"/>
        <v>11666.666666666666</v>
      </c>
      <c r="JU122" s="30">
        <f t="shared" si="584"/>
        <v>11666.666666666666</v>
      </c>
      <c r="JV122" s="30">
        <f t="shared" si="584"/>
        <v>11666.666666666666</v>
      </c>
      <c r="JW122" s="30">
        <f t="shared" si="584"/>
        <v>11666.666666666666</v>
      </c>
      <c r="JX122" s="30">
        <f t="shared" si="584"/>
        <v>11666.666666666666</v>
      </c>
    </row>
    <row r="123" spans="1:284" s="7" customFormat="1" x14ac:dyDescent="0.2">
      <c r="A123" s="406"/>
      <c r="B123" s="141" t="s">
        <v>140</v>
      </c>
      <c r="C123" s="120"/>
      <c r="D123" s="120"/>
      <c r="E123" s="173">
        <v>0.75</v>
      </c>
      <c r="F123" s="173"/>
      <c r="G123" s="122">
        <f t="shared" si="585"/>
        <v>1.718890258989576E-2</v>
      </c>
      <c r="H123" s="123">
        <f t="shared" si="557"/>
        <v>350</v>
      </c>
      <c r="I123" s="124">
        <v>105000</v>
      </c>
      <c r="M123" s="38">
        <f t="shared" si="558"/>
        <v>0</v>
      </c>
      <c r="N123" s="38">
        <f t="shared" si="558"/>
        <v>0</v>
      </c>
      <c r="O123" s="38">
        <f t="shared" si="558"/>
        <v>0</v>
      </c>
      <c r="P123" s="38">
        <f t="shared" si="558"/>
        <v>0</v>
      </c>
      <c r="Q123" s="38">
        <f t="shared" si="558"/>
        <v>0</v>
      </c>
      <c r="R123" s="38">
        <f t="shared" si="558"/>
        <v>0</v>
      </c>
      <c r="S123" s="38">
        <f t="shared" si="558"/>
        <v>0</v>
      </c>
      <c r="T123" s="38">
        <f t="shared" si="558"/>
        <v>0</v>
      </c>
      <c r="U123" s="38">
        <f t="shared" si="558"/>
        <v>0</v>
      </c>
      <c r="V123" s="38">
        <f t="shared" si="558"/>
        <v>0</v>
      </c>
      <c r="W123" s="38">
        <f t="shared" si="559"/>
        <v>0</v>
      </c>
      <c r="X123" s="38">
        <f t="shared" si="559"/>
        <v>0</v>
      </c>
      <c r="Y123" s="38">
        <f t="shared" si="559"/>
        <v>0</v>
      </c>
      <c r="Z123" s="38">
        <f t="shared" si="559"/>
        <v>0</v>
      </c>
      <c r="AA123" s="38">
        <f t="shared" si="559"/>
        <v>0</v>
      </c>
      <c r="AB123" s="38">
        <f t="shared" si="559"/>
        <v>0</v>
      </c>
      <c r="AC123" s="38">
        <f t="shared" si="559"/>
        <v>0</v>
      </c>
      <c r="AD123" s="38">
        <f t="shared" si="559"/>
        <v>0</v>
      </c>
      <c r="AE123" s="38">
        <f t="shared" si="559"/>
        <v>6781.25</v>
      </c>
      <c r="AF123" s="38">
        <f t="shared" si="559"/>
        <v>6927.083333333333</v>
      </c>
      <c r="AG123" s="38">
        <f t="shared" si="560"/>
        <v>7072.916666666667</v>
      </c>
      <c r="AH123" s="38">
        <f t="shared" si="560"/>
        <v>7218.75</v>
      </c>
      <c r="AI123" s="38">
        <f t="shared" si="560"/>
        <v>7364.583333333333</v>
      </c>
      <c r="AJ123" s="38">
        <f t="shared" si="560"/>
        <v>7510.416666666667</v>
      </c>
      <c r="AK123" s="38">
        <f t="shared" si="560"/>
        <v>7656.25</v>
      </c>
      <c r="AL123" s="38">
        <f t="shared" si="560"/>
        <v>7802.083333333333</v>
      </c>
      <c r="AM123" s="38">
        <f t="shared" si="560"/>
        <v>7947.9166666666661</v>
      </c>
      <c r="AN123" s="38">
        <f t="shared" si="560"/>
        <v>8093.75</v>
      </c>
      <c r="AO123" s="38">
        <f t="shared" si="560"/>
        <v>8239.5833333333339</v>
      </c>
      <c r="AP123" s="38">
        <f t="shared" si="560"/>
        <v>8385.4166666666661</v>
      </c>
      <c r="AQ123" s="38">
        <f t="shared" si="561"/>
        <v>8787.1875</v>
      </c>
      <c r="AR123" s="38">
        <f t="shared" si="561"/>
        <v>8937.3958333333339</v>
      </c>
      <c r="AS123" s="38">
        <f t="shared" si="561"/>
        <v>9012.5</v>
      </c>
      <c r="AT123" s="38">
        <f t="shared" si="561"/>
        <v>9012.5</v>
      </c>
      <c r="AU123" s="38">
        <f t="shared" si="561"/>
        <v>9012.5</v>
      </c>
      <c r="AV123" s="38">
        <f t="shared" si="561"/>
        <v>9012.5</v>
      </c>
      <c r="AW123" s="38">
        <f t="shared" si="561"/>
        <v>9012.5</v>
      </c>
      <c r="AX123" s="38">
        <f t="shared" si="561"/>
        <v>9012.5</v>
      </c>
      <c r="AY123" s="38">
        <f t="shared" si="561"/>
        <v>9012.5</v>
      </c>
      <c r="AZ123" s="38">
        <f t="shared" si="561"/>
        <v>9012.5</v>
      </c>
      <c r="BA123" s="38">
        <f t="shared" si="562"/>
        <v>9012.5</v>
      </c>
      <c r="BB123" s="38">
        <f t="shared" si="562"/>
        <v>9012.5</v>
      </c>
      <c r="BC123" s="38">
        <f t="shared" si="562"/>
        <v>9282.875</v>
      </c>
      <c r="BD123" s="38">
        <f t="shared" si="562"/>
        <v>9282.875</v>
      </c>
      <c r="BE123" s="38">
        <f t="shared" si="562"/>
        <v>9282.875</v>
      </c>
      <c r="BF123" s="38">
        <f t="shared" si="562"/>
        <v>9282.875</v>
      </c>
      <c r="BG123" s="38">
        <f t="shared" si="562"/>
        <v>9282.875</v>
      </c>
      <c r="BH123" s="38">
        <f t="shared" si="562"/>
        <v>9282.875</v>
      </c>
      <c r="BI123" s="38">
        <f t="shared" si="562"/>
        <v>9282.875</v>
      </c>
      <c r="BJ123" s="38">
        <f t="shared" si="562"/>
        <v>9282.875</v>
      </c>
      <c r="BK123" s="38">
        <f t="shared" si="563"/>
        <v>9282.875</v>
      </c>
      <c r="BL123" s="38">
        <f t="shared" si="563"/>
        <v>9282.875</v>
      </c>
      <c r="BM123" s="38">
        <f t="shared" si="563"/>
        <v>9282.875</v>
      </c>
      <c r="BN123" s="38">
        <f t="shared" si="563"/>
        <v>9282.875</v>
      </c>
      <c r="BO123" s="38">
        <f t="shared" si="563"/>
        <v>9561.3612499999999</v>
      </c>
      <c r="BP123" s="38">
        <f t="shared" si="563"/>
        <v>9561.3612499999999</v>
      </c>
      <c r="BQ123" s="38">
        <f t="shared" si="563"/>
        <v>9561.3612499999999</v>
      </c>
      <c r="BR123" s="38">
        <f t="shared" si="563"/>
        <v>9561.3612499999999</v>
      </c>
      <c r="BS123" s="38">
        <f t="shared" si="563"/>
        <v>9561.3612499999999</v>
      </c>
      <c r="BT123" s="38">
        <f t="shared" si="563"/>
        <v>9561.3612499999999</v>
      </c>
      <c r="BU123" s="38">
        <f t="shared" si="564"/>
        <v>9561.3612499999999</v>
      </c>
      <c r="BV123" s="38">
        <f t="shared" si="564"/>
        <v>9561.3612499999999</v>
      </c>
      <c r="BW123" s="38">
        <f t="shared" si="564"/>
        <v>9561.3612499999999</v>
      </c>
      <c r="BX123" s="38">
        <f t="shared" si="564"/>
        <v>9561.3612499999999</v>
      </c>
      <c r="BY123" s="38">
        <f t="shared" si="564"/>
        <v>9561.3612499999999</v>
      </c>
      <c r="BZ123" s="38">
        <f t="shared" si="564"/>
        <v>9561.3612499999999</v>
      </c>
      <c r="CA123" s="38">
        <f t="shared" si="564"/>
        <v>9848.2020874999998</v>
      </c>
      <c r="CB123" s="38">
        <f t="shared" si="564"/>
        <v>9848.2020874999998</v>
      </c>
      <c r="CC123" s="38">
        <f t="shared" si="564"/>
        <v>9848.2020874999998</v>
      </c>
      <c r="CD123" s="38">
        <f t="shared" si="564"/>
        <v>9848.2020874999998</v>
      </c>
      <c r="CE123" s="38">
        <f t="shared" si="565"/>
        <v>9848.2020874999998</v>
      </c>
      <c r="CF123" s="38">
        <f t="shared" si="565"/>
        <v>9848.2020874999998</v>
      </c>
      <c r="CG123" s="38">
        <f t="shared" si="565"/>
        <v>9848.2020874999998</v>
      </c>
      <c r="CH123" s="38">
        <f t="shared" si="565"/>
        <v>9848.2020874999998</v>
      </c>
      <c r="CI123" s="38">
        <f t="shared" si="565"/>
        <v>9848.2020874999998</v>
      </c>
      <c r="CJ123" s="38">
        <f t="shared" si="565"/>
        <v>9848.2020874999998</v>
      </c>
      <c r="CK123" s="38">
        <f t="shared" si="565"/>
        <v>9848.2020874999998</v>
      </c>
      <c r="CL123" s="38">
        <f t="shared" si="565"/>
        <v>9848.2020874999998</v>
      </c>
      <c r="CM123" s="38">
        <f t="shared" si="565"/>
        <v>10143.648150124998</v>
      </c>
      <c r="CN123" s="38">
        <f t="shared" si="565"/>
        <v>10143.648150124998</v>
      </c>
      <c r="CO123" s="38">
        <f t="shared" si="566"/>
        <v>10143.648150124998</v>
      </c>
      <c r="CP123" s="38">
        <f t="shared" si="566"/>
        <v>10143.648150124998</v>
      </c>
      <c r="CQ123" s="38">
        <f t="shared" si="566"/>
        <v>10143.648150124998</v>
      </c>
      <c r="CR123" s="38">
        <f t="shared" si="566"/>
        <v>10143.648150124998</v>
      </c>
      <c r="CS123" s="38">
        <f t="shared" si="566"/>
        <v>10143.648150124998</v>
      </c>
      <c r="CT123" s="38">
        <f t="shared" si="566"/>
        <v>10143.648150124998</v>
      </c>
      <c r="CU123" s="38">
        <f t="shared" si="566"/>
        <v>10143.648150124998</v>
      </c>
      <c r="CV123" s="38">
        <f t="shared" si="566"/>
        <v>10143.648150124998</v>
      </c>
      <c r="CW123" s="38">
        <f t="shared" si="566"/>
        <v>10143.648150124998</v>
      </c>
      <c r="CX123" s="38">
        <f t="shared" si="566"/>
        <v>10143.648150124998</v>
      </c>
      <c r="CY123" s="38">
        <f t="shared" si="567"/>
        <v>10447.95759462875</v>
      </c>
      <c r="CZ123" s="38">
        <f t="shared" si="567"/>
        <v>10447.95759462875</v>
      </c>
      <c r="DA123" s="38">
        <f t="shared" si="567"/>
        <v>10447.95759462875</v>
      </c>
      <c r="DB123" s="38">
        <f t="shared" si="567"/>
        <v>10447.95759462875</v>
      </c>
      <c r="DC123" s="38">
        <f t="shared" si="567"/>
        <v>10447.95759462875</v>
      </c>
      <c r="DD123" s="38">
        <f t="shared" si="567"/>
        <v>10447.95759462875</v>
      </c>
      <c r="DE123" s="38">
        <f t="shared" si="567"/>
        <v>10447.95759462875</v>
      </c>
      <c r="DF123" s="38">
        <f t="shared" si="567"/>
        <v>10447.95759462875</v>
      </c>
      <c r="DG123" s="38">
        <f t="shared" si="567"/>
        <v>10447.95759462875</v>
      </c>
      <c r="DH123" s="38">
        <f t="shared" si="567"/>
        <v>10447.95759462875</v>
      </c>
      <c r="DI123" s="38">
        <f t="shared" si="568"/>
        <v>10447.95759462875</v>
      </c>
      <c r="DJ123" s="38">
        <f t="shared" si="568"/>
        <v>10447.95759462875</v>
      </c>
      <c r="DK123" s="38">
        <f t="shared" si="568"/>
        <v>10761.396322467612</v>
      </c>
      <c r="DL123" s="38">
        <f t="shared" si="568"/>
        <v>10761.396322467612</v>
      </c>
      <c r="DM123" s="38">
        <f t="shared" si="568"/>
        <v>10761.396322467612</v>
      </c>
      <c r="DN123" s="38">
        <f t="shared" si="568"/>
        <v>10761.396322467612</v>
      </c>
      <c r="DO123" s="38">
        <f t="shared" si="568"/>
        <v>10761.396322467612</v>
      </c>
      <c r="DP123" s="38">
        <f t="shared" si="568"/>
        <v>10761.396322467612</v>
      </c>
      <c r="DQ123" s="38">
        <f t="shared" si="568"/>
        <v>10761.396322467612</v>
      </c>
      <c r="DR123" s="38">
        <f t="shared" si="568"/>
        <v>10761.396322467612</v>
      </c>
      <c r="DS123" s="38">
        <f t="shared" si="569"/>
        <v>10761.396322467612</v>
      </c>
      <c r="DT123" s="38">
        <f t="shared" si="569"/>
        <v>10761.396322467612</v>
      </c>
      <c r="DU123" s="38">
        <f t="shared" si="569"/>
        <v>10761.396322467612</v>
      </c>
      <c r="DV123" s="38">
        <f t="shared" si="569"/>
        <v>10761.396322467612</v>
      </c>
      <c r="DW123" s="38">
        <f t="shared" si="569"/>
        <v>11084.238212141639</v>
      </c>
      <c r="DX123" s="38">
        <f t="shared" si="569"/>
        <v>11084.238212141639</v>
      </c>
      <c r="DY123" s="38">
        <f t="shared" si="569"/>
        <v>11084.238212141639</v>
      </c>
      <c r="DZ123" s="38">
        <f t="shared" si="569"/>
        <v>11084.238212141639</v>
      </c>
      <c r="EA123" s="38">
        <f t="shared" si="569"/>
        <v>11084.238212141639</v>
      </c>
      <c r="EB123" s="38">
        <f t="shared" si="569"/>
        <v>11084.238212141639</v>
      </c>
      <c r="EC123" s="38">
        <f t="shared" si="570"/>
        <v>11084.238212141639</v>
      </c>
      <c r="ED123" s="38">
        <f t="shared" si="570"/>
        <v>11084.238212141639</v>
      </c>
      <c r="EE123" s="38">
        <f t="shared" si="570"/>
        <v>11084.238212141639</v>
      </c>
      <c r="EF123" s="38">
        <f t="shared" si="570"/>
        <v>11084.238212141639</v>
      </c>
      <c r="EG123" s="38">
        <f t="shared" si="570"/>
        <v>11084.238212141639</v>
      </c>
      <c r="EH123" s="38">
        <f t="shared" si="570"/>
        <v>11084.238212141639</v>
      </c>
      <c r="EI123" s="38">
        <f t="shared" si="570"/>
        <v>11416.765358505889</v>
      </c>
      <c r="EJ123" s="38">
        <f t="shared" si="570"/>
        <v>11416.765358505889</v>
      </c>
      <c r="EK123" s="38">
        <f t="shared" si="570"/>
        <v>11416.765358505889</v>
      </c>
      <c r="EL123" s="38">
        <f t="shared" si="570"/>
        <v>11416.765358505889</v>
      </c>
      <c r="EM123" s="38">
        <f t="shared" si="571"/>
        <v>11416.765358505889</v>
      </c>
      <c r="EN123" s="38">
        <f t="shared" si="571"/>
        <v>11416.765358505889</v>
      </c>
      <c r="EP123" s="24"/>
      <c r="EQ123" s="24"/>
      <c r="ER123" s="59">
        <f t="shared" si="586"/>
        <v>0.75</v>
      </c>
      <c r="ES123" s="24"/>
      <c r="ET123" s="24"/>
      <c r="EU123" s="33"/>
      <c r="EV123" s="24" t="s">
        <v>159</v>
      </c>
      <c r="EW123" s="30">
        <f t="shared" si="572"/>
        <v>0</v>
      </c>
      <c r="EX123" s="30">
        <f t="shared" si="572"/>
        <v>0</v>
      </c>
      <c r="EY123" s="30">
        <f t="shared" si="572"/>
        <v>0</v>
      </c>
      <c r="EZ123" s="30">
        <f t="shared" si="572"/>
        <v>0</v>
      </c>
      <c r="FA123" s="30">
        <f t="shared" si="572"/>
        <v>0</v>
      </c>
      <c r="FB123" s="30">
        <f t="shared" si="572"/>
        <v>0</v>
      </c>
      <c r="FC123" s="30">
        <f t="shared" si="572"/>
        <v>0</v>
      </c>
      <c r="FD123" s="30">
        <f t="shared" si="572"/>
        <v>0</v>
      </c>
      <c r="FE123" s="30">
        <f t="shared" si="572"/>
        <v>0</v>
      </c>
      <c r="FF123" s="30">
        <f t="shared" si="572"/>
        <v>0</v>
      </c>
      <c r="FG123" s="30">
        <f t="shared" si="573"/>
        <v>0</v>
      </c>
      <c r="FH123" s="30">
        <f t="shared" si="573"/>
        <v>0</v>
      </c>
      <c r="FI123" s="30">
        <f t="shared" si="573"/>
        <v>0</v>
      </c>
      <c r="FJ123" s="30">
        <f t="shared" si="573"/>
        <v>0</v>
      </c>
      <c r="FK123" s="30">
        <f t="shared" si="573"/>
        <v>0</v>
      </c>
      <c r="FL123" s="30">
        <f t="shared" si="573"/>
        <v>0</v>
      </c>
      <c r="FM123" s="30">
        <f t="shared" si="573"/>
        <v>0</v>
      </c>
      <c r="FN123" s="30">
        <f t="shared" si="573"/>
        <v>0</v>
      </c>
      <c r="FO123" s="30">
        <f t="shared" si="573"/>
        <v>6562.5</v>
      </c>
      <c r="FP123" s="30">
        <f t="shared" si="573"/>
        <v>6562.5</v>
      </c>
      <c r="FQ123" s="30">
        <f t="shared" si="574"/>
        <v>6562.5</v>
      </c>
      <c r="FR123" s="30">
        <f t="shared" si="574"/>
        <v>6562.5</v>
      </c>
      <c r="FS123" s="30">
        <f t="shared" si="574"/>
        <v>6562.5</v>
      </c>
      <c r="FT123" s="30">
        <f t="shared" si="574"/>
        <v>6562.5</v>
      </c>
      <c r="FU123" s="30">
        <f t="shared" si="574"/>
        <v>6562.5</v>
      </c>
      <c r="FV123" s="30">
        <f t="shared" si="574"/>
        <v>6562.5</v>
      </c>
      <c r="FW123" s="30">
        <f t="shared" si="574"/>
        <v>6562.5</v>
      </c>
      <c r="FX123" s="30">
        <f t="shared" si="574"/>
        <v>6562.5</v>
      </c>
      <c r="FY123" s="30">
        <f t="shared" si="574"/>
        <v>6562.5</v>
      </c>
      <c r="FZ123" s="30">
        <f t="shared" si="574"/>
        <v>6562.5</v>
      </c>
      <c r="GA123" s="30">
        <f t="shared" si="575"/>
        <v>6562.5</v>
      </c>
      <c r="GB123" s="30">
        <f t="shared" si="575"/>
        <v>6562.5</v>
      </c>
      <c r="GC123" s="30">
        <f t="shared" si="575"/>
        <v>6562.5</v>
      </c>
      <c r="GD123" s="30">
        <f t="shared" si="575"/>
        <v>6562.5</v>
      </c>
      <c r="GE123" s="30">
        <f t="shared" si="575"/>
        <v>6562.5</v>
      </c>
      <c r="GF123" s="30">
        <f t="shared" si="575"/>
        <v>6562.5</v>
      </c>
      <c r="GG123" s="30">
        <f t="shared" si="575"/>
        <v>6562.5</v>
      </c>
      <c r="GH123" s="30">
        <f t="shared" si="575"/>
        <v>6562.5</v>
      </c>
      <c r="GI123" s="30">
        <f t="shared" si="575"/>
        <v>6562.5</v>
      </c>
      <c r="GJ123" s="30">
        <f t="shared" si="575"/>
        <v>6562.5</v>
      </c>
      <c r="GK123" s="30">
        <f t="shared" si="576"/>
        <v>6562.5</v>
      </c>
      <c r="GL123" s="30">
        <f t="shared" si="576"/>
        <v>6562.5</v>
      </c>
      <c r="GM123" s="30">
        <f t="shared" si="576"/>
        <v>6562.5</v>
      </c>
      <c r="GN123" s="30">
        <f t="shared" si="576"/>
        <v>6562.5</v>
      </c>
      <c r="GO123" s="30">
        <f t="shared" si="576"/>
        <v>6562.5</v>
      </c>
      <c r="GP123" s="30">
        <f t="shared" si="576"/>
        <v>6562.5</v>
      </c>
      <c r="GQ123" s="30">
        <f t="shared" si="576"/>
        <v>6562.5</v>
      </c>
      <c r="GR123" s="30">
        <f t="shared" si="576"/>
        <v>6562.5</v>
      </c>
      <c r="GS123" s="30">
        <f t="shared" si="576"/>
        <v>6562.5</v>
      </c>
      <c r="GT123" s="30">
        <f t="shared" si="576"/>
        <v>6562.5</v>
      </c>
      <c r="GU123" s="30">
        <f t="shared" si="577"/>
        <v>6562.5</v>
      </c>
      <c r="GV123" s="30">
        <f t="shared" si="577"/>
        <v>6562.5</v>
      </c>
      <c r="GW123" s="30">
        <f t="shared" si="577"/>
        <v>6562.5</v>
      </c>
      <c r="GX123" s="30">
        <f t="shared" si="577"/>
        <v>6562.5</v>
      </c>
      <c r="GY123" s="30">
        <f t="shared" si="577"/>
        <v>6562.5</v>
      </c>
      <c r="GZ123" s="30">
        <f t="shared" si="577"/>
        <v>6562.5</v>
      </c>
      <c r="HA123" s="30">
        <f t="shared" si="577"/>
        <v>6562.5</v>
      </c>
      <c r="HB123" s="30">
        <f t="shared" si="577"/>
        <v>6562.5</v>
      </c>
      <c r="HC123" s="30">
        <f t="shared" si="577"/>
        <v>6562.5</v>
      </c>
      <c r="HD123" s="30">
        <f t="shared" si="577"/>
        <v>6562.5</v>
      </c>
      <c r="HE123" s="30">
        <f t="shared" si="578"/>
        <v>6562.5</v>
      </c>
      <c r="HF123" s="30">
        <f t="shared" si="578"/>
        <v>6562.5</v>
      </c>
      <c r="HG123" s="30">
        <f t="shared" si="578"/>
        <v>6562.5</v>
      </c>
      <c r="HH123" s="30">
        <f t="shared" si="578"/>
        <v>6562.5</v>
      </c>
      <c r="HI123" s="30">
        <f t="shared" si="578"/>
        <v>6562.5</v>
      </c>
      <c r="HJ123" s="30">
        <f t="shared" si="578"/>
        <v>6562.5</v>
      </c>
      <c r="HK123" s="30">
        <f t="shared" si="578"/>
        <v>6562.5</v>
      </c>
      <c r="HL123" s="30">
        <f t="shared" si="578"/>
        <v>6562.5</v>
      </c>
      <c r="HM123" s="30">
        <f t="shared" si="578"/>
        <v>6562.5</v>
      </c>
      <c r="HN123" s="30">
        <f t="shared" si="578"/>
        <v>6562.5</v>
      </c>
      <c r="HO123" s="30">
        <f t="shared" si="579"/>
        <v>6562.5</v>
      </c>
      <c r="HP123" s="30">
        <f t="shared" si="579"/>
        <v>6562.5</v>
      </c>
      <c r="HQ123" s="30">
        <f t="shared" si="579"/>
        <v>6562.5</v>
      </c>
      <c r="HR123" s="30">
        <f t="shared" si="579"/>
        <v>6562.5</v>
      </c>
      <c r="HS123" s="30">
        <f t="shared" si="579"/>
        <v>6562.5</v>
      </c>
      <c r="HT123" s="30">
        <f t="shared" si="579"/>
        <v>6562.5</v>
      </c>
      <c r="HU123" s="30">
        <f t="shared" si="579"/>
        <v>6562.5</v>
      </c>
      <c r="HV123" s="30">
        <f t="shared" si="579"/>
        <v>6562.5</v>
      </c>
      <c r="HW123" s="30">
        <f t="shared" si="579"/>
        <v>6562.5</v>
      </c>
      <c r="HX123" s="30">
        <f t="shared" si="579"/>
        <v>6562.5</v>
      </c>
      <c r="HY123" s="30">
        <f t="shared" si="580"/>
        <v>6562.5</v>
      </c>
      <c r="HZ123" s="30">
        <f t="shared" si="580"/>
        <v>6562.5</v>
      </c>
      <c r="IA123" s="30">
        <f t="shared" si="580"/>
        <v>6562.5</v>
      </c>
      <c r="IB123" s="30">
        <f t="shared" si="580"/>
        <v>6562.5</v>
      </c>
      <c r="IC123" s="30">
        <f t="shared" si="580"/>
        <v>6562.5</v>
      </c>
      <c r="ID123" s="30">
        <f t="shared" si="580"/>
        <v>6562.5</v>
      </c>
      <c r="IE123" s="30">
        <f t="shared" si="580"/>
        <v>6562.5</v>
      </c>
      <c r="IF123" s="30">
        <f t="shared" si="580"/>
        <v>6562.5</v>
      </c>
      <c r="IG123" s="30">
        <f t="shared" si="580"/>
        <v>6562.5</v>
      </c>
      <c r="IH123" s="30">
        <f t="shared" si="580"/>
        <v>6562.5</v>
      </c>
      <c r="II123" s="30">
        <f t="shared" si="581"/>
        <v>6562.5</v>
      </c>
      <c r="IJ123" s="30">
        <f t="shared" si="581"/>
        <v>6562.5</v>
      </c>
      <c r="IK123" s="30">
        <f t="shared" si="581"/>
        <v>6562.5</v>
      </c>
      <c r="IL123" s="30">
        <f t="shared" si="581"/>
        <v>6562.5</v>
      </c>
      <c r="IM123" s="30">
        <f t="shared" si="581"/>
        <v>6562.5</v>
      </c>
      <c r="IN123" s="30">
        <f t="shared" si="581"/>
        <v>6562.5</v>
      </c>
      <c r="IO123" s="30">
        <f t="shared" si="581"/>
        <v>6562.5</v>
      </c>
      <c r="IP123" s="30">
        <f t="shared" si="581"/>
        <v>6562.5</v>
      </c>
      <c r="IQ123" s="30">
        <f t="shared" si="581"/>
        <v>6562.5</v>
      </c>
      <c r="IR123" s="30">
        <f t="shared" si="581"/>
        <v>6562.5</v>
      </c>
      <c r="IS123" s="30">
        <f t="shared" si="582"/>
        <v>6562.5</v>
      </c>
      <c r="IT123" s="30">
        <f t="shared" si="582"/>
        <v>6562.5</v>
      </c>
      <c r="IU123" s="30">
        <f t="shared" si="582"/>
        <v>6562.5</v>
      </c>
      <c r="IV123" s="30">
        <f t="shared" si="582"/>
        <v>6562.5</v>
      </c>
      <c r="IW123" s="30">
        <f t="shared" si="582"/>
        <v>6562.5</v>
      </c>
      <c r="IX123" s="30">
        <f t="shared" si="582"/>
        <v>6562.5</v>
      </c>
      <c r="IY123" s="30">
        <f t="shared" si="582"/>
        <v>6562.5</v>
      </c>
      <c r="IZ123" s="30">
        <f t="shared" si="582"/>
        <v>6562.5</v>
      </c>
      <c r="JA123" s="30">
        <f t="shared" si="582"/>
        <v>6562.5</v>
      </c>
      <c r="JB123" s="30">
        <f t="shared" si="582"/>
        <v>6562.5</v>
      </c>
      <c r="JC123" s="30">
        <f t="shared" si="583"/>
        <v>6562.5</v>
      </c>
      <c r="JD123" s="30">
        <f t="shared" si="583"/>
        <v>6562.5</v>
      </c>
      <c r="JE123" s="30">
        <f t="shared" si="583"/>
        <v>6562.5</v>
      </c>
      <c r="JF123" s="30">
        <f t="shared" si="583"/>
        <v>6562.5</v>
      </c>
      <c r="JG123" s="30">
        <f t="shared" si="583"/>
        <v>6562.5</v>
      </c>
      <c r="JH123" s="30">
        <f t="shared" si="583"/>
        <v>6562.5</v>
      </c>
      <c r="JI123" s="30">
        <f t="shared" si="583"/>
        <v>6562.5</v>
      </c>
      <c r="JJ123" s="30">
        <f t="shared" si="583"/>
        <v>6562.5</v>
      </c>
      <c r="JK123" s="30">
        <f t="shared" si="583"/>
        <v>6562.5</v>
      </c>
      <c r="JL123" s="30">
        <f t="shared" si="583"/>
        <v>6562.5</v>
      </c>
      <c r="JM123" s="30">
        <f t="shared" si="584"/>
        <v>6562.5</v>
      </c>
      <c r="JN123" s="30">
        <f t="shared" si="584"/>
        <v>6562.5</v>
      </c>
      <c r="JO123" s="30">
        <f t="shared" si="584"/>
        <v>6562.5</v>
      </c>
      <c r="JP123" s="30">
        <f t="shared" si="584"/>
        <v>6562.5</v>
      </c>
      <c r="JQ123" s="30">
        <f t="shared" si="584"/>
        <v>6562.5</v>
      </c>
      <c r="JR123" s="30">
        <f t="shared" si="584"/>
        <v>6562.5</v>
      </c>
      <c r="JS123" s="30">
        <f t="shared" si="584"/>
        <v>6562.5</v>
      </c>
      <c r="JT123" s="30">
        <f t="shared" si="584"/>
        <v>6562.5</v>
      </c>
      <c r="JU123" s="30">
        <f t="shared" si="584"/>
        <v>6562.5</v>
      </c>
      <c r="JV123" s="30">
        <f t="shared" si="584"/>
        <v>6562.5</v>
      </c>
      <c r="JW123" s="30">
        <f t="shared" si="584"/>
        <v>6562.5</v>
      </c>
      <c r="JX123" s="30">
        <f t="shared" si="584"/>
        <v>6562.5</v>
      </c>
    </row>
    <row r="124" spans="1:284" s="7" customFormat="1" x14ac:dyDescent="0.2">
      <c r="A124" s="406"/>
      <c r="B124" s="141" t="s">
        <v>141</v>
      </c>
      <c r="C124" s="120"/>
      <c r="D124" s="120"/>
      <c r="E124" s="173">
        <v>0</v>
      </c>
      <c r="F124" s="173"/>
      <c r="G124" s="122">
        <f t="shared" si="585"/>
        <v>7.3666725385267539E-3</v>
      </c>
      <c r="H124" s="123">
        <f t="shared" si="557"/>
        <v>150</v>
      </c>
      <c r="I124" s="124">
        <v>45000</v>
      </c>
      <c r="M124" s="38">
        <f t="shared" si="558"/>
        <v>0</v>
      </c>
      <c r="N124" s="38">
        <f t="shared" si="558"/>
        <v>0</v>
      </c>
      <c r="O124" s="38">
        <f t="shared" si="558"/>
        <v>0</v>
      </c>
      <c r="P124" s="38">
        <f t="shared" si="558"/>
        <v>0</v>
      </c>
      <c r="Q124" s="38">
        <f t="shared" si="558"/>
        <v>0</v>
      </c>
      <c r="R124" s="38">
        <f t="shared" si="558"/>
        <v>0</v>
      </c>
      <c r="S124" s="38">
        <f t="shared" si="558"/>
        <v>0</v>
      </c>
      <c r="T124" s="38">
        <f t="shared" si="558"/>
        <v>0</v>
      </c>
      <c r="U124" s="38">
        <f t="shared" si="558"/>
        <v>0</v>
      </c>
      <c r="V124" s="38">
        <f t="shared" si="558"/>
        <v>0</v>
      </c>
      <c r="W124" s="38">
        <f t="shared" si="559"/>
        <v>0</v>
      </c>
      <c r="X124" s="38">
        <f t="shared" si="559"/>
        <v>0</v>
      </c>
      <c r="Y124" s="38">
        <f t="shared" si="559"/>
        <v>0</v>
      </c>
      <c r="Z124" s="38">
        <f t="shared" si="559"/>
        <v>0</v>
      </c>
      <c r="AA124" s="38">
        <f t="shared" si="559"/>
        <v>0</v>
      </c>
      <c r="AB124" s="38">
        <f t="shared" si="559"/>
        <v>0</v>
      </c>
      <c r="AC124" s="38">
        <f t="shared" si="559"/>
        <v>0</v>
      </c>
      <c r="AD124" s="38">
        <f t="shared" si="559"/>
        <v>0</v>
      </c>
      <c r="AE124" s="38">
        <f t="shared" si="559"/>
        <v>374.99999999999994</v>
      </c>
      <c r="AF124" s="38">
        <f t="shared" si="559"/>
        <v>624.99999999999989</v>
      </c>
      <c r="AG124" s="38">
        <f t="shared" si="560"/>
        <v>874.99999999999977</v>
      </c>
      <c r="AH124" s="38">
        <f t="shared" si="560"/>
        <v>1125.0000000000002</v>
      </c>
      <c r="AI124" s="38">
        <f t="shared" si="560"/>
        <v>1375</v>
      </c>
      <c r="AJ124" s="38">
        <f t="shared" si="560"/>
        <v>1625</v>
      </c>
      <c r="AK124" s="38">
        <f t="shared" si="560"/>
        <v>1875</v>
      </c>
      <c r="AL124" s="38">
        <f t="shared" si="560"/>
        <v>2125</v>
      </c>
      <c r="AM124" s="38">
        <f t="shared" si="560"/>
        <v>2375</v>
      </c>
      <c r="AN124" s="38">
        <f t="shared" si="560"/>
        <v>2625</v>
      </c>
      <c r="AO124" s="38">
        <f t="shared" si="560"/>
        <v>2875</v>
      </c>
      <c r="AP124" s="38">
        <f t="shared" si="560"/>
        <v>3125</v>
      </c>
      <c r="AQ124" s="38">
        <f t="shared" si="561"/>
        <v>3476.25</v>
      </c>
      <c r="AR124" s="38">
        <f t="shared" si="561"/>
        <v>3733.75</v>
      </c>
      <c r="AS124" s="38">
        <f t="shared" si="561"/>
        <v>3862.5</v>
      </c>
      <c r="AT124" s="38">
        <f t="shared" si="561"/>
        <v>3862.5</v>
      </c>
      <c r="AU124" s="38">
        <f t="shared" si="561"/>
        <v>3862.5</v>
      </c>
      <c r="AV124" s="38">
        <f t="shared" si="561"/>
        <v>3862.5</v>
      </c>
      <c r="AW124" s="38">
        <f t="shared" si="561"/>
        <v>3862.5</v>
      </c>
      <c r="AX124" s="38">
        <f t="shared" si="561"/>
        <v>3862.5</v>
      </c>
      <c r="AY124" s="38">
        <f t="shared" si="561"/>
        <v>3862.5</v>
      </c>
      <c r="AZ124" s="38">
        <f t="shared" si="561"/>
        <v>3862.5</v>
      </c>
      <c r="BA124" s="38">
        <f t="shared" si="562"/>
        <v>3862.5</v>
      </c>
      <c r="BB124" s="38">
        <f t="shared" si="562"/>
        <v>3862.5</v>
      </c>
      <c r="BC124" s="38">
        <f t="shared" si="562"/>
        <v>3978.375</v>
      </c>
      <c r="BD124" s="38">
        <f t="shared" si="562"/>
        <v>3978.375</v>
      </c>
      <c r="BE124" s="38">
        <f t="shared" si="562"/>
        <v>3978.375</v>
      </c>
      <c r="BF124" s="38">
        <f t="shared" si="562"/>
        <v>3978.375</v>
      </c>
      <c r="BG124" s="38">
        <f t="shared" si="562"/>
        <v>3978.375</v>
      </c>
      <c r="BH124" s="38">
        <f t="shared" si="562"/>
        <v>3978.375</v>
      </c>
      <c r="BI124" s="38">
        <f t="shared" si="562"/>
        <v>3978.375</v>
      </c>
      <c r="BJ124" s="38">
        <f t="shared" si="562"/>
        <v>3978.375</v>
      </c>
      <c r="BK124" s="38">
        <f t="shared" si="563"/>
        <v>3978.375</v>
      </c>
      <c r="BL124" s="38">
        <f t="shared" si="563"/>
        <v>3978.375</v>
      </c>
      <c r="BM124" s="38">
        <f t="shared" si="563"/>
        <v>3978.375</v>
      </c>
      <c r="BN124" s="38">
        <f t="shared" si="563"/>
        <v>3978.375</v>
      </c>
      <c r="BO124" s="38">
        <f t="shared" si="563"/>
        <v>4097.7262499999997</v>
      </c>
      <c r="BP124" s="38">
        <f t="shared" si="563"/>
        <v>4097.7262499999997</v>
      </c>
      <c r="BQ124" s="38">
        <f t="shared" si="563"/>
        <v>4097.7262499999997</v>
      </c>
      <c r="BR124" s="38">
        <f t="shared" si="563"/>
        <v>4097.7262499999997</v>
      </c>
      <c r="BS124" s="38">
        <f t="shared" si="563"/>
        <v>4097.7262499999997</v>
      </c>
      <c r="BT124" s="38">
        <f t="shared" si="563"/>
        <v>4097.7262499999997</v>
      </c>
      <c r="BU124" s="38">
        <f t="shared" si="564"/>
        <v>4097.7262499999997</v>
      </c>
      <c r="BV124" s="38">
        <f t="shared" si="564"/>
        <v>4097.7262499999997</v>
      </c>
      <c r="BW124" s="38">
        <f t="shared" si="564"/>
        <v>4097.7262499999997</v>
      </c>
      <c r="BX124" s="38">
        <f t="shared" si="564"/>
        <v>4097.7262499999997</v>
      </c>
      <c r="BY124" s="38">
        <f t="shared" si="564"/>
        <v>4097.7262499999997</v>
      </c>
      <c r="BZ124" s="38">
        <f t="shared" si="564"/>
        <v>4097.7262499999997</v>
      </c>
      <c r="CA124" s="38">
        <f t="shared" si="564"/>
        <v>4220.6580374999994</v>
      </c>
      <c r="CB124" s="38">
        <f t="shared" si="564"/>
        <v>4220.6580374999994</v>
      </c>
      <c r="CC124" s="38">
        <f t="shared" si="564"/>
        <v>4220.6580374999994</v>
      </c>
      <c r="CD124" s="38">
        <f t="shared" si="564"/>
        <v>4220.6580374999994</v>
      </c>
      <c r="CE124" s="38">
        <f t="shared" si="565"/>
        <v>4220.6580374999994</v>
      </c>
      <c r="CF124" s="38">
        <f t="shared" si="565"/>
        <v>4220.6580374999994</v>
      </c>
      <c r="CG124" s="38">
        <f t="shared" si="565"/>
        <v>4220.6580374999994</v>
      </c>
      <c r="CH124" s="38">
        <f t="shared" si="565"/>
        <v>4220.6580374999994</v>
      </c>
      <c r="CI124" s="38">
        <f t="shared" si="565"/>
        <v>4220.6580374999994</v>
      </c>
      <c r="CJ124" s="38">
        <f t="shared" si="565"/>
        <v>4220.6580374999994</v>
      </c>
      <c r="CK124" s="38">
        <f t="shared" si="565"/>
        <v>4220.6580374999994</v>
      </c>
      <c r="CL124" s="38">
        <f t="shared" si="565"/>
        <v>4220.6580374999994</v>
      </c>
      <c r="CM124" s="38">
        <f t="shared" si="565"/>
        <v>4347.277778624999</v>
      </c>
      <c r="CN124" s="38">
        <f t="shared" si="565"/>
        <v>4347.277778624999</v>
      </c>
      <c r="CO124" s="38">
        <f t="shared" si="566"/>
        <v>4347.277778624999</v>
      </c>
      <c r="CP124" s="38">
        <f t="shared" si="566"/>
        <v>4347.277778624999</v>
      </c>
      <c r="CQ124" s="38">
        <f t="shared" si="566"/>
        <v>4347.277778624999</v>
      </c>
      <c r="CR124" s="38">
        <f t="shared" si="566"/>
        <v>4347.277778624999</v>
      </c>
      <c r="CS124" s="38">
        <f t="shared" si="566"/>
        <v>4347.277778624999</v>
      </c>
      <c r="CT124" s="38">
        <f t="shared" si="566"/>
        <v>4347.277778624999</v>
      </c>
      <c r="CU124" s="38">
        <f t="shared" si="566"/>
        <v>4347.277778624999</v>
      </c>
      <c r="CV124" s="38">
        <f t="shared" si="566"/>
        <v>4347.277778624999</v>
      </c>
      <c r="CW124" s="38">
        <f t="shared" si="566"/>
        <v>4347.277778624999</v>
      </c>
      <c r="CX124" s="38">
        <f t="shared" si="566"/>
        <v>4347.277778624999</v>
      </c>
      <c r="CY124" s="38">
        <f t="shared" si="567"/>
        <v>4477.6961119837497</v>
      </c>
      <c r="CZ124" s="38">
        <f t="shared" si="567"/>
        <v>4477.6961119837497</v>
      </c>
      <c r="DA124" s="38">
        <f t="shared" si="567"/>
        <v>4477.6961119837497</v>
      </c>
      <c r="DB124" s="38">
        <f t="shared" si="567"/>
        <v>4477.6961119837497</v>
      </c>
      <c r="DC124" s="38">
        <f t="shared" si="567"/>
        <v>4477.6961119837497</v>
      </c>
      <c r="DD124" s="38">
        <f t="shared" si="567"/>
        <v>4477.6961119837497</v>
      </c>
      <c r="DE124" s="38">
        <f t="shared" si="567"/>
        <v>4477.6961119837497</v>
      </c>
      <c r="DF124" s="38">
        <f t="shared" si="567"/>
        <v>4477.6961119837497</v>
      </c>
      <c r="DG124" s="38">
        <f t="shared" si="567"/>
        <v>4477.6961119837497</v>
      </c>
      <c r="DH124" s="38">
        <f t="shared" si="567"/>
        <v>4477.6961119837497</v>
      </c>
      <c r="DI124" s="38">
        <f t="shared" si="568"/>
        <v>4477.6961119837497</v>
      </c>
      <c r="DJ124" s="38">
        <f t="shared" si="568"/>
        <v>4477.6961119837497</v>
      </c>
      <c r="DK124" s="38">
        <f t="shared" si="568"/>
        <v>4612.0269953432626</v>
      </c>
      <c r="DL124" s="38">
        <f t="shared" si="568"/>
        <v>4612.0269953432626</v>
      </c>
      <c r="DM124" s="38">
        <f t="shared" si="568"/>
        <v>4612.0269953432626</v>
      </c>
      <c r="DN124" s="38">
        <f t="shared" si="568"/>
        <v>4612.0269953432626</v>
      </c>
      <c r="DO124" s="38">
        <f t="shared" si="568"/>
        <v>4612.0269953432626</v>
      </c>
      <c r="DP124" s="38">
        <f t="shared" si="568"/>
        <v>4612.0269953432626</v>
      </c>
      <c r="DQ124" s="38">
        <f t="shared" si="568"/>
        <v>4612.0269953432626</v>
      </c>
      <c r="DR124" s="38">
        <f t="shared" si="568"/>
        <v>4612.0269953432626</v>
      </c>
      <c r="DS124" s="38">
        <f t="shared" si="569"/>
        <v>4612.0269953432626</v>
      </c>
      <c r="DT124" s="38">
        <f t="shared" si="569"/>
        <v>4612.0269953432626</v>
      </c>
      <c r="DU124" s="38">
        <f t="shared" si="569"/>
        <v>4612.0269953432626</v>
      </c>
      <c r="DV124" s="38">
        <f t="shared" si="569"/>
        <v>4612.0269953432626</v>
      </c>
      <c r="DW124" s="38">
        <f t="shared" si="569"/>
        <v>4750.3878052035598</v>
      </c>
      <c r="DX124" s="38">
        <f t="shared" si="569"/>
        <v>4750.3878052035598</v>
      </c>
      <c r="DY124" s="38">
        <f t="shared" si="569"/>
        <v>4750.3878052035598</v>
      </c>
      <c r="DZ124" s="38">
        <f t="shared" si="569"/>
        <v>4750.3878052035598</v>
      </c>
      <c r="EA124" s="38">
        <f t="shared" si="569"/>
        <v>4750.3878052035598</v>
      </c>
      <c r="EB124" s="38">
        <f t="shared" si="569"/>
        <v>4750.3878052035598</v>
      </c>
      <c r="EC124" s="38">
        <f t="shared" si="570"/>
        <v>4750.3878052035598</v>
      </c>
      <c r="ED124" s="38">
        <f t="shared" si="570"/>
        <v>4750.3878052035598</v>
      </c>
      <c r="EE124" s="38">
        <f t="shared" si="570"/>
        <v>4750.3878052035598</v>
      </c>
      <c r="EF124" s="38">
        <f t="shared" si="570"/>
        <v>4750.3878052035598</v>
      </c>
      <c r="EG124" s="38">
        <f t="shared" si="570"/>
        <v>4750.3878052035598</v>
      </c>
      <c r="EH124" s="38">
        <f t="shared" si="570"/>
        <v>4750.3878052035598</v>
      </c>
      <c r="EI124" s="38">
        <f t="shared" si="570"/>
        <v>4892.8994393596668</v>
      </c>
      <c r="EJ124" s="38">
        <f t="shared" si="570"/>
        <v>4892.8994393596668</v>
      </c>
      <c r="EK124" s="38">
        <f t="shared" si="570"/>
        <v>4892.8994393596668</v>
      </c>
      <c r="EL124" s="38">
        <f t="shared" si="570"/>
        <v>4892.8994393596668</v>
      </c>
      <c r="EM124" s="38">
        <f t="shared" si="571"/>
        <v>4892.8994393596668</v>
      </c>
      <c r="EN124" s="38">
        <f t="shared" si="571"/>
        <v>4892.8994393596668</v>
      </c>
      <c r="EP124" s="24"/>
      <c r="EQ124" s="24"/>
      <c r="ER124" s="59">
        <f t="shared" si="586"/>
        <v>0</v>
      </c>
      <c r="ES124" s="24"/>
      <c r="ET124" s="24"/>
      <c r="EU124" s="33"/>
      <c r="EV124" s="24" t="s">
        <v>159</v>
      </c>
      <c r="EW124" s="30">
        <f t="shared" si="572"/>
        <v>0</v>
      </c>
      <c r="EX124" s="30">
        <f t="shared" si="572"/>
        <v>0</v>
      </c>
      <c r="EY124" s="30">
        <f t="shared" si="572"/>
        <v>0</v>
      </c>
      <c r="EZ124" s="30">
        <f t="shared" si="572"/>
        <v>0</v>
      </c>
      <c r="FA124" s="30">
        <f t="shared" si="572"/>
        <v>0</v>
      </c>
      <c r="FB124" s="30">
        <f t="shared" si="572"/>
        <v>0</v>
      </c>
      <c r="FC124" s="30">
        <f t="shared" si="572"/>
        <v>0</v>
      </c>
      <c r="FD124" s="30">
        <f t="shared" si="572"/>
        <v>0</v>
      </c>
      <c r="FE124" s="30">
        <f t="shared" si="572"/>
        <v>0</v>
      </c>
      <c r="FF124" s="30">
        <f t="shared" si="572"/>
        <v>0</v>
      </c>
      <c r="FG124" s="30">
        <f t="shared" si="573"/>
        <v>0</v>
      </c>
      <c r="FH124" s="30">
        <f t="shared" si="573"/>
        <v>0</v>
      </c>
      <c r="FI124" s="30">
        <f t="shared" si="573"/>
        <v>0</v>
      </c>
      <c r="FJ124" s="30">
        <f t="shared" si="573"/>
        <v>0</v>
      </c>
      <c r="FK124" s="30">
        <f t="shared" si="573"/>
        <v>0</v>
      </c>
      <c r="FL124" s="30">
        <f t="shared" si="573"/>
        <v>0</v>
      </c>
      <c r="FM124" s="30">
        <f t="shared" si="573"/>
        <v>0</v>
      </c>
      <c r="FN124" s="30">
        <f t="shared" si="573"/>
        <v>0</v>
      </c>
      <c r="FO124" s="30">
        <f t="shared" si="573"/>
        <v>0</v>
      </c>
      <c r="FP124" s="30">
        <f t="shared" si="573"/>
        <v>0</v>
      </c>
      <c r="FQ124" s="30">
        <f t="shared" si="574"/>
        <v>0</v>
      </c>
      <c r="FR124" s="30">
        <f t="shared" si="574"/>
        <v>0</v>
      </c>
      <c r="FS124" s="30">
        <f t="shared" si="574"/>
        <v>0</v>
      </c>
      <c r="FT124" s="30">
        <f t="shared" si="574"/>
        <v>0</v>
      </c>
      <c r="FU124" s="30">
        <f t="shared" si="574"/>
        <v>0</v>
      </c>
      <c r="FV124" s="30">
        <f t="shared" si="574"/>
        <v>0</v>
      </c>
      <c r="FW124" s="30">
        <f t="shared" si="574"/>
        <v>0</v>
      </c>
      <c r="FX124" s="30">
        <f t="shared" si="574"/>
        <v>0</v>
      </c>
      <c r="FY124" s="30">
        <f t="shared" si="574"/>
        <v>0</v>
      </c>
      <c r="FZ124" s="30">
        <f t="shared" si="574"/>
        <v>0</v>
      </c>
      <c r="GA124" s="30">
        <f t="shared" si="575"/>
        <v>0</v>
      </c>
      <c r="GB124" s="30">
        <f t="shared" si="575"/>
        <v>0</v>
      </c>
      <c r="GC124" s="30">
        <f t="shared" si="575"/>
        <v>0</v>
      </c>
      <c r="GD124" s="30">
        <f t="shared" si="575"/>
        <v>0</v>
      </c>
      <c r="GE124" s="30">
        <f t="shared" si="575"/>
        <v>0</v>
      </c>
      <c r="GF124" s="30">
        <f t="shared" si="575"/>
        <v>0</v>
      </c>
      <c r="GG124" s="30">
        <f t="shared" si="575"/>
        <v>0</v>
      </c>
      <c r="GH124" s="30">
        <f t="shared" si="575"/>
        <v>0</v>
      </c>
      <c r="GI124" s="30">
        <f t="shared" si="575"/>
        <v>0</v>
      </c>
      <c r="GJ124" s="30">
        <f t="shared" si="575"/>
        <v>0</v>
      </c>
      <c r="GK124" s="30">
        <f t="shared" si="576"/>
        <v>0</v>
      </c>
      <c r="GL124" s="30">
        <f t="shared" si="576"/>
        <v>0</v>
      </c>
      <c r="GM124" s="30">
        <f t="shared" si="576"/>
        <v>0</v>
      </c>
      <c r="GN124" s="30">
        <f t="shared" si="576"/>
        <v>0</v>
      </c>
      <c r="GO124" s="30">
        <f t="shared" si="576"/>
        <v>0</v>
      </c>
      <c r="GP124" s="30">
        <f t="shared" si="576"/>
        <v>0</v>
      </c>
      <c r="GQ124" s="30">
        <f t="shared" si="576"/>
        <v>0</v>
      </c>
      <c r="GR124" s="30">
        <f t="shared" si="576"/>
        <v>0</v>
      </c>
      <c r="GS124" s="30">
        <f t="shared" si="576"/>
        <v>0</v>
      </c>
      <c r="GT124" s="30">
        <f t="shared" si="576"/>
        <v>0</v>
      </c>
      <c r="GU124" s="30">
        <f t="shared" si="577"/>
        <v>0</v>
      </c>
      <c r="GV124" s="30">
        <f t="shared" si="577"/>
        <v>0</v>
      </c>
      <c r="GW124" s="30">
        <f t="shared" si="577"/>
        <v>0</v>
      </c>
      <c r="GX124" s="30">
        <f t="shared" si="577"/>
        <v>0</v>
      </c>
      <c r="GY124" s="30">
        <f t="shared" si="577"/>
        <v>0</v>
      </c>
      <c r="GZ124" s="30">
        <f t="shared" si="577"/>
        <v>0</v>
      </c>
      <c r="HA124" s="30">
        <f t="shared" si="577"/>
        <v>0</v>
      </c>
      <c r="HB124" s="30">
        <f t="shared" si="577"/>
        <v>0</v>
      </c>
      <c r="HC124" s="30">
        <f t="shared" si="577"/>
        <v>0</v>
      </c>
      <c r="HD124" s="30">
        <f t="shared" si="577"/>
        <v>0</v>
      </c>
      <c r="HE124" s="30">
        <f t="shared" si="578"/>
        <v>0</v>
      </c>
      <c r="HF124" s="30">
        <f t="shared" si="578"/>
        <v>0</v>
      </c>
      <c r="HG124" s="30">
        <f t="shared" si="578"/>
        <v>0</v>
      </c>
      <c r="HH124" s="30">
        <f t="shared" si="578"/>
        <v>0</v>
      </c>
      <c r="HI124" s="30">
        <f t="shared" si="578"/>
        <v>0</v>
      </c>
      <c r="HJ124" s="30">
        <f t="shared" si="578"/>
        <v>0</v>
      </c>
      <c r="HK124" s="30">
        <f t="shared" si="578"/>
        <v>0</v>
      </c>
      <c r="HL124" s="30">
        <f t="shared" si="578"/>
        <v>0</v>
      </c>
      <c r="HM124" s="30">
        <f t="shared" si="578"/>
        <v>0</v>
      </c>
      <c r="HN124" s="30">
        <f t="shared" si="578"/>
        <v>0</v>
      </c>
      <c r="HO124" s="30">
        <f t="shared" si="579"/>
        <v>0</v>
      </c>
      <c r="HP124" s="30">
        <f t="shared" si="579"/>
        <v>0</v>
      </c>
      <c r="HQ124" s="30">
        <f t="shared" si="579"/>
        <v>0</v>
      </c>
      <c r="HR124" s="30">
        <f t="shared" si="579"/>
        <v>0</v>
      </c>
      <c r="HS124" s="30">
        <f t="shared" si="579"/>
        <v>0</v>
      </c>
      <c r="HT124" s="30">
        <f t="shared" si="579"/>
        <v>0</v>
      </c>
      <c r="HU124" s="30">
        <f t="shared" si="579"/>
        <v>0</v>
      </c>
      <c r="HV124" s="30">
        <f t="shared" si="579"/>
        <v>0</v>
      </c>
      <c r="HW124" s="30">
        <f t="shared" si="579"/>
        <v>0</v>
      </c>
      <c r="HX124" s="30">
        <f t="shared" si="579"/>
        <v>0</v>
      </c>
      <c r="HY124" s="30">
        <f t="shared" si="580"/>
        <v>0</v>
      </c>
      <c r="HZ124" s="30">
        <f t="shared" si="580"/>
        <v>0</v>
      </c>
      <c r="IA124" s="30">
        <f t="shared" si="580"/>
        <v>0</v>
      </c>
      <c r="IB124" s="30">
        <f t="shared" si="580"/>
        <v>0</v>
      </c>
      <c r="IC124" s="30">
        <f t="shared" si="580"/>
        <v>0</v>
      </c>
      <c r="ID124" s="30">
        <f t="shared" si="580"/>
        <v>0</v>
      </c>
      <c r="IE124" s="30">
        <f t="shared" si="580"/>
        <v>0</v>
      </c>
      <c r="IF124" s="30">
        <f t="shared" si="580"/>
        <v>0</v>
      </c>
      <c r="IG124" s="30">
        <f t="shared" si="580"/>
        <v>0</v>
      </c>
      <c r="IH124" s="30">
        <f t="shared" si="580"/>
        <v>0</v>
      </c>
      <c r="II124" s="30">
        <f t="shared" si="581"/>
        <v>0</v>
      </c>
      <c r="IJ124" s="30">
        <f t="shared" si="581"/>
        <v>0</v>
      </c>
      <c r="IK124" s="30">
        <f t="shared" si="581"/>
        <v>0</v>
      </c>
      <c r="IL124" s="30">
        <f t="shared" si="581"/>
        <v>0</v>
      </c>
      <c r="IM124" s="30">
        <f t="shared" si="581"/>
        <v>0</v>
      </c>
      <c r="IN124" s="30">
        <f t="shared" si="581"/>
        <v>0</v>
      </c>
      <c r="IO124" s="30">
        <f t="shared" si="581"/>
        <v>0</v>
      </c>
      <c r="IP124" s="30">
        <f t="shared" si="581"/>
        <v>0</v>
      </c>
      <c r="IQ124" s="30">
        <f t="shared" si="581"/>
        <v>0</v>
      </c>
      <c r="IR124" s="30">
        <f t="shared" si="581"/>
        <v>0</v>
      </c>
      <c r="IS124" s="30">
        <f t="shared" si="582"/>
        <v>0</v>
      </c>
      <c r="IT124" s="30">
        <f t="shared" si="582"/>
        <v>0</v>
      </c>
      <c r="IU124" s="30">
        <f t="shared" si="582"/>
        <v>0</v>
      </c>
      <c r="IV124" s="30">
        <f t="shared" si="582"/>
        <v>0</v>
      </c>
      <c r="IW124" s="30">
        <f t="shared" si="582"/>
        <v>0</v>
      </c>
      <c r="IX124" s="30">
        <f t="shared" si="582"/>
        <v>0</v>
      </c>
      <c r="IY124" s="30">
        <f t="shared" si="582"/>
        <v>0</v>
      </c>
      <c r="IZ124" s="30">
        <f t="shared" si="582"/>
        <v>0</v>
      </c>
      <c r="JA124" s="30">
        <f t="shared" si="582"/>
        <v>0</v>
      </c>
      <c r="JB124" s="30">
        <f t="shared" si="582"/>
        <v>0</v>
      </c>
      <c r="JC124" s="30">
        <f t="shared" si="583"/>
        <v>0</v>
      </c>
      <c r="JD124" s="30">
        <f t="shared" si="583"/>
        <v>0</v>
      </c>
      <c r="JE124" s="30">
        <f t="shared" si="583"/>
        <v>0</v>
      </c>
      <c r="JF124" s="30">
        <f t="shared" si="583"/>
        <v>0</v>
      </c>
      <c r="JG124" s="30">
        <f t="shared" si="583"/>
        <v>0</v>
      </c>
      <c r="JH124" s="30">
        <f t="shared" si="583"/>
        <v>0</v>
      </c>
      <c r="JI124" s="30">
        <f t="shared" si="583"/>
        <v>0</v>
      </c>
      <c r="JJ124" s="30">
        <f t="shared" si="583"/>
        <v>0</v>
      </c>
      <c r="JK124" s="30">
        <f t="shared" si="583"/>
        <v>0</v>
      </c>
      <c r="JL124" s="30">
        <f t="shared" si="583"/>
        <v>0</v>
      </c>
      <c r="JM124" s="30">
        <f t="shared" si="584"/>
        <v>0</v>
      </c>
      <c r="JN124" s="30">
        <f t="shared" si="584"/>
        <v>0</v>
      </c>
      <c r="JO124" s="30">
        <f t="shared" si="584"/>
        <v>0</v>
      </c>
      <c r="JP124" s="30">
        <f t="shared" si="584"/>
        <v>0</v>
      </c>
      <c r="JQ124" s="30">
        <f t="shared" si="584"/>
        <v>0</v>
      </c>
      <c r="JR124" s="30">
        <f t="shared" si="584"/>
        <v>0</v>
      </c>
      <c r="JS124" s="30">
        <f t="shared" si="584"/>
        <v>0</v>
      </c>
      <c r="JT124" s="30">
        <f t="shared" si="584"/>
        <v>0</v>
      </c>
      <c r="JU124" s="30">
        <f t="shared" si="584"/>
        <v>0</v>
      </c>
      <c r="JV124" s="30">
        <f t="shared" si="584"/>
        <v>0</v>
      </c>
      <c r="JW124" s="30">
        <f t="shared" si="584"/>
        <v>0</v>
      </c>
      <c r="JX124" s="30">
        <f t="shared" si="584"/>
        <v>0</v>
      </c>
    </row>
    <row r="125" spans="1:284" s="7" customFormat="1" x14ac:dyDescent="0.2">
      <c r="A125" s="406"/>
      <c r="B125" s="141" t="s">
        <v>142</v>
      </c>
      <c r="C125" s="120"/>
      <c r="D125" s="120"/>
      <c r="E125" s="173"/>
      <c r="F125" s="173"/>
      <c r="G125" s="130">
        <v>0.03</v>
      </c>
      <c r="H125" s="123">
        <f t="shared" si="557"/>
        <v>610.8592415999999</v>
      </c>
      <c r="I125" s="174">
        <f>+G125*I111</f>
        <v>183257.77247999999</v>
      </c>
      <c r="M125" s="38">
        <f>M111*$G125</f>
        <v>0</v>
      </c>
      <c r="N125" s="38">
        <f t="shared" ref="N125:BY125" si="587">N111*$G125</f>
        <v>0</v>
      </c>
      <c r="O125" s="38">
        <f t="shared" si="587"/>
        <v>0</v>
      </c>
      <c r="P125" s="38">
        <f t="shared" si="587"/>
        <v>0</v>
      </c>
      <c r="Q125" s="38">
        <f t="shared" si="587"/>
        <v>0</v>
      </c>
      <c r="R125" s="38">
        <f t="shared" si="587"/>
        <v>0</v>
      </c>
      <c r="S125" s="38">
        <f t="shared" si="587"/>
        <v>0</v>
      </c>
      <c r="T125" s="38">
        <f t="shared" si="587"/>
        <v>0</v>
      </c>
      <c r="U125" s="38">
        <f t="shared" si="587"/>
        <v>0</v>
      </c>
      <c r="V125" s="38">
        <f t="shared" si="587"/>
        <v>0</v>
      </c>
      <c r="W125" s="38">
        <f t="shared" si="587"/>
        <v>0</v>
      </c>
      <c r="X125" s="38">
        <f t="shared" si="587"/>
        <v>0</v>
      </c>
      <c r="Y125" s="38">
        <f t="shared" si="587"/>
        <v>0</v>
      </c>
      <c r="Z125" s="38">
        <f t="shared" si="587"/>
        <v>0</v>
      </c>
      <c r="AA125" s="38">
        <f t="shared" si="587"/>
        <v>0</v>
      </c>
      <c r="AB125" s="38">
        <f t="shared" si="587"/>
        <v>0</v>
      </c>
      <c r="AC125" s="38">
        <f t="shared" si="587"/>
        <v>0</v>
      </c>
      <c r="AD125" s="38">
        <f t="shared" si="587"/>
        <v>0</v>
      </c>
      <c r="AE125" s="38">
        <f t="shared" si="587"/>
        <v>387.79746553846178</v>
      </c>
      <c r="AF125" s="38">
        <f t="shared" si="587"/>
        <v>1412.0028015384617</v>
      </c>
      <c r="AG125" s="38">
        <f t="shared" si="587"/>
        <v>2436.2081375384614</v>
      </c>
      <c r="AH125" s="38">
        <f t="shared" si="587"/>
        <v>3460.4134735384619</v>
      </c>
      <c r="AI125" s="38">
        <f t="shared" si="587"/>
        <v>4484.6188095384614</v>
      </c>
      <c r="AJ125" s="38">
        <f t="shared" si="587"/>
        <v>5508.8241455384614</v>
      </c>
      <c r="AK125" s="38">
        <f t="shared" si="587"/>
        <v>6533.0294815384614</v>
      </c>
      <c r="AL125" s="38">
        <f t="shared" si="587"/>
        <v>7557.2348175384614</v>
      </c>
      <c r="AM125" s="38">
        <f t="shared" si="587"/>
        <v>8581.4401535384604</v>
      </c>
      <c r="AN125" s="38">
        <f t="shared" si="587"/>
        <v>9605.6454895384613</v>
      </c>
      <c r="AO125" s="38">
        <f t="shared" si="587"/>
        <v>10629.850825538462</v>
      </c>
      <c r="AP125" s="38">
        <f t="shared" si="587"/>
        <v>11654.056161538463</v>
      </c>
      <c r="AQ125" s="38">
        <f t="shared" si="587"/>
        <v>13058.609342464615</v>
      </c>
      <c r="AR125" s="38">
        <f t="shared" si="587"/>
        <v>14113.540838544615</v>
      </c>
      <c r="AS125" s="38">
        <f t="shared" si="587"/>
        <v>15351.779596199998</v>
      </c>
      <c r="AT125" s="38">
        <f t="shared" si="587"/>
        <v>15386.129221199999</v>
      </c>
      <c r="AU125" s="38">
        <f t="shared" si="587"/>
        <v>15420.4788462</v>
      </c>
      <c r="AV125" s="38">
        <f t="shared" si="587"/>
        <v>15454.828471199999</v>
      </c>
      <c r="AW125" s="38">
        <f t="shared" si="587"/>
        <v>15489.178096199998</v>
      </c>
      <c r="AX125" s="38">
        <f t="shared" si="587"/>
        <v>15523.527721199998</v>
      </c>
      <c r="AY125" s="38">
        <f t="shared" si="587"/>
        <v>15557.877346199999</v>
      </c>
      <c r="AZ125" s="38">
        <f t="shared" si="587"/>
        <v>15592.2269712</v>
      </c>
      <c r="BA125" s="38">
        <f t="shared" si="587"/>
        <v>15626.576596199999</v>
      </c>
      <c r="BB125" s="38">
        <f t="shared" si="587"/>
        <v>15660.926221199998</v>
      </c>
      <c r="BC125" s="38">
        <f t="shared" si="587"/>
        <v>16166.134121585996</v>
      </c>
      <c r="BD125" s="38">
        <f t="shared" si="587"/>
        <v>16201.514235335995</v>
      </c>
      <c r="BE125" s="38">
        <f t="shared" si="587"/>
        <v>15812.332984085997</v>
      </c>
      <c r="BF125" s="38">
        <f t="shared" si="587"/>
        <v>15847.713097836</v>
      </c>
      <c r="BG125" s="38">
        <f t="shared" si="587"/>
        <v>15883.093211585998</v>
      </c>
      <c r="BH125" s="38">
        <f t="shared" si="587"/>
        <v>15918.473325336001</v>
      </c>
      <c r="BI125" s="38">
        <f t="shared" si="587"/>
        <v>15953.853439086</v>
      </c>
      <c r="BJ125" s="38">
        <f t="shared" si="587"/>
        <v>15989.233552835998</v>
      </c>
      <c r="BK125" s="38">
        <f t="shared" si="587"/>
        <v>16024.613666586001</v>
      </c>
      <c r="BL125" s="38">
        <f t="shared" si="587"/>
        <v>16059.993780336001</v>
      </c>
      <c r="BM125" s="38">
        <f t="shared" si="587"/>
        <v>16095.373894085998</v>
      </c>
      <c r="BN125" s="38">
        <f t="shared" si="587"/>
        <v>16130.754007835998</v>
      </c>
      <c r="BO125" s="38">
        <f t="shared" si="587"/>
        <v>16651.118145233577</v>
      </c>
      <c r="BP125" s="38">
        <f t="shared" si="587"/>
        <v>16687.559662396077</v>
      </c>
      <c r="BQ125" s="38">
        <f t="shared" si="587"/>
        <v>16286.702973608577</v>
      </c>
      <c r="BR125" s="38">
        <f t="shared" si="587"/>
        <v>16323.144490771076</v>
      </c>
      <c r="BS125" s="38">
        <f t="shared" si="587"/>
        <v>16359.586007933578</v>
      </c>
      <c r="BT125" s="38">
        <f t="shared" si="587"/>
        <v>16396.027525096077</v>
      </c>
      <c r="BU125" s="38">
        <f t="shared" si="587"/>
        <v>16432.469042258581</v>
      </c>
      <c r="BV125" s="38">
        <f t="shared" si="587"/>
        <v>16468.910559421074</v>
      </c>
      <c r="BW125" s="38">
        <f t="shared" si="587"/>
        <v>16505.352076583578</v>
      </c>
      <c r="BX125" s="38">
        <f t="shared" si="587"/>
        <v>16541.793593746075</v>
      </c>
      <c r="BY125" s="38">
        <f t="shared" si="587"/>
        <v>16578.235110908579</v>
      </c>
      <c r="BZ125" s="38">
        <f t="shared" ref="BZ125:EK125" si="588">BZ111*$G125</f>
        <v>16614.676628071076</v>
      </c>
      <c r="CA125" s="38">
        <f t="shared" si="588"/>
        <v>17150.651689590584</v>
      </c>
      <c r="CB125" s="38">
        <f t="shared" si="588"/>
        <v>17188.186452267961</v>
      </c>
      <c r="CC125" s="38">
        <f t="shared" si="588"/>
        <v>16775.304062816838</v>
      </c>
      <c r="CD125" s="38">
        <f t="shared" si="588"/>
        <v>16812.838825494211</v>
      </c>
      <c r="CE125" s="38">
        <f t="shared" si="588"/>
        <v>16850.373588171587</v>
      </c>
      <c r="CF125" s="38">
        <f t="shared" si="588"/>
        <v>16887.908350848964</v>
      </c>
      <c r="CG125" s="38">
        <f t="shared" si="588"/>
        <v>16925.443113526333</v>
      </c>
      <c r="CH125" s="38">
        <f t="shared" si="588"/>
        <v>16962.977876203709</v>
      </c>
      <c r="CI125" s="38">
        <f t="shared" si="588"/>
        <v>17000.512638881086</v>
      </c>
      <c r="CJ125" s="38">
        <f t="shared" si="588"/>
        <v>17038.047401558462</v>
      </c>
      <c r="CK125" s="38">
        <f t="shared" si="588"/>
        <v>17075.582164235839</v>
      </c>
      <c r="CL125" s="38">
        <f t="shared" si="588"/>
        <v>17113.116926913215</v>
      </c>
      <c r="CM125" s="38">
        <f t="shared" si="588"/>
        <v>17665.171240278305</v>
      </c>
      <c r="CN125" s="38">
        <f t="shared" si="588"/>
        <v>17703.832045836003</v>
      </c>
      <c r="CO125" s="38">
        <f t="shared" si="588"/>
        <v>17278.563184701339</v>
      </c>
      <c r="CP125" s="38">
        <f t="shared" si="588"/>
        <v>17317.223990259037</v>
      </c>
      <c r="CQ125" s="38">
        <f t="shared" si="588"/>
        <v>17355.884795816732</v>
      </c>
      <c r="CR125" s="38">
        <f t="shared" si="588"/>
        <v>17394.545601374433</v>
      </c>
      <c r="CS125" s="38">
        <f t="shared" si="588"/>
        <v>17433.206406932128</v>
      </c>
      <c r="CT125" s="38">
        <f t="shared" si="588"/>
        <v>17471.867212489822</v>
      </c>
      <c r="CU125" s="38">
        <f t="shared" si="588"/>
        <v>17510.52801804752</v>
      </c>
      <c r="CV125" s="38">
        <f t="shared" si="588"/>
        <v>17549.188823605215</v>
      </c>
      <c r="CW125" s="38">
        <f t="shared" si="588"/>
        <v>17587.849629162913</v>
      </c>
      <c r="CX125" s="38">
        <f t="shared" si="588"/>
        <v>17626.510434720607</v>
      </c>
      <c r="CY125" s="38">
        <f t="shared" si="588"/>
        <v>18195.126377486649</v>
      </c>
      <c r="CZ125" s="38">
        <f t="shared" si="588"/>
        <v>18234.947007211074</v>
      </c>
      <c r="DA125" s="38">
        <f t="shared" si="588"/>
        <v>17796.92008024238</v>
      </c>
      <c r="DB125" s="38">
        <f t="shared" si="588"/>
        <v>17836.740709966809</v>
      </c>
      <c r="DC125" s="38">
        <f t="shared" si="588"/>
        <v>17876.56133969123</v>
      </c>
      <c r="DD125" s="38">
        <f t="shared" si="588"/>
        <v>17916.381969415659</v>
      </c>
      <c r="DE125" s="38">
        <f t="shared" si="588"/>
        <v>17956.202599140084</v>
      </c>
      <c r="DF125" s="38">
        <f t="shared" si="588"/>
        <v>17996.023228864513</v>
      </c>
      <c r="DG125" s="38">
        <f t="shared" si="588"/>
        <v>18035.843858588945</v>
      </c>
      <c r="DH125" s="38">
        <f t="shared" si="588"/>
        <v>18075.66448831337</v>
      </c>
      <c r="DI125" s="38">
        <f t="shared" si="588"/>
        <v>18115.485118037799</v>
      </c>
      <c r="DJ125" s="38">
        <f t="shared" si="588"/>
        <v>18155.305747762221</v>
      </c>
      <c r="DK125" s="38">
        <f t="shared" si="588"/>
        <v>18740.980168811253</v>
      </c>
      <c r="DL125" s="38">
        <f t="shared" si="588"/>
        <v>18781.995417427413</v>
      </c>
      <c r="DM125" s="38">
        <f t="shared" si="588"/>
        <v>18330.827682649655</v>
      </c>
      <c r="DN125" s="38">
        <f t="shared" si="588"/>
        <v>18371.842931265812</v>
      </c>
      <c r="DO125" s="38">
        <f t="shared" si="588"/>
        <v>18412.858179881972</v>
      </c>
      <c r="DP125" s="38">
        <f t="shared" si="588"/>
        <v>18453.873428498133</v>
      </c>
      <c r="DQ125" s="38">
        <f t="shared" si="588"/>
        <v>18494.888677114293</v>
      </c>
      <c r="DR125" s="38">
        <f t="shared" si="588"/>
        <v>18535.903925730454</v>
      </c>
      <c r="DS125" s="38">
        <f t="shared" si="588"/>
        <v>18576.919174346611</v>
      </c>
      <c r="DT125" s="38">
        <f t="shared" si="588"/>
        <v>18617.934422962775</v>
      </c>
      <c r="DU125" s="38">
        <f t="shared" si="588"/>
        <v>18658.949671578932</v>
      </c>
      <c r="DV125" s="38">
        <f t="shared" si="588"/>
        <v>18699.964920195096</v>
      </c>
      <c r="DW125" s="38">
        <f t="shared" si="588"/>
        <v>19303.209573875585</v>
      </c>
      <c r="DX125" s="38">
        <f t="shared" si="588"/>
        <v>19345.455279950227</v>
      </c>
      <c r="DY125" s="38">
        <f t="shared" si="588"/>
        <v>18880.752513129144</v>
      </c>
      <c r="DZ125" s="38">
        <f t="shared" si="588"/>
        <v>18922.99821920379</v>
      </c>
      <c r="EA125" s="38">
        <f t="shared" si="588"/>
        <v>18965.243925278428</v>
      </c>
      <c r="EB125" s="38">
        <f t="shared" si="588"/>
        <v>19007.489631353073</v>
      </c>
      <c r="EC125" s="38">
        <f t="shared" si="588"/>
        <v>19049.735337427719</v>
      </c>
      <c r="ED125" s="38">
        <f t="shared" si="588"/>
        <v>19091.981043502365</v>
      </c>
      <c r="EE125" s="38">
        <f t="shared" si="588"/>
        <v>19134.226749577007</v>
      </c>
      <c r="EF125" s="38">
        <f t="shared" si="588"/>
        <v>19176.472455651652</v>
      </c>
      <c r="EG125" s="38">
        <f t="shared" si="588"/>
        <v>19218.718161726301</v>
      </c>
      <c r="EH125" s="38">
        <f t="shared" si="588"/>
        <v>19260.96386780094</v>
      </c>
      <c r="EI125" s="38">
        <f t="shared" si="588"/>
        <v>19882.30586109186</v>
      </c>
      <c r="EJ125" s="38">
        <f t="shared" si="588"/>
        <v>19925.818938348737</v>
      </c>
      <c r="EK125" s="38">
        <f t="shared" si="588"/>
        <v>19447.17508852301</v>
      </c>
      <c r="EL125" s="38">
        <f>EL111*$G125</f>
        <v>19490.688165779899</v>
      </c>
      <c r="EM125" s="38">
        <f>EM111*$G125</f>
        <v>19534.201243036783</v>
      </c>
      <c r="EN125" s="38">
        <f>EN111*$G125</f>
        <v>19577.714320293664</v>
      </c>
      <c r="EP125" s="24"/>
      <c r="EQ125" s="24"/>
      <c r="ER125" s="59"/>
      <c r="ES125" s="24"/>
      <c r="ET125" s="24"/>
      <c r="EU125" s="33"/>
      <c r="EV125" s="24"/>
      <c r="EW125" s="30"/>
      <c r="EX125" s="30"/>
      <c r="EY125" s="30"/>
      <c r="EZ125" s="30"/>
      <c r="FA125" s="30"/>
      <c r="FB125" s="30"/>
      <c r="FC125" s="30"/>
      <c r="FD125" s="30"/>
      <c r="FE125" s="30"/>
      <c r="FF125" s="30"/>
      <c r="FG125" s="30"/>
      <c r="FH125" s="30"/>
      <c r="FI125" s="30"/>
      <c r="FJ125" s="30"/>
      <c r="FK125" s="30"/>
      <c r="FL125" s="30"/>
      <c r="FM125" s="30"/>
      <c r="FN125" s="30"/>
      <c r="FO125" s="30"/>
      <c r="FP125" s="30"/>
      <c r="FQ125" s="30"/>
      <c r="FR125" s="30"/>
      <c r="FS125" s="30"/>
      <c r="FT125" s="30"/>
      <c r="FU125" s="30"/>
      <c r="FV125" s="30"/>
      <c r="FW125" s="30"/>
      <c r="FX125" s="30"/>
      <c r="FY125" s="30"/>
      <c r="FZ125" s="30"/>
      <c r="GA125" s="30"/>
      <c r="GB125" s="30"/>
      <c r="GC125" s="30"/>
      <c r="GD125" s="30"/>
      <c r="GE125" s="30"/>
      <c r="GF125" s="30"/>
      <c r="GG125" s="30"/>
      <c r="GH125" s="30"/>
      <c r="GI125" s="30"/>
      <c r="GJ125" s="30"/>
      <c r="GK125" s="30"/>
      <c r="GL125" s="30"/>
      <c r="GM125" s="30"/>
      <c r="GN125" s="30"/>
      <c r="GO125" s="30"/>
      <c r="GP125" s="30"/>
      <c r="GQ125" s="30"/>
      <c r="GR125" s="30"/>
      <c r="GS125" s="30"/>
      <c r="GT125" s="30"/>
      <c r="GU125" s="30"/>
      <c r="GV125" s="30"/>
      <c r="GW125" s="30"/>
      <c r="GX125" s="30"/>
      <c r="GY125" s="30"/>
      <c r="GZ125" s="30"/>
      <c r="HA125" s="30"/>
      <c r="HB125" s="30"/>
      <c r="HC125" s="30"/>
      <c r="HD125" s="30"/>
      <c r="HE125" s="30"/>
      <c r="HF125" s="30"/>
      <c r="HG125" s="30"/>
      <c r="HH125" s="30"/>
      <c r="HI125" s="30"/>
      <c r="HJ125" s="30"/>
      <c r="HK125" s="30"/>
      <c r="HL125" s="30"/>
      <c r="HM125" s="30"/>
      <c r="HN125" s="30"/>
      <c r="HO125" s="30"/>
      <c r="HP125" s="30"/>
      <c r="HQ125" s="30"/>
      <c r="HR125" s="30"/>
      <c r="HS125" s="30"/>
      <c r="HT125" s="30"/>
      <c r="HU125" s="30"/>
      <c r="HV125" s="30"/>
      <c r="HW125" s="30"/>
      <c r="HX125" s="30"/>
      <c r="HY125" s="30"/>
      <c r="HZ125" s="30"/>
      <c r="IA125" s="30"/>
      <c r="IB125" s="30"/>
      <c r="IC125" s="30"/>
      <c r="ID125" s="30"/>
      <c r="IE125" s="30"/>
      <c r="IF125" s="30"/>
      <c r="IG125" s="30"/>
      <c r="IH125" s="30"/>
      <c r="II125" s="30"/>
      <c r="IJ125" s="30"/>
      <c r="IK125" s="30"/>
      <c r="IL125" s="30"/>
      <c r="IM125" s="30"/>
      <c r="IN125" s="30"/>
      <c r="IO125" s="30"/>
      <c r="IP125" s="30"/>
      <c r="IQ125" s="30"/>
      <c r="IR125" s="30"/>
      <c r="IS125" s="30"/>
      <c r="IT125" s="30"/>
      <c r="IU125" s="30"/>
      <c r="IV125" s="30"/>
      <c r="IW125" s="30"/>
      <c r="IX125" s="30"/>
      <c r="IY125" s="30"/>
      <c r="IZ125" s="30"/>
      <c r="JA125" s="30"/>
      <c r="JB125" s="30"/>
      <c r="JC125" s="30"/>
      <c r="JD125" s="30"/>
      <c r="JE125" s="30"/>
      <c r="JF125" s="30"/>
      <c r="JG125" s="30"/>
      <c r="JH125" s="30"/>
      <c r="JI125" s="30"/>
      <c r="JJ125" s="30"/>
      <c r="JK125" s="30"/>
      <c r="JL125" s="30"/>
      <c r="JM125" s="30"/>
      <c r="JN125" s="30"/>
      <c r="JO125" s="30"/>
      <c r="JP125" s="30"/>
      <c r="JQ125" s="30"/>
      <c r="JR125" s="30"/>
      <c r="JS125" s="30"/>
      <c r="JT125" s="30"/>
      <c r="JU125" s="30"/>
      <c r="JV125" s="30"/>
      <c r="JW125" s="30"/>
      <c r="JX125" s="30"/>
    </row>
    <row r="126" spans="1:284" s="7" customFormat="1" x14ac:dyDescent="0.2">
      <c r="A126" s="406"/>
      <c r="B126" s="141" t="s">
        <v>143</v>
      </c>
      <c r="C126" s="120"/>
      <c r="D126" s="120"/>
      <c r="E126" s="173">
        <v>1</v>
      </c>
      <c r="F126" s="173"/>
      <c r="G126" s="122">
        <f t="shared" si="585"/>
        <v>1.718890258989576E-2</v>
      </c>
      <c r="H126" s="123">
        <f t="shared" si="557"/>
        <v>350</v>
      </c>
      <c r="I126" s="124">
        <v>105000</v>
      </c>
      <c r="M126" s="38">
        <f t="shared" ref="M126:AR126" si="589">(EW126+($I126/12*M$84*(1-$E126)))*(1+$D$114)^(EW$113-1)</f>
        <v>0</v>
      </c>
      <c r="N126" s="38">
        <f t="shared" si="589"/>
        <v>0</v>
      </c>
      <c r="O126" s="38">
        <f t="shared" si="589"/>
        <v>0</v>
      </c>
      <c r="P126" s="38">
        <f t="shared" si="589"/>
        <v>0</v>
      </c>
      <c r="Q126" s="38">
        <f t="shared" si="589"/>
        <v>0</v>
      </c>
      <c r="R126" s="38">
        <f t="shared" si="589"/>
        <v>0</v>
      </c>
      <c r="S126" s="38">
        <f t="shared" si="589"/>
        <v>0</v>
      </c>
      <c r="T126" s="38">
        <f t="shared" si="589"/>
        <v>0</v>
      </c>
      <c r="U126" s="38">
        <f t="shared" si="589"/>
        <v>0</v>
      </c>
      <c r="V126" s="38">
        <f t="shared" si="589"/>
        <v>0</v>
      </c>
      <c r="W126" s="38">
        <f t="shared" si="589"/>
        <v>0</v>
      </c>
      <c r="X126" s="38">
        <f t="shared" si="589"/>
        <v>0</v>
      </c>
      <c r="Y126" s="38">
        <f t="shared" si="589"/>
        <v>0</v>
      </c>
      <c r="Z126" s="38">
        <f t="shared" si="589"/>
        <v>0</v>
      </c>
      <c r="AA126" s="38">
        <f t="shared" si="589"/>
        <v>0</v>
      </c>
      <c r="AB126" s="38">
        <f t="shared" si="589"/>
        <v>0</v>
      </c>
      <c r="AC126" s="38">
        <f t="shared" si="589"/>
        <v>0</v>
      </c>
      <c r="AD126" s="38">
        <f t="shared" si="589"/>
        <v>0</v>
      </c>
      <c r="AE126" s="38">
        <f t="shared" si="589"/>
        <v>8750</v>
      </c>
      <c r="AF126" s="38">
        <f t="shared" si="589"/>
        <v>8750</v>
      </c>
      <c r="AG126" s="38">
        <f t="shared" si="589"/>
        <v>8750</v>
      </c>
      <c r="AH126" s="38">
        <f t="shared" si="589"/>
        <v>8750</v>
      </c>
      <c r="AI126" s="38">
        <f t="shared" si="589"/>
        <v>8750</v>
      </c>
      <c r="AJ126" s="38">
        <f t="shared" si="589"/>
        <v>8750</v>
      </c>
      <c r="AK126" s="38">
        <f t="shared" si="589"/>
        <v>8750</v>
      </c>
      <c r="AL126" s="38">
        <f t="shared" si="589"/>
        <v>8750</v>
      </c>
      <c r="AM126" s="38">
        <f t="shared" si="589"/>
        <v>8750</v>
      </c>
      <c r="AN126" s="38">
        <f t="shared" si="589"/>
        <v>8750</v>
      </c>
      <c r="AO126" s="38">
        <f t="shared" si="589"/>
        <v>8750</v>
      </c>
      <c r="AP126" s="38">
        <f t="shared" si="589"/>
        <v>8750</v>
      </c>
      <c r="AQ126" s="38">
        <f t="shared" si="589"/>
        <v>9012.5</v>
      </c>
      <c r="AR126" s="38">
        <f t="shared" si="589"/>
        <v>9012.5</v>
      </c>
      <c r="AS126" s="38">
        <f t="shared" ref="AS126:BX126" si="590">(GC126+($I126/12*AS$84*(1-$E126)))*(1+$D$114)^(GC$113-1)</f>
        <v>9012.5</v>
      </c>
      <c r="AT126" s="38">
        <f t="shared" si="590"/>
        <v>9012.5</v>
      </c>
      <c r="AU126" s="38">
        <f t="shared" si="590"/>
        <v>9012.5</v>
      </c>
      <c r="AV126" s="38">
        <f t="shared" si="590"/>
        <v>9012.5</v>
      </c>
      <c r="AW126" s="38">
        <f t="shared" si="590"/>
        <v>9012.5</v>
      </c>
      <c r="AX126" s="38">
        <f t="shared" si="590"/>
        <v>9012.5</v>
      </c>
      <c r="AY126" s="38">
        <f t="shared" si="590"/>
        <v>9012.5</v>
      </c>
      <c r="AZ126" s="38">
        <f t="shared" si="590"/>
        <v>9012.5</v>
      </c>
      <c r="BA126" s="38">
        <f t="shared" si="590"/>
        <v>9012.5</v>
      </c>
      <c r="BB126" s="38">
        <f t="shared" si="590"/>
        <v>9012.5</v>
      </c>
      <c r="BC126" s="38">
        <f t="shared" si="590"/>
        <v>9282.875</v>
      </c>
      <c r="BD126" s="38">
        <f t="shared" si="590"/>
        <v>9282.875</v>
      </c>
      <c r="BE126" s="38">
        <f t="shared" si="590"/>
        <v>9282.875</v>
      </c>
      <c r="BF126" s="38">
        <f t="shared" si="590"/>
        <v>9282.875</v>
      </c>
      <c r="BG126" s="38">
        <f t="shared" si="590"/>
        <v>9282.875</v>
      </c>
      <c r="BH126" s="38">
        <f t="shared" si="590"/>
        <v>9282.875</v>
      </c>
      <c r="BI126" s="38">
        <f t="shared" si="590"/>
        <v>9282.875</v>
      </c>
      <c r="BJ126" s="38">
        <f t="shared" si="590"/>
        <v>9282.875</v>
      </c>
      <c r="BK126" s="38">
        <f t="shared" si="590"/>
        <v>9282.875</v>
      </c>
      <c r="BL126" s="38">
        <f t="shared" si="590"/>
        <v>9282.875</v>
      </c>
      <c r="BM126" s="38">
        <f t="shared" si="590"/>
        <v>9282.875</v>
      </c>
      <c r="BN126" s="38">
        <f t="shared" si="590"/>
        <v>9282.875</v>
      </c>
      <c r="BO126" s="38">
        <f t="shared" si="590"/>
        <v>9561.3612499999999</v>
      </c>
      <c r="BP126" s="38">
        <f t="shared" si="590"/>
        <v>9561.3612499999999</v>
      </c>
      <c r="BQ126" s="38">
        <f t="shared" si="590"/>
        <v>9561.3612499999999</v>
      </c>
      <c r="BR126" s="38">
        <f t="shared" si="590"/>
        <v>9561.3612499999999</v>
      </c>
      <c r="BS126" s="38">
        <f t="shared" si="590"/>
        <v>9561.3612499999999</v>
      </c>
      <c r="BT126" s="38">
        <f t="shared" si="590"/>
        <v>9561.3612499999999</v>
      </c>
      <c r="BU126" s="38">
        <f t="shared" si="590"/>
        <v>9561.3612499999999</v>
      </c>
      <c r="BV126" s="38">
        <f t="shared" si="590"/>
        <v>9561.3612499999999</v>
      </c>
      <c r="BW126" s="38">
        <f t="shared" si="590"/>
        <v>9561.3612499999999</v>
      </c>
      <c r="BX126" s="38">
        <f t="shared" si="590"/>
        <v>9561.3612499999999</v>
      </c>
      <c r="BY126" s="38">
        <f t="shared" ref="BY126:DD126" si="591">(HI126+($I126/12*BY$84*(1-$E126)))*(1+$D$114)^(HI$113-1)</f>
        <v>9561.3612499999999</v>
      </c>
      <c r="BZ126" s="38">
        <f t="shared" si="591"/>
        <v>9561.3612499999999</v>
      </c>
      <c r="CA126" s="38">
        <f t="shared" si="591"/>
        <v>9848.2020874999998</v>
      </c>
      <c r="CB126" s="38">
        <f t="shared" si="591"/>
        <v>9848.2020874999998</v>
      </c>
      <c r="CC126" s="38">
        <f t="shared" si="591"/>
        <v>9848.2020874999998</v>
      </c>
      <c r="CD126" s="38">
        <f t="shared" si="591"/>
        <v>9848.2020874999998</v>
      </c>
      <c r="CE126" s="38">
        <f t="shared" si="591"/>
        <v>9848.2020874999998</v>
      </c>
      <c r="CF126" s="38">
        <f t="shared" si="591"/>
        <v>9848.2020874999998</v>
      </c>
      <c r="CG126" s="38">
        <f t="shared" si="591"/>
        <v>9848.2020874999998</v>
      </c>
      <c r="CH126" s="38">
        <f t="shared" si="591"/>
        <v>9848.2020874999998</v>
      </c>
      <c r="CI126" s="38">
        <f t="shared" si="591"/>
        <v>9848.2020874999998</v>
      </c>
      <c r="CJ126" s="38">
        <f t="shared" si="591"/>
        <v>9848.2020874999998</v>
      </c>
      <c r="CK126" s="38">
        <f t="shared" si="591"/>
        <v>9848.2020874999998</v>
      </c>
      <c r="CL126" s="38">
        <f t="shared" si="591"/>
        <v>9848.2020874999998</v>
      </c>
      <c r="CM126" s="38">
        <f t="shared" si="591"/>
        <v>10143.648150124998</v>
      </c>
      <c r="CN126" s="38">
        <f t="shared" si="591"/>
        <v>10143.648150124998</v>
      </c>
      <c r="CO126" s="38">
        <f t="shared" si="591"/>
        <v>10143.648150124998</v>
      </c>
      <c r="CP126" s="38">
        <f t="shared" si="591"/>
        <v>10143.648150124998</v>
      </c>
      <c r="CQ126" s="38">
        <f t="shared" si="591"/>
        <v>10143.648150124998</v>
      </c>
      <c r="CR126" s="38">
        <f t="shared" si="591"/>
        <v>10143.648150124998</v>
      </c>
      <c r="CS126" s="38">
        <f t="shared" si="591"/>
        <v>10143.648150124998</v>
      </c>
      <c r="CT126" s="38">
        <f t="shared" si="591"/>
        <v>10143.648150124998</v>
      </c>
      <c r="CU126" s="38">
        <f t="shared" si="591"/>
        <v>10143.648150124998</v>
      </c>
      <c r="CV126" s="38">
        <f t="shared" si="591"/>
        <v>10143.648150124998</v>
      </c>
      <c r="CW126" s="38">
        <f t="shared" si="591"/>
        <v>10143.648150124998</v>
      </c>
      <c r="CX126" s="38">
        <f t="shared" si="591"/>
        <v>10143.648150124998</v>
      </c>
      <c r="CY126" s="38">
        <f t="shared" si="591"/>
        <v>10447.95759462875</v>
      </c>
      <c r="CZ126" s="38">
        <f t="shared" si="591"/>
        <v>10447.95759462875</v>
      </c>
      <c r="DA126" s="38">
        <f t="shared" si="591"/>
        <v>10447.95759462875</v>
      </c>
      <c r="DB126" s="38">
        <f t="shared" si="591"/>
        <v>10447.95759462875</v>
      </c>
      <c r="DC126" s="38">
        <f t="shared" si="591"/>
        <v>10447.95759462875</v>
      </c>
      <c r="DD126" s="38">
        <f t="shared" si="591"/>
        <v>10447.95759462875</v>
      </c>
      <c r="DE126" s="38">
        <f t="shared" ref="DE126:EJ126" si="592">(IO126+($I126/12*DE$84*(1-$E126)))*(1+$D$114)^(IO$113-1)</f>
        <v>10447.95759462875</v>
      </c>
      <c r="DF126" s="38">
        <f t="shared" si="592"/>
        <v>10447.95759462875</v>
      </c>
      <c r="DG126" s="38">
        <f t="shared" si="592"/>
        <v>10447.95759462875</v>
      </c>
      <c r="DH126" s="38">
        <f t="shared" si="592"/>
        <v>10447.95759462875</v>
      </c>
      <c r="DI126" s="38">
        <f t="shared" si="592"/>
        <v>10447.95759462875</v>
      </c>
      <c r="DJ126" s="38">
        <f t="shared" si="592"/>
        <v>10447.95759462875</v>
      </c>
      <c r="DK126" s="38">
        <f t="shared" si="592"/>
        <v>10761.396322467612</v>
      </c>
      <c r="DL126" s="38">
        <f t="shared" si="592"/>
        <v>10761.396322467612</v>
      </c>
      <c r="DM126" s="38">
        <f t="shared" si="592"/>
        <v>10761.396322467612</v>
      </c>
      <c r="DN126" s="38">
        <f t="shared" si="592"/>
        <v>10761.396322467612</v>
      </c>
      <c r="DO126" s="38">
        <f t="shared" si="592"/>
        <v>10761.396322467612</v>
      </c>
      <c r="DP126" s="38">
        <f t="shared" si="592"/>
        <v>10761.396322467612</v>
      </c>
      <c r="DQ126" s="38">
        <f t="shared" si="592"/>
        <v>10761.396322467612</v>
      </c>
      <c r="DR126" s="38">
        <f t="shared" si="592"/>
        <v>10761.396322467612</v>
      </c>
      <c r="DS126" s="38">
        <f t="shared" si="592"/>
        <v>10761.396322467612</v>
      </c>
      <c r="DT126" s="38">
        <f t="shared" si="592"/>
        <v>10761.396322467612</v>
      </c>
      <c r="DU126" s="38">
        <f t="shared" si="592"/>
        <v>10761.396322467612</v>
      </c>
      <c r="DV126" s="38">
        <f t="shared" si="592"/>
        <v>10761.396322467612</v>
      </c>
      <c r="DW126" s="38">
        <f t="shared" si="592"/>
        <v>11084.238212141639</v>
      </c>
      <c r="DX126" s="38">
        <f t="shared" si="592"/>
        <v>11084.238212141639</v>
      </c>
      <c r="DY126" s="38">
        <f t="shared" si="592"/>
        <v>11084.238212141639</v>
      </c>
      <c r="DZ126" s="38">
        <f t="shared" si="592"/>
        <v>11084.238212141639</v>
      </c>
      <c r="EA126" s="38">
        <f t="shared" si="592"/>
        <v>11084.238212141639</v>
      </c>
      <c r="EB126" s="38">
        <f t="shared" si="592"/>
        <v>11084.238212141639</v>
      </c>
      <c r="EC126" s="38">
        <f t="shared" si="592"/>
        <v>11084.238212141639</v>
      </c>
      <c r="ED126" s="38">
        <f t="shared" si="592"/>
        <v>11084.238212141639</v>
      </c>
      <c r="EE126" s="38">
        <f t="shared" si="592"/>
        <v>11084.238212141639</v>
      </c>
      <c r="EF126" s="38">
        <f t="shared" si="592"/>
        <v>11084.238212141639</v>
      </c>
      <c r="EG126" s="38">
        <f t="shared" si="592"/>
        <v>11084.238212141639</v>
      </c>
      <c r="EH126" s="38">
        <f t="shared" si="592"/>
        <v>11084.238212141639</v>
      </c>
      <c r="EI126" s="38">
        <f t="shared" si="592"/>
        <v>11416.765358505889</v>
      </c>
      <c r="EJ126" s="38">
        <f t="shared" si="592"/>
        <v>11416.765358505889</v>
      </c>
      <c r="EK126" s="38">
        <f>(JU126+($I126/12*EK$84*(1-$E126)))*(1+$D$114)^(JU$113-1)</f>
        <v>11416.765358505889</v>
      </c>
      <c r="EL126" s="38">
        <f>(JV126+($I126/12*EL$84*(1-$E126)))*(1+$D$114)^(JV$113-1)</f>
        <v>11416.765358505889</v>
      </c>
      <c r="EM126" s="38">
        <f>(JW126+($I126/12*EM$84*(1-$E126)))*(1+$D$114)^(JW$113-1)</f>
        <v>11416.765358505889</v>
      </c>
      <c r="EN126" s="38">
        <f>(JX126+($I126/12*EN$84*(1-$E126)))*(1+$D$114)^(JX$113-1)</f>
        <v>11416.765358505889</v>
      </c>
      <c r="EP126" s="24"/>
      <c r="EQ126" s="24"/>
      <c r="ER126" s="59">
        <f t="shared" si="586"/>
        <v>1</v>
      </c>
      <c r="ES126" s="70">
        <v>1</v>
      </c>
      <c r="ET126" s="70">
        <v>2</v>
      </c>
      <c r="EU126" s="219">
        <v>3</v>
      </c>
      <c r="EV126" s="24" t="s">
        <v>159</v>
      </c>
      <c r="EW126" s="30">
        <f t="shared" si="572"/>
        <v>0</v>
      </c>
      <c r="EX126" s="30">
        <f t="shared" si="572"/>
        <v>0</v>
      </c>
      <c r="EY126" s="30">
        <f t="shared" si="572"/>
        <v>0</v>
      </c>
      <c r="EZ126" s="30">
        <f t="shared" si="572"/>
        <v>0</v>
      </c>
      <c r="FA126" s="30">
        <f t="shared" si="572"/>
        <v>0</v>
      </c>
      <c r="FB126" s="30">
        <f t="shared" si="572"/>
        <v>0</v>
      </c>
      <c r="FC126" s="30">
        <f t="shared" si="572"/>
        <v>0</v>
      </c>
      <c r="FD126" s="30">
        <f t="shared" si="572"/>
        <v>0</v>
      </c>
      <c r="FE126" s="30">
        <f t="shared" si="572"/>
        <v>0</v>
      </c>
      <c r="FF126" s="30">
        <f t="shared" si="572"/>
        <v>0</v>
      </c>
      <c r="FG126" s="30">
        <f t="shared" si="572"/>
        <v>0</v>
      </c>
      <c r="FH126" s="30">
        <f t="shared" si="572"/>
        <v>0</v>
      </c>
      <c r="FI126" s="30">
        <f t="shared" si="572"/>
        <v>0</v>
      </c>
      <c r="FJ126" s="30">
        <f t="shared" si="572"/>
        <v>0</v>
      </c>
      <c r="FK126" s="30">
        <f t="shared" si="572"/>
        <v>0</v>
      </c>
      <c r="FL126" s="30">
        <f t="shared" si="572"/>
        <v>0</v>
      </c>
      <c r="FM126" s="30">
        <f t="shared" ref="FM126:HX126" si="593">+IF(FM$3&lt;Timing_Operation_Begin_Month,0,$I126/12*$ER126)</f>
        <v>0</v>
      </c>
      <c r="FN126" s="30">
        <f t="shared" si="593"/>
        <v>0</v>
      </c>
      <c r="FO126" s="30">
        <f t="shared" si="593"/>
        <v>8750</v>
      </c>
      <c r="FP126" s="30">
        <f t="shared" si="593"/>
        <v>8750</v>
      </c>
      <c r="FQ126" s="30">
        <f t="shared" si="593"/>
        <v>8750</v>
      </c>
      <c r="FR126" s="30">
        <f t="shared" si="593"/>
        <v>8750</v>
      </c>
      <c r="FS126" s="30">
        <f t="shared" si="593"/>
        <v>8750</v>
      </c>
      <c r="FT126" s="30">
        <f t="shared" si="593"/>
        <v>8750</v>
      </c>
      <c r="FU126" s="30">
        <f t="shared" si="593"/>
        <v>8750</v>
      </c>
      <c r="FV126" s="30">
        <f t="shared" si="593"/>
        <v>8750</v>
      </c>
      <c r="FW126" s="30">
        <f t="shared" si="593"/>
        <v>8750</v>
      </c>
      <c r="FX126" s="30">
        <f t="shared" si="593"/>
        <v>8750</v>
      </c>
      <c r="FY126" s="30">
        <f t="shared" si="593"/>
        <v>8750</v>
      </c>
      <c r="FZ126" s="30">
        <f t="shared" si="593"/>
        <v>8750</v>
      </c>
      <c r="GA126" s="30">
        <f t="shared" si="593"/>
        <v>8750</v>
      </c>
      <c r="GB126" s="30">
        <f t="shared" si="593"/>
        <v>8750</v>
      </c>
      <c r="GC126" s="30">
        <f t="shared" si="593"/>
        <v>8750</v>
      </c>
      <c r="GD126" s="30">
        <f t="shared" si="593"/>
        <v>8750</v>
      </c>
      <c r="GE126" s="30">
        <f t="shared" si="593"/>
        <v>8750</v>
      </c>
      <c r="GF126" s="30">
        <f t="shared" si="593"/>
        <v>8750</v>
      </c>
      <c r="GG126" s="30">
        <f t="shared" si="593"/>
        <v>8750</v>
      </c>
      <c r="GH126" s="30">
        <f t="shared" si="593"/>
        <v>8750</v>
      </c>
      <c r="GI126" s="30">
        <f t="shared" si="593"/>
        <v>8750</v>
      </c>
      <c r="GJ126" s="30">
        <f t="shared" si="593"/>
        <v>8750</v>
      </c>
      <c r="GK126" s="30">
        <f t="shared" si="593"/>
        <v>8750</v>
      </c>
      <c r="GL126" s="30">
        <f t="shared" si="593"/>
        <v>8750</v>
      </c>
      <c r="GM126" s="30">
        <f t="shared" si="593"/>
        <v>8750</v>
      </c>
      <c r="GN126" s="30">
        <f t="shared" si="593"/>
        <v>8750</v>
      </c>
      <c r="GO126" s="30">
        <f t="shared" si="593"/>
        <v>8750</v>
      </c>
      <c r="GP126" s="30">
        <f t="shared" si="593"/>
        <v>8750</v>
      </c>
      <c r="GQ126" s="30">
        <f t="shared" si="593"/>
        <v>8750</v>
      </c>
      <c r="GR126" s="30">
        <f t="shared" si="593"/>
        <v>8750</v>
      </c>
      <c r="GS126" s="30">
        <f t="shared" si="593"/>
        <v>8750</v>
      </c>
      <c r="GT126" s="30">
        <f t="shared" si="593"/>
        <v>8750</v>
      </c>
      <c r="GU126" s="30">
        <f t="shared" si="593"/>
        <v>8750</v>
      </c>
      <c r="GV126" s="30">
        <f t="shared" si="593"/>
        <v>8750</v>
      </c>
      <c r="GW126" s="30">
        <f t="shared" si="593"/>
        <v>8750</v>
      </c>
      <c r="GX126" s="30">
        <f t="shared" si="593"/>
        <v>8750</v>
      </c>
      <c r="GY126" s="30">
        <f t="shared" si="593"/>
        <v>8750</v>
      </c>
      <c r="GZ126" s="30">
        <f t="shared" si="593"/>
        <v>8750</v>
      </c>
      <c r="HA126" s="30">
        <f t="shared" si="593"/>
        <v>8750</v>
      </c>
      <c r="HB126" s="30">
        <f t="shared" si="593"/>
        <v>8750</v>
      </c>
      <c r="HC126" s="30">
        <f t="shared" si="593"/>
        <v>8750</v>
      </c>
      <c r="HD126" s="30">
        <f t="shared" si="593"/>
        <v>8750</v>
      </c>
      <c r="HE126" s="30">
        <f t="shared" si="593"/>
        <v>8750</v>
      </c>
      <c r="HF126" s="30">
        <f t="shared" si="593"/>
        <v>8750</v>
      </c>
      <c r="HG126" s="30">
        <f t="shared" si="593"/>
        <v>8750</v>
      </c>
      <c r="HH126" s="30">
        <f t="shared" si="593"/>
        <v>8750</v>
      </c>
      <c r="HI126" s="30">
        <f t="shared" si="593"/>
        <v>8750</v>
      </c>
      <c r="HJ126" s="30">
        <f t="shared" si="593"/>
        <v>8750</v>
      </c>
      <c r="HK126" s="30">
        <f t="shared" si="593"/>
        <v>8750</v>
      </c>
      <c r="HL126" s="30">
        <f t="shared" si="593"/>
        <v>8750</v>
      </c>
      <c r="HM126" s="30">
        <f t="shared" si="593"/>
        <v>8750</v>
      </c>
      <c r="HN126" s="30">
        <f t="shared" si="593"/>
        <v>8750</v>
      </c>
      <c r="HO126" s="30">
        <f t="shared" si="593"/>
        <v>8750</v>
      </c>
      <c r="HP126" s="30">
        <f t="shared" si="593"/>
        <v>8750</v>
      </c>
      <c r="HQ126" s="30">
        <f t="shared" si="593"/>
        <v>8750</v>
      </c>
      <c r="HR126" s="30">
        <f t="shared" si="593"/>
        <v>8750</v>
      </c>
      <c r="HS126" s="30">
        <f t="shared" si="593"/>
        <v>8750</v>
      </c>
      <c r="HT126" s="30">
        <f t="shared" si="593"/>
        <v>8750</v>
      </c>
      <c r="HU126" s="30">
        <f t="shared" si="593"/>
        <v>8750</v>
      </c>
      <c r="HV126" s="30">
        <f t="shared" si="593"/>
        <v>8750</v>
      </c>
      <c r="HW126" s="30">
        <f t="shared" si="593"/>
        <v>8750</v>
      </c>
      <c r="HX126" s="30">
        <f t="shared" si="593"/>
        <v>8750</v>
      </c>
      <c r="HY126" s="30">
        <f t="shared" ref="HY126:JX126" si="594">+IF(HY$3&lt;Timing_Operation_Begin_Month,0,$I126/12*$ER126)</f>
        <v>8750</v>
      </c>
      <c r="HZ126" s="30">
        <f t="shared" si="594"/>
        <v>8750</v>
      </c>
      <c r="IA126" s="30">
        <f t="shared" si="594"/>
        <v>8750</v>
      </c>
      <c r="IB126" s="30">
        <f t="shared" si="594"/>
        <v>8750</v>
      </c>
      <c r="IC126" s="30">
        <f t="shared" si="594"/>
        <v>8750</v>
      </c>
      <c r="ID126" s="30">
        <f t="shared" si="594"/>
        <v>8750</v>
      </c>
      <c r="IE126" s="30">
        <f t="shared" si="594"/>
        <v>8750</v>
      </c>
      <c r="IF126" s="30">
        <f t="shared" si="594"/>
        <v>8750</v>
      </c>
      <c r="IG126" s="30">
        <f t="shared" si="594"/>
        <v>8750</v>
      </c>
      <c r="IH126" s="30">
        <f t="shared" si="594"/>
        <v>8750</v>
      </c>
      <c r="II126" s="30">
        <f t="shared" si="594"/>
        <v>8750</v>
      </c>
      <c r="IJ126" s="30">
        <f t="shared" si="594"/>
        <v>8750</v>
      </c>
      <c r="IK126" s="30">
        <f t="shared" si="594"/>
        <v>8750</v>
      </c>
      <c r="IL126" s="30">
        <f t="shared" si="594"/>
        <v>8750</v>
      </c>
      <c r="IM126" s="30">
        <f t="shared" si="594"/>
        <v>8750</v>
      </c>
      <c r="IN126" s="30">
        <f t="shared" si="594"/>
        <v>8750</v>
      </c>
      <c r="IO126" s="30">
        <f t="shared" si="594"/>
        <v>8750</v>
      </c>
      <c r="IP126" s="30">
        <f t="shared" si="594"/>
        <v>8750</v>
      </c>
      <c r="IQ126" s="30">
        <f t="shared" si="594"/>
        <v>8750</v>
      </c>
      <c r="IR126" s="30">
        <f t="shared" si="594"/>
        <v>8750</v>
      </c>
      <c r="IS126" s="30">
        <f t="shared" si="594"/>
        <v>8750</v>
      </c>
      <c r="IT126" s="30">
        <f t="shared" si="594"/>
        <v>8750</v>
      </c>
      <c r="IU126" s="30">
        <f t="shared" si="594"/>
        <v>8750</v>
      </c>
      <c r="IV126" s="30">
        <f t="shared" si="594"/>
        <v>8750</v>
      </c>
      <c r="IW126" s="30">
        <f t="shared" si="594"/>
        <v>8750</v>
      </c>
      <c r="IX126" s="30">
        <f t="shared" si="594"/>
        <v>8750</v>
      </c>
      <c r="IY126" s="30">
        <f t="shared" si="594"/>
        <v>8750</v>
      </c>
      <c r="IZ126" s="30">
        <f t="shared" si="594"/>
        <v>8750</v>
      </c>
      <c r="JA126" s="30">
        <f t="shared" si="594"/>
        <v>8750</v>
      </c>
      <c r="JB126" s="30">
        <f t="shared" si="594"/>
        <v>8750</v>
      </c>
      <c r="JC126" s="30">
        <f t="shared" si="594"/>
        <v>8750</v>
      </c>
      <c r="JD126" s="30">
        <f t="shared" si="594"/>
        <v>8750</v>
      </c>
      <c r="JE126" s="30">
        <f t="shared" si="594"/>
        <v>8750</v>
      </c>
      <c r="JF126" s="30">
        <f t="shared" si="594"/>
        <v>8750</v>
      </c>
      <c r="JG126" s="30">
        <f t="shared" si="594"/>
        <v>8750</v>
      </c>
      <c r="JH126" s="30">
        <f t="shared" si="594"/>
        <v>8750</v>
      </c>
      <c r="JI126" s="30">
        <f t="shared" si="594"/>
        <v>8750</v>
      </c>
      <c r="JJ126" s="30">
        <f t="shared" si="594"/>
        <v>8750</v>
      </c>
      <c r="JK126" s="30">
        <f t="shared" si="594"/>
        <v>8750</v>
      </c>
      <c r="JL126" s="30">
        <f t="shared" si="594"/>
        <v>8750</v>
      </c>
      <c r="JM126" s="30">
        <f t="shared" si="594"/>
        <v>8750</v>
      </c>
      <c r="JN126" s="30">
        <f t="shared" si="594"/>
        <v>8750</v>
      </c>
      <c r="JO126" s="30">
        <f t="shared" si="594"/>
        <v>8750</v>
      </c>
      <c r="JP126" s="30">
        <f t="shared" si="594"/>
        <v>8750</v>
      </c>
      <c r="JQ126" s="30">
        <f t="shared" si="594"/>
        <v>8750</v>
      </c>
      <c r="JR126" s="30">
        <f t="shared" si="594"/>
        <v>8750</v>
      </c>
      <c r="JS126" s="30">
        <f t="shared" si="594"/>
        <v>8750</v>
      </c>
      <c r="JT126" s="30">
        <f t="shared" si="594"/>
        <v>8750</v>
      </c>
      <c r="JU126" s="30">
        <f t="shared" si="594"/>
        <v>8750</v>
      </c>
      <c r="JV126" s="30">
        <f t="shared" si="594"/>
        <v>8750</v>
      </c>
      <c r="JW126" s="30">
        <f t="shared" si="594"/>
        <v>8750</v>
      </c>
      <c r="JX126" s="30">
        <f t="shared" si="594"/>
        <v>8750</v>
      </c>
    </row>
    <row r="127" spans="1:284" s="7" customFormat="1" ht="16.5" x14ac:dyDescent="0.35">
      <c r="A127" s="406"/>
      <c r="B127" s="141" t="s">
        <v>144</v>
      </c>
      <c r="C127" s="120"/>
      <c r="D127" s="122">
        <f>I127/G191</f>
        <v>1.457153659737187E-2</v>
      </c>
      <c r="E127" s="175" t="s">
        <v>162</v>
      </c>
      <c r="F127" s="175"/>
      <c r="G127" s="125">
        <f t="shared" si="585"/>
        <v>0.1694858331500767</v>
      </c>
      <c r="H127" s="131">
        <f t="shared" si="557"/>
        <v>3451.0662499999999</v>
      </c>
      <c r="I127" s="127">
        <v>1035319.875</v>
      </c>
      <c r="M127" s="68">
        <f>EW127*(1+$D$114)^(EW$87-1)</f>
        <v>0</v>
      </c>
      <c r="N127" s="68">
        <f t="shared" ref="N127:BY127" si="595">EX127*(1+$D$114)^(EX$87-1)</f>
        <v>0</v>
      </c>
      <c r="O127" s="68">
        <f t="shared" si="595"/>
        <v>0</v>
      </c>
      <c r="P127" s="68">
        <f t="shared" si="595"/>
        <v>0</v>
      </c>
      <c r="Q127" s="68">
        <f t="shared" si="595"/>
        <v>0</v>
      </c>
      <c r="R127" s="68">
        <f t="shared" si="595"/>
        <v>0</v>
      </c>
      <c r="S127" s="68">
        <f t="shared" si="595"/>
        <v>0</v>
      </c>
      <c r="T127" s="68">
        <f t="shared" si="595"/>
        <v>0</v>
      </c>
      <c r="U127" s="68">
        <f t="shared" si="595"/>
        <v>0</v>
      </c>
      <c r="V127" s="68">
        <f t="shared" si="595"/>
        <v>0</v>
      </c>
      <c r="W127" s="68">
        <f t="shared" si="595"/>
        <v>0</v>
      </c>
      <c r="X127" s="68">
        <f t="shared" si="595"/>
        <v>0</v>
      </c>
      <c r="Y127" s="68">
        <f t="shared" si="595"/>
        <v>0</v>
      </c>
      <c r="Z127" s="68">
        <f t="shared" si="595"/>
        <v>0</v>
      </c>
      <c r="AA127" s="68">
        <f t="shared" si="595"/>
        <v>0</v>
      </c>
      <c r="AB127" s="68">
        <f t="shared" si="595"/>
        <v>0</v>
      </c>
      <c r="AC127" s="68">
        <f t="shared" si="595"/>
        <v>0</v>
      </c>
      <c r="AD127" s="68">
        <f t="shared" si="595"/>
        <v>0</v>
      </c>
      <c r="AE127" s="68">
        <f t="shared" si="595"/>
        <v>43138.328125</v>
      </c>
      <c r="AF127" s="68">
        <f t="shared" si="595"/>
        <v>43138.328125</v>
      </c>
      <c r="AG127" s="68">
        <f t="shared" si="595"/>
        <v>43138.328125</v>
      </c>
      <c r="AH127" s="68">
        <f t="shared" si="595"/>
        <v>43138.328125</v>
      </c>
      <c r="AI127" s="68">
        <f t="shared" si="595"/>
        <v>43138.328125</v>
      </c>
      <c r="AJ127" s="68">
        <f t="shared" si="595"/>
        <v>43138.328125</v>
      </c>
      <c r="AK127" s="68">
        <f t="shared" si="595"/>
        <v>43138.328125</v>
      </c>
      <c r="AL127" s="68">
        <f t="shared" si="595"/>
        <v>43138.328125</v>
      </c>
      <c r="AM127" s="68">
        <f t="shared" si="595"/>
        <v>43138.328125</v>
      </c>
      <c r="AN127" s="68">
        <f t="shared" si="595"/>
        <v>43138.328125</v>
      </c>
      <c r="AO127" s="68">
        <f t="shared" si="595"/>
        <v>43138.328125</v>
      </c>
      <c r="AP127" s="68">
        <f t="shared" si="595"/>
        <v>43138.328125</v>
      </c>
      <c r="AQ127" s="68">
        <f t="shared" si="595"/>
        <v>66648.716953124997</v>
      </c>
      <c r="AR127" s="68">
        <f t="shared" si="595"/>
        <v>66648.716953124997</v>
      </c>
      <c r="AS127" s="68">
        <f t="shared" si="595"/>
        <v>66648.716953124997</v>
      </c>
      <c r="AT127" s="68">
        <f t="shared" si="595"/>
        <v>66648.716953124997</v>
      </c>
      <c r="AU127" s="68">
        <f t="shared" si="595"/>
        <v>66648.716953124997</v>
      </c>
      <c r="AV127" s="68">
        <f t="shared" si="595"/>
        <v>66648.716953124997</v>
      </c>
      <c r="AW127" s="68">
        <f t="shared" si="595"/>
        <v>66648.716953124997</v>
      </c>
      <c r="AX127" s="68">
        <f t="shared" si="595"/>
        <v>66648.716953124997</v>
      </c>
      <c r="AY127" s="68">
        <f t="shared" si="595"/>
        <v>66648.716953124997</v>
      </c>
      <c r="AZ127" s="68">
        <f t="shared" si="595"/>
        <v>66648.716953124997</v>
      </c>
      <c r="BA127" s="68">
        <f t="shared" si="595"/>
        <v>66648.716953124997</v>
      </c>
      <c r="BB127" s="68">
        <f t="shared" si="595"/>
        <v>66648.716953124997</v>
      </c>
      <c r="BC127" s="68">
        <f t="shared" si="595"/>
        <v>91530.904615624997</v>
      </c>
      <c r="BD127" s="68">
        <f t="shared" si="595"/>
        <v>91530.904615624997</v>
      </c>
      <c r="BE127" s="68">
        <f t="shared" si="595"/>
        <v>91530.904615624997</v>
      </c>
      <c r="BF127" s="68">
        <f t="shared" si="595"/>
        <v>91530.904615624997</v>
      </c>
      <c r="BG127" s="68">
        <f t="shared" si="595"/>
        <v>91530.904615624997</v>
      </c>
      <c r="BH127" s="68">
        <f t="shared" si="595"/>
        <v>91530.904615624997</v>
      </c>
      <c r="BI127" s="68">
        <f t="shared" si="595"/>
        <v>91530.904615624997</v>
      </c>
      <c r="BJ127" s="68">
        <f t="shared" si="595"/>
        <v>91530.904615624997</v>
      </c>
      <c r="BK127" s="68">
        <f t="shared" si="595"/>
        <v>91530.904615624997</v>
      </c>
      <c r="BL127" s="68">
        <f t="shared" si="595"/>
        <v>91530.904615624997</v>
      </c>
      <c r="BM127" s="68">
        <f t="shared" si="595"/>
        <v>91530.904615624997</v>
      </c>
      <c r="BN127" s="68">
        <f t="shared" si="595"/>
        <v>91530.904615624997</v>
      </c>
      <c r="BO127" s="68">
        <f t="shared" si="595"/>
        <v>94276.831754093757</v>
      </c>
      <c r="BP127" s="68">
        <f t="shared" si="595"/>
        <v>94276.831754093757</v>
      </c>
      <c r="BQ127" s="68">
        <f t="shared" si="595"/>
        <v>94276.831754093757</v>
      </c>
      <c r="BR127" s="68">
        <f t="shared" si="595"/>
        <v>94276.831754093757</v>
      </c>
      <c r="BS127" s="68">
        <f t="shared" si="595"/>
        <v>94276.831754093757</v>
      </c>
      <c r="BT127" s="68">
        <f t="shared" si="595"/>
        <v>94276.831754093757</v>
      </c>
      <c r="BU127" s="68">
        <f t="shared" si="595"/>
        <v>94276.831754093757</v>
      </c>
      <c r="BV127" s="68">
        <f t="shared" si="595"/>
        <v>94276.831754093757</v>
      </c>
      <c r="BW127" s="68">
        <f t="shared" si="595"/>
        <v>94276.831754093757</v>
      </c>
      <c r="BX127" s="68">
        <f t="shared" si="595"/>
        <v>94276.831754093757</v>
      </c>
      <c r="BY127" s="68">
        <f t="shared" si="595"/>
        <v>94276.831754093757</v>
      </c>
      <c r="BZ127" s="68">
        <f t="shared" ref="BZ127:EK127" si="596">HJ127*(1+$D$114)^(HJ$87-1)</f>
        <v>94276.831754093757</v>
      </c>
      <c r="CA127" s="68">
        <f t="shared" si="596"/>
        <v>97105.136706716556</v>
      </c>
      <c r="CB127" s="68">
        <f t="shared" si="596"/>
        <v>97105.136706716556</v>
      </c>
      <c r="CC127" s="68">
        <f t="shared" si="596"/>
        <v>97105.136706716556</v>
      </c>
      <c r="CD127" s="68">
        <f t="shared" si="596"/>
        <v>97105.136706716556</v>
      </c>
      <c r="CE127" s="68">
        <f t="shared" si="596"/>
        <v>97105.136706716556</v>
      </c>
      <c r="CF127" s="68">
        <f t="shared" si="596"/>
        <v>97105.136706716556</v>
      </c>
      <c r="CG127" s="68">
        <f t="shared" si="596"/>
        <v>97105.136706716556</v>
      </c>
      <c r="CH127" s="68">
        <f t="shared" si="596"/>
        <v>97105.136706716556</v>
      </c>
      <c r="CI127" s="68">
        <f t="shared" si="596"/>
        <v>97105.136706716556</v>
      </c>
      <c r="CJ127" s="68">
        <f t="shared" si="596"/>
        <v>97105.136706716556</v>
      </c>
      <c r="CK127" s="68">
        <f t="shared" si="596"/>
        <v>97105.136706716556</v>
      </c>
      <c r="CL127" s="68">
        <f t="shared" si="596"/>
        <v>97105.136706716556</v>
      </c>
      <c r="CM127" s="68">
        <f t="shared" si="596"/>
        <v>100018.29080791805</v>
      </c>
      <c r="CN127" s="68">
        <f t="shared" si="596"/>
        <v>100018.29080791805</v>
      </c>
      <c r="CO127" s="68">
        <f t="shared" si="596"/>
        <v>100018.29080791805</v>
      </c>
      <c r="CP127" s="68">
        <f t="shared" si="596"/>
        <v>100018.29080791805</v>
      </c>
      <c r="CQ127" s="68">
        <f t="shared" si="596"/>
        <v>100018.29080791805</v>
      </c>
      <c r="CR127" s="68">
        <f t="shared" si="596"/>
        <v>100018.29080791805</v>
      </c>
      <c r="CS127" s="68">
        <f t="shared" si="596"/>
        <v>100018.29080791805</v>
      </c>
      <c r="CT127" s="68">
        <f t="shared" si="596"/>
        <v>100018.29080791805</v>
      </c>
      <c r="CU127" s="68">
        <f t="shared" si="596"/>
        <v>100018.29080791805</v>
      </c>
      <c r="CV127" s="68">
        <f t="shared" si="596"/>
        <v>100018.29080791805</v>
      </c>
      <c r="CW127" s="68">
        <f t="shared" si="596"/>
        <v>100018.29080791805</v>
      </c>
      <c r="CX127" s="68">
        <f t="shared" si="596"/>
        <v>100018.29080791805</v>
      </c>
      <c r="CY127" s="68">
        <f t="shared" si="596"/>
        <v>103018.83953215559</v>
      </c>
      <c r="CZ127" s="68">
        <f t="shared" si="596"/>
        <v>103018.83953215559</v>
      </c>
      <c r="DA127" s="68">
        <f t="shared" si="596"/>
        <v>103018.83953215559</v>
      </c>
      <c r="DB127" s="68">
        <f t="shared" si="596"/>
        <v>103018.83953215559</v>
      </c>
      <c r="DC127" s="68">
        <f t="shared" si="596"/>
        <v>103018.83953215559</v>
      </c>
      <c r="DD127" s="68">
        <f t="shared" si="596"/>
        <v>103018.83953215559</v>
      </c>
      <c r="DE127" s="68">
        <f t="shared" si="596"/>
        <v>103018.83953215559</v>
      </c>
      <c r="DF127" s="68">
        <f t="shared" si="596"/>
        <v>103018.83953215559</v>
      </c>
      <c r="DG127" s="68">
        <f t="shared" si="596"/>
        <v>103018.83953215559</v>
      </c>
      <c r="DH127" s="68">
        <f t="shared" si="596"/>
        <v>103018.83953215559</v>
      </c>
      <c r="DI127" s="68">
        <f t="shared" si="596"/>
        <v>103018.83953215559</v>
      </c>
      <c r="DJ127" s="68">
        <f t="shared" si="596"/>
        <v>103018.83953215559</v>
      </c>
      <c r="DK127" s="68">
        <f t="shared" si="596"/>
        <v>106109.40471812026</v>
      </c>
      <c r="DL127" s="68">
        <f t="shared" si="596"/>
        <v>106109.40471812026</v>
      </c>
      <c r="DM127" s="68">
        <f t="shared" si="596"/>
        <v>106109.40471812026</v>
      </c>
      <c r="DN127" s="68">
        <f t="shared" si="596"/>
        <v>106109.40471812026</v>
      </c>
      <c r="DO127" s="68">
        <f t="shared" si="596"/>
        <v>106109.40471812026</v>
      </c>
      <c r="DP127" s="68">
        <f t="shared" si="596"/>
        <v>106109.40471812026</v>
      </c>
      <c r="DQ127" s="68">
        <f t="shared" si="596"/>
        <v>106109.40471812026</v>
      </c>
      <c r="DR127" s="68">
        <f t="shared" si="596"/>
        <v>106109.40471812026</v>
      </c>
      <c r="DS127" s="68">
        <f t="shared" si="596"/>
        <v>106109.40471812026</v>
      </c>
      <c r="DT127" s="68">
        <f t="shared" si="596"/>
        <v>106109.40471812026</v>
      </c>
      <c r="DU127" s="68">
        <f t="shared" si="596"/>
        <v>106109.40471812026</v>
      </c>
      <c r="DV127" s="68">
        <f t="shared" si="596"/>
        <v>106109.40471812026</v>
      </c>
      <c r="DW127" s="68">
        <f t="shared" si="596"/>
        <v>109292.68685966387</v>
      </c>
      <c r="DX127" s="68">
        <f t="shared" si="596"/>
        <v>109292.68685966387</v>
      </c>
      <c r="DY127" s="68">
        <f t="shared" si="596"/>
        <v>109292.68685966387</v>
      </c>
      <c r="DZ127" s="68">
        <f t="shared" si="596"/>
        <v>109292.68685966387</v>
      </c>
      <c r="EA127" s="68">
        <f t="shared" si="596"/>
        <v>109292.68685966387</v>
      </c>
      <c r="EB127" s="68">
        <f t="shared" si="596"/>
        <v>109292.68685966387</v>
      </c>
      <c r="EC127" s="68">
        <f t="shared" si="596"/>
        <v>109292.68685966387</v>
      </c>
      <c r="ED127" s="68">
        <f t="shared" si="596"/>
        <v>109292.68685966387</v>
      </c>
      <c r="EE127" s="68">
        <f t="shared" si="596"/>
        <v>109292.68685966387</v>
      </c>
      <c r="EF127" s="68">
        <f t="shared" si="596"/>
        <v>109292.68685966387</v>
      </c>
      <c r="EG127" s="68">
        <f t="shared" si="596"/>
        <v>109292.68685966387</v>
      </c>
      <c r="EH127" s="68">
        <f t="shared" si="596"/>
        <v>109292.68685966387</v>
      </c>
      <c r="EI127" s="68">
        <f t="shared" si="596"/>
        <v>112571.46746545378</v>
      </c>
      <c r="EJ127" s="68">
        <f t="shared" si="596"/>
        <v>112571.46746545378</v>
      </c>
      <c r="EK127" s="68">
        <f t="shared" si="596"/>
        <v>112571.46746545378</v>
      </c>
      <c r="EL127" s="68">
        <f>JV127*(1+$D$114)^(JV$87-1)</f>
        <v>112571.46746545378</v>
      </c>
      <c r="EM127" s="68">
        <f>JW127*(1+$D$114)^(JW$87-1)</f>
        <v>112571.46746545378</v>
      </c>
      <c r="EN127" s="68">
        <f>JX127*(1+$D$114)^(JX$87-1)</f>
        <v>112571.46746545378</v>
      </c>
      <c r="EP127" s="24"/>
      <c r="EQ127" s="24"/>
      <c r="ER127" s="59"/>
      <c r="ES127" s="60">
        <f>I114</f>
        <v>0.5</v>
      </c>
      <c r="ET127" s="60">
        <f>I115</f>
        <v>0.75</v>
      </c>
      <c r="EU127" s="220">
        <f>I116</f>
        <v>1</v>
      </c>
      <c r="EV127" s="24" t="s">
        <v>160</v>
      </c>
      <c r="EW127" s="71">
        <f t="shared" ref="EW127:GB127" si="597">+IF(EW$3&lt;Timing_Operation_Begin_Month,0,$I127/12*INDEX($ES$127:$EU$127,1,MATCH(EW117,$ES$126:$EU$126)))</f>
        <v>0</v>
      </c>
      <c r="EX127" s="46">
        <f t="shared" si="597"/>
        <v>0</v>
      </c>
      <c r="EY127" s="46">
        <f t="shared" si="597"/>
        <v>0</v>
      </c>
      <c r="EZ127" s="46">
        <f t="shared" si="597"/>
        <v>0</v>
      </c>
      <c r="FA127" s="46">
        <f t="shared" si="597"/>
        <v>0</v>
      </c>
      <c r="FB127" s="46">
        <f t="shared" si="597"/>
        <v>0</v>
      </c>
      <c r="FC127" s="46">
        <f t="shared" si="597"/>
        <v>0</v>
      </c>
      <c r="FD127" s="46">
        <f t="shared" si="597"/>
        <v>0</v>
      </c>
      <c r="FE127" s="46">
        <f t="shared" si="597"/>
        <v>0</v>
      </c>
      <c r="FF127" s="46">
        <f t="shared" si="597"/>
        <v>0</v>
      </c>
      <c r="FG127" s="46">
        <f t="shared" si="597"/>
        <v>0</v>
      </c>
      <c r="FH127" s="46">
        <f t="shared" si="597"/>
        <v>0</v>
      </c>
      <c r="FI127" s="46">
        <f t="shared" si="597"/>
        <v>0</v>
      </c>
      <c r="FJ127" s="46">
        <f t="shared" si="597"/>
        <v>0</v>
      </c>
      <c r="FK127" s="46">
        <f t="shared" si="597"/>
        <v>0</v>
      </c>
      <c r="FL127" s="46">
        <f t="shared" si="597"/>
        <v>0</v>
      </c>
      <c r="FM127" s="46">
        <f t="shared" si="597"/>
        <v>0</v>
      </c>
      <c r="FN127" s="46">
        <f t="shared" si="597"/>
        <v>0</v>
      </c>
      <c r="FO127" s="46">
        <f t="shared" si="597"/>
        <v>43138.328125</v>
      </c>
      <c r="FP127" s="46">
        <f t="shared" si="597"/>
        <v>43138.328125</v>
      </c>
      <c r="FQ127" s="46">
        <f t="shared" si="597"/>
        <v>43138.328125</v>
      </c>
      <c r="FR127" s="46">
        <f t="shared" si="597"/>
        <v>43138.328125</v>
      </c>
      <c r="FS127" s="46">
        <f t="shared" si="597"/>
        <v>43138.328125</v>
      </c>
      <c r="FT127" s="46">
        <f t="shared" si="597"/>
        <v>43138.328125</v>
      </c>
      <c r="FU127" s="46">
        <f t="shared" si="597"/>
        <v>43138.328125</v>
      </c>
      <c r="FV127" s="46">
        <f t="shared" si="597"/>
        <v>43138.328125</v>
      </c>
      <c r="FW127" s="46">
        <f t="shared" si="597"/>
        <v>43138.328125</v>
      </c>
      <c r="FX127" s="46">
        <f t="shared" si="597"/>
        <v>43138.328125</v>
      </c>
      <c r="FY127" s="46">
        <f t="shared" si="597"/>
        <v>43138.328125</v>
      </c>
      <c r="FZ127" s="46">
        <f t="shared" si="597"/>
        <v>43138.328125</v>
      </c>
      <c r="GA127" s="46">
        <f t="shared" si="597"/>
        <v>64707.4921875</v>
      </c>
      <c r="GB127" s="46">
        <f t="shared" si="597"/>
        <v>64707.4921875</v>
      </c>
      <c r="GC127" s="46">
        <f t="shared" ref="GC127:HH127" si="598">+IF(GC$3&lt;Timing_Operation_Begin_Month,0,$I127/12*INDEX($ES$127:$EU$127,1,MATCH(GC117,$ES$126:$EU$126)))</f>
        <v>64707.4921875</v>
      </c>
      <c r="GD127" s="46">
        <f t="shared" si="598"/>
        <v>64707.4921875</v>
      </c>
      <c r="GE127" s="46">
        <f t="shared" si="598"/>
        <v>64707.4921875</v>
      </c>
      <c r="GF127" s="46">
        <f t="shared" si="598"/>
        <v>64707.4921875</v>
      </c>
      <c r="GG127" s="46">
        <f t="shared" si="598"/>
        <v>64707.4921875</v>
      </c>
      <c r="GH127" s="46">
        <f t="shared" si="598"/>
        <v>64707.4921875</v>
      </c>
      <c r="GI127" s="46">
        <f t="shared" si="598"/>
        <v>64707.4921875</v>
      </c>
      <c r="GJ127" s="46">
        <f t="shared" si="598"/>
        <v>64707.4921875</v>
      </c>
      <c r="GK127" s="46">
        <f t="shared" si="598"/>
        <v>64707.4921875</v>
      </c>
      <c r="GL127" s="46">
        <f t="shared" si="598"/>
        <v>64707.4921875</v>
      </c>
      <c r="GM127" s="46">
        <f t="shared" si="598"/>
        <v>86276.65625</v>
      </c>
      <c r="GN127" s="46">
        <f t="shared" si="598"/>
        <v>86276.65625</v>
      </c>
      <c r="GO127" s="46">
        <f t="shared" si="598"/>
        <v>86276.65625</v>
      </c>
      <c r="GP127" s="46">
        <f t="shared" si="598"/>
        <v>86276.65625</v>
      </c>
      <c r="GQ127" s="46">
        <f t="shared" si="598"/>
        <v>86276.65625</v>
      </c>
      <c r="GR127" s="46">
        <f t="shared" si="598"/>
        <v>86276.65625</v>
      </c>
      <c r="GS127" s="46">
        <f t="shared" si="598"/>
        <v>86276.65625</v>
      </c>
      <c r="GT127" s="46">
        <f t="shared" si="598"/>
        <v>86276.65625</v>
      </c>
      <c r="GU127" s="46">
        <f t="shared" si="598"/>
        <v>86276.65625</v>
      </c>
      <c r="GV127" s="46">
        <f t="shared" si="598"/>
        <v>86276.65625</v>
      </c>
      <c r="GW127" s="46">
        <f t="shared" si="598"/>
        <v>86276.65625</v>
      </c>
      <c r="GX127" s="46">
        <f t="shared" si="598"/>
        <v>86276.65625</v>
      </c>
      <c r="GY127" s="46">
        <f t="shared" si="598"/>
        <v>86276.65625</v>
      </c>
      <c r="GZ127" s="46">
        <f t="shared" si="598"/>
        <v>86276.65625</v>
      </c>
      <c r="HA127" s="46">
        <f t="shared" si="598"/>
        <v>86276.65625</v>
      </c>
      <c r="HB127" s="46">
        <f t="shared" si="598"/>
        <v>86276.65625</v>
      </c>
      <c r="HC127" s="46">
        <f t="shared" si="598"/>
        <v>86276.65625</v>
      </c>
      <c r="HD127" s="46">
        <f t="shared" si="598"/>
        <v>86276.65625</v>
      </c>
      <c r="HE127" s="46">
        <f t="shared" si="598"/>
        <v>86276.65625</v>
      </c>
      <c r="HF127" s="46">
        <f t="shared" si="598"/>
        <v>86276.65625</v>
      </c>
      <c r="HG127" s="46">
        <f t="shared" si="598"/>
        <v>86276.65625</v>
      </c>
      <c r="HH127" s="46">
        <f t="shared" si="598"/>
        <v>86276.65625</v>
      </c>
      <c r="HI127" s="46">
        <f t="shared" ref="HI127:IN127" si="599">+IF(HI$3&lt;Timing_Operation_Begin_Month,0,$I127/12*INDEX($ES$127:$EU$127,1,MATCH(HI117,$ES$126:$EU$126)))</f>
        <v>86276.65625</v>
      </c>
      <c r="HJ127" s="46">
        <f t="shared" si="599"/>
        <v>86276.65625</v>
      </c>
      <c r="HK127" s="46">
        <f t="shared" si="599"/>
        <v>86276.65625</v>
      </c>
      <c r="HL127" s="46">
        <f t="shared" si="599"/>
        <v>86276.65625</v>
      </c>
      <c r="HM127" s="46">
        <f t="shared" si="599"/>
        <v>86276.65625</v>
      </c>
      <c r="HN127" s="46">
        <f t="shared" si="599"/>
        <v>86276.65625</v>
      </c>
      <c r="HO127" s="46">
        <f t="shared" si="599"/>
        <v>86276.65625</v>
      </c>
      <c r="HP127" s="46">
        <f t="shared" si="599"/>
        <v>86276.65625</v>
      </c>
      <c r="HQ127" s="46">
        <f t="shared" si="599"/>
        <v>86276.65625</v>
      </c>
      <c r="HR127" s="46">
        <f t="shared" si="599"/>
        <v>86276.65625</v>
      </c>
      <c r="HS127" s="46">
        <f t="shared" si="599"/>
        <v>86276.65625</v>
      </c>
      <c r="HT127" s="46">
        <f t="shared" si="599"/>
        <v>86276.65625</v>
      </c>
      <c r="HU127" s="46">
        <f t="shared" si="599"/>
        <v>86276.65625</v>
      </c>
      <c r="HV127" s="46">
        <f t="shared" si="599"/>
        <v>86276.65625</v>
      </c>
      <c r="HW127" s="46">
        <f t="shared" si="599"/>
        <v>86276.65625</v>
      </c>
      <c r="HX127" s="46">
        <f t="shared" si="599"/>
        <v>86276.65625</v>
      </c>
      <c r="HY127" s="46">
        <f t="shared" si="599"/>
        <v>86276.65625</v>
      </c>
      <c r="HZ127" s="46">
        <f t="shared" si="599"/>
        <v>86276.65625</v>
      </c>
      <c r="IA127" s="46">
        <f t="shared" si="599"/>
        <v>86276.65625</v>
      </c>
      <c r="IB127" s="46">
        <f t="shared" si="599"/>
        <v>86276.65625</v>
      </c>
      <c r="IC127" s="46">
        <f t="shared" si="599"/>
        <v>86276.65625</v>
      </c>
      <c r="ID127" s="46">
        <f t="shared" si="599"/>
        <v>86276.65625</v>
      </c>
      <c r="IE127" s="46">
        <f t="shared" si="599"/>
        <v>86276.65625</v>
      </c>
      <c r="IF127" s="46">
        <f t="shared" si="599"/>
        <v>86276.65625</v>
      </c>
      <c r="IG127" s="46">
        <f t="shared" si="599"/>
        <v>86276.65625</v>
      </c>
      <c r="IH127" s="46">
        <f t="shared" si="599"/>
        <v>86276.65625</v>
      </c>
      <c r="II127" s="46">
        <f t="shared" si="599"/>
        <v>86276.65625</v>
      </c>
      <c r="IJ127" s="46">
        <f t="shared" si="599"/>
        <v>86276.65625</v>
      </c>
      <c r="IK127" s="46">
        <f t="shared" si="599"/>
        <v>86276.65625</v>
      </c>
      <c r="IL127" s="46">
        <f t="shared" si="599"/>
        <v>86276.65625</v>
      </c>
      <c r="IM127" s="46">
        <f t="shared" si="599"/>
        <v>86276.65625</v>
      </c>
      <c r="IN127" s="46">
        <f t="shared" si="599"/>
        <v>86276.65625</v>
      </c>
      <c r="IO127" s="46">
        <f t="shared" ref="IO127:JX127" si="600">+IF(IO$3&lt;Timing_Operation_Begin_Month,0,$I127/12*INDEX($ES$127:$EU$127,1,MATCH(IO117,$ES$126:$EU$126)))</f>
        <v>86276.65625</v>
      </c>
      <c r="IP127" s="46">
        <f t="shared" si="600"/>
        <v>86276.65625</v>
      </c>
      <c r="IQ127" s="46">
        <f t="shared" si="600"/>
        <v>86276.65625</v>
      </c>
      <c r="IR127" s="46">
        <f t="shared" si="600"/>
        <v>86276.65625</v>
      </c>
      <c r="IS127" s="46">
        <f t="shared" si="600"/>
        <v>86276.65625</v>
      </c>
      <c r="IT127" s="46">
        <f t="shared" si="600"/>
        <v>86276.65625</v>
      </c>
      <c r="IU127" s="46">
        <f t="shared" si="600"/>
        <v>86276.65625</v>
      </c>
      <c r="IV127" s="46">
        <f t="shared" si="600"/>
        <v>86276.65625</v>
      </c>
      <c r="IW127" s="46">
        <f t="shared" si="600"/>
        <v>86276.65625</v>
      </c>
      <c r="IX127" s="46">
        <f t="shared" si="600"/>
        <v>86276.65625</v>
      </c>
      <c r="IY127" s="46">
        <f t="shared" si="600"/>
        <v>86276.65625</v>
      </c>
      <c r="IZ127" s="46">
        <f t="shared" si="600"/>
        <v>86276.65625</v>
      </c>
      <c r="JA127" s="46">
        <f t="shared" si="600"/>
        <v>86276.65625</v>
      </c>
      <c r="JB127" s="46">
        <f t="shared" si="600"/>
        <v>86276.65625</v>
      </c>
      <c r="JC127" s="46">
        <f t="shared" si="600"/>
        <v>86276.65625</v>
      </c>
      <c r="JD127" s="46">
        <f t="shared" si="600"/>
        <v>86276.65625</v>
      </c>
      <c r="JE127" s="46">
        <f t="shared" si="600"/>
        <v>86276.65625</v>
      </c>
      <c r="JF127" s="46">
        <f t="shared" si="600"/>
        <v>86276.65625</v>
      </c>
      <c r="JG127" s="46">
        <f t="shared" si="600"/>
        <v>86276.65625</v>
      </c>
      <c r="JH127" s="46">
        <f t="shared" si="600"/>
        <v>86276.65625</v>
      </c>
      <c r="JI127" s="46">
        <f t="shared" si="600"/>
        <v>86276.65625</v>
      </c>
      <c r="JJ127" s="46">
        <f t="shared" si="600"/>
        <v>86276.65625</v>
      </c>
      <c r="JK127" s="46">
        <f t="shared" si="600"/>
        <v>86276.65625</v>
      </c>
      <c r="JL127" s="46">
        <f t="shared" si="600"/>
        <v>86276.65625</v>
      </c>
      <c r="JM127" s="46">
        <f t="shared" si="600"/>
        <v>86276.65625</v>
      </c>
      <c r="JN127" s="46">
        <f t="shared" si="600"/>
        <v>86276.65625</v>
      </c>
      <c r="JO127" s="46">
        <f t="shared" si="600"/>
        <v>86276.65625</v>
      </c>
      <c r="JP127" s="46">
        <f t="shared" si="600"/>
        <v>86276.65625</v>
      </c>
      <c r="JQ127" s="46">
        <f t="shared" si="600"/>
        <v>86276.65625</v>
      </c>
      <c r="JR127" s="46">
        <f t="shared" si="600"/>
        <v>86276.65625</v>
      </c>
      <c r="JS127" s="46">
        <f t="shared" si="600"/>
        <v>86276.65625</v>
      </c>
      <c r="JT127" s="46">
        <f t="shared" si="600"/>
        <v>86276.65625</v>
      </c>
      <c r="JU127" s="46">
        <f t="shared" si="600"/>
        <v>86276.65625</v>
      </c>
      <c r="JV127" s="46">
        <f t="shared" si="600"/>
        <v>86276.65625</v>
      </c>
      <c r="JW127" s="46">
        <f t="shared" si="600"/>
        <v>86276.65625</v>
      </c>
      <c r="JX127" s="46">
        <f t="shared" si="600"/>
        <v>86276.65625</v>
      </c>
    </row>
    <row r="128" spans="1:284" s="7" customFormat="1" x14ac:dyDescent="0.2">
      <c r="A128" s="406"/>
      <c r="B128" s="92" t="s">
        <v>145</v>
      </c>
      <c r="C128" s="120"/>
      <c r="D128" s="120"/>
      <c r="E128" s="120"/>
      <c r="F128" s="120"/>
      <c r="G128" s="122">
        <f t="shared" si="585"/>
        <v>0.44751351233056302</v>
      </c>
      <c r="H128" s="123">
        <f t="shared" si="557"/>
        <v>9112.258824933333</v>
      </c>
      <c r="I128" s="123">
        <f>SUM(I118:I127)</f>
        <v>2733677.6474799998</v>
      </c>
      <c r="K128" s="7" t="s">
        <v>489</v>
      </c>
      <c r="M128" s="38">
        <f>SUM(M118:M127)</f>
        <v>0</v>
      </c>
      <c r="N128" s="38">
        <f t="shared" ref="N128:BY128" si="601">SUM(N118:N127)</f>
        <v>0</v>
      </c>
      <c r="O128" s="38">
        <f t="shared" si="601"/>
        <v>0</v>
      </c>
      <c r="P128" s="38">
        <f t="shared" si="601"/>
        <v>0</v>
      </c>
      <c r="Q128" s="38">
        <f t="shared" si="601"/>
        <v>0</v>
      </c>
      <c r="R128" s="38">
        <f t="shared" si="601"/>
        <v>0</v>
      </c>
      <c r="S128" s="38">
        <f t="shared" si="601"/>
        <v>0</v>
      </c>
      <c r="T128" s="38">
        <f t="shared" si="601"/>
        <v>0</v>
      </c>
      <c r="U128" s="38">
        <f t="shared" si="601"/>
        <v>0</v>
      </c>
      <c r="V128" s="38">
        <f t="shared" si="601"/>
        <v>0</v>
      </c>
      <c r="W128" s="38">
        <f t="shared" si="601"/>
        <v>0</v>
      </c>
      <c r="X128" s="38">
        <f t="shared" si="601"/>
        <v>0</v>
      </c>
      <c r="Y128" s="38">
        <f t="shared" si="601"/>
        <v>0</v>
      </c>
      <c r="Z128" s="38">
        <f t="shared" si="601"/>
        <v>0</v>
      </c>
      <c r="AA128" s="38">
        <f t="shared" si="601"/>
        <v>0</v>
      </c>
      <c r="AB128" s="38">
        <f t="shared" si="601"/>
        <v>0</v>
      </c>
      <c r="AC128" s="38">
        <f t="shared" si="601"/>
        <v>0</v>
      </c>
      <c r="AD128" s="38">
        <f t="shared" si="601"/>
        <v>0</v>
      </c>
      <c r="AE128" s="38">
        <f t="shared" si="601"/>
        <v>149440.7089238718</v>
      </c>
      <c r="AF128" s="38">
        <f t="shared" si="601"/>
        <v>151971.85870431623</v>
      </c>
      <c r="AG128" s="38">
        <f t="shared" si="601"/>
        <v>154503.00848476071</v>
      </c>
      <c r="AH128" s="38">
        <f t="shared" si="601"/>
        <v>157034.15826520513</v>
      </c>
      <c r="AI128" s="38">
        <f t="shared" si="601"/>
        <v>159565.30804564955</v>
      </c>
      <c r="AJ128" s="38">
        <f t="shared" si="601"/>
        <v>162096.457826094</v>
      </c>
      <c r="AK128" s="38">
        <f t="shared" si="601"/>
        <v>164627.60760653846</v>
      </c>
      <c r="AL128" s="38">
        <f t="shared" si="601"/>
        <v>167158.75738698291</v>
      </c>
      <c r="AM128" s="38">
        <f t="shared" si="601"/>
        <v>169689.90716742736</v>
      </c>
      <c r="AN128" s="38">
        <f t="shared" si="601"/>
        <v>172221.05694787181</v>
      </c>
      <c r="AO128" s="38">
        <f t="shared" si="601"/>
        <v>174752.20672831623</v>
      </c>
      <c r="AP128" s="38">
        <f t="shared" si="601"/>
        <v>177283.35650876071</v>
      </c>
      <c r="AQ128" s="38">
        <f t="shared" si="601"/>
        <v>207425.18046225628</v>
      </c>
      <c r="AR128" s="38">
        <f t="shared" si="601"/>
        <v>210032.26473611404</v>
      </c>
      <c r="AS128" s="38">
        <f t="shared" si="601"/>
        <v>212046.57988265832</v>
      </c>
      <c r="AT128" s="38">
        <f t="shared" si="601"/>
        <v>212080.92950765832</v>
      </c>
      <c r="AU128" s="38">
        <f t="shared" si="601"/>
        <v>212115.27913265832</v>
      </c>
      <c r="AV128" s="38">
        <f t="shared" si="601"/>
        <v>212149.62875765833</v>
      </c>
      <c r="AW128" s="38">
        <f t="shared" si="601"/>
        <v>212183.97838265833</v>
      </c>
      <c r="AX128" s="38">
        <f t="shared" si="601"/>
        <v>212218.32800765833</v>
      </c>
      <c r="AY128" s="38">
        <f t="shared" si="601"/>
        <v>212252.67763265833</v>
      </c>
      <c r="AZ128" s="38">
        <f t="shared" si="601"/>
        <v>212287.02725765834</v>
      </c>
      <c r="BA128" s="38">
        <f t="shared" si="601"/>
        <v>212321.37688265831</v>
      </c>
      <c r="BB128" s="38">
        <f t="shared" si="601"/>
        <v>212355.72650765831</v>
      </c>
      <c r="BC128" s="38">
        <f t="shared" si="601"/>
        <v>241644.50457054429</v>
      </c>
      <c r="BD128" s="38">
        <f t="shared" si="601"/>
        <v>241679.88468429429</v>
      </c>
      <c r="BE128" s="38">
        <f t="shared" si="601"/>
        <v>241290.70343304431</v>
      </c>
      <c r="BF128" s="38">
        <f t="shared" si="601"/>
        <v>241326.08354679431</v>
      </c>
      <c r="BG128" s="38">
        <f t="shared" si="601"/>
        <v>241361.46366054431</v>
      </c>
      <c r="BH128" s="38">
        <f t="shared" si="601"/>
        <v>241396.84377429431</v>
      </c>
      <c r="BI128" s="38">
        <f t="shared" si="601"/>
        <v>241432.2238880443</v>
      </c>
      <c r="BJ128" s="38">
        <f t="shared" si="601"/>
        <v>241467.6040017943</v>
      </c>
      <c r="BK128" s="38">
        <f t="shared" si="601"/>
        <v>241502.9841155443</v>
      </c>
      <c r="BL128" s="38">
        <f t="shared" si="601"/>
        <v>241538.3642292943</v>
      </c>
      <c r="BM128" s="38">
        <f t="shared" si="601"/>
        <v>241573.74434304429</v>
      </c>
      <c r="BN128" s="38">
        <f t="shared" si="601"/>
        <v>241609.12445679429</v>
      </c>
      <c r="BO128" s="38">
        <f t="shared" si="601"/>
        <v>248893.83970766066</v>
      </c>
      <c r="BP128" s="38">
        <f t="shared" si="601"/>
        <v>248930.28122482318</v>
      </c>
      <c r="BQ128" s="38">
        <f t="shared" si="601"/>
        <v>248529.42453603566</v>
      </c>
      <c r="BR128" s="38">
        <f t="shared" si="601"/>
        <v>248565.86605319817</v>
      </c>
      <c r="BS128" s="38">
        <f t="shared" si="601"/>
        <v>248602.30757036066</v>
      </c>
      <c r="BT128" s="38">
        <f t="shared" si="601"/>
        <v>248638.74908752317</v>
      </c>
      <c r="BU128" s="38">
        <f t="shared" si="601"/>
        <v>248675.19060468566</v>
      </c>
      <c r="BV128" s="38">
        <f t="shared" si="601"/>
        <v>248711.63212184818</v>
      </c>
      <c r="BW128" s="38">
        <f t="shared" si="601"/>
        <v>248748.07363901066</v>
      </c>
      <c r="BX128" s="38">
        <f t="shared" si="601"/>
        <v>248784.51515617318</v>
      </c>
      <c r="BY128" s="38">
        <f t="shared" si="601"/>
        <v>248820.95667333566</v>
      </c>
      <c r="BZ128" s="38">
        <f t="shared" ref="BZ128:EK128" si="602">SUM(BZ118:BZ127)</f>
        <v>248857.39819049818</v>
      </c>
      <c r="CA128" s="38">
        <f t="shared" si="602"/>
        <v>256360.65489889047</v>
      </c>
      <c r="CB128" s="38">
        <f t="shared" si="602"/>
        <v>256398.18966156783</v>
      </c>
      <c r="CC128" s="38">
        <f t="shared" si="602"/>
        <v>255985.30727211671</v>
      </c>
      <c r="CD128" s="38">
        <f t="shared" si="602"/>
        <v>256022.84203479407</v>
      </c>
      <c r="CE128" s="38">
        <f t="shared" si="602"/>
        <v>256060.37679747146</v>
      </c>
      <c r="CF128" s="38">
        <f t="shared" si="602"/>
        <v>256097.91156014884</v>
      </c>
      <c r="CG128" s="38">
        <f t="shared" si="602"/>
        <v>256135.4463228262</v>
      </c>
      <c r="CH128" s="38">
        <f t="shared" si="602"/>
        <v>256172.98108550359</v>
      </c>
      <c r="CI128" s="38">
        <f t="shared" si="602"/>
        <v>256210.51584818095</v>
      </c>
      <c r="CJ128" s="38">
        <f t="shared" si="602"/>
        <v>256248.05061085834</v>
      </c>
      <c r="CK128" s="38">
        <f t="shared" si="602"/>
        <v>256285.58537353572</v>
      </c>
      <c r="CL128" s="38">
        <f t="shared" si="602"/>
        <v>256323.12013621308</v>
      </c>
      <c r="CM128" s="38">
        <f t="shared" si="602"/>
        <v>264051.47454585717</v>
      </c>
      <c r="CN128" s="38">
        <f t="shared" si="602"/>
        <v>264090.13535141485</v>
      </c>
      <c r="CO128" s="38">
        <f t="shared" si="602"/>
        <v>263664.8664902802</v>
      </c>
      <c r="CP128" s="38">
        <f t="shared" si="602"/>
        <v>263703.52729583794</v>
      </c>
      <c r="CQ128" s="38">
        <f t="shared" si="602"/>
        <v>263742.18810139562</v>
      </c>
      <c r="CR128" s="38">
        <f t="shared" si="602"/>
        <v>263780.8489069533</v>
      </c>
      <c r="CS128" s="38">
        <f t="shared" si="602"/>
        <v>263819.50971251098</v>
      </c>
      <c r="CT128" s="38">
        <f t="shared" si="602"/>
        <v>263858.17051806871</v>
      </c>
      <c r="CU128" s="38">
        <f t="shared" si="602"/>
        <v>263896.83132362639</v>
      </c>
      <c r="CV128" s="38">
        <f t="shared" si="602"/>
        <v>263935.49212918407</v>
      </c>
      <c r="CW128" s="38">
        <f t="shared" si="602"/>
        <v>263974.15293474181</v>
      </c>
      <c r="CX128" s="38">
        <f t="shared" si="602"/>
        <v>264012.81374029949</v>
      </c>
      <c r="CY128" s="38">
        <f t="shared" si="602"/>
        <v>271973.01878223283</v>
      </c>
      <c r="CZ128" s="38">
        <f t="shared" si="602"/>
        <v>272012.83941195725</v>
      </c>
      <c r="DA128" s="38">
        <f t="shared" si="602"/>
        <v>271574.81248498859</v>
      </c>
      <c r="DB128" s="38">
        <f t="shared" si="602"/>
        <v>271614.63311471301</v>
      </c>
      <c r="DC128" s="38">
        <f t="shared" si="602"/>
        <v>271654.45374443743</v>
      </c>
      <c r="DD128" s="38">
        <f t="shared" si="602"/>
        <v>271694.27437416185</v>
      </c>
      <c r="DE128" s="38">
        <f t="shared" si="602"/>
        <v>271734.09500388626</v>
      </c>
      <c r="DF128" s="38">
        <f t="shared" si="602"/>
        <v>271773.91563361068</v>
      </c>
      <c r="DG128" s="38">
        <f t="shared" si="602"/>
        <v>271813.73626333516</v>
      </c>
      <c r="DH128" s="38">
        <f t="shared" si="602"/>
        <v>271853.55689305958</v>
      </c>
      <c r="DI128" s="38">
        <f t="shared" si="602"/>
        <v>271893.37752278399</v>
      </c>
      <c r="DJ128" s="38">
        <f t="shared" si="602"/>
        <v>271933.19815250841</v>
      </c>
      <c r="DK128" s="38">
        <f t="shared" si="602"/>
        <v>280132.20934569987</v>
      </c>
      <c r="DL128" s="38">
        <f t="shared" si="602"/>
        <v>280173.2245943161</v>
      </c>
      <c r="DM128" s="38">
        <f t="shared" si="602"/>
        <v>279722.05685953831</v>
      </c>
      <c r="DN128" s="38">
        <f t="shared" si="602"/>
        <v>279763.07210815442</v>
      </c>
      <c r="DO128" s="38">
        <f t="shared" si="602"/>
        <v>279804.08735677064</v>
      </c>
      <c r="DP128" s="38">
        <f t="shared" si="602"/>
        <v>279845.10260538675</v>
      </c>
      <c r="DQ128" s="38">
        <f t="shared" si="602"/>
        <v>279886.11785400298</v>
      </c>
      <c r="DR128" s="38">
        <f t="shared" si="602"/>
        <v>279927.13310261909</v>
      </c>
      <c r="DS128" s="38">
        <f t="shared" si="602"/>
        <v>279968.1483512352</v>
      </c>
      <c r="DT128" s="38">
        <f t="shared" si="602"/>
        <v>280009.16359985142</v>
      </c>
      <c r="DU128" s="38">
        <f t="shared" si="602"/>
        <v>280050.17884846753</v>
      </c>
      <c r="DV128" s="38">
        <f t="shared" si="602"/>
        <v>280091.19409708376</v>
      </c>
      <c r="DW128" s="38">
        <f t="shared" si="602"/>
        <v>288536.17562607088</v>
      </c>
      <c r="DX128" s="38">
        <f t="shared" si="602"/>
        <v>288578.42133214552</v>
      </c>
      <c r="DY128" s="38">
        <f t="shared" si="602"/>
        <v>288113.71856532444</v>
      </c>
      <c r="DZ128" s="38">
        <f t="shared" si="602"/>
        <v>288155.96427139908</v>
      </c>
      <c r="EA128" s="38">
        <f t="shared" si="602"/>
        <v>288198.20997747371</v>
      </c>
      <c r="EB128" s="38">
        <f t="shared" si="602"/>
        <v>288240.45568354835</v>
      </c>
      <c r="EC128" s="38">
        <f t="shared" si="602"/>
        <v>288282.70138962299</v>
      </c>
      <c r="ED128" s="38">
        <f t="shared" si="602"/>
        <v>288324.94709569763</v>
      </c>
      <c r="EE128" s="38">
        <f t="shared" si="602"/>
        <v>288367.19280177227</v>
      </c>
      <c r="EF128" s="38">
        <f t="shared" si="602"/>
        <v>288409.43850784691</v>
      </c>
      <c r="EG128" s="38">
        <f t="shared" si="602"/>
        <v>288451.6842139216</v>
      </c>
      <c r="EH128" s="38">
        <f t="shared" si="602"/>
        <v>288493.92991999624</v>
      </c>
      <c r="EI128" s="38">
        <f t="shared" si="602"/>
        <v>297192.26089485298</v>
      </c>
      <c r="EJ128" s="38">
        <f t="shared" si="602"/>
        <v>297235.77397210989</v>
      </c>
      <c r="EK128" s="38">
        <f t="shared" si="602"/>
        <v>296757.13012228417</v>
      </c>
      <c r="EL128" s="38">
        <f>SUM(EL118:EL127)</f>
        <v>296800.64319954102</v>
      </c>
      <c r="EM128" s="38">
        <f>SUM(EM118:EM127)</f>
        <v>296844.15627679788</v>
      </c>
      <c r="EN128" s="38">
        <f>SUM(EN118:EN127)</f>
        <v>296887.66935405479</v>
      </c>
      <c r="EP128" s="24"/>
      <c r="EQ128" s="24"/>
      <c r="ER128" s="24"/>
      <c r="ES128" s="24"/>
      <c r="ET128" s="24"/>
      <c r="EU128" s="33"/>
      <c r="EV128" s="24"/>
      <c r="EW128" s="47">
        <f>SUM(EW118:EW127)</f>
        <v>0</v>
      </c>
      <c r="EX128" s="30">
        <f t="shared" ref="EX128:HI128" si="603">SUM(EX118:EX127)</f>
        <v>0</v>
      </c>
      <c r="EY128" s="30">
        <f t="shared" si="603"/>
        <v>0</v>
      </c>
      <c r="EZ128" s="30">
        <f t="shared" si="603"/>
        <v>0</v>
      </c>
      <c r="FA128" s="30">
        <f t="shared" si="603"/>
        <v>0</v>
      </c>
      <c r="FB128" s="30">
        <f t="shared" si="603"/>
        <v>0</v>
      </c>
      <c r="FC128" s="30">
        <f t="shared" si="603"/>
        <v>0</v>
      </c>
      <c r="FD128" s="30">
        <f t="shared" si="603"/>
        <v>0</v>
      </c>
      <c r="FE128" s="30">
        <f t="shared" si="603"/>
        <v>0</v>
      </c>
      <c r="FF128" s="30">
        <f t="shared" si="603"/>
        <v>0</v>
      </c>
      <c r="FG128" s="30">
        <f t="shared" si="603"/>
        <v>0</v>
      </c>
      <c r="FH128" s="30">
        <f t="shared" si="603"/>
        <v>0</v>
      </c>
      <c r="FI128" s="30">
        <f t="shared" si="603"/>
        <v>0</v>
      </c>
      <c r="FJ128" s="30">
        <f t="shared" si="603"/>
        <v>0</v>
      </c>
      <c r="FK128" s="30">
        <f t="shared" si="603"/>
        <v>0</v>
      </c>
      <c r="FL128" s="30">
        <f t="shared" si="603"/>
        <v>0</v>
      </c>
      <c r="FM128" s="30">
        <f t="shared" si="603"/>
        <v>0</v>
      </c>
      <c r="FN128" s="30">
        <f t="shared" si="603"/>
        <v>0</v>
      </c>
      <c r="FO128" s="30">
        <f t="shared" si="603"/>
        <v>146792.49479166669</v>
      </c>
      <c r="FP128" s="30">
        <f t="shared" si="603"/>
        <v>146792.49479166669</v>
      </c>
      <c r="FQ128" s="30">
        <f t="shared" si="603"/>
        <v>146792.49479166669</v>
      </c>
      <c r="FR128" s="30">
        <f t="shared" si="603"/>
        <v>146792.49479166669</v>
      </c>
      <c r="FS128" s="30">
        <f t="shared" si="603"/>
        <v>146792.49479166669</v>
      </c>
      <c r="FT128" s="30">
        <f t="shared" si="603"/>
        <v>146792.49479166669</v>
      </c>
      <c r="FU128" s="30">
        <f t="shared" si="603"/>
        <v>146792.49479166669</v>
      </c>
      <c r="FV128" s="30">
        <f t="shared" si="603"/>
        <v>146792.49479166669</v>
      </c>
      <c r="FW128" s="30">
        <f t="shared" si="603"/>
        <v>146792.49479166669</v>
      </c>
      <c r="FX128" s="30">
        <f t="shared" si="603"/>
        <v>146792.49479166669</v>
      </c>
      <c r="FY128" s="30">
        <f t="shared" si="603"/>
        <v>146792.49479166669</v>
      </c>
      <c r="FZ128" s="30">
        <f t="shared" si="603"/>
        <v>146792.49479166669</v>
      </c>
      <c r="GA128" s="30">
        <f t="shared" si="603"/>
        <v>168361.65885416669</v>
      </c>
      <c r="GB128" s="30">
        <f t="shared" si="603"/>
        <v>168361.65885416669</v>
      </c>
      <c r="GC128" s="30">
        <f t="shared" si="603"/>
        <v>168361.65885416669</v>
      </c>
      <c r="GD128" s="30">
        <f t="shared" si="603"/>
        <v>168361.65885416669</v>
      </c>
      <c r="GE128" s="30">
        <f t="shared" si="603"/>
        <v>168361.65885416669</v>
      </c>
      <c r="GF128" s="30">
        <f t="shared" si="603"/>
        <v>168361.65885416669</v>
      </c>
      <c r="GG128" s="30">
        <f t="shared" si="603"/>
        <v>168361.65885416669</v>
      </c>
      <c r="GH128" s="30">
        <f t="shared" si="603"/>
        <v>168361.65885416669</v>
      </c>
      <c r="GI128" s="30">
        <f t="shared" si="603"/>
        <v>168361.65885416669</v>
      </c>
      <c r="GJ128" s="30">
        <f t="shared" si="603"/>
        <v>168361.65885416669</v>
      </c>
      <c r="GK128" s="30">
        <f t="shared" si="603"/>
        <v>168361.65885416669</v>
      </c>
      <c r="GL128" s="30">
        <f t="shared" si="603"/>
        <v>168361.65885416669</v>
      </c>
      <c r="GM128" s="30">
        <f t="shared" si="603"/>
        <v>189930.82291666669</v>
      </c>
      <c r="GN128" s="30">
        <f t="shared" si="603"/>
        <v>189930.82291666669</v>
      </c>
      <c r="GO128" s="30">
        <f t="shared" si="603"/>
        <v>189930.82291666669</v>
      </c>
      <c r="GP128" s="30">
        <f t="shared" si="603"/>
        <v>189930.82291666669</v>
      </c>
      <c r="GQ128" s="30">
        <f t="shared" si="603"/>
        <v>189930.82291666669</v>
      </c>
      <c r="GR128" s="30">
        <f t="shared" si="603"/>
        <v>189930.82291666669</v>
      </c>
      <c r="GS128" s="30">
        <f t="shared" si="603"/>
        <v>189930.82291666669</v>
      </c>
      <c r="GT128" s="30">
        <f t="shared" si="603"/>
        <v>189930.82291666669</v>
      </c>
      <c r="GU128" s="30">
        <f t="shared" si="603"/>
        <v>189930.82291666669</v>
      </c>
      <c r="GV128" s="30">
        <f t="shared" si="603"/>
        <v>189930.82291666669</v>
      </c>
      <c r="GW128" s="30">
        <f t="shared" si="603"/>
        <v>189930.82291666669</v>
      </c>
      <c r="GX128" s="30">
        <f t="shared" si="603"/>
        <v>189930.82291666669</v>
      </c>
      <c r="GY128" s="30">
        <f t="shared" si="603"/>
        <v>189930.82291666669</v>
      </c>
      <c r="GZ128" s="30">
        <f t="shared" si="603"/>
        <v>189930.82291666669</v>
      </c>
      <c r="HA128" s="30">
        <f t="shared" si="603"/>
        <v>189930.82291666669</v>
      </c>
      <c r="HB128" s="30">
        <f t="shared" si="603"/>
        <v>189930.82291666669</v>
      </c>
      <c r="HC128" s="30">
        <f t="shared" si="603"/>
        <v>189930.82291666669</v>
      </c>
      <c r="HD128" s="30">
        <f t="shared" si="603"/>
        <v>189930.82291666669</v>
      </c>
      <c r="HE128" s="30">
        <f t="shared" si="603"/>
        <v>189930.82291666669</v>
      </c>
      <c r="HF128" s="30">
        <f t="shared" si="603"/>
        <v>189930.82291666669</v>
      </c>
      <c r="HG128" s="30">
        <f t="shared" si="603"/>
        <v>189930.82291666669</v>
      </c>
      <c r="HH128" s="30">
        <f t="shared" si="603"/>
        <v>189930.82291666669</v>
      </c>
      <c r="HI128" s="30">
        <f t="shared" si="603"/>
        <v>189930.82291666669</v>
      </c>
      <c r="HJ128" s="30">
        <f t="shared" ref="HJ128:JU128" si="604">SUM(HJ118:HJ127)</f>
        <v>189930.82291666669</v>
      </c>
      <c r="HK128" s="30">
        <f t="shared" si="604"/>
        <v>189930.82291666669</v>
      </c>
      <c r="HL128" s="30">
        <f t="shared" si="604"/>
        <v>189930.82291666669</v>
      </c>
      <c r="HM128" s="30">
        <f t="shared" si="604"/>
        <v>189930.82291666669</v>
      </c>
      <c r="HN128" s="30">
        <f t="shared" si="604"/>
        <v>189930.82291666669</v>
      </c>
      <c r="HO128" s="30">
        <f t="shared" si="604"/>
        <v>189930.82291666669</v>
      </c>
      <c r="HP128" s="30">
        <f t="shared" si="604"/>
        <v>189930.82291666669</v>
      </c>
      <c r="HQ128" s="30">
        <f t="shared" si="604"/>
        <v>189930.82291666669</v>
      </c>
      <c r="HR128" s="30">
        <f t="shared" si="604"/>
        <v>189930.82291666669</v>
      </c>
      <c r="HS128" s="30">
        <f t="shared" si="604"/>
        <v>189930.82291666669</v>
      </c>
      <c r="HT128" s="30">
        <f t="shared" si="604"/>
        <v>189930.82291666669</v>
      </c>
      <c r="HU128" s="30">
        <f t="shared" si="604"/>
        <v>189930.82291666669</v>
      </c>
      <c r="HV128" s="30">
        <f t="shared" si="604"/>
        <v>189930.82291666669</v>
      </c>
      <c r="HW128" s="30">
        <f t="shared" si="604"/>
        <v>189930.82291666669</v>
      </c>
      <c r="HX128" s="30">
        <f t="shared" si="604"/>
        <v>189930.82291666669</v>
      </c>
      <c r="HY128" s="30">
        <f t="shared" si="604"/>
        <v>189930.82291666669</v>
      </c>
      <c r="HZ128" s="30">
        <f t="shared" si="604"/>
        <v>189930.82291666669</v>
      </c>
      <c r="IA128" s="30">
        <f t="shared" si="604"/>
        <v>189930.82291666669</v>
      </c>
      <c r="IB128" s="30">
        <f t="shared" si="604"/>
        <v>189930.82291666669</v>
      </c>
      <c r="IC128" s="30">
        <f t="shared" si="604"/>
        <v>189930.82291666669</v>
      </c>
      <c r="ID128" s="30">
        <f t="shared" si="604"/>
        <v>189930.82291666669</v>
      </c>
      <c r="IE128" s="30">
        <f t="shared" si="604"/>
        <v>189930.82291666669</v>
      </c>
      <c r="IF128" s="30">
        <f t="shared" si="604"/>
        <v>189930.82291666669</v>
      </c>
      <c r="IG128" s="30">
        <f t="shared" si="604"/>
        <v>189930.82291666669</v>
      </c>
      <c r="IH128" s="30">
        <f t="shared" si="604"/>
        <v>189930.82291666669</v>
      </c>
      <c r="II128" s="30">
        <f t="shared" si="604"/>
        <v>189930.82291666669</v>
      </c>
      <c r="IJ128" s="30">
        <f t="shared" si="604"/>
        <v>189930.82291666669</v>
      </c>
      <c r="IK128" s="30">
        <f t="shared" si="604"/>
        <v>189930.82291666669</v>
      </c>
      <c r="IL128" s="30">
        <f t="shared" si="604"/>
        <v>189930.82291666669</v>
      </c>
      <c r="IM128" s="30">
        <f t="shared" si="604"/>
        <v>189930.82291666669</v>
      </c>
      <c r="IN128" s="30">
        <f t="shared" si="604"/>
        <v>189930.82291666669</v>
      </c>
      <c r="IO128" s="30">
        <f t="shared" si="604"/>
        <v>189930.82291666669</v>
      </c>
      <c r="IP128" s="30">
        <f t="shared" si="604"/>
        <v>189930.82291666669</v>
      </c>
      <c r="IQ128" s="30">
        <f t="shared" si="604"/>
        <v>189930.82291666669</v>
      </c>
      <c r="IR128" s="30">
        <f t="shared" si="604"/>
        <v>189930.82291666669</v>
      </c>
      <c r="IS128" s="30">
        <f t="shared" si="604"/>
        <v>189930.82291666669</v>
      </c>
      <c r="IT128" s="30">
        <f t="shared" si="604"/>
        <v>189930.82291666669</v>
      </c>
      <c r="IU128" s="30">
        <f t="shared" si="604"/>
        <v>189930.82291666669</v>
      </c>
      <c r="IV128" s="30">
        <f t="shared" si="604"/>
        <v>189930.82291666669</v>
      </c>
      <c r="IW128" s="30">
        <f t="shared" si="604"/>
        <v>189930.82291666669</v>
      </c>
      <c r="IX128" s="30">
        <f t="shared" si="604"/>
        <v>189930.82291666669</v>
      </c>
      <c r="IY128" s="30">
        <f t="shared" si="604"/>
        <v>189930.82291666669</v>
      </c>
      <c r="IZ128" s="30">
        <f t="shared" si="604"/>
        <v>189930.82291666669</v>
      </c>
      <c r="JA128" s="30">
        <f t="shared" si="604"/>
        <v>189930.82291666669</v>
      </c>
      <c r="JB128" s="30">
        <f t="shared" si="604"/>
        <v>189930.82291666669</v>
      </c>
      <c r="JC128" s="30">
        <f t="shared" si="604"/>
        <v>189930.82291666669</v>
      </c>
      <c r="JD128" s="30">
        <f t="shared" si="604"/>
        <v>189930.82291666669</v>
      </c>
      <c r="JE128" s="30">
        <f t="shared" si="604"/>
        <v>189930.82291666669</v>
      </c>
      <c r="JF128" s="30">
        <f t="shared" si="604"/>
        <v>189930.82291666669</v>
      </c>
      <c r="JG128" s="30">
        <f t="shared" si="604"/>
        <v>189930.82291666669</v>
      </c>
      <c r="JH128" s="30">
        <f t="shared" si="604"/>
        <v>189930.82291666669</v>
      </c>
      <c r="JI128" s="30">
        <f t="shared" si="604"/>
        <v>189930.82291666669</v>
      </c>
      <c r="JJ128" s="30">
        <f t="shared" si="604"/>
        <v>189930.82291666669</v>
      </c>
      <c r="JK128" s="30">
        <f t="shared" si="604"/>
        <v>189930.82291666669</v>
      </c>
      <c r="JL128" s="30">
        <f t="shared" si="604"/>
        <v>189930.82291666669</v>
      </c>
      <c r="JM128" s="30">
        <f t="shared" si="604"/>
        <v>189930.82291666669</v>
      </c>
      <c r="JN128" s="30">
        <f t="shared" si="604"/>
        <v>189930.82291666669</v>
      </c>
      <c r="JO128" s="30">
        <f t="shared" si="604"/>
        <v>189930.82291666669</v>
      </c>
      <c r="JP128" s="30">
        <f t="shared" si="604"/>
        <v>189930.82291666669</v>
      </c>
      <c r="JQ128" s="30">
        <f t="shared" si="604"/>
        <v>189930.82291666669</v>
      </c>
      <c r="JR128" s="30">
        <f t="shared" si="604"/>
        <v>189930.82291666669</v>
      </c>
      <c r="JS128" s="30">
        <f t="shared" si="604"/>
        <v>189930.82291666669</v>
      </c>
      <c r="JT128" s="30">
        <f t="shared" si="604"/>
        <v>189930.82291666669</v>
      </c>
      <c r="JU128" s="30">
        <f t="shared" si="604"/>
        <v>189930.82291666669</v>
      </c>
      <c r="JV128" s="30">
        <f>SUM(JV118:JV127)</f>
        <v>189930.82291666669</v>
      </c>
      <c r="JW128" s="30">
        <f>SUM(JW118:JW127)</f>
        <v>189930.82291666669</v>
      </c>
      <c r="JX128" s="30">
        <f>SUM(JX118:JX127)</f>
        <v>189930.82291666669</v>
      </c>
    </row>
    <row r="129" spans="1:284" s="7" customFormat="1" ht="4.9000000000000004" customHeight="1" x14ac:dyDescent="0.2">
      <c r="A129" s="406"/>
      <c r="B129" s="92"/>
      <c r="C129" s="120"/>
      <c r="D129" s="120"/>
      <c r="E129" s="120"/>
      <c r="F129" s="120"/>
      <c r="G129" s="122"/>
      <c r="H129" s="123"/>
      <c r="I129" s="123"/>
      <c r="M129" s="38"/>
      <c r="N129" s="38"/>
      <c r="O129" s="38"/>
      <c r="P129" s="38"/>
      <c r="Q129" s="38"/>
      <c r="R129" s="38"/>
      <c r="S129" s="38"/>
      <c r="T129" s="38"/>
      <c r="U129" s="38"/>
      <c r="V129" s="38"/>
      <c r="W129" s="38"/>
      <c r="X129" s="38"/>
      <c r="Y129" s="38"/>
      <c r="Z129" s="38"/>
      <c r="AA129" s="38"/>
      <c r="AB129" s="38"/>
      <c r="AC129" s="38"/>
      <c r="AD129" s="38"/>
      <c r="AE129" s="38"/>
      <c r="AF129" s="38"/>
      <c r="AG129" s="38"/>
      <c r="AH129" s="38"/>
      <c r="AI129" s="38"/>
      <c r="AJ129" s="38"/>
      <c r="AK129" s="38"/>
      <c r="AL129" s="38"/>
      <c r="AM129" s="38"/>
      <c r="AN129" s="38"/>
      <c r="AO129" s="38"/>
      <c r="AP129" s="38"/>
      <c r="AQ129" s="38"/>
      <c r="AR129" s="38"/>
      <c r="AS129" s="38"/>
      <c r="AT129" s="38"/>
      <c r="AU129" s="38"/>
      <c r="AV129" s="38"/>
      <c r="AW129" s="38"/>
      <c r="AX129" s="38"/>
      <c r="AY129" s="38"/>
      <c r="AZ129" s="38"/>
      <c r="BA129" s="38"/>
      <c r="BB129" s="38"/>
      <c r="BC129" s="38"/>
      <c r="BD129" s="38"/>
      <c r="BE129" s="38"/>
      <c r="BF129" s="38"/>
      <c r="BG129" s="38"/>
      <c r="BH129" s="38"/>
      <c r="BI129" s="38"/>
      <c r="BJ129" s="38"/>
      <c r="BK129" s="38"/>
      <c r="BL129" s="38"/>
      <c r="BM129" s="38"/>
      <c r="BN129" s="38"/>
      <c r="BO129" s="38"/>
      <c r="BP129" s="38"/>
      <c r="BQ129" s="38"/>
      <c r="BR129" s="38"/>
      <c r="BS129" s="38"/>
      <c r="BT129" s="38"/>
      <c r="BU129" s="38"/>
      <c r="BV129" s="38"/>
      <c r="BW129" s="38"/>
      <c r="BX129" s="38"/>
      <c r="BY129" s="38"/>
      <c r="BZ129" s="38"/>
      <c r="CA129" s="38"/>
      <c r="CB129" s="38"/>
      <c r="CC129" s="38"/>
      <c r="CD129" s="38"/>
      <c r="CE129" s="38"/>
      <c r="CF129" s="38"/>
      <c r="CG129" s="38"/>
      <c r="CH129" s="38"/>
      <c r="CI129" s="38"/>
      <c r="CJ129" s="38"/>
      <c r="CK129" s="38"/>
      <c r="CL129" s="38"/>
      <c r="CM129" s="38"/>
      <c r="CN129" s="38"/>
      <c r="CO129" s="38"/>
      <c r="CP129" s="38"/>
      <c r="CQ129" s="38"/>
      <c r="CR129" s="38"/>
      <c r="CS129" s="38"/>
      <c r="CT129" s="38"/>
      <c r="CU129" s="38"/>
      <c r="CV129" s="38"/>
      <c r="CW129" s="38"/>
      <c r="CX129" s="38"/>
      <c r="CY129" s="38"/>
      <c r="CZ129" s="38"/>
      <c r="DA129" s="38"/>
      <c r="DB129" s="38"/>
      <c r="DC129" s="38"/>
      <c r="DD129" s="38"/>
      <c r="DE129" s="38"/>
      <c r="DF129" s="38"/>
      <c r="DG129" s="38"/>
      <c r="DH129" s="38"/>
      <c r="DI129" s="38"/>
      <c r="DJ129" s="38"/>
      <c r="DK129" s="38"/>
      <c r="DL129" s="38"/>
      <c r="DM129" s="38"/>
      <c r="DN129" s="38"/>
      <c r="DO129" s="38"/>
      <c r="DP129" s="38"/>
      <c r="DQ129" s="38"/>
      <c r="DR129" s="38"/>
      <c r="DS129" s="38"/>
      <c r="DT129" s="38"/>
      <c r="DU129" s="38"/>
      <c r="DV129" s="38"/>
      <c r="DW129" s="38"/>
      <c r="DX129" s="38"/>
      <c r="DY129" s="38"/>
      <c r="DZ129" s="38"/>
      <c r="EA129" s="38"/>
      <c r="EB129" s="38"/>
      <c r="EC129" s="38"/>
      <c r="ED129" s="38"/>
      <c r="EE129" s="38"/>
      <c r="EF129" s="38"/>
      <c r="EG129" s="38"/>
      <c r="EH129" s="38"/>
      <c r="EI129" s="38"/>
      <c r="EJ129" s="38"/>
      <c r="EK129" s="38"/>
      <c r="EL129" s="38"/>
      <c r="EM129" s="38"/>
      <c r="EN129" s="38"/>
      <c r="EP129" s="24"/>
      <c r="EQ129" s="24"/>
      <c r="ER129" s="24"/>
      <c r="ES129" s="24"/>
      <c r="ET129" s="24"/>
      <c r="EU129" s="33"/>
      <c r="EV129" s="24"/>
      <c r="EW129" s="47"/>
      <c r="EX129" s="30"/>
      <c r="EY129" s="30"/>
      <c r="EZ129" s="30"/>
      <c r="FA129" s="30"/>
      <c r="FB129" s="30"/>
      <c r="FC129" s="30"/>
      <c r="FD129" s="30"/>
      <c r="FE129" s="30"/>
      <c r="FF129" s="30"/>
      <c r="FG129" s="30"/>
      <c r="FH129" s="30"/>
      <c r="FI129" s="30"/>
      <c r="FJ129" s="30"/>
      <c r="FK129" s="30"/>
      <c r="FL129" s="30"/>
      <c r="FM129" s="30"/>
      <c r="FN129" s="30"/>
      <c r="FO129" s="30"/>
      <c r="FP129" s="30"/>
      <c r="FQ129" s="30"/>
      <c r="FR129" s="30"/>
      <c r="FS129" s="30"/>
      <c r="FT129" s="30"/>
      <c r="FU129" s="30"/>
      <c r="FV129" s="30"/>
      <c r="FW129" s="30"/>
      <c r="FX129" s="30"/>
      <c r="FY129" s="30"/>
      <c r="FZ129" s="30"/>
      <c r="GA129" s="30"/>
      <c r="GB129" s="30"/>
      <c r="GC129" s="30"/>
      <c r="GD129" s="30"/>
      <c r="GE129" s="30"/>
      <c r="GF129" s="30"/>
      <c r="GG129" s="30"/>
      <c r="GH129" s="30"/>
      <c r="GI129" s="30"/>
      <c r="GJ129" s="30"/>
      <c r="GK129" s="30"/>
      <c r="GL129" s="30"/>
      <c r="GM129" s="30"/>
      <c r="GN129" s="30"/>
      <c r="GO129" s="30"/>
      <c r="GP129" s="30"/>
      <c r="GQ129" s="30"/>
      <c r="GR129" s="30"/>
      <c r="GS129" s="30"/>
      <c r="GT129" s="30"/>
      <c r="GU129" s="30"/>
      <c r="GV129" s="30"/>
      <c r="GW129" s="30"/>
      <c r="GX129" s="30"/>
      <c r="GY129" s="30"/>
      <c r="GZ129" s="30"/>
      <c r="HA129" s="30"/>
      <c r="HB129" s="30"/>
      <c r="HC129" s="30"/>
      <c r="HD129" s="30"/>
      <c r="HE129" s="30"/>
      <c r="HF129" s="30"/>
      <c r="HG129" s="30"/>
      <c r="HH129" s="30"/>
      <c r="HI129" s="30"/>
      <c r="HJ129" s="30"/>
      <c r="HK129" s="30"/>
      <c r="HL129" s="30"/>
      <c r="HM129" s="30"/>
      <c r="HN129" s="30"/>
      <c r="HO129" s="30"/>
      <c r="HP129" s="30"/>
      <c r="HQ129" s="30"/>
      <c r="HR129" s="30"/>
      <c r="HS129" s="30"/>
      <c r="HT129" s="30"/>
      <c r="HU129" s="30"/>
      <c r="HV129" s="30"/>
      <c r="HW129" s="30"/>
      <c r="HX129" s="30"/>
      <c r="HY129" s="30"/>
      <c r="HZ129" s="30"/>
      <c r="IA129" s="30"/>
      <c r="IB129" s="30"/>
      <c r="IC129" s="30"/>
      <c r="ID129" s="30"/>
      <c r="IE129" s="30"/>
      <c r="IF129" s="30"/>
      <c r="IG129" s="30"/>
      <c r="IH129" s="30"/>
      <c r="II129" s="30"/>
      <c r="IJ129" s="30"/>
      <c r="IK129" s="30"/>
      <c r="IL129" s="30"/>
      <c r="IM129" s="30"/>
      <c r="IN129" s="30"/>
      <c r="IO129" s="30"/>
      <c r="IP129" s="30"/>
      <c r="IQ129" s="30"/>
      <c r="IR129" s="30"/>
      <c r="IS129" s="30"/>
      <c r="IT129" s="30"/>
      <c r="IU129" s="30"/>
      <c r="IV129" s="30"/>
      <c r="IW129" s="30"/>
      <c r="IX129" s="30"/>
      <c r="IY129" s="30"/>
      <c r="IZ129" s="30"/>
      <c r="JA129" s="30"/>
      <c r="JB129" s="30"/>
      <c r="JC129" s="30"/>
      <c r="JD129" s="30"/>
      <c r="JE129" s="30"/>
      <c r="JF129" s="30"/>
      <c r="JG129" s="30"/>
      <c r="JH129" s="30"/>
      <c r="JI129" s="30"/>
      <c r="JJ129" s="30"/>
      <c r="JK129" s="30"/>
      <c r="JL129" s="30"/>
      <c r="JM129" s="30"/>
      <c r="JN129" s="30"/>
      <c r="JO129" s="30"/>
      <c r="JP129" s="30"/>
      <c r="JQ129" s="30"/>
      <c r="JR129" s="30"/>
      <c r="JS129" s="30"/>
      <c r="JT129" s="30"/>
      <c r="JU129" s="30"/>
      <c r="JV129" s="30"/>
      <c r="JW129" s="30"/>
      <c r="JX129" s="30"/>
    </row>
    <row r="130" spans="1:284" s="7" customFormat="1" x14ac:dyDescent="0.2">
      <c r="A130" s="406"/>
      <c r="B130" s="158" t="s">
        <v>167</v>
      </c>
      <c r="C130" s="159"/>
      <c r="D130" s="159"/>
      <c r="E130" s="159"/>
      <c r="F130" s="159"/>
      <c r="G130" s="185"/>
      <c r="H130" s="182"/>
      <c r="I130" s="182">
        <f>+I111-I128</f>
        <v>3374914.7685200004</v>
      </c>
      <c r="J130" s="58"/>
      <c r="K130" s="58" t="s">
        <v>456</v>
      </c>
      <c r="L130" s="58"/>
      <c r="M130" s="65">
        <f>+M111-M128</f>
        <v>0</v>
      </c>
      <c r="N130" s="65">
        <f t="shared" ref="N130:BY130" si="605">+N111-N128</f>
        <v>0</v>
      </c>
      <c r="O130" s="65">
        <f t="shared" si="605"/>
        <v>0</v>
      </c>
      <c r="P130" s="65">
        <f t="shared" si="605"/>
        <v>0</v>
      </c>
      <c r="Q130" s="65">
        <f t="shared" si="605"/>
        <v>0</v>
      </c>
      <c r="R130" s="65">
        <f t="shared" si="605"/>
        <v>0</v>
      </c>
      <c r="S130" s="65">
        <f t="shared" si="605"/>
        <v>0</v>
      </c>
      <c r="T130" s="65">
        <f t="shared" si="605"/>
        <v>0</v>
      </c>
      <c r="U130" s="65">
        <f t="shared" si="605"/>
        <v>0</v>
      </c>
      <c r="V130" s="65">
        <f t="shared" si="605"/>
        <v>0</v>
      </c>
      <c r="W130" s="65">
        <f t="shared" si="605"/>
        <v>0</v>
      </c>
      <c r="X130" s="65">
        <f t="shared" si="605"/>
        <v>0</v>
      </c>
      <c r="Y130" s="65">
        <f t="shared" si="605"/>
        <v>0</v>
      </c>
      <c r="Z130" s="65">
        <f t="shared" si="605"/>
        <v>0</v>
      </c>
      <c r="AA130" s="65">
        <f t="shared" si="605"/>
        <v>0</v>
      </c>
      <c r="AB130" s="65">
        <f t="shared" si="605"/>
        <v>0</v>
      </c>
      <c r="AC130" s="65">
        <f t="shared" si="605"/>
        <v>0</v>
      </c>
      <c r="AD130" s="65">
        <f t="shared" si="605"/>
        <v>0</v>
      </c>
      <c r="AE130" s="65">
        <f t="shared" si="605"/>
        <v>-136514.1267392564</v>
      </c>
      <c r="AF130" s="65">
        <f t="shared" si="605"/>
        <v>-104905.09865303416</v>
      </c>
      <c r="AG130" s="65">
        <f t="shared" si="605"/>
        <v>-73296.070566811992</v>
      </c>
      <c r="AH130" s="65">
        <f t="shared" si="605"/>
        <v>-41687.042480589735</v>
      </c>
      <c r="AI130" s="65">
        <f t="shared" si="605"/>
        <v>-10078.014394367492</v>
      </c>
      <c r="AJ130" s="65">
        <f t="shared" si="605"/>
        <v>21531.013691854721</v>
      </c>
      <c r="AK130" s="65">
        <f t="shared" si="605"/>
        <v>53140.041778076935</v>
      </c>
      <c r="AL130" s="65">
        <f t="shared" si="605"/>
        <v>84749.069864299148</v>
      </c>
      <c r="AM130" s="65">
        <f t="shared" si="605"/>
        <v>116358.09795052133</v>
      </c>
      <c r="AN130" s="65">
        <f t="shared" si="605"/>
        <v>147967.12603674358</v>
      </c>
      <c r="AO130" s="65">
        <f t="shared" si="605"/>
        <v>179576.15412296585</v>
      </c>
      <c r="AP130" s="65">
        <f t="shared" si="605"/>
        <v>211185.18220918806</v>
      </c>
      <c r="AQ130" s="65">
        <f t="shared" si="605"/>
        <v>227861.79761989755</v>
      </c>
      <c r="AR130" s="65">
        <f t="shared" si="605"/>
        <v>260419.0965487065</v>
      </c>
      <c r="AS130" s="65">
        <f t="shared" si="605"/>
        <v>299679.40665734163</v>
      </c>
      <c r="AT130" s="65">
        <f t="shared" si="605"/>
        <v>300790.04453234165</v>
      </c>
      <c r="AU130" s="65">
        <f t="shared" si="605"/>
        <v>301900.68240734166</v>
      </c>
      <c r="AV130" s="65">
        <f t="shared" si="605"/>
        <v>303011.32028234168</v>
      </c>
      <c r="AW130" s="65">
        <f t="shared" si="605"/>
        <v>304121.95815734164</v>
      </c>
      <c r="AX130" s="65">
        <f t="shared" si="605"/>
        <v>305232.59603234159</v>
      </c>
      <c r="AY130" s="65">
        <f t="shared" si="605"/>
        <v>306343.23390734167</v>
      </c>
      <c r="AZ130" s="65">
        <f t="shared" si="605"/>
        <v>307453.87178234162</v>
      </c>
      <c r="BA130" s="65">
        <f t="shared" si="605"/>
        <v>308564.50965734164</v>
      </c>
      <c r="BB130" s="65">
        <f t="shared" si="605"/>
        <v>309675.14753234165</v>
      </c>
      <c r="BC130" s="65">
        <f t="shared" si="605"/>
        <v>297226.63281565561</v>
      </c>
      <c r="BD130" s="65">
        <f t="shared" si="605"/>
        <v>298370.58982690558</v>
      </c>
      <c r="BE130" s="65">
        <f t="shared" si="605"/>
        <v>285787.06270315562</v>
      </c>
      <c r="BF130" s="65">
        <f t="shared" si="605"/>
        <v>286931.0197144057</v>
      </c>
      <c r="BG130" s="65">
        <f t="shared" si="605"/>
        <v>288074.97672565567</v>
      </c>
      <c r="BH130" s="65">
        <f t="shared" si="605"/>
        <v>289218.93373690575</v>
      </c>
      <c r="BI130" s="65">
        <f t="shared" si="605"/>
        <v>290362.89074815571</v>
      </c>
      <c r="BJ130" s="65">
        <f t="shared" si="605"/>
        <v>291506.84775940567</v>
      </c>
      <c r="BK130" s="65">
        <f t="shared" si="605"/>
        <v>292650.80477065576</v>
      </c>
      <c r="BL130" s="65">
        <f t="shared" si="605"/>
        <v>293794.76178190572</v>
      </c>
      <c r="BM130" s="65">
        <f t="shared" si="605"/>
        <v>294938.71879315568</v>
      </c>
      <c r="BN130" s="65">
        <f t="shared" si="605"/>
        <v>296082.67580440565</v>
      </c>
      <c r="BO130" s="65">
        <f t="shared" si="605"/>
        <v>306143.43180012522</v>
      </c>
      <c r="BP130" s="65">
        <f t="shared" si="605"/>
        <v>307321.70752171276</v>
      </c>
      <c r="BQ130" s="65">
        <f t="shared" si="605"/>
        <v>294360.67458425032</v>
      </c>
      <c r="BR130" s="65">
        <f t="shared" si="605"/>
        <v>295538.95030583773</v>
      </c>
      <c r="BS130" s="65">
        <f t="shared" si="605"/>
        <v>296717.22602742532</v>
      </c>
      <c r="BT130" s="65">
        <f t="shared" si="605"/>
        <v>297895.50174901274</v>
      </c>
      <c r="BU130" s="65">
        <f t="shared" si="605"/>
        <v>299073.77747060033</v>
      </c>
      <c r="BV130" s="65">
        <f t="shared" si="605"/>
        <v>300252.05319218768</v>
      </c>
      <c r="BW130" s="65">
        <f t="shared" si="605"/>
        <v>301430.32891377527</v>
      </c>
      <c r="BX130" s="65">
        <f t="shared" si="605"/>
        <v>302608.60463536275</v>
      </c>
      <c r="BY130" s="65">
        <f t="shared" si="605"/>
        <v>303786.88035695034</v>
      </c>
      <c r="BZ130" s="65">
        <f t="shared" ref="BZ130:EK130" si="606">+BZ111-BZ128</f>
        <v>304965.15607853775</v>
      </c>
      <c r="CA130" s="65">
        <f t="shared" si="606"/>
        <v>315327.73475412902</v>
      </c>
      <c r="CB130" s="65">
        <f t="shared" si="606"/>
        <v>316541.35874736425</v>
      </c>
      <c r="CC130" s="65">
        <f t="shared" si="606"/>
        <v>303191.49482177786</v>
      </c>
      <c r="CD130" s="65">
        <f t="shared" si="606"/>
        <v>304405.11881501297</v>
      </c>
      <c r="CE130" s="65">
        <f t="shared" si="606"/>
        <v>305618.74280824815</v>
      </c>
      <c r="CF130" s="65">
        <f t="shared" si="606"/>
        <v>306832.36680148332</v>
      </c>
      <c r="CG130" s="65">
        <f t="shared" si="606"/>
        <v>308045.99079471827</v>
      </c>
      <c r="CH130" s="65">
        <f t="shared" si="606"/>
        <v>309259.61478795344</v>
      </c>
      <c r="CI130" s="65">
        <f t="shared" si="606"/>
        <v>310473.23878118861</v>
      </c>
      <c r="CJ130" s="65">
        <f t="shared" si="606"/>
        <v>311686.86277442367</v>
      </c>
      <c r="CK130" s="65">
        <f t="shared" si="606"/>
        <v>312900.48676765885</v>
      </c>
      <c r="CL130" s="65">
        <f t="shared" si="606"/>
        <v>314114.11076089408</v>
      </c>
      <c r="CM130" s="65">
        <f t="shared" si="606"/>
        <v>324787.56679675297</v>
      </c>
      <c r="CN130" s="65">
        <f t="shared" si="606"/>
        <v>326037.59950978524</v>
      </c>
      <c r="CO130" s="65">
        <f t="shared" si="606"/>
        <v>312287.23966643115</v>
      </c>
      <c r="CP130" s="65">
        <f t="shared" si="606"/>
        <v>313537.27237946336</v>
      </c>
      <c r="CQ130" s="65">
        <f t="shared" si="606"/>
        <v>314787.30509249552</v>
      </c>
      <c r="CR130" s="65">
        <f t="shared" si="606"/>
        <v>316037.33780552779</v>
      </c>
      <c r="CS130" s="65">
        <f t="shared" si="606"/>
        <v>317287.37051855994</v>
      </c>
      <c r="CT130" s="65">
        <f t="shared" si="606"/>
        <v>318537.40323159203</v>
      </c>
      <c r="CU130" s="65">
        <f t="shared" si="606"/>
        <v>319787.4359446243</v>
      </c>
      <c r="CV130" s="65">
        <f t="shared" si="606"/>
        <v>321037.46865765646</v>
      </c>
      <c r="CW130" s="65">
        <f t="shared" si="606"/>
        <v>322287.50137068867</v>
      </c>
      <c r="CX130" s="65">
        <f t="shared" si="606"/>
        <v>323537.53408372082</v>
      </c>
      <c r="CY130" s="65">
        <f t="shared" si="606"/>
        <v>334531.19380065548</v>
      </c>
      <c r="CZ130" s="65">
        <f t="shared" si="606"/>
        <v>335818.72749507864</v>
      </c>
      <c r="DA130" s="65">
        <f t="shared" si="606"/>
        <v>321655.85685642413</v>
      </c>
      <c r="DB130" s="65">
        <f t="shared" si="606"/>
        <v>322943.39055084728</v>
      </c>
      <c r="DC130" s="65">
        <f t="shared" si="606"/>
        <v>324230.92424527032</v>
      </c>
      <c r="DD130" s="65">
        <f t="shared" si="606"/>
        <v>325518.45793969347</v>
      </c>
      <c r="DE130" s="65">
        <f t="shared" si="606"/>
        <v>326805.99163411662</v>
      </c>
      <c r="DF130" s="65">
        <f t="shared" si="606"/>
        <v>328093.52532853978</v>
      </c>
      <c r="DG130" s="65">
        <f t="shared" si="606"/>
        <v>329381.05902296299</v>
      </c>
      <c r="DH130" s="65">
        <f t="shared" si="606"/>
        <v>330668.59271738614</v>
      </c>
      <c r="DI130" s="65">
        <f t="shared" si="606"/>
        <v>331956.12641180929</v>
      </c>
      <c r="DJ130" s="65">
        <f t="shared" si="606"/>
        <v>333243.66010623233</v>
      </c>
      <c r="DK130" s="65">
        <f t="shared" si="606"/>
        <v>344567.1296146753</v>
      </c>
      <c r="DL130" s="65">
        <f t="shared" si="606"/>
        <v>345893.28931993106</v>
      </c>
      <c r="DM130" s="65">
        <f t="shared" si="606"/>
        <v>331305.53256211686</v>
      </c>
      <c r="DN130" s="65">
        <f t="shared" si="606"/>
        <v>332631.69226737262</v>
      </c>
      <c r="DO130" s="65">
        <f t="shared" si="606"/>
        <v>333957.8519726285</v>
      </c>
      <c r="DP130" s="65">
        <f t="shared" si="606"/>
        <v>335284.01167788438</v>
      </c>
      <c r="DQ130" s="65">
        <f t="shared" si="606"/>
        <v>336610.17138314014</v>
      </c>
      <c r="DR130" s="65">
        <f t="shared" si="606"/>
        <v>337936.33108839602</v>
      </c>
      <c r="DS130" s="65">
        <f t="shared" si="606"/>
        <v>339262.4907936519</v>
      </c>
      <c r="DT130" s="65">
        <f t="shared" si="606"/>
        <v>340588.65049890778</v>
      </c>
      <c r="DU130" s="65">
        <f t="shared" si="606"/>
        <v>341914.81020416354</v>
      </c>
      <c r="DV130" s="65">
        <f t="shared" si="606"/>
        <v>343240.96990941942</v>
      </c>
      <c r="DW130" s="65">
        <f t="shared" si="606"/>
        <v>354904.14350311534</v>
      </c>
      <c r="DX130" s="65">
        <f t="shared" si="606"/>
        <v>356270.0879995288</v>
      </c>
      <c r="DY130" s="65">
        <f t="shared" si="606"/>
        <v>341244.69853898033</v>
      </c>
      <c r="DZ130" s="65">
        <f t="shared" si="606"/>
        <v>342610.64303539391</v>
      </c>
      <c r="EA130" s="65">
        <f t="shared" si="606"/>
        <v>343976.58753180725</v>
      </c>
      <c r="EB130" s="65">
        <f t="shared" si="606"/>
        <v>345342.53202822083</v>
      </c>
      <c r="EC130" s="65">
        <f t="shared" si="606"/>
        <v>346708.47652463429</v>
      </c>
      <c r="ED130" s="65">
        <f t="shared" si="606"/>
        <v>348074.42102104786</v>
      </c>
      <c r="EE130" s="65">
        <f t="shared" si="606"/>
        <v>349440.36551746132</v>
      </c>
      <c r="EF130" s="65">
        <f t="shared" si="606"/>
        <v>350806.3100138749</v>
      </c>
      <c r="EG130" s="65">
        <f t="shared" si="606"/>
        <v>352172.25451028842</v>
      </c>
      <c r="EH130" s="65">
        <f t="shared" si="606"/>
        <v>353538.19900670176</v>
      </c>
      <c r="EI130" s="65">
        <f t="shared" si="606"/>
        <v>365551.267808209</v>
      </c>
      <c r="EJ130" s="65">
        <f t="shared" si="606"/>
        <v>366958.19063951471</v>
      </c>
      <c r="EK130" s="65">
        <f t="shared" si="606"/>
        <v>351482.03949514951</v>
      </c>
      <c r="EL130" s="65">
        <f>+EL111-EL128</f>
        <v>352888.96232645563</v>
      </c>
      <c r="EM130" s="65">
        <f>+EM111-EM128</f>
        <v>354295.88515776163</v>
      </c>
      <c r="EN130" s="65">
        <f>+EN111-EN128</f>
        <v>355702.80798906734</v>
      </c>
      <c r="EP130" s="24"/>
      <c r="EQ130" s="24"/>
      <c r="ER130" s="24"/>
      <c r="ES130" s="24"/>
      <c r="ET130" s="24"/>
      <c r="EU130" s="33"/>
      <c r="EV130" s="24"/>
      <c r="EW130" s="47"/>
      <c r="EX130" s="30"/>
      <c r="EY130" s="30"/>
      <c r="EZ130" s="30"/>
      <c r="FA130" s="30"/>
      <c r="FB130" s="30"/>
      <c r="FC130" s="30"/>
      <c r="FD130" s="30"/>
      <c r="FE130" s="30"/>
      <c r="FF130" s="30"/>
      <c r="FG130" s="30"/>
      <c r="FH130" s="30"/>
      <c r="FI130" s="30"/>
      <c r="FJ130" s="30"/>
      <c r="FK130" s="30"/>
      <c r="FL130" s="30"/>
      <c r="FM130" s="30"/>
      <c r="FN130" s="30"/>
      <c r="FO130" s="30"/>
      <c r="FP130" s="30"/>
      <c r="FQ130" s="30"/>
      <c r="FR130" s="30"/>
      <c r="FS130" s="30"/>
      <c r="FT130" s="30"/>
      <c r="FU130" s="30"/>
      <c r="FV130" s="30"/>
      <c r="FW130" s="30"/>
      <c r="FX130" s="30"/>
      <c r="FY130" s="30"/>
      <c r="FZ130" s="30"/>
      <c r="GA130" s="30"/>
      <c r="GB130" s="30"/>
      <c r="GC130" s="30"/>
      <c r="GD130" s="30"/>
      <c r="GE130" s="30"/>
      <c r="GF130" s="30"/>
      <c r="GG130" s="30"/>
      <c r="GH130" s="30"/>
      <c r="GI130" s="30"/>
      <c r="GJ130" s="30"/>
      <c r="GK130" s="30"/>
      <c r="GL130" s="30"/>
      <c r="GM130" s="30"/>
      <c r="GN130" s="30"/>
      <c r="GO130" s="30"/>
      <c r="GP130" s="30"/>
      <c r="GQ130" s="30"/>
      <c r="GR130" s="30"/>
      <c r="GS130" s="30"/>
      <c r="GT130" s="30"/>
      <c r="GU130" s="30"/>
      <c r="GV130" s="30"/>
      <c r="GW130" s="30"/>
      <c r="GX130" s="30"/>
      <c r="GY130" s="30"/>
      <c r="GZ130" s="30"/>
      <c r="HA130" s="30"/>
      <c r="HB130" s="30"/>
      <c r="HC130" s="30"/>
      <c r="HD130" s="30"/>
      <c r="HE130" s="30"/>
      <c r="HF130" s="30"/>
      <c r="HG130" s="30"/>
      <c r="HH130" s="30"/>
      <c r="HI130" s="30"/>
      <c r="HJ130" s="30"/>
      <c r="HK130" s="30"/>
      <c r="HL130" s="30"/>
      <c r="HM130" s="30"/>
      <c r="HN130" s="30"/>
      <c r="HO130" s="30"/>
      <c r="HP130" s="30"/>
      <c r="HQ130" s="30"/>
      <c r="HR130" s="30"/>
      <c r="HS130" s="30"/>
      <c r="HT130" s="30"/>
      <c r="HU130" s="30"/>
      <c r="HV130" s="30"/>
      <c r="HW130" s="30"/>
      <c r="HX130" s="30"/>
      <c r="HY130" s="30"/>
      <c r="HZ130" s="30"/>
      <c r="IA130" s="30"/>
      <c r="IB130" s="30"/>
      <c r="IC130" s="30"/>
      <c r="ID130" s="30"/>
      <c r="IE130" s="30"/>
      <c r="IF130" s="30"/>
      <c r="IG130" s="30"/>
      <c r="IH130" s="30"/>
      <c r="II130" s="30"/>
      <c r="IJ130" s="30"/>
      <c r="IK130" s="30"/>
      <c r="IL130" s="30"/>
      <c r="IM130" s="30"/>
      <c r="IN130" s="30"/>
      <c r="IO130" s="30"/>
      <c r="IP130" s="30"/>
      <c r="IQ130" s="30"/>
      <c r="IR130" s="30"/>
      <c r="IS130" s="30"/>
      <c r="IT130" s="30"/>
      <c r="IU130" s="30"/>
      <c r="IV130" s="30"/>
      <c r="IW130" s="30"/>
      <c r="IX130" s="30"/>
      <c r="IY130" s="30"/>
      <c r="IZ130" s="30"/>
      <c r="JA130" s="30"/>
      <c r="JB130" s="30"/>
      <c r="JC130" s="30"/>
      <c r="JD130" s="30"/>
      <c r="JE130" s="30"/>
      <c r="JF130" s="30"/>
      <c r="JG130" s="30"/>
      <c r="JH130" s="30"/>
      <c r="JI130" s="30"/>
      <c r="JJ130" s="30"/>
      <c r="JK130" s="30"/>
      <c r="JL130" s="30"/>
      <c r="JM130" s="30"/>
      <c r="JN130" s="30"/>
      <c r="JO130" s="30"/>
      <c r="JP130" s="30"/>
      <c r="JQ130" s="30"/>
      <c r="JR130" s="30"/>
      <c r="JS130" s="30"/>
      <c r="JT130" s="30"/>
      <c r="JU130" s="30"/>
      <c r="JV130" s="30"/>
      <c r="JW130" s="30"/>
      <c r="JX130" s="30"/>
    </row>
    <row r="131" spans="1:284" s="7" customFormat="1" ht="4.9000000000000004" customHeight="1" x14ac:dyDescent="0.2">
      <c r="A131" s="406"/>
      <c r="B131" s="92"/>
      <c r="C131" s="120"/>
      <c r="D131" s="120"/>
      <c r="E131" s="120"/>
      <c r="F131" s="120"/>
      <c r="G131" s="122"/>
      <c r="H131" s="123"/>
      <c r="I131" s="123"/>
      <c r="M131" s="38"/>
      <c r="N131" s="38"/>
      <c r="O131" s="38"/>
      <c r="P131" s="38"/>
      <c r="Q131" s="38"/>
      <c r="R131" s="38"/>
      <c r="S131" s="38"/>
      <c r="T131" s="38"/>
      <c r="U131" s="38"/>
      <c r="V131" s="38"/>
      <c r="W131" s="38"/>
      <c r="X131" s="38"/>
      <c r="Y131" s="38"/>
      <c r="Z131" s="38"/>
      <c r="AA131" s="38"/>
      <c r="AB131" s="38"/>
      <c r="AC131" s="38"/>
      <c r="AD131" s="38"/>
      <c r="AE131" s="38"/>
      <c r="AF131" s="38"/>
      <c r="AG131" s="38"/>
      <c r="AH131" s="38"/>
      <c r="AI131" s="38"/>
      <c r="AJ131" s="38"/>
      <c r="AK131" s="38"/>
      <c r="AL131" s="38"/>
      <c r="AM131" s="38"/>
      <c r="AN131" s="38"/>
      <c r="AO131" s="38"/>
      <c r="AP131" s="38"/>
      <c r="AQ131" s="38"/>
      <c r="AR131" s="38"/>
      <c r="AS131" s="38"/>
      <c r="AT131" s="38"/>
      <c r="AU131" s="38"/>
      <c r="AV131" s="38"/>
      <c r="AW131" s="38"/>
      <c r="AX131" s="38"/>
      <c r="AY131" s="38"/>
      <c r="AZ131" s="38"/>
      <c r="BA131" s="38"/>
      <c r="BB131" s="38"/>
      <c r="BC131" s="38"/>
      <c r="BD131" s="38"/>
      <c r="BE131" s="38"/>
      <c r="BF131" s="38"/>
      <c r="BG131" s="38"/>
      <c r="BH131" s="38"/>
      <c r="BI131" s="38"/>
      <c r="BJ131" s="38"/>
      <c r="BK131" s="38"/>
      <c r="BL131" s="38"/>
      <c r="BM131" s="38"/>
      <c r="BN131" s="38"/>
      <c r="BO131" s="38"/>
      <c r="BP131" s="38"/>
      <c r="BQ131" s="38"/>
      <c r="BR131" s="38"/>
      <c r="BS131" s="38"/>
      <c r="BT131" s="38"/>
      <c r="BU131" s="38"/>
      <c r="BV131" s="38"/>
      <c r="BW131" s="38"/>
      <c r="BX131" s="38"/>
      <c r="BY131" s="38"/>
      <c r="BZ131" s="38"/>
      <c r="CA131" s="38"/>
      <c r="CB131" s="38"/>
      <c r="CC131" s="38"/>
      <c r="CD131" s="38"/>
      <c r="CE131" s="38"/>
      <c r="CF131" s="38"/>
      <c r="CG131" s="38"/>
      <c r="CH131" s="38"/>
      <c r="CI131" s="38"/>
      <c r="CJ131" s="38"/>
      <c r="CK131" s="38"/>
      <c r="CL131" s="38"/>
      <c r="CM131" s="38"/>
      <c r="CN131" s="38"/>
      <c r="CO131" s="38"/>
      <c r="CP131" s="38"/>
      <c r="CQ131" s="38"/>
      <c r="CR131" s="38"/>
      <c r="CS131" s="38"/>
      <c r="CT131" s="38"/>
      <c r="CU131" s="38"/>
      <c r="CV131" s="38"/>
      <c r="CW131" s="38"/>
      <c r="CX131" s="38"/>
      <c r="CY131" s="38"/>
      <c r="CZ131" s="38"/>
      <c r="DA131" s="38"/>
      <c r="DB131" s="38"/>
      <c r="DC131" s="38"/>
      <c r="DD131" s="38"/>
      <c r="DE131" s="38"/>
      <c r="DF131" s="38"/>
      <c r="DG131" s="38"/>
      <c r="DH131" s="38"/>
      <c r="DI131" s="38"/>
      <c r="DJ131" s="38"/>
      <c r="DK131" s="38"/>
      <c r="DL131" s="38"/>
      <c r="DM131" s="38"/>
      <c r="DN131" s="38"/>
      <c r="DO131" s="38"/>
      <c r="DP131" s="38"/>
      <c r="DQ131" s="38"/>
      <c r="DR131" s="38"/>
      <c r="DS131" s="38"/>
      <c r="DT131" s="38"/>
      <c r="DU131" s="38"/>
      <c r="DV131" s="38"/>
      <c r="DW131" s="38"/>
      <c r="DX131" s="38"/>
      <c r="DY131" s="38"/>
      <c r="DZ131" s="38"/>
      <c r="EA131" s="38"/>
      <c r="EB131" s="38"/>
      <c r="EC131" s="38"/>
      <c r="ED131" s="38"/>
      <c r="EE131" s="38"/>
      <c r="EF131" s="38"/>
      <c r="EG131" s="38"/>
      <c r="EH131" s="38"/>
      <c r="EI131" s="38"/>
      <c r="EJ131" s="38"/>
      <c r="EK131" s="38"/>
      <c r="EL131" s="38"/>
      <c r="EM131" s="38"/>
      <c r="EN131" s="38"/>
      <c r="EP131" s="24"/>
      <c r="EQ131" s="24"/>
      <c r="ER131" s="24"/>
      <c r="ES131" s="24"/>
      <c r="ET131" s="24"/>
      <c r="EU131" s="33"/>
      <c r="EV131" s="24"/>
      <c r="EW131" s="47"/>
      <c r="EX131" s="30"/>
      <c r="EY131" s="30"/>
      <c r="EZ131" s="30"/>
      <c r="FA131" s="30"/>
      <c r="FB131" s="30"/>
      <c r="FC131" s="30"/>
      <c r="FD131" s="30"/>
      <c r="FE131" s="30"/>
      <c r="FF131" s="30"/>
      <c r="FG131" s="30"/>
      <c r="FH131" s="30"/>
      <c r="FI131" s="30"/>
      <c r="FJ131" s="30"/>
      <c r="FK131" s="30"/>
      <c r="FL131" s="30"/>
      <c r="FM131" s="30"/>
      <c r="FN131" s="30"/>
      <c r="FO131" s="30"/>
      <c r="FP131" s="30"/>
      <c r="FQ131" s="30"/>
      <c r="FR131" s="30"/>
      <c r="FS131" s="30"/>
      <c r="FT131" s="30"/>
      <c r="FU131" s="30"/>
      <c r="FV131" s="30"/>
      <c r="FW131" s="30"/>
      <c r="FX131" s="30"/>
      <c r="FY131" s="30"/>
      <c r="FZ131" s="30"/>
      <c r="GA131" s="30"/>
      <c r="GB131" s="30"/>
      <c r="GC131" s="30"/>
      <c r="GD131" s="30"/>
      <c r="GE131" s="30"/>
      <c r="GF131" s="30"/>
      <c r="GG131" s="30"/>
      <c r="GH131" s="30"/>
      <c r="GI131" s="30"/>
      <c r="GJ131" s="30"/>
      <c r="GK131" s="30"/>
      <c r="GL131" s="30"/>
      <c r="GM131" s="30"/>
      <c r="GN131" s="30"/>
      <c r="GO131" s="30"/>
      <c r="GP131" s="30"/>
      <c r="GQ131" s="30"/>
      <c r="GR131" s="30"/>
      <c r="GS131" s="30"/>
      <c r="GT131" s="30"/>
      <c r="GU131" s="30"/>
      <c r="GV131" s="30"/>
      <c r="GW131" s="30"/>
      <c r="GX131" s="30"/>
      <c r="GY131" s="30"/>
      <c r="GZ131" s="30"/>
      <c r="HA131" s="30"/>
      <c r="HB131" s="30"/>
      <c r="HC131" s="30"/>
      <c r="HD131" s="30"/>
      <c r="HE131" s="30"/>
      <c r="HF131" s="30"/>
      <c r="HG131" s="30"/>
      <c r="HH131" s="30"/>
      <c r="HI131" s="30"/>
      <c r="HJ131" s="30"/>
      <c r="HK131" s="30"/>
      <c r="HL131" s="30"/>
      <c r="HM131" s="30"/>
      <c r="HN131" s="30"/>
      <c r="HO131" s="30"/>
      <c r="HP131" s="30"/>
      <c r="HQ131" s="30"/>
      <c r="HR131" s="30"/>
      <c r="HS131" s="30"/>
      <c r="HT131" s="30"/>
      <c r="HU131" s="30"/>
      <c r="HV131" s="30"/>
      <c r="HW131" s="30"/>
      <c r="HX131" s="30"/>
      <c r="HY131" s="30"/>
      <c r="HZ131" s="30"/>
      <c r="IA131" s="30"/>
      <c r="IB131" s="30"/>
      <c r="IC131" s="30"/>
      <c r="ID131" s="30"/>
      <c r="IE131" s="30"/>
      <c r="IF131" s="30"/>
      <c r="IG131" s="30"/>
      <c r="IH131" s="30"/>
      <c r="II131" s="30"/>
      <c r="IJ131" s="30"/>
      <c r="IK131" s="30"/>
      <c r="IL131" s="30"/>
      <c r="IM131" s="30"/>
      <c r="IN131" s="30"/>
      <c r="IO131" s="30"/>
      <c r="IP131" s="30"/>
      <c r="IQ131" s="30"/>
      <c r="IR131" s="30"/>
      <c r="IS131" s="30"/>
      <c r="IT131" s="30"/>
      <c r="IU131" s="30"/>
      <c r="IV131" s="30"/>
      <c r="IW131" s="30"/>
      <c r="IX131" s="30"/>
      <c r="IY131" s="30"/>
      <c r="IZ131" s="30"/>
      <c r="JA131" s="30"/>
      <c r="JB131" s="30"/>
      <c r="JC131" s="30"/>
      <c r="JD131" s="30"/>
      <c r="JE131" s="30"/>
      <c r="JF131" s="30"/>
      <c r="JG131" s="30"/>
      <c r="JH131" s="30"/>
      <c r="JI131" s="30"/>
      <c r="JJ131" s="30"/>
      <c r="JK131" s="30"/>
      <c r="JL131" s="30"/>
      <c r="JM131" s="30"/>
      <c r="JN131" s="30"/>
      <c r="JO131" s="30"/>
      <c r="JP131" s="30"/>
      <c r="JQ131" s="30"/>
      <c r="JR131" s="30"/>
      <c r="JS131" s="30"/>
      <c r="JT131" s="30"/>
      <c r="JU131" s="30"/>
      <c r="JV131" s="30"/>
      <c r="JW131" s="30"/>
      <c r="JX131" s="30"/>
    </row>
    <row r="132" spans="1:284" s="7" customFormat="1" x14ac:dyDescent="0.2">
      <c r="A132" s="406"/>
      <c r="B132" s="100" t="s">
        <v>163</v>
      </c>
      <c r="C132" s="120"/>
      <c r="D132" s="120"/>
      <c r="E132" s="102" t="s">
        <v>150</v>
      </c>
      <c r="F132" s="102"/>
      <c r="G132" s="102" t="s">
        <v>151</v>
      </c>
      <c r="H132" s="116" t="s">
        <v>130</v>
      </c>
      <c r="I132" s="102" t="s">
        <v>129</v>
      </c>
      <c r="AQ132" s="572"/>
      <c r="EP132" s="24"/>
      <c r="EQ132" s="24"/>
      <c r="ER132" s="24"/>
      <c r="ES132" s="24"/>
      <c r="ET132" s="24"/>
      <c r="EU132" s="33"/>
      <c r="EV132" s="24"/>
      <c r="EW132" s="24"/>
      <c r="EX132" s="24"/>
      <c r="EY132" s="24"/>
      <c r="EZ132" s="24"/>
      <c r="FA132" s="24"/>
      <c r="FB132" s="24"/>
      <c r="FC132" s="24"/>
      <c r="FD132" s="24"/>
      <c r="FE132" s="24"/>
      <c r="FF132" s="24"/>
      <c r="FG132" s="24"/>
      <c r="FH132" s="24"/>
      <c r="FI132" s="24"/>
      <c r="FJ132" s="24"/>
      <c r="FK132" s="24"/>
      <c r="FL132" s="24"/>
      <c r="FM132" s="24"/>
      <c r="FN132" s="24"/>
      <c r="FO132" s="24"/>
      <c r="FP132" s="24"/>
      <c r="FQ132" s="24"/>
      <c r="FR132" s="24"/>
      <c r="FS132" s="24"/>
      <c r="FT132" s="24"/>
      <c r="FU132" s="24"/>
      <c r="FV132" s="24"/>
      <c r="FW132" s="24"/>
      <c r="FX132" s="24"/>
      <c r="FY132" s="24"/>
      <c r="FZ132" s="24"/>
      <c r="GA132" s="24"/>
      <c r="GB132" s="24"/>
      <c r="GC132" s="24"/>
      <c r="GD132" s="24"/>
      <c r="GE132" s="24"/>
      <c r="GF132" s="24"/>
      <c r="GG132" s="24"/>
      <c r="GH132" s="24"/>
      <c r="GI132" s="24"/>
      <c r="GJ132" s="24"/>
      <c r="GK132" s="24"/>
      <c r="GL132" s="24"/>
      <c r="GM132" s="24"/>
      <c r="GN132" s="24"/>
      <c r="GO132" s="24"/>
      <c r="GP132" s="24"/>
      <c r="GQ132" s="24"/>
      <c r="GR132" s="24"/>
      <c r="GS132" s="24"/>
      <c r="GT132" s="24"/>
      <c r="GU132" s="24"/>
      <c r="GV132" s="24"/>
      <c r="GW132" s="24"/>
      <c r="GX132" s="24"/>
      <c r="GY132" s="24"/>
      <c r="GZ132" s="24"/>
      <c r="HA132" s="24"/>
      <c r="HB132" s="24"/>
      <c r="HC132" s="24"/>
      <c r="HD132" s="24"/>
      <c r="HE132" s="24"/>
      <c r="HF132" s="24"/>
      <c r="HG132" s="24"/>
      <c r="HH132" s="24"/>
      <c r="HI132" s="24"/>
      <c r="HJ132" s="24"/>
      <c r="HK132" s="24"/>
      <c r="HL132" s="24"/>
      <c r="HM132" s="24"/>
      <c r="HN132" s="24"/>
      <c r="HO132" s="24"/>
      <c r="HP132" s="24"/>
      <c r="HQ132" s="24"/>
      <c r="HR132" s="24"/>
      <c r="HS132" s="24"/>
      <c r="HT132" s="24"/>
      <c r="HU132" s="24"/>
      <c r="HV132" s="24"/>
      <c r="HW132" s="24"/>
      <c r="HX132" s="24"/>
      <c r="HY132" s="24"/>
      <c r="HZ132" s="24"/>
      <c r="IA132" s="24"/>
      <c r="IB132" s="24"/>
      <c r="IC132" s="24"/>
      <c r="ID132" s="24"/>
      <c r="IE132" s="24"/>
      <c r="IF132" s="24"/>
      <c r="IG132" s="24"/>
      <c r="IH132" s="24"/>
      <c r="II132" s="24"/>
      <c r="IJ132" s="24"/>
      <c r="IK132" s="24"/>
      <c r="IL132" s="24"/>
      <c r="IM132" s="24"/>
      <c r="IN132" s="24"/>
      <c r="IO132" s="24"/>
      <c r="IP132" s="24"/>
      <c r="IQ132" s="24"/>
      <c r="IR132" s="24"/>
      <c r="IS132" s="24"/>
      <c r="IT132" s="24"/>
      <c r="IU132" s="24"/>
      <c r="IV132" s="24"/>
      <c r="IW132" s="24"/>
      <c r="IX132" s="24"/>
      <c r="IY132" s="24"/>
      <c r="IZ132" s="24"/>
      <c r="JA132" s="24"/>
      <c r="JB132" s="24"/>
      <c r="JC132" s="24"/>
      <c r="JD132" s="24"/>
      <c r="JE132" s="24"/>
      <c r="JF132" s="24"/>
      <c r="JG132" s="24"/>
      <c r="JH132" s="24"/>
      <c r="JI132" s="24"/>
      <c r="JJ132" s="24"/>
      <c r="JK132" s="24"/>
      <c r="JL132" s="24"/>
      <c r="JM132" s="24"/>
      <c r="JN132" s="24"/>
      <c r="JO132" s="24"/>
      <c r="JP132" s="24"/>
      <c r="JQ132" s="24"/>
      <c r="JR132" s="24"/>
      <c r="JS132" s="24"/>
      <c r="JT132" s="24"/>
      <c r="JU132" s="24"/>
      <c r="JV132" s="24"/>
      <c r="JW132" s="24"/>
      <c r="JX132" s="24"/>
    </row>
    <row r="133" spans="1:284" s="7" customFormat="1" x14ac:dyDescent="0.2">
      <c r="A133" s="406"/>
      <c r="B133" s="103" t="s">
        <v>164</v>
      </c>
      <c r="C133" s="120"/>
      <c r="D133" s="120"/>
      <c r="E133" s="176">
        <v>0</v>
      </c>
      <c r="F133" s="176"/>
      <c r="G133" s="122">
        <f>I133/$I$111</f>
        <v>9.8222300513690058E-3</v>
      </c>
      <c r="H133" s="124">
        <v>200</v>
      </c>
      <c r="I133" s="136">
        <f>+H133*Units</f>
        <v>60000</v>
      </c>
      <c r="M133" s="38">
        <f t="shared" ref="M133:V134" si="607">$I133/12*M$84*(1+$D$114)^(EW$113-1)</f>
        <v>0</v>
      </c>
      <c r="N133" s="38">
        <f t="shared" si="607"/>
        <v>0</v>
      </c>
      <c r="O133" s="38">
        <f t="shared" si="607"/>
        <v>0</v>
      </c>
      <c r="P133" s="38">
        <f t="shared" si="607"/>
        <v>0</v>
      </c>
      <c r="Q133" s="38">
        <f t="shared" si="607"/>
        <v>0</v>
      </c>
      <c r="R133" s="38">
        <f t="shared" si="607"/>
        <v>0</v>
      </c>
      <c r="S133" s="38">
        <f t="shared" si="607"/>
        <v>0</v>
      </c>
      <c r="T133" s="38">
        <f t="shared" si="607"/>
        <v>0</v>
      </c>
      <c r="U133" s="38">
        <f t="shared" si="607"/>
        <v>0</v>
      </c>
      <c r="V133" s="38">
        <f t="shared" si="607"/>
        <v>0</v>
      </c>
      <c r="W133" s="38">
        <f t="shared" ref="W133:AF134" si="608">$I133/12*W$84*(1+$D$114)^(FG$113-1)</f>
        <v>0</v>
      </c>
      <c r="X133" s="38">
        <f t="shared" si="608"/>
        <v>0</v>
      </c>
      <c r="Y133" s="38">
        <f t="shared" si="608"/>
        <v>0</v>
      </c>
      <c r="Z133" s="38">
        <f t="shared" si="608"/>
        <v>0</v>
      </c>
      <c r="AA133" s="38">
        <f t="shared" si="608"/>
        <v>0</v>
      </c>
      <c r="AB133" s="38">
        <f t="shared" si="608"/>
        <v>0</v>
      </c>
      <c r="AC133" s="38">
        <f t="shared" si="608"/>
        <v>0</v>
      </c>
      <c r="AD133" s="38">
        <f t="shared" si="608"/>
        <v>0</v>
      </c>
      <c r="AE133" s="38">
        <f t="shared" si="608"/>
        <v>499.99999999999989</v>
      </c>
      <c r="AF133" s="38">
        <f t="shared" si="608"/>
        <v>833.33333333333314</v>
      </c>
      <c r="AG133" s="38">
        <f t="shared" ref="AG133:AP134" si="609">$I133/12*AG$84*(1+$D$114)^(FQ$113-1)</f>
        <v>1166.6666666666665</v>
      </c>
      <c r="AH133" s="38">
        <f t="shared" si="609"/>
        <v>1500.0000000000002</v>
      </c>
      <c r="AI133" s="38">
        <f t="shared" si="609"/>
        <v>1833.3333333333335</v>
      </c>
      <c r="AJ133" s="38">
        <f t="shared" si="609"/>
        <v>2166.6666666666665</v>
      </c>
      <c r="AK133" s="38">
        <f t="shared" si="609"/>
        <v>2500</v>
      </c>
      <c r="AL133" s="38">
        <f t="shared" si="609"/>
        <v>2833.3333333333335</v>
      </c>
      <c r="AM133" s="38">
        <f t="shared" si="609"/>
        <v>3166.6666666666665</v>
      </c>
      <c r="AN133" s="38">
        <f t="shared" si="609"/>
        <v>3500</v>
      </c>
      <c r="AO133" s="38">
        <f t="shared" si="609"/>
        <v>3833.333333333333</v>
      </c>
      <c r="AP133" s="38">
        <f t="shared" si="609"/>
        <v>4166.666666666667</v>
      </c>
      <c r="AQ133" s="38">
        <f t="shared" ref="AQ133:AZ134" si="610">$I133/12*AQ$84*(1+$D$114)^(GA$113-1)</f>
        <v>4635</v>
      </c>
      <c r="AR133" s="38">
        <f t="shared" si="610"/>
        <v>4978.333333333333</v>
      </c>
      <c r="AS133" s="38">
        <f t="shared" si="610"/>
        <v>5150</v>
      </c>
      <c r="AT133" s="38">
        <f t="shared" si="610"/>
        <v>5150</v>
      </c>
      <c r="AU133" s="38">
        <f t="shared" si="610"/>
        <v>5150</v>
      </c>
      <c r="AV133" s="38">
        <f t="shared" si="610"/>
        <v>5150</v>
      </c>
      <c r="AW133" s="38">
        <f t="shared" si="610"/>
        <v>5150</v>
      </c>
      <c r="AX133" s="38">
        <f t="shared" si="610"/>
        <v>5150</v>
      </c>
      <c r="AY133" s="38">
        <f t="shared" si="610"/>
        <v>5150</v>
      </c>
      <c r="AZ133" s="38">
        <f t="shared" si="610"/>
        <v>5150</v>
      </c>
      <c r="BA133" s="38">
        <f t="shared" ref="BA133:BJ134" si="611">$I133/12*BA$84*(1+$D$114)^(GK$113-1)</f>
        <v>5150</v>
      </c>
      <c r="BB133" s="38">
        <f t="shared" si="611"/>
        <v>5150</v>
      </c>
      <c r="BC133" s="38">
        <f t="shared" si="611"/>
        <v>5304.5</v>
      </c>
      <c r="BD133" s="38">
        <f t="shared" si="611"/>
        <v>5304.5</v>
      </c>
      <c r="BE133" s="38">
        <f t="shared" si="611"/>
        <v>5304.5</v>
      </c>
      <c r="BF133" s="38">
        <f t="shared" si="611"/>
        <v>5304.5</v>
      </c>
      <c r="BG133" s="38">
        <f t="shared" si="611"/>
        <v>5304.5</v>
      </c>
      <c r="BH133" s="38">
        <f t="shared" si="611"/>
        <v>5304.5</v>
      </c>
      <c r="BI133" s="38">
        <f t="shared" si="611"/>
        <v>5304.5</v>
      </c>
      <c r="BJ133" s="38">
        <f t="shared" si="611"/>
        <v>5304.5</v>
      </c>
      <c r="BK133" s="38">
        <f t="shared" ref="BK133:BT134" si="612">$I133/12*BK$84*(1+$D$114)^(GU$113-1)</f>
        <v>5304.5</v>
      </c>
      <c r="BL133" s="38">
        <f t="shared" si="612"/>
        <v>5304.5</v>
      </c>
      <c r="BM133" s="38">
        <f t="shared" si="612"/>
        <v>5304.5</v>
      </c>
      <c r="BN133" s="38">
        <f t="shared" si="612"/>
        <v>5304.5</v>
      </c>
      <c r="BO133" s="38">
        <f t="shared" si="612"/>
        <v>5463.6350000000002</v>
      </c>
      <c r="BP133" s="38">
        <f t="shared" si="612"/>
        <v>5463.6350000000002</v>
      </c>
      <c r="BQ133" s="38">
        <f t="shared" si="612"/>
        <v>5463.6350000000002</v>
      </c>
      <c r="BR133" s="38">
        <f t="shared" si="612"/>
        <v>5463.6350000000002</v>
      </c>
      <c r="BS133" s="38">
        <f t="shared" si="612"/>
        <v>5463.6350000000002</v>
      </c>
      <c r="BT133" s="38">
        <f t="shared" si="612"/>
        <v>5463.6350000000002</v>
      </c>
      <c r="BU133" s="38">
        <f t="shared" ref="BU133:CD134" si="613">$I133/12*BU$84*(1+$D$114)^(HE$113-1)</f>
        <v>5463.6350000000002</v>
      </c>
      <c r="BV133" s="38">
        <f t="shared" si="613"/>
        <v>5463.6350000000002</v>
      </c>
      <c r="BW133" s="38">
        <f t="shared" si="613"/>
        <v>5463.6350000000002</v>
      </c>
      <c r="BX133" s="38">
        <f t="shared" si="613"/>
        <v>5463.6350000000002</v>
      </c>
      <c r="BY133" s="38">
        <f t="shared" si="613"/>
        <v>5463.6350000000002</v>
      </c>
      <c r="BZ133" s="38">
        <f t="shared" si="613"/>
        <v>5463.6350000000002</v>
      </c>
      <c r="CA133" s="38">
        <f t="shared" si="613"/>
        <v>5627.5440499999995</v>
      </c>
      <c r="CB133" s="38">
        <f t="shared" si="613"/>
        <v>5627.5440499999995</v>
      </c>
      <c r="CC133" s="38">
        <f t="shared" si="613"/>
        <v>5627.5440499999995</v>
      </c>
      <c r="CD133" s="38">
        <f t="shared" si="613"/>
        <v>5627.5440499999995</v>
      </c>
      <c r="CE133" s="38">
        <f t="shared" ref="CE133:CN134" si="614">$I133/12*CE$84*(1+$D$114)^(HO$113-1)</f>
        <v>5627.5440499999995</v>
      </c>
      <c r="CF133" s="38">
        <f t="shared" si="614"/>
        <v>5627.5440499999995</v>
      </c>
      <c r="CG133" s="38">
        <f t="shared" si="614"/>
        <v>5627.5440499999995</v>
      </c>
      <c r="CH133" s="38">
        <f t="shared" si="614"/>
        <v>5627.5440499999995</v>
      </c>
      <c r="CI133" s="38">
        <f t="shared" si="614"/>
        <v>5627.5440499999995</v>
      </c>
      <c r="CJ133" s="38">
        <f t="shared" si="614"/>
        <v>5627.5440499999995</v>
      </c>
      <c r="CK133" s="38">
        <f t="shared" si="614"/>
        <v>5627.5440499999995</v>
      </c>
      <c r="CL133" s="38">
        <f t="shared" si="614"/>
        <v>5627.5440499999995</v>
      </c>
      <c r="CM133" s="38">
        <f t="shared" si="614"/>
        <v>5796.3703714999992</v>
      </c>
      <c r="CN133" s="38">
        <f t="shared" si="614"/>
        <v>5796.3703714999992</v>
      </c>
      <c r="CO133" s="38">
        <f t="shared" ref="CO133:CX134" si="615">$I133/12*CO$84*(1+$D$114)^(HY$113-1)</f>
        <v>5796.3703714999992</v>
      </c>
      <c r="CP133" s="38">
        <f t="shared" si="615"/>
        <v>5796.3703714999992</v>
      </c>
      <c r="CQ133" s="38">
        <f t="shared" si="615"/>
        <v>5796.3703714999992</v>
      </c>
      <c r="CR133" s="38">
        <f t="shared" si="615"/>
        <v>5796.3703714999992</v>
      </c>
      <c r="CS133" s="38">
        <f t="shared" si="615"/>
        <v>5796.3703714999992</v>
      </c>
      <c r="CT133" s="38">
        <f t="shared" si="615"/>
        <v>5796.3703714999992</v>
      </c>
      <c r="CU133" s="38">
        <f t="shared" si="615"/>
        <v>5796.3703714999992</v>
      </c>
      <c r="CV133" s="38">
        <f t="shared" si="615"/>
        <v>5796.3703714999992</v>
      </c>
      <c r="CW133" s="38">
        <f t="shared" si="615"/>
        <v>5796.3703714999992</v>
      </c>
      <c r="CX133" s="38">
        <f t="shared" si="615"/>
        <v>5796.3703714999992</v>
      </c>
      <c r="CY133" s="38">
        <f t="shared" ref="CY133:DH134" si="616">$I133/12*CY$84*(1+$D$114)^(II$113-1)</f>
        <v>5970.2614826449999</v>
      </c>
      <c r="CZ133" s="38">
        <f t="shared" si="616"/>
        <v>5970.2614826449999</v>
      </c>
      <c r="DA133" s="38">
        <f t="shared" si="616"/>
        <v>5970.2614826449999</v>
      </c>
      <c r="DB133" s="38">
        <f t="shared" si="616"/>
        <v>5970.2614826449999</v>
      </c>
      <c r="DC133" s="38">
        <f t="shared" si="616"/>
        <v>5970.2614826449999</v>
      </c>
      <c r="DD133" s="38">
        <f t="shared" si="616"/>
        <v>5970.2614826449999</v>
      </c>
      <c r="DE133" s="38">
        <f t="shared" si="616"/>
        <v>5970.2614826449999</v>
      </c>
      <c r="DF133" s="38">
        <f t="shared" si="616"/>
        <v>5970.2614826449999</v>
      </c>
      <c r="DG133" s="38">
        <f t="shared" si="616"/>
        <v>5970.2614826449999</v>
      </c>
      <c r="DH133" s="38">
        <f t="shared" si="616"/>
        <v>5970.2614826449999</v>
      </c>
      <c r="DI133" s="38">
        <f t="shared" ref="DI133:DR134" si="617">$I133/12*DI$84*(1+$D$114)^(IS$113-1)</f>
        <v>5970.2614826449999</v>
      </c>
      <c r="DJ133" s="38">
        <f t="shared" si="617"/>
        <v>5970.2614826449999</v>
      </c>
      <c r="DK133" s="38">
        <f t="shared" si="617"/>
        <v>6149.3693271243501</v>
      </c>
      <c r="DL133" s="38">
        <f t="shared" si="617"/>
        <v>6149.3693271243501</v>
      </c>
      <c r="DM133" s="38">
        <f t="shared" si="617"/>
        <v>6149.3693271243501</v>
      </c>
      <c r="DN133" s="38">
        <f t="shared" si="617"/>
        <v>6149.3693271243501</v>
      </c>
      <c r="DO133" s="38">
        <f t="shared" si="617"/>
        <v>6149.3693271243501</v>
      </c>
      <c r="DP133" s="38">
        <f t="shared" si="617"/>
        <v>6149.3693271243501</v>
      </c>
      <c r="DQ133" s="38">
        <f t="shared" si="617"/>
        <v>6149.3693271243501</v>
      </c>
      <c r="DR133" s="38">
        <f t="shared" si="617"/>
        <v>6149.3693271243501</v>
      </c>
      <c r="DS133" s="38">
        <f t="shared" ref="DS133:EB134" si="618">$I133/12*DS$84*(1+$D$114)^(JC$113-1)</f>
        <v>6149.3693271243501</v>
      </c>
      <c r="DT133" s="38">
        <f t="shared" si="618"/>
        <v>6149.3693271243501</v>
      </c>
      <c r="DU133" s="38">
        <f t="shared" si="618"/>
        <v>6149.3693271243501</v>
      </c>
      <c r="DV133" s="38">
        <f t="shared" si="618"/>
        <v>6149.3693271243501</v>
      </c>
      <c r="DW133" s="38">
        <f t="shared" si="618"/>
        <v>6333.8504069380797</v>
      </c>
      <c r="DX133" s="38">
        <f t="shared" si="618"/>
        <v>6333.8504069380797</v>
      </c>
      <c r="DY133" s="38">
        <f t="shared" si="618"/>
        <v>6333.8504069380797</v>
      </c>
      <c r="DZ133" s="38">
        <f t="shared" si="618"/>
        <v>6333.8504069380797</v>
      </c>
      <c r="EA133" s="38">
        <f t="shared" si="618"/>
        <v>6333.8504069380797</v>
      </c>
      <c r="EB133" s="38">
        <f t="shared" si="618"/>
        <v>6333.8504069380797</v>
      </c>
      <c r="EC133" s="38">
        <f t="shared" ref="EC133:EL134" si="619">$I133/12*EC$84*(1+$D$114)^(JM$113-1)</f>
        <v>6333.8504069380797</v>
      </c>
      <c r="ED133" s="38">
        <f t="shared" si="619"/>
        <v>6333.8504069380797</v>
      </c>
      <c r="EE133" s="38">
        <f t="shared" si="619"/>
        <v>6333.8504069380797</v>
      </c>
      <c r="EF133" s="38">
        <f t="shared" si="619"/>
        <v>6333.8504069380797</v>
      </c>
      <c r="EG133" s="38">
        <f t="shared" si="619"/>
        <v>6333.8504069380797</v>
      </c>
      <c r="EH133" s="38">
        <f t="shared" si="619"/>
        <v>6333.8504069380797</v>
      </c>
      <c r="EI133" s="38">
        <f t="shared" si="619"/>
        <v>6523.865919146222</v>
      </c>
      <c r="EJ133" s="38">
        <f t="shared" si="619"/>
        <v>6523.865919146222</v>
      </c>
      <c r="EK133" s="38">
        <f t="shared" si="619"/>
        <v>6523.865919146222</v>
      </c>
      <c r="EL133" s="38">
        <f t="shared" si="619"/>
        <v>6523.865919146222</v>
      </c>
      <c r="EM133" s="38">
        <f>$I133/12*EM$84*(1+$D$114)^(JW$113-1)</f>
        <v>6523.865919146222</v>
      </c>
      <c r="EN133" s="38">
        <f>$I133/12*EN$84*(1+$D$114)^(JX$113-1)</f>
        <v>6523.865919146222</v>
      </c>
      <c r="EP133" s="24"/>
      <c r="EQ133" s="24"/>
      <c r="ER133" s="24"/>
      <c r="ES133" s="24"/>
      <c r="ET133" s="24"/>
      <c r="EU133" s="33"/>
      <c r="EV133" s="24"/>
      <c r="EW133" s="24"/>
      <c r="EX133" s="24"/>
      <c r="EY133" s="24"/>
      <c r="EZ133" s="24"/>
      <c r="FA133" s="24"/>
      <c r="FB133" s="24"/>
      <c r="FC133" s="24"/>
      <c r="FD133" s="24"/>
      <c r="FE133" s="24"/>
      <c r="FF133" s="24"/>
      <c r="FG133" s="24"/>
      <c r="FH133" s="24"/>
      <c r="FI133" s="24"/>
      <c r="FJ133" s="24"/>
      <c r="FK133" s="24"/>
      <c r="FL133" s="24"/>
      <c r="FM133" s="24"/>
      <c r="FN133" s="24"/>
      <c r="FO133" s="24"/>
      <c r="FP133" s="24"/>
      <c r="FQ133" s="24"/>
      <c r="FR133" s="24"/>
      <c r="FS133" s="24"/>
      <c r="FT133" s="24"/>
      <c r="FU133" s="24"/>
      <c r="FV133" s="24"/>
      <c r="FW133" s="24"/>
      <c r="FX133" s="24"/>
      <c r="FY133" s="24"/>
      <c r="FZ133" s="24"/>
      <c r="GA133" s="24"/>
      <c r="GB133" s="24"/>
      <c r="GC133" s="24"/>
      <c r="GD133" s="24"/>
      <c r="GE133" s="24"/>
      <c r="GF133" s="24"/>
      <c r="GG133" s="24"/>
      <c r="GH133" s="24"/>
      <c r="GI133" s="24"/>
      <c r="GJ133" s="24"/>
      <c r="GK133" s="24"/>
      <c r="GL133" s="24"/>
      <c r="GM133" s="24"/>
      <c r="GN133" s="24"/>
      <c r="GO133" s="24"/>
      <c r="GP133" s="24"/>
      <c r="GQ133" s="24"/>
      <c r="GR133" s="24"/>
      <c r="GS133" s="24"/>
      <c r="GT133" s="24"/>
      <c r="GU133" s="24"/>
      <c r="GV133" s="24"/>
      <c r="GW133" s="24"/>
      <c r="GX133" s="24"/>
      <c r="GY133" s="24"/>
      <c r="GZ133" s="24"/>
      <c r="HA133" s="24"/>
      <c r="HB133" s="24"/>
      <c r="HC133" s="24"/>
      <c r="HD133" s="24"/>
      <c r="HE133" s="24"/>
      <c r="HF133" s="24"/>
      <c r="HG133" s="24"/>
      <c r="HH133" s="24"/>
      <c r="HI133" s="24"/>
      <c r="HJ133" s="24"/>
      <c r="HK133" s="24"/>
      <c r="HL133" s="24"/>
      <c r="HM133" s="24"/>
      <c r="HN133" s="24"/>
      <c r="HO133" s="24"/>
      <c r="HP133" s="24"/>
      <c r="HQ133" s="24"/>
      <c r="HR133" s="24"/>
      <c r="HS133" s="24"/>
      <c r="HT133" s="24"/>
      <c r="HU133" s="24"/>
      <c r="HV133" s="24"/>
      <c r="HW133" s="24"/>
      <c r="HX133" s="24"/>
      <c r="HY133" s="24"/>
      <c r="HZ133" s="24"/>
      <c r="IA133" s="24"/>
      <c r="IB133" s="24"/>
      <c r="IC133" s="24"/>
      <c r="ID133" s="24"/>
      <c r="IE133" s="24"/>
      <c r="IF133" s="24"/>
      <c r="IG133" s="24"/>
      <c r="IH133" s="24"/>
      <c r="II133" s="24"/>
      <c r="IJ133" s="24"/>
      <c r="IK133" s="24"/>
      <c r="IL133" s="24"/>
      <c r="IM133" s="24"/>
      <c r="IN133" s="24"/>
      <c r="IO133" s="24"/>
      <c r="IP133" s="24"/>
      <c r="IQ133" s="24"/>
      <c r="IR133" s="24"/>
      <c r="IS133" s="24"/>
      <c r="IT133" s="24"/>
      <c r="IU133" s="24"/>
      <c r="IV133" s="24"/>
      <c r="IW133" s="24"/>
      <c r="IX133" s="24"/>
      <c r="IY133" s="24"/>
      <c r="IZ133" s="24"/>
      <c r="JA133" s="24"/>
      <c r="JB133" s="24"/>
      <c r="JC133" s="24"/>
      <c r="JD133" s="24"/>
      <c r="JE133" s="24"/>
      <c r="JF133" s="24"/>
      <c r="JG133" s="24"/>
      <c r="JH133" s="24"/>
      <c r="JI133" s="24"/>
      <c r="JJ133" s="24"/>
      <c r="JK133" s="24"/>
      <c r="JL133" s="24"/>
      <c r="JM133" s="24"/>
      <c r="JN133" s="24"/>
      <c r="JO133" s="24"/>
      <c r="JP133" s="24"/>
      <c r="JQ133" s="24"/>
      <c r="JR133" s="24"/>
      <c r="JS133" s="24"/>
      <c r="JT133" s="24"/>
      <c r="JU133" s="24"/>
      <c r="JV133" s="24"/>
      <c r="JW133" s="24"/>
      <c r="JX133" s="24"/>
    </row>
    <row r="134" spans="1:284" s="7" customFormat="1" ht="16.5" x14ac:dyDescent="0.35">
      <c r="A134" s="406"/>
      <c r="B134" s="103" t="s">
        <v>165</v>
      </c>
      <c r="C134" s="120"/>
      <c r="D134" s="120"/>
      <c r="E134" s="176">
        <v>0</v>
      </c>
      <c r="F134" s="173" t="s">
        <v>26</v>
      </c>
      <c r="G134" s="122">
        <f>I134/$I$111</f>
        <v>0</v>
      </c>
      <c r="H134" s="123">
        <f>I134/Units</f>
        <v>0</v>
      </c>
      <c r="I134" s="124">
        <v>0</v>
      </c>
      <c r="M134" s="39">
        <f t="shared" si="607"/>
        <v>0</v>
      </c>
      <c r="N134" s="39">
        <f t="shared" si="607"/>
        <v>0</v>
      </c>
      <c r="O134" s="39">
        <f t="shared" si="607"/>
        <v>0</v>
      </c>
      <c r="P134" s="39">
        <f t="shared" si="607"/>
        <v>0</v>
      </c>
      <c r="Q134" s="39">
        <f t="shared" si="607"/>
        <v>0</v>
      </c>
      <c r="R134" s="39">
        <f t="shared" si="607"/>
        <v>0</v>
      </c>
      <c r="S134" s="39">
        <f t="shared" si="607"/>
        <v>0</v>
      </c>
      <c r="T134" s="39">
        <f t="shared" si="607"/>
        <v>0</v>
      </c>
      <c r="U134" s="39">
        <f t="shared" si="607"/>
        <v>0</v>
      </c>
      <c r="V134" s="39">
        <f t="shared" si="607"/>
        <v>0</v>
      </c>
      <c r="W134" s="39">
        <f t="shared" si="608"/>
        <v>0</v>
      </c>
      <c r="X134" s="39">
        <f t="shared" si="608"/>
        <v>0</v>
      </c>
      <c r="Y134" s="39">
        <f t="shared" si="608"/>
        <v>0</v>
      </c>
      <c r="Z134" s="39">
        <f t="shared" si="608"/>
        <v>0</v>
      </c>
      <c r="AA134" s="39">
        <f t="shared" si="608"/>
        <v>0</v>
      </c>
      <c r="AB134" s="39">
        <f t="shared" si="608"/>
        <v>0</v>
      </c>
      <c r="AC134" s="39">
        <f t="shared" si="608"/>
        <v>0</v>
      </c>
      <c r="AD134" s="39">
        <f t="shared" si="608"/>
        <v>0</v>
      </c>
      <c r="AE134" s="39">
        <f t="shared" si="608"/>
        <v>0</v>
      </c>
      <c r="AF134" s="39">
        <f t="shared" si="608"/>
        <v>0</v>
      </c>
      <c r="AG134" s="39">
        <f t="shared" si="609"/>
        <v>0</v>
      </c>
      <c r="AH134" s="39">
        <f t="shared" si="609"/>
        <v>0</v>
      </c>
      <c r="AI134" s="39">
        <f t="shared" si="609"/>
        <v>0</v>
      </c>
      <c r="AJ134" s="39">
        <f t="shared" si="609"/>
        <v>0</v>
      </c>
      <c r="AK134" s="39">
        <f t="shared" si="609"/>
        <v>0</v>
      </c>
      <c r="AL134" s="39">
        <f t="shared" si="609"/>
        <v>0</v>
      </c>
      <c r="AM134" s="39">
        <f t="shared" si="609"/>
        <v>0</v>
      </c>
      <c r="AN134" s="39">
        <f t="shared" si="609"/>
        <v>0</v>
      </c>
      <c r="AO134" s="39">
        <f t="shared" si="609"/>
        <v>0</v>
      </c>
      <c r="AP134" s="39">
        <f t="shared" si="609"/>
        <v>0</v>
      </c>
      <c r="AQ134" s="39">
        <f t="shared" si="610"/>
        <v>0</v>
      </c>
      <c r="AR134" s="39">
        <f t="shared" si="610"/>
        <v>0</v>
      </c>
      <c r="AS134" s="39">
        <f t="shared" si="610"/>
        <v>0</v>
      </c>
      <c r="AT134" s="39">
        <f t="shared" si="610"/>
        <v>0</v>
      </c>
      <c r="AU134" s="39">
        <f t="shared" si="610"/>
        <v>0</v>
      </c>
      <c r="AV134" s="39">
        <f t="shared" si="610"/>
        <v>0</v>
      </c>
      <c r="AW134" s="39">
        <f t="shared" si="610"/>
        <v>0</v>
      </c>
      <c r="AX134" s="39">
        <f t="shared" si="610"/>
        <v>0</v>
      </c>
      <c r="AY134" s="39">
        <f t="shared" si="610"/>
        <v>0</v>
      </c>
      <c r="AZ134" s="39">
        <f t="shared" si="610"/>
        <v>0</v>
      </c>
      <c r="BA134" s="39">
        <f t="shared" si="611"/>
        <v>0</v>
      </c>
      <c r="BB134" s="39">
        <f t="shared" si="611"/>
        <v>0</v>
      </c>
      <c r="BC134" s="39">
        <f t="shared" si="611"/>
        <v>0</v>
      </c>
      <c r="BD134" s="39">
        <f t="shared" si="611"/>
        <v>0</v>
      </c>
      <c r="BE134" s="39">
        <f t="shared" si="611"/>
        <v>0</v>
      </c>
      <c r="BF134" s="39">
        <f t="shared" si="611"/>
        <v>0</v>
      </c>
      <c r="BG134" s="39">
        <f t="shared" si="611"/>
        <v>0</v>
      </c>
      <c r="BH134" s="39">
        <f t="shared" si="611"/>
        <v>0</v>
      </c>
      <c r="BI134" s="39">
        <f t="shared" si="611"/>
        <v>0</v>
      </c>
      <c r="BJ134" s="39">
        <f t="shared" si="611"/>
        <v>0</v>
      </c>
      <c r="BK134" s="39">
        <f t="shared" si="612"/>
        <v>0</v>
      </c>
      <c r="BL134" s="39">
        <f t="shared" si="612"/>
        <v>0</v>
      </c>
      <c r="BM134" s="39">
        <f t="shared" si="612"/>
        <v>0</v>
      </c>
      <c r="BN134" s="39">
        <f t="shared" si="612"/>
        <v>0</v>
      </c>
      <c r="BO134" s="39">
        <f t="shared" si="612"/>
        <v>0</v>
      </c>
      <c r="BP134" s="39">
        <f t="shared" si="612"/>
        <v>0</v>
      </c>
      <c r="BQ134" s="39">
        <f t="shared" si="612"/>
        <v>0</v>
      </c>
      <c r="BR134" s="39">
        <f t="shared" si="612"/>
        <v>0</v>
      </c>
      <c r="BS134" s="39">
        <f t="shared" si="612"/>
        <v>0</v>
      </c>
      <c r="BT134" s="39">
        <f t="shared" si="612"/>
        <v>0</v>
      </c>
      <c r="BU134" s="39">
        <f t="shared" si="613"/>
        <v>0</v>
      </c>
      <c r="BV134" s="39">
        <f t="shared" si="613"/>
        <v>0</v>
      </c>
      <c r="BW134" s="39">
        <f t="shared" si="613"/>
        <v>0</v>
      </c>
      <c r="BX134" s="39">
        <f t="shared" si="613"/>
        <v>0</v>
      </c>
      <c r="BY134" s="39">
        <f t="shared" si="613"/>
        <v>0</v>
      </c>
      <c r="BZ134" s="39">
        <f t="shared" si="613"/>
        <v>0</v>
      </c>
      <c r="CA134" s="39">
        <f t="shared" si="613"/>
        <v>0</v>
      </c>
      <c r="CB134" s="39">
        <f t="shared" si="613"/>
        <v>0</v>
      </c>
      <c r="CC134" s="39">
        <f t="shared" si="613"/>
        <v>0</v>
      </c>
      <c r="CD134" s="39">
        <f t="shared" si="613"/>
        <v>0</v>
      </c>
      <c r="CE134" s="39">
        <f t="shared" si="614"/>
        <v>0</v>
      </c>
      <c r="CF134" s="39">
        <f t="shared" si="614"/>
        <v>0</v>
      </c>
      <c r="CG134" s="39">
        <f t="shared" si="614"/>
        <v>0</v>
      </c>
      <c r="CH134" s="39">
        <f t="shared" si="614"/>
        <v>0</v>
      </c>
      <c r="CI134" s="39">
        <f t="shared" si="614"/>
        <v>0</v>
      </c>
      <c r="CJ134" s="39">
        <f t="shared" si="614"/>
        <v>0</v>
      </c>
      <c r="CK134" s="39">
        <f t="shared" si="614"/>
        <v>0</v>
      </c>
      <c r="CL134" s="39">
        <f t="shared" si="614"/>
        <v>0</v>
      </c>
      <c r="CM134" s="39">
        <f t="shared" si="614"/>
        <v>0</v>
      </c>
      <c r="CN134" s="39">
        <f t="shared" si="614"/>
        <v>0</v>
      </c>
      <c r="CO134" s="39">
        <f t="shared" si="615"/>
        <v>0</v>
      </c>
      <c r="CP134" s="39">
        <f t="shared" si="615"/>
        <v>0</v>
      </c>
      <c r="CQ134" s="39">
        <f t="shared" si="615"/>
        <v>0</v>
      </c>
      <c r="CR134" s="39">
        <f t="shared" si="615"/>
        <v>0</v>
      </c>
      <c r="CS134" s="39">
        <f t="shared" si="615"/>
        <v>0</v>
      </c>
      <c r="CT134" s="39">
        <f t="shared" si="615"/>
        <v>0</v>
      </c>
      <c r="CU134" s="39">
        <f t="shared" si="615"/>
        <v>0</v>
      </c>
      <c r="CV134" s="39">
        <f t="shared" si="615"/>
        <v>0</v>
      </c>
      <c r="CW134" s="39">
        <f t="shared" si="615"/>
        <v>0</v>
      </c>
      <c r="CX134" s="39">
        <f t="shared" si="615"/>
        <v>0</v>
      </c>
      <c r="CY134" s="39">
        <f t="shared" si="616"/>
        <v>0</v>
      </c>
      <c r="CZ134" s="39">
        <f t="shared" si="616"/>
        <v>0</v>
      </c>
      <c r="DA134" s="39">
        <f t="shared" si="616"/>
        <v>0</v>
      </c>
      <c r="DB134" s="39">
        <f t="shared" si="616"/>
        <v>0</v>
      </c>
      <c r="DC134" s="39">
        <f t="shared" si="616"/>
        <v>0</v>
      </c>
      <c r="DD134" s="39">
        <f t="shared" si="616"/>
        <v>0</v>
      </c>
      <c r="DE134" s="39">
        <f t="shared" si="616"/>
        <v>0</v>
      </c>
      <c r="DF134" s="39">
        <f t="shared" si="616"/>
        <v>0</v>
      </c>
      <c r="DG134" s="39">
        <f t="shared" si="616"/>
        <v>0</v>
      </c>
      <c r="DH134" s="39">
        <f t="shared" si="616"/>
        <v>0</v>
      </c>
      <c r="DI134" s="39">
        <f t="shared" si="617"/>
        <v>0</v>
      </c>
      <c r="DJ134" s="39">
        <f t="shared" si="617"/>
        <v>0</v>
      </c>
      <c r="DK134" s="39">
        <f t="shared" si="617"/>
        <v>0</v>
      </c>
      <c r="DL134" s="39">
        <f t="shared" si="617"/>
        <v>0</v>
      </c>
      <c r="DM134" s="39">
        <f t="shared" si="617"/>
        <v>0</v>
      </c>
      <c r="DN134" s="39">
        <f t="shared" si="617"/>
        <v>0</v>
      </c>
      <c r="DO134" s="39">
        <f t="shared" si="617"/>
        <v>0</v>
      </c>
      <c r="DP134" s="39">
        <f t="shared" si="617"/>
        <v>0</v>
      </c>
      <c r="DQ134" s="39">
        <f t="shared" si="617"/>
        <v>0</v>
      </c>
      <c r="DR134" s="39">
        <f t="shared" si="617"/>
        <v>0</v>
      </c>
      <c r="DS134" s="39">
        <f t="shared" si="618"/>
        <v>0</v>
      </c>
      <c r="DT134" s="39">
        <f t="shared" si="618"/>
        <v>0</v>
      </c>
      <c r="DU134" s="39">
        <f t="shared" si="618"/>
        <v>0</v>
      </c>
      <c r="DV134" s="39">
        <f t="shared" si="618"/>
        <v>0</v>
      </c>
      <c r="DW134" s="39">
        <f t="shared" si="618"/>
        <v>0</v>
      </c>
      <c r="DX134" s="39">
        <f t="shared" si="618"/>
        <v>0</v>
      </c>
      <c r="DY134" s="39">
        <f t="shared" si="618"/>
        <v>0</v>
      </c>
      <c r="DZ134" s="39">
        <f t="shared" si="618"/>
        <v>0</v>
      </c>
      <c r="EA134" s="39">
        <f t="shared" si="618"/>
        <v>0</v>
      </c>
      <c r="EB134" s="39">
        <f t="shared" si="618"/>
        <v>0</v>
      </c>
      <c r="EC134" s="39">
        <f t="shared" si="619"/>
        <v>0</v>
      </c>
      <c r="ED134" s="39">
        <f t="shared" si="619"/>
        <v>0</v>
      </c>
      <c r="EE134" s="39">
        <f t="shared" si="619"/>
        <v>0</v>
      </c>
      <c r="EF134" s="39">
        <f t="shared" si="619"/>
        <v>0</v>
      </c>
      <c r="EG134" s="39">
        <f t="shared" si="619"/>
        <v>0</v>
      </c>
      <c r="EH134" s="39">
        <f t="shared" si="619"/>
        <v>0</v>
      </c>
      <c r="EI134" s="39">
        <f t="shared" si="619"/>
        <v>0</v>
      </c>
      <c r="EJ134" s="39">
        <f t="shared" si="619"/>
        <v>0</v>
      </c>
      <c r="EK134" s="39">
        <f t="shared" si="619"/>
        <v>0</v>
      </c>
      <c r="EL134" s="39">
        <f t="shared" si="619"/>
        <v>0</v>
      </c>
      <c r="EM134" s="39">
        <f>$I134/12*EM$84*(1+$D$114)^(JW$113-1)</f>
        <v>0</v>
      </c>
      <c r="EN134" s="39">
        <f>$I134/12*EN$84*(1+$D$114)^(JX$113-1)</f>
        <v>0</v>
      </c>
      <c r="EP134" s="24"/>
      <c r="EQ134" s="24"/>
      <c r="ER134" s="24"/>
      <c r="ES134" s="24"/>
      <c r="ET134" s="24"/>
      <c r="EU134" s="33"/>
      <c r="EV134" s="24"/>
      <c r="EW134" s="24"/>
      <c r="EX134" s="24"/>
      <c r="EY134" s="24"/>
      <c r="EZ134" s="24"/>
      <c r="FA134" s="24"/>
      <c r="FB134" s="24"/>
      <c r="FC134" s="24"/>
      <c r="FD134" s="24"/>
      <c r="FE134" s="24"/>
      <c r="FF134" s="24"/>
      <c r="FG134" s="24"/>
      <c r="FH134" s="24"/>
      <c r="FI134" s="24"/>
      <c r="FJ134" s="24"/>
      <c r="FK134" s="24"/>
      <c r="FL134" s="24"/>
      <c r="FM134" s="24"/>
      <c r="FN134" s="24"/>
      <c r="FO134" s="24"/>
      <c r="FP134" s="24"/>
      <c r="FQ134" s="24"/>
      <c r="FR134" s="24"/>
      <c r="FS134" s="24"/>
      <c r="FT134" s="24"/>
      <c r="FU134" s="24"/>
      <c r="FV134" s="24"/>
      <c r="FW134" s="24"/>
      <c r="FX134" s="24"/>
      <c r="FY134" s="24"/>
      <c r="FZ134" s="24"/>
      <c r="GA134" s="24"/>
      <c r="GB134" s="24"/>
      <c r="GC134" s="24"/>
      <c r="GD134" s="24"/>
      <c r="GE134" s="24"/>
      <c r="GF134" s="24"/>
      <c r="GG134" s="24"/>
      <c r="GH134" s="24"/>
      <c r="GI134" s="24"/>
      <c r="GJ134" s="24"/>
      <c r="GK134" s="24"/>
      <c r="GL134" s="24"/>
      <c r="GM134" s="24"/>
      <c r="GN134" s="24"/>
      <c r="GO134" s="24"/>
      <c r="GP134" s="24"/>
      <c r="GQ134" s="24"/>
      <c r="GR134" s="24"/>
      <c r="GS134" s="24"/>
      <c r="GT134" s="24"/>
      <c r="GU134" s="24"/>
      <c r="GV134" s="24"/>
      <c r="GW134" s="24"/>
      <c r="GX134" s="24"/>
      <c r="GY134" s="24"/>
      <c r="GZ134" s="24"/>
      <c r="HA134" s="24"/>
      <c r="HB134" s="24"/>
      <c r="HC134" s="24"/>
      <c r="HD134" s="24"/>
      <c r="HE134" s="24"/>
      <c r="HF134" s="24"/>
      <c r="HG134" s="24"/>
      <c r="HH134" s="24"/>
      <c r="HI134" s="24"/>
      <c r="HJ134" s="24"/>
      <c r="HK134" s="24"/>
      <c r="HL134" s="24"/>
      <c r="HM134" s="24"/>
      <c r="HN134" s="24"/>
      <c r="HO134" s="24"/>
      <c r="HP134" s="24"/>
      <c r="HQ134" s="24"/>
      <c r="HR134" s="24"/>
      <c r="HS134" s="24"/>
      <c r="HT134" s="24"/>
      <c r="HU134" s="24"/>
      <c r="HV134" s="24"/>
      <c r="HW134" s="24"/>
      <c r="HX134" s="24"/>
      <c r="HY134" s="24"/>
      <c r="HZ134" s="24"/>
      <c r="IA134" s="24"/>
      <c r="IB134" s="24"/>
      <c r="IC134" s="24"/>
      <c r="ID134" s="24"/>
      <c r="IE134" s="24"/>
      <c r="IF134" s="24"/>
      <c r="IG134" s="24"/>
      <c r="IH134" s="24"/>
      <c r="II134" s="24"/>
      <c r="IJ134" s="24"/>
      <c r="IK134" s="24"/>
      <c r="IL134" s="24"/>
      <c r="IM134" s="24"/>
      <c r="IN134" s="24"/>
      <c r="IO134" s="24"/>
      <c r="IP134" s="24"/>
      <c r="IQ134" s="24"/>
      <c r="IR134" s="24"/>
      <c r="IS134" s="24"/>
      <c r="IT134" s="24"/>
      <c r="IU134" s="24"/>
      <c r="IV134" s="24"/>
      <c r="IW134" s="24"/>
      <c r="IX134" s="24"/>
      <c r="IY134" s="24"/>
      <c r="IZ134" s="24"/>
      <c r="JA134" s="24"/>
      <c r="JB134" s="24"/>
      <c r="JC134" s="24"/>
      <c r="JD134" s="24"/>
      <c r="JE134" s="24"/>
      <c r="JF134" s="24"/>
      <c r="JG134" s="24"/>
      <c r="JH134" s="24"/>
      <c r="JI134" s="24"/>
      <c r="JJ134" s="24"/>
      <c r="JK134" s="24"/>
      <c r="JL134" s="24"/>
      <c r="JM134" s="24"/>
      <c r="JN134" s="24"/>
      <c r="JO134" s="24"/>
      <c r="JP134" s="24"/>
      <c r="JQ134" s="24"/>
      <c r="JR134" s="24"/>
      <c r="JS134" s="24"/>
      <c r="JT134" s="24"/>
      <c r="JU134" s="24"/>
      <c r="JV134" s="24"/>
      <c r="JW134" s="24"/>
      <c r="JX134" s="24"/>
    </row>
    <row r="135" spans="1:284" s="7" customFormat="1" ht="0.6" customHeight="1" x14ac:dyDescent="0.35">
      <c r="A135" s="406"/>
      <c r="B135" s="141" t="s">
        <v>314</v>
      </c>
      <c r="C135" s="120"/>
      <c r="D135" s="120"/>
      <c r="E135" s="538">
        <f>IF(Retail_Income_Include?=1,I135/Units_Retail,0)</f>
        <v>0</v>
      </c>
      <c r="F135" s="551" t="str">
        <f>F108</f>
        <v>/SF/YR</v>
      </c>
      <c r="G135" s="122">
        <f>I135/$I$111</f>
        <v>0</v>
      </c>
      <c r="H135" s="123">
        <f>I135/Units</f>
        <v>0</v>
      </c>
      <c r="I135" s="473">
        <f>(Retail_Income_Include?=1)*'Retail Income'!$I$45</f>
        <v>0</v>
      </c>
      <c r="M135" s="39">
        <f t="shared" ref="M135:AR135" si="620">$I135/12*M$84*(1+$D$114)^(EW$117-1)</f>
        <v>0</v>
      </c>
      <c r="N135" s="39">
        <f t="shared" si="620"/>
        <v>0</v>
      </c>
      <c r="O135" s="39">
        <f t="shared" si="620"/>
        <v>0</v>
      </c>
      <c r="P135" s="39">
        <f t="shared" si="620"/>
        <v>0</v>
      </c>
      <c r="Q135" s="39">
        <f t="shared" si="620"/>
        <v>0</v>
      </c>
      <c r="R135" s="39">
        <f t="shared" si="620"/>
        <v>0</v>
      </c>
      <c r="S135" s="39">
        <f t="shared" si="620"/>
        <v>0</v>
      </c>
      <c r="T135" s="39">
        <f t="shared" si="620"/>
        <v>0</v>
      </c>
      <c r="U135" s="39">
        <f t="shared" si="620"/>
        <v>0</v>
      </c>
      <c r="V135" s="39">
        <f t="shared" si="620"/>
        <v>0</v>
      </c>
      <c r="W135" s="39">
        <f t="shared" si="620"/>
        <v>0</v>
      </c>
      <c r="X135" s="39">
        <f t="shared" si="620"/>
        <v>0</v>
      </c>
      <c r="Y135" s="39">
        <f t="shared" si="620"/>
        <v>0</v>
      </c>
      <c r="Z135" s="39">
        <f t="shared" si="620"/>
        <v>0</v>
      </c>
      <c r="AA135" s="39">
        <f t="shared" si="620"/>
        <v>0</v>
      </c>
      <c r="AB135" s="39">
        <f t="shared" si="620"/>
        <v>0</v>
      </c>
      <c r="AC135" s="39">
        <f t="shared" si="620"/>
        <v>0</v>
      </c>
      <c r="AD135" s="39">
        <f t="shared" si="620"/>
        <v>0</v>
      </c>
      <c r="AE135" s="39">
        <f t="shared" si="620"/>
        <v>0</v>
      </c>
      <c r="AF135" s="39">
        <f t="shared" si="620"/>
        <v>0</v>
      </c>
      <c r="AG135" s="39">
        <f t="shared" si="620"/>
        <v>0</v>
      </c>
      <c r="AH135" s="39">
        <f t="shared" si="620"/>
        <v>0</v>
      </c>
      <c r="AI135" s="39">
        <f t="shared" si="620"/>
        <v>0</v>
      </c>
      <c r="AJ135" s="39">
        <f t="shared" si="620"/>
        <v>0</v>
      </c>
      <c r="AK135" s="39">
        <f t="shared" si="620"/>
        <v>0</v>
      </c>
      <c r="AL135" s="39">
        <f t="shared" si="620"/>
        <v>0</v>
      </c>
      <c r="AM135" s="39">
        <f t="shared" si="620"/>
        <v>0</v>
      </c>
      <c r="AN135" s="39">
        <f t="shared" si="620"/>
        <v>0</v>
      </c>
      <c r="AO135" s="39">
        <f t="shared" si="620"/>
        <v>0</v>
      </c>
      <c r="AP135" s="39">
        <f t="shared" si="620"/>
        <v>0</v>
      </c>
      <c r="AQ135" s="39">
        <f t="shared" si="620"/>
        <v>0</v>
      </c>
      <c r="AR135" s="39">
        <f t="shared" si="620"/>
        <v>0</v>
      </c>
      <c r="AS135" s="39">
        <f t="shared" ref="AS135:BX135" si="621">$I135/12*AS$84*(1+$D$114)^(GC$117-1)</f>
        <v>0</v>
      </c>
      <c r="AT135" s="39">
        <f t="shared" si="621"/>
        <v>0</v>
      </c>
      <c r="AU135" s="39">
        <f t="shared" si="621"/>
        <v>0</v>
      </c>
      <c r="AV135" s="39">
        <f t="shared" si="621"/>
        <v>0</v>
      </c>
      <c r="AW135" s="39">
        <f t="shared" si="621"/>
        <v>0</v>
      </c>
      <c r="AX135" s="39">
        <f t="shared" si="621"/>
        <v>0</v>
      </c>
      <c r="AY135" s="39">
        <f t="shared" si="621"/>
        <v>0</v>
      </c>
      <c r="AZ135" s="39">
        <f t="shared" si="621"/>
        <v>0</v>
      </c>
      <c r="BA135" s="39">
        <f t="shared" si="621"/>
        <v>0</v>
      </c>
      <c r="BB135" s="39">
        <f t="shared" si="621"/>
        <v>0</v>
      </c>
      <c r="BC135" s="39">
        <f t="shared" si="621"/>
        <v>0</v>
      </c>
      <c r="BD135" s="39">
        <f t="shared" si="621"/>
        <v>0</v>
      </c>
      <c r="BE135" s="39">
        <f t="shared" si="621"/>
        <v>0</v>
      </c>
      <c r="BF135" s="39">
        <f t="shared" si="621"/>
        <v>0</v>
      </c>
      <c r="BG135" s="39">
        <f t="shared" si="621"/>
        <v>0</v>
      </c>
      <c r="BH135" s="39">
        <f t="shared" si="621"/>
        <v>0</v>
      </c>
      <c r="BI135" s="39">
        <f t="shared" si="621"/>
        <v>0</v>
      </c>
      <c r="BJ135" s="39">
        <f t="shared" si="621"/>
        <v>0</v>
      </c>
      <c r="BK135" s="39">
        <f t="shared" si="621"/>
        <v>0</v>
      </c>
      <c r="BL135" s="39">
        <f t="shared" si="621"/>
        <v>0</v>
      </c>
      <c r="BM135" s="39">
        <f t="shared" si="621"/>
        <v>0</v>
      </c>
      <c r="BN135" s="39">
        <f t="shared" si="621"/>
        <v>0</v>
      </c>
      <c r="BO135" s="39">
        <f t="shared" si="621"/>
        <v>0</v>
      </c>
      <c r="BP135" s="39">
        <f t="shared" si="621"/>
        <v>0</v>
      </c>
      <c r="BQ135" s="39">
        <f t="shared" si="621"/>
        <v>0</v>
      </c>
      <c r="BR135" s="39">
        <f t="shared" si="621"/>
        <v>0</v>
      </c>
      <c r="BS135" s="39">
        <f t="shared" si="621"/>
        <v>0</v>
      </c>
      <c r="BT135" s="39">
        <f t="shared" si="621"/>
        <v>0</v>
      </c>
      <c r="BU135" s="39">
        <f t="shared" si="621"/>
        <v>0</v>
      </c>
      <c r="BV135" s="39">
        <f t="shared" si="621"/>
        <v>0</v>
      </c>
      <c r="BW135" s="39">
        <f t="shared" si="621"/>
        <v>0</v>
      </c>
      <c r="BX135" s="39">
        <f t="shared" si="621"/>
        <v>0</v>
      </c>
      <c r="BY135" s="39">
        <f t="shared" ref="BY135:DD135" si="622">$I135/12*BY$84*(1+$D$114)^(HI$117-1)</f>
        <v>0</v>
      </c>
      <c r="BZ135" s="39">
        <f t="shared" si="622"/>
        <v>0</v>
      </c>
      <c r="CA135" s="39">
        <f t="shared" si="622"/>
        <v>0</v>
      </c>
      <c r="CB135" s="39">
        <f t="shared" si="622"/>
        <v>0</v>
      </c>
      <c r="CC135" s="39">
        <f t="shared" si="622"/>
        <v>0</v>
      </c>
      <c r="CD135" s="39">
        <f t="shared" si="622"/>
        <v>0</v>
      </c>
      <c r="CE135" s="39">
        <f t="shared" si="622"/>
        <v>0</v>
      </c>
      <c r="CF135" s="39">
        <f t="shared" si="622"/>
        <v>0</v>
      </c>
      <c r="CG135" s="39">
        <f t="shared" si="622"/>
        <v>0</v>
      </c>
      <c r="CH135" s="39">
        <f t="shared" si="622"/>
        <v>0</v>
      </c>
      <c r="CI135" s="39">
        <f t="shared" si="622"/>
        <v>0</v>
      </c>
      <c r="CJ135" s="39">
        <f t="shared" si="622"/>
        <v>0</v>
      </c>
      <c r="CK135" s="39">
        <f t="shared" si="622"/>
        <v>0</v>
      </c>
      <c r="CL135" s="39">
        <f t="shared" si="622"/>
        <v>0</v>
      </c>
      <c r="CM135" s="39">
        <f t="shared" si="622"/>
        <v>0</v>
      </c>
      <c r="CN135" s="39">
        <f t="shared" si="622"/>
        <v>0</v>
      </c>
      <c r="CO135" s="39">
        <f t="shared" si="622"/>
        <v>0</v>
      </c>
      <c r="CP135" s="39">
        <f t="shared" si="622"/>
        <v>0</v>
      </c>
      <c r="CQ135" s="39">
        <f t="shared" si="622"/>
        <v>0</v>
      </c>
      <c r="CR135" s="39">
        <f t="shared" si="622"/>
        <v>0</v>
      </c>
      <c r="CS135" s="39">
        <f t="shared" si="622"/>
        <v>0</v>
      </c>
      <c r="CT135" s="39">
        <f t="shared" si="622"/>
        <v>0</v>
      </c>
      <c r="CU135" s="39">
        <f t="shared" si="622"/>
        <v>0</v>
      </c>
      <c r="CV135" s="39">
        <f t="shared" si="622"/>
        <v>0</v>
      </c>
      <c r="CW135" s="39">
        <f t="shared" si="622"/>
        <v>0</v>
      </c>
      <c r="CX135" s="39">
        <f t="shared" si="622"/>
        <v>0</v>
      </c>
      <c r="CY135" s="39">
        <f t="shared" si="622"/>
        <v>0</v>
      </c>
      <c r="CZ135" s="39">
        <f t="shared" si="622"/>
        <v>0</v>
      </c>
      <c r="DA135" s="39">
        <f t="shared" si="622"/>
        <v>0</v>
      </c>
      <c r="DB135" s="39">
        <f t="shared" si="622"/>
        <v>0</v>
      </c>
      <c r="DC135" s="39">
        <f t="shared" si="622"/>
        <v>0</v>
      </c>
      <c r="DD135" s="39">
        <f t="shared" si="622"/>
        <v>0</v>
      </c>
      <c r="DE135" s="39">
        <f t="shared" ref="DE135:EJ135" si="623">$I135/12*DE$84*(1+$D$114)^(IO$117-1)</f>
        <v>0</v>
      </c>
      <c r="DF135" s="39">
        <f t="shared" si="623"/>
        <v>0</v>
      </c>
      <c r="DG135" s="39">
        <f t="shared" si="623"/>
        <v>0</v>
      </c>
      <c r="DH135" s="39">
        <f t="shared" si="623"/>
        <v>0</v>
      </c>
      <c r="DI135" s="39">
        <f t="shared" si="623"/>
        <v>0</v>
      </c>
      <c r="DJ135" s="39">
        <f t="shared" si="623"/>
        <v>0</v>
      </c>
      <c r="DK135" s="39">
        <f t="shared" si="623"/>
        <v>0</v>
      </c>
      <c r="DL135" s="39">
        <f t="shared" si="623"/>
        <v>0</v>
      </c>
      <c r="DM135" s="39">
        <f t="shared" si="623"/>
        <v>0</v>
      </c>
      <c r="DN135" s="39">
        <f t="shared" si="623"/>
        <v>0</v>
      </c>
      <c r="DO135" s="39">
        <f t="shared" si="623"/>
        <v>0</v>
      </c>
      <c r="DP135" s="39">
        <f t="shared" si="623"/>
        <v>0</v>
      </c>
      <c r="DQ135" s="39">
        <f t="shared" si="623"/>
        <v>0</v>
      </c>
      <c r="DR135" s="39">
        <f t="shared" si="623"/>
        <v>0</v>
      </c>
      <c r="DS135" s="39">
        <f t="shared" si="623"/>
        <v>0</v>
      </c>
      <c r="DT135" s="39">
        <f t="shared" si="623"/>
        <v>0</v>
      </c>
      <c r="DU135" s="39">
        <f t="shared" si="623"/>
        <v>0</v>
      </c>
      <c r="DV135" s="39">
        <f t="shared" si="623"/>
        <v>0</v>
      </c>
      <c r="DW135" s="39">
        <f t="shared" si="623"/>
        <v>0</v>
      </c>
      <c r="DX135" s="39">
        <f t="shared" si="623"/>
        <v>0</v>
      </c>
      <c r="DY135" s="39">
        <f t="shared" si="623"/>
        <v>0</v>
      </c>
      <c r="DZ135" s="39">
        <f t="shared" si="623"/>
        <v>0</v>
      </c>
      <c r="EA135" s="39">
        <f t="shared" si="623"/>
        <v>0</v>
      </c>
      <c r="EB135" s="39">
        <f t="shared" si="623"/>
        <v>0</v>
      </c>
      <c r="EC135" s="39">
        <f t="shared" si="623"/>
        <v>0</v>
      </c>
      <c r="ED135" s="39">
        <f t="shared" si="623"/>
        <v>0</v>
      </c>
      <c r="EE135" s="39">
        <f t="shared" si="623"/>
        <v>0</v>
      </c>
      <c r="EF135" s="39">
        <f t="shared" si="623"/>
        <v>0</v>
      </c>
      <c r="EG135" s="39">
        <f t="shared" si="623"/>
        <v>0</v>
      </c>
      <c r="EH135" s="39">
        <f t="shared" si="623"/>
        <v>0</v>
      </c>
      <c r="EI135" s="39">
        <f t="shared" si="623"/>
        <v>0</v>
      </c>
      <c r="EJ135" s="39">
        <f t="shared" si="623"/>
        <v>0</v>
      </c>
      <c r="EK135" s="39">
        <f>$I135/12*EK$84*(1+$D$114)^(JU$117-1)</f>
        <v>0</v>
      </c>
      <c r="EL135" s="39">
        <f>$I135/12*EL$84*(1+$D$114)^(JV$117-1)</f>
        <v>0</v>
      </c>
      <c r="EM135" s="39">
        <f>$I135/12*EM$84*(1+$D$114)^(JW$117-1)</f>
        <v>0</v>
      </c>
      <c r="EN135" s="39">
        <f>$I135/12*EN$84*(1+$D$114)^(JX$117-1)</f>
        <v>0</v>
      </c>
      <c r="EP135" s="24"/>
      <c r="EQ135" s="24"/>
      <c r="ER135" s="24"/>
      <c r="ES135" s="24"/>
      <c r="ET135" s="24"/>
      <c r="EU135" s="33"/>
      <c r="EV135" s="24"/>
      <c r="EW135" s="24"/>
      <c r="EX135" s="24"/>
      <c r="EY135" s="24"/>
      <c r="EZ135" s="24"/>
      <c r="FA135" s="24"/>
      <c r="FB135" s="24"/>
      <c r="FC135" s="24"/>
      <c r="FD135" s="24"/>
      <c r="FE135" s="24"/>
      <c r="FF135" s="24"/>
      <c r="FG135" s="24"/>
      <c r="FH135" s="24"/>
      <c r="FI135" s="24"/>
      <c r="FJ135" s="24"/>
      <c r="FK135" s="24"/>
      <c r="FL135" s="24"/>
      <c r="FM135" s="24"/>
      <c r="FN135" s="24"/>
      <c r="FO135" s="24"/>
      <c r="FP135" s="24"/>
      <c r="FQ135" s="24"/>
      <c r="FR135" s="24"/>
      <c r="FS135" s="24"/>
      <c r="FT135" s="24"/>
      <c r="FU135" s="24"/>
      <c r="FV135" s="24"/>
      <c r="FW135" s="24"/>
      <c r="FX135" s="24"/>
      <c r="FY135" s="24"/>
      <c r="FZ135" s="24"/>
      <c r="GA135" s="24"/>
      <c r="GB135" s="24"/>
      <c r="GC135" s="24"/>
      <c r="GD135" s="24"/>
      <c r="GE135" s="24"/>
      <c r="GF135" s="24"/>
      <c r="GG135" s="24"/>
      <c r="GH135" s="24"/>
      <c r="GI135" s="24"/>
      <c r="GJ135" s="24"/>
      <c r="GK135" s="24"/>
      <c r="GL135" s="24"/>
      <c r="GM135" s="24"/>
      <c r="GN135" s="24"/>
      <c r="GO135" s="24"/>
      <c r="GP135" s="24"/>
      <c r="GQ135" s="24"/>
      <c r="GR135" s="24"/>
      <c r="GS135" s="24"/>
      <c r="GT135" s="24"/>
      <c r="GU135" s="24"/>
      <c r="GV135" s="24"/>
      <c r="GW135" s="24"/>
      <c r="GX135" s="24"/>
      <c r="GY135" s="24"/>
      <c r="GZ135" s="24"/>
      <c r="HA135" s="24"/>
      <c r="HB135" s="24"/>
      <c r="HC135" s="24"/>
      <c r="HD135" s="24"/>
      <c r="HE135" s="24"/>
      <c r="HF135" s="24"/>
      <c r="HG135" s="24"/>
      <c r="HH135" s="24"/>
      <c r="HI135" s="24"/>
      <c r="HJ135" s="24"/>
      <c r="HK135" s="24"/>
      <c r="HL135" s="24"/>
      <c r="HM135" s="24"/>
      <c r="HN135" s="24"/>
      <c r="HO135" s="24"/>
      <c r="HP135" s="24"/>
      <c r="HQ135" s="24"/>
      <c r="HR135" s="24"/>
      <c r="HS135" s="24"/>
      <c r="HT135" s="24"/>
      <c r="HU135" s="24"/>
      <c r="HV135" s="24"/>
      <c r="HW135" s="24"/>
      <c r="HX135" s="24"/>
      <c r="HY135" s="24"/>
      <c r="HZ135" s="24"/>
      <c r="IA135" s="24"/>
      <c r="IB135" s="24"/>
      <c r="IC135" s="24"/>
      <c r="ID135" s="24"/>
      <c r="IE135" s="24"/>
      <c r="IF135" s="24"/>
      <c r="IG135" s="24"/>
      <c r="IH135" s="24"/>
      <c r="II135" s="24"/>
      <c r="IJ135" s="24"/>
      <c r="IK135" s="24"/>
      <c r="IL135" s="24"/>
      <c r="IM135" s="24"/>
      <c r="IN135" s="24"/>
      <c r="IO135" s="24"/>
      <c r="IP135" s="24"/>
      <c r="IQ135" s="24"/>
      <c r="IR135" s="24"/>
      <c r="IS135" s="24"/>
      <c r="IT135" s="24"/>
      <c r="IU135" s="24"/>
      <c r="IV135" s="24"/>
      <c r="IW135" s="24"/>
      <c r="IX135" s="24"/>
      <c r="IY135" s="24"/>
      <c r="IZ135" s="24"/>
      <c r="JA135" s="24"/>
      <c r="JB135" s="24"/>
      <c r="JC135" s="24"/>
      <c r="JD135" s="24"/>
      <c r="JE135" s="24"/>
      <c r="JF135" s="24"/>
      <c r="JG135" s="24"/>
      <c r="JH135" s="24"/>
      <c r="JI135" s="24"/>
      <c r="JJ135" s="24"/>
      <c r="JK135" s="24"/>
      <c r="JL135" s="24"/>
      <c r="JM135" s="24"/>
      <c r="JN135" s="24"/>
      <c r="JO135" s="24"/>
      <c r="JP135" s="24"/>
      <c r="JQ135" s="24"/>
      <c r="JR135" s="24"/>
      <c r="JS135" s="24"/>
      <c r="JT135" s="24"/>
      <c r="JU135" s="24"/>
      <c r="JV135" s="24"/>
      <c r="JW135" s="24"/>
      <c r="JX135" s="24"/>
    </row>
    <row r="136" spans="1:284" s="7" customFormat="1" x14ac:dyDescent="0.2">
      <c r="A136" s="406"/>
      <c r="B136" s="92" t="s">
        <v>166</v>
      </c>
      <c r="C136" s="120"/>
      <c r="D136" s="120"/>
      <c r="E136" s="120"/>
      <c r="F136" s="120"/>
      <c r="G136" s="122">
        <f>I136/$I$111</f>
        <v>9.8222300513690058E-3</v>
      </c>
      <c r="H136" s="123">
        <f>I136/Units</f>
        <v>200</v>
      </c>
      <c r="I136" s="123">
        <f>SUM(I133:I135)</f>
        <v>60000</v>
      </c>
      <c r="K136" s="7" t="s">
        <v>493</v>
      </c>
      <c r="M136" s="38">
        <f>SUM(M133:M135)</f>
        <v>0</v>
      </c>
      <c r="N136" s="38">
        <f t="shared" ref="N136:BY136" si="624">SUM(N133:N135)</f>
        <v>0</v>
      </c>
      <c r="O136" s="38">
        <f t="shared" si="624"/>
        <v>0</v>
      </c>
      <c r="P136" s="38">
        <f t="shared" si="624"/>
        <v>0</v>
      </c>
      <c r="Q136" s="38">
        <f t="shared" si="624"/>
        <v>0</v>
      </c>
      <c r="R136" s="38">
        <f t="shared" si="624"/>
        <v>0</v>
      </c>
      <c r="S136" s="38">
        <f t="shared" si="624"/>
        <v>0</v>
      </c>
      <c r="T136" s="38">
        <f t="shared" si="624"/>
        <v>0</v>
      </c>
      <c r="U136" s="38">
        <f t="shared" si="624"/>
        <v>0</v>
      </c>
      <c r="V136" s="38">
        <f t="shared" si="624"/>
        <v>0</v>
      </c>
      <c r="W136" s="38">
        <f t="shared" si="624"/>
        <v>0</v>
      </c>
      <c r="X136" s="38">
        <f t="shared" si="624"/>
        <v>0</v>
      </c>
      <c r="Y136" s="38">
        <f t="shared" si="624"/>
        <v>0</v>
      </c>
      <c r="Z136" s="38">
        <f t="shared" si="624"/>
        <v>0</v>
      </c>
      <c r="AA136" s="38">
        <f t="shared" si="624"/>
        <v>0</v>
      </c>
      <c r="AB136" s="38">
        <f t="shared" si="624"/>
        <v>0</v>
      </c>
      <c r="AC136" s="38">
        <f t="shared" si="624"/>
        <v>0</v>
      </c>
      <c r="AD136" s="38">
        <f t="shared" si="624"/>
        <v>0</v>
      </c>
      <c r="AE136" s="38">
        <f t="shared" si="624"/>
        <v>499.99999999999989</v>
      </c>
      <c r="AF136" s="38">
        <f t="shared" si="624"/>
        <v>833.33333333333314</v>
      </c>
      <c r="AG136" s="38">
        <f t="shared" si="624"/>
        <v>1166.6666666666665</v>
      </c>
      <c r="AH136" s="38">
        <f t="shared" si="624"/>
        <v>1500.0000000000002</v>
      </c>
      <c r="AI136" s="38">
        <f t="shared" si="624"/>
        <v>1833.3333333333335</v>
      </c>
      <c r="AJ136" s="38">
        <f t="shared" si="624"/>
        <v>2166.6666666666665</v>
      </c>
      <c r="AK136" s="38">
        <f t="shared" si="624"/>
        <v>2500</v>
      </c>
      <c r="AL136" s="38">
        <f t="shared" si="624"/>
        <v>2833.3333333333335</v>
      </c>
      <c r="AM136" s="38">
        <f t="shared" si="624"/>
        <v>3166.6666666666665</v>
      </c>
      <c r="AN136" s="38">
        <f t="shared" si="624"/>
        <v>3500</v>
      </c>
      <c r="AO136" s="38">
        <f t="shared" si="624"/>
        <v>3833.333333333333</v>
      </c>
      <c r="AP136" s="38">
        <f t="shared" si="624"/>
        <v>4166.666666666667</v>
      </c>
      <c r="AQ136" s="38">
        <f t="shared" si="624"/>
        <v>4635</v>
      </c>
      <c r="AR136" s="38">
        <f t="shared" si="624"/>
        <v>4978.333333333333</v>
      </c>
      <c r="AS136" s="38">
        <f t="shared" si="624"/>
        <v>5150</v>
      </c>
      <c r="AT136" s="38">
        <f t="shared" si="624"/>
        <v>5150</v>
      </c>
      <c r="AU136" s="38">
        <f t="shared" si="624"/>
        <v>5150</v>
      </c>
      <c r="AV136" s="38">
        <f t="shared" si="624"/>
        <v>5150</v>
      </c>
      <c r="AW136" s="38">
        <f t="shared" si="624"/>
        <v>5150</v>
      </c>
      <c r="AX136" s="38">
        <f t="shared" si="624"/>
        <v>5150</v>
      </c>
      <c r="AY136" s="38">
        <f t="shared" si="624"/>
        <v>5150</v>
      </c>
      <c r="AZ136" s="38">
        <f t="shared" si="624"/>
        <v>5150</v>
      </c>
      <c r="BA136" s="38">
        <f t="shared" si="624"/>
        <v>5150</v>
      </c>
      <c r="BB136" s="38">
        <f t="shared" si="624"/>
        <v>5150</v>
      </c>
      <c r="BC136" s="38">
        <f t="shared" si="624"/>
        <v>5304.5</v>
      </c>
      <c r="BD136" s="38">
        <f t="shared" si="624"/>
        <v>5304.5</v>
      </c>
      <c r="BE136" s="38">
        <f t="shared" si="624"/>
        <v>5304.5</v>
      </c>
      <c r="BF136" s="38">
        <f t="shared" si="624"/>
        <v>5304.5</v>
      </c>
      <c r="BG136" s="38">
        <f t="shared" si="624"/>
        <v>5304.5</v>
      </c>
      <c r="BH136" s="38">
        <f t="shared" si="624"/>
        <v>5304.5</v>
      </c>
      <c r="BI136" s="38">
        <f t="shared" si="624"/>
        <v>5304.5</v>
      </c>
      <c r="BJ136" s="38">
        <f t="shared" si="624"/>
        <v>5304.5</v>
      </c>
      <c r="BK136" s="38">
        <f t="shared" si="624"/>
        <v>5304.5</v>
      </c>
      <c r="BL136" s="38">
        <f t="shared" si="624"/>
        <v>5304.5</v>
      </c>
      <c r="BM136" s="38">
        <f t="shared" si="624"/>
        <v>5304.5</v>
      </c>
      <c r="BN136" s="38">
        <f t="shared" si="624"/>
        <v>5304.5</v>
      </c>
      <c r="BO136" s="38">
        <f t="shared" si="624"/>
        <v>5463.6350000000002</v>
      </c>
      <c r="BP136" s="38">
        <f t="shared" si="624"/>
        <v>5463.6350000000002</v>
      </c>
      <c r="BQ136" s="38">
        <f t="shared" si="624"/>
        <v>5463.6350000000002</v>
      </c>
      <c r="BR136" s="38">
        <f t="shared" si="624"/>
        <v>5463.6350000000002</v>
      </c>
      <c r="BS136" s="38">
        <f t="shared" si="624"/>
        <v>5463.6350000000002</v>
      </c>
      <c r="BT136" s="38">
        <f t="shared" si="624"/>
        <v>5463.6350000000002</v>
      </c>
      <c r="BU136" s="38">
        <f t="shared" si="624"/>
        <v>5463.6350000000002</v>
      </c>
      <c r="BV136" s="38">
        <f t="shared" si="624"/>
        <v>5463.6350000000002</v>
      </c>
      <c r="BW136" s="38">
        <f t="shared" si="624"/>
        <v>5463.6350000000002</v>
      </c>
      <c r="BX136" s="38">
        <f t="shared" si="624"/>
        <v>5463.6350000000002</v>
      </c>
      <c r="BY136" s="38">
        <f t="shared" si="624"/>
        <v>5463.6350000000002</v>
      </c>
      <c r="BZ136" s="38">
        <f t="shared" ref="BZ136:EK136" si="625">SUM(BZ133:BZ135)</f>
        <v>5463.6350000000002</v>
      </c>
      <c r="CA136" s="38">
        <f t="shared" si="625"/>
        <v>5627.5440499999995</v>
      </c>
      <c r="CB136" s="38">
        <f t="shared" si="625"/>
        <v>5627.5440499999995</v>
      </c>
      <c r="CC136" s="38">
        <f t="shared" si="625"/>
        <v>5627.5440499999995</v>
      </c>
      <c r="CD136" s="38">
        <f t="shared" si="625"/>
        <v>5627.5440499999995</v>
      </c>
      <c r="CE136" s="38">
        <f t="shared" si="625"/>
        <v>5627.5440499999995</v>
      </c>
      <c r="CF136" s="38">
        <f t="shared" si="625"/>
        <v>5627.5440499999995</v>
      </c>
      <c r="CG136" s="38">
        <f t="shared" si="625"/>
        <v>5627.5440499999995</v>
      </c>
      <c r="CH136" s="38">
        <f t="shared" si="625"/>
        <v>5627.5440499999995</v>
      </c>
      <c r="CI136" s="38">
        <f t="shared" si="625"/>
        <v>5627.5440499999995</v>
      </c>
      <c r="CJ136" s="38">
        <f t="shared" si="625"/>
        <v>5627.5440499999995</v>
      </c>
      <c r="CK136" s="38">
        <f t="shared" si="625"/>
        <v>5627.5440499999995</v>
      </c>
      <c r="CL136" s="38">
        <f t="shared" si="625"/>
        <v>5627.5440499999995</v>
      </c>
      <c r="CM136" s="38">
        <f t="shared" si="625"/>
        <v>5796.3703714999992</v>
      </c>
      <c r="CN136" s="38">
        <f t="shared" si="625"/>
        <v>5796.3703714999992</v>
      </c>
      <c r="CO136" s="38">
        <f t="shared" si="625"/>
        <v>5796.3703714999992</v>
      </c>
      <c r="CP136" s="38">
        <f t="shared" si="625"/>
        <v>5796.3703714999992</v>
      </c>
      <c r="CQ136" s="38">
        <f t="shared" si="625"/>
        <v>5796.3703714999992</v>
      </c>
      <c r="CR136" s="38">
        <f t="shared" si="625"/>
        <v>5796.3703714999992</v>
      </c>
      <c r="CS136" s="38">
        <f t="shared" si="625"/>
        <v>5796.3703714999992</v>
      </c>
      <c r="CT136" s="38">
        <f t="shared" si="625"/>
        <v>5796.3703714999992</v>
      </c>
      <c r="CU136" s="38">
        <f t="shared" si="625"/>
        <v>5796.3703714999992</v>
      </c>
      <c r="CV136" s="38">
        <f t="shared" si="625"/>
        <v>5796.3703714999992</v>
      </c>
      <c r="CW136" s="38">
        <f t="shared" si="625"/>
        <v>5796.3703714999992</v>
      </c>
      <c r="CX136" s="38">
        <f t="shared" si="625"/>
        <v>5796.3703714999992</v>
      </c>
      <c r="CY136" s="38">
        <f t="shared" si="625"/>
        <v>5970.2614826449999</v>
      </c>
      <c r="CZ136" s="38">
        <f t="shared" si="625"/>
        <v>5970.2614826449999</v>
      </c>
      <c r="DA136" s="38">
        <f t="shared" si="625"/>
        <v>5970.2614826449999</v>
      </c>
      <c r="DB136" s="38">
        <f t="shared" si="625"/>
        <v>5970.2614826449999</v>
      </c>
      <c r="DC136" s="38">
        <f t="shared" si="625"/>
        <v>5970.2614826449999</v>
      </c>
      <c r="DD136" s="38">
        <f t="shared" si="625"/>
        <v>5970.2614826449999</v>
      </c>
      <c r="DE136" s="38">
        <f t="shared" si="625"/>
        <v>5970.2614826449999</v>
      </c>
      <c r="DF136" s="38">
        <f t="shared" si="625"/>
        <v>5970.2614826449999</v>
      </c>
      <c r="DG136" s="38">
        <f t="shared" si="625"/>
        <v>5970.2614826449999</v>
      </c>
      <c r="DH136" s="38">
        <f t="shared" si="625"/>
        <v>5970.2614826449999</v>
      </c>
      <c r="DI136" s="38">
        <f t="shared" si="625"/>
        <v>5970.2614826449999</v>
      </c>
      <c r="DJ136" s="38">
        <f t="shared" si="625"/>
        <v>5970.2614826449999</v>
      </c>
      <c r="DK136" s="38">
        <f t="shared" si="625"/>
        <v>6149.3693271243501</v>
      </c>
      <c r="DL136" s="38">
        <f t="shared" si="625"/>
        <v>6149.3693271243501</v>
      </c>
      <c r="DM136" s="38">
        <f t="shared" si="625"/>
        <v>6149.3693271243501</v>
      </c>
      <c r="DN136" s="38">
        <f t="shared" si="625"/>
        <v>6149.3693271243501</v>
      </c>
      <c r="DO136" s="38">
        <f t="shared" si="625"/>
        <v>6149.3693271243501</v>
      </c>
      <c r="DP136" s="38">
        <f t="shared" si="625"/>
        <v>6149.3693271243501</v>
      </c>
      <c r="DQ136" s="38">
        <f t="shared" si="625"/>
        <v>6149.3693271243501</v>
      </c>
      <c r="DR136" s="38">
        <f t="shared" si="625"/>
        <v>6149.3693271243501</v>
      </c>
      <c r="DS136" s="38">
        <f t="shared" si="625"/>
        <v>6149.3693271243501</v>
      </c>
      <c r="DT136" s="38">
        <f t="shared" si="625"/>
        <v>6149.3693271243501</v>
      </c>
      <c r="DU136" s="38">
        <f t="shared" si="625"/>
        <v>6149.3693271243501</v>
      </c>
      <c r="DV136" s="38">
        <f t="shared" si="625"/>
        <v>6149.3693271243501</v>
      </c>
      <c r="DW136" s="38">
        <f t="shared" si="625"/>
        <v>6333.8504069380797</v>
      </c>
      <c r="DX136" s="38">
        <f t="shared" si="625"/>
        <v>6333.8504069380797</v>
      </c>
      <c r="DY136" s="38">
        <f t="shared" si="625"/>
        <v>6333.8504069380797</v>
      </c>
      <c r="DZ136" s="38">
        <f t="shared" si="625"/>
        <v>6333.8504069380797</v>
      </c>
      <c r="EA136" s="38">
        <f t="shared" si="625"/>
        <v>6333.8504069380797</v>
      </c>
      <c r="EB136" s="38">
        <f t="shared" si="625"/>
        <v>6333.8504069380797</v>
      </c>
      <c r="EC136" s="38">
        <f t="shared" si="625"/>
        <v>6333.8504069380797</v>
      </c>
      <c r="ED136" s="38">
        <f t="shared" si="625"/>
        <v>6333.8504069380797</v>
      </c>
      <c r="EE136" s="38">
        <f t="shared" si="625"/>
        <v>6333.8504069380797</v>
      </c>
      <c r="EF136" s="38">
        <f t="shared" si="625"/>
        <v>6333.8504069380797</v>
      </c>
      <c r="EG136" s="38">
        <f t="shared" si="625"/>
        <v>6333.8504069380797</v>
      </c>
      <c r="EH136" s="38">
        <f t="shared" si="625"/>
        <v>6333.8504069380797</v>
      </c>
      <c r="EI136" s="38">
        <f t="shared" si="625"/>
        <v>6523.865919146222</v>
      </c>
      <c r="EJ136" s="38">
        <f t="shared" si="625"/>
        <v>6523.865919146222</v>
      </c>
      <c r="EK136" s="38">
        <f t="shared" si="625"/>
        <v>6523.865919146222</v>
      </c>
      <c r="EL136" s="38">
        <f>SUM(EL133:EL135)</f>
        <v>6523.865919146222</v>
      </c>
      <c r="EM136" s="38">
        <f>SUM(EM133:EM135)</f>
        <v>6523.865919146222</v>
      </c>
      <c r="EN136" s="38">
        <f>SUM(EN133:EN135)</f>
        <v>6523.865919146222</v>
      </c>
      <c r="EP136" s="24"/>
      <c r="EQ136" s="24"/>
      <c r="ER136" s="24"/>
      <c r="ES136" s="24"/>
      <c r="ET136" s="24"/>
      <c r="EU136" s="33"/>
      <c r="EV136" s="24"/>
      <c r="EW136" s="24"/>
      <c r="EX136" s="24"/>
      <c r="EY136" s="24"/>
      <c r="EZ136" s="24"/>
      <c r="FA136" s="24"/>
      <c r="FB136" s="24"/>
      <c r="FC136" s="24"/>
      <c r="FD136" s="24"/>
      <c r="FE136" s="24"/>
      <c r="FF136" s="24"/>
      <c r="FG136" s="24"/>
      <c r="FH136" s="24"/>
      <c r="FI136" s="24"/>
      <c r="FJ136" s="24"/>
      <c r="FK136" s="24"/>
      <c r="FL136" s="24"/>
      <c r="FM136" s="24"/>
      <c r="FN136" s="24"/>
      <c r="FO136" s="24"/>
      <c r="FP136" s="24"/>
      <c r="FQ136" s="24"/>
      <c r="FR136" s="24"/>
      <c r="FS136" s="24"/>
      <c r="FT136" s="24"/>
      <c r="FU136" s="24"/>
      <c r="FV136" s="24"/>
      <c r="FW136" s="24"/>
      <c r="FX136" s="24"/>
      <c r="FY136" s="24"/>
      <c r="FZ136" s="24"/>
      <c r="GA136" s="24"/>
      <c r="GB136" s="24"/>
      <c r="GC136" s="24"/>
      <c r="GD136" s="24"/>
      <c r="GE136" s="24"/>
      <c r="GF136" s="24"/>
      <c r="GG136" s="24"/>
      <c r="GH136" s="24"/>
      <c r="GI136" s="24"/>
      <c r="GJ136" s="24"/>
      <c r="GK136" s="24"/>
      <c r="GL136" s="24"/>
      <c r="GM136" s="24"/>
      <c r="GN136" s="24"/>
      <c r="GO136" s="24"/>
      <c r="GP136" s="24"/>
      <c r="GQ136" s="24"/>
      <c r="GR136" s="24"/>
      <c r="GS136" s="24"/>
      <c r="GT136" s="24"/>
      <c r="GU136" s="24"/>
      <c r="GV136" s="24"/>
      <c r="GW136" s="24"/>
      <c r="GX136" s="24"/>
      <c r="GY136" s="24"/>
      <c r="GZ136" s="24"/>
      <c r="HA136" s="24"/>
      <c r="HB136" s="24"/>
      <c r="HC136" s="24"/>
      <c r="HD136" s="24"/>
      <c r="HE136" s="24"/>
      <c r="HF136" s="24"/>
      <c r="HG136" s="24"/>
      <c r="HH136" s="24"/>
      <c r="HI136" s="24"/>
      <c r="HJ136" s="24"/>
      <c r="HK136" s="24"/>
      <c r="HL136" s="24"/>
      <c r="HM136" s="24"/>
      <c r="HN136" s="24"/>
      <c r="HO136" s="24"/>
      <c r="HP136" s="24"/>
      <c r="HQ136" s="24"/>
      <c r="HR136" s="24"/>
      <c r="HS136" s="24"/>
      <c r="HT136" s="24"/>
      <c r="HU136" s="24"/>
      <c r="HV136" s="24"/>
      <c r="HW136" s="24"/>
      <c r="HX136" s="24"/>
      <c r="HY136" s="24"/>
      <c r="HZ136" s="24"/>
      <c r="IA136" s="24"/>
      <c r="IB136" s="24"/>
      <c r="IC136" s="24"/>
      <c r="ID136" s="24"/>
      <c r="IE136" s="24"/>
      <c r="IF136" s="24"/>
      <c r="IG136" s="24"/>
      <c r="IH136" s="24"/>
      <c r="II136" s="24"/>
      <c r="IJ136" s="24"/>
      <c r="IK136" s="24"/>
      <c r="IL136" s="24"/>
      <c r="IM136" s="24"/>
      <c r="IN136" s="24"/>
      <c r="IO136" s="24"/>
      <c r="IP136" s="24"/>
      <c r="IQ136" s="24"/>
      <c r="IR136" s="24"/>
      <c r="IS136" s="24"/>
      <c r="IT136" s="24"/>
      <c r="IU136" s="24"/>
      <c r="IV136" s="24"/>
      <c r="IW136" s="24"/>
      <c r="IX136" s="24"/>
      <c r="IY136" s="24"/>
      <c r="IZ136" s="24"/>
      <c r="JA136" s="24"/>
      <c r="JB136" s="24"/>
      <c r="JC136" s="24"/>
      <c r="JD136" s="24"/>
      <c r="JE136" s="24"/>
      <c r="JF136" s="24"/>
      <c r="JG136" s="24"/>
      <c r="JH136" s="24"/>
      <c r="JI136" s="24"/>
      <c r="JJ136" s="24"/>
      <c r="JK136" s="24"/>
      <c r="JL136" s="24"/>
      <c r="JM136" s="24"/>
      <c r="JN136" s="24"/>
      <c r="JO136" s="24"/>
      <c r="JP136" s="24"/>
      <c r="JQ136" s="24"/>
      <c r="JR136" s="24"/>
      <c r="JS136" s="24"/>
      <c r="JT136" s="24"/>
      <c r="JU136" s="24"/>
      <c r="JV136" s="24"/>
      <c r="JW136" s="24"/>
      <c r="JX136" s="24"/>
    </row>
    <row r="137" spans="1:284" s="7" customFormat="1" ht="4.9000000000000004" customHeight="1" x14ac:dyDescent="0.2">
      <c r="A137" s="406"/>
      <c r="B137" s="92"/>
      <c r="C137" s="120"/>
      <c r="D137" s="120"/>
      <c r="E137" s="120"/>
      <c r="F137" s="120"/>
      <c r="G137" s="120"/>
      <c r="H137" s="120"/>
      <c r="I137" s="120"/>
      <c r="EP137" s="24"/>
      <c r="EQ137" s="24"/>
      <c r="ER137" s="24"/>
      <c r="ES137" s="24"/>
      <c r="ET137" s="24"/>
      <c r="EU137" s="33"/>
      <c r="EV137" s="24"/>
      <c r="EW137" s="24"/>
      <c r="EX137" s="24"/>
      <c r="EY137" s="24"/>
      <c r="EZ137" s="24"/>
      <c r="FA137" s="24"/>
      <c r="FB137" s="24"/>
      <c r="FC137" s="24"/>
      <c r="FD137" s="24"/>
      <c r="FE137" s="24"/>
      <c r="FF137" s="24"/>
      <c r="FG137" s="24"/>
      <c r="FH137" s="24"/>
      <c r="FI137" s="24"/>
      <c r="FJ137" s="24"/>
      <c r="FK137" s="24"/>
      <c r="FL137" s="24"/>
      <c r="FM137" s="24"/>
      <c r="FN137" s="24"/>
      <c r="FO137" s="24"/>
      <c r="FP137" s="24"/>
      <c r="FQ137" s="24"/>
      <c r="FR137" s="24"/>
      <c r="FS137" s="24"/>
      <c r="FT137" s="24"/>
      <c r="FU137" s="24"/>
      <c r="FV137" s="24"/>
      <c r="FW137" s="24"/>
      <c r="FX137" s="24"/>
      <c r="FY137" s="24"/>
      <c r="FZ137" s="24"/>
      <c r="GA137" s="24"/>
      <c r="GB137" s="24"/>
      <c r="GC137" s="24"/>
      <c r="GD137" s="24"/>
      <c r="GE137" s="24"/>
      <c r="GF137" s="24"/>
      <c r="GG137" s="24"/>
      <c r="GH137" s="24"/>
      <c r="GI137" s="24"/>
      <c r="GJ137" s="24"/>
      <c r="GK137" s="24"/>
      <c r="GL137" s="24"/>
      <c r="GM137" s="24"/>
      <c r="GN137" s="24"/>
      <c r="GO137" s="24"/>
      <c r="GP137" s="24"/>
      <c r="GQ137" s="24"/>
      <c r="GR137" s="24"/>
      <c r="GS137" s="24"/>
      <c r="GT137" s="24"/>
      <c r="GU137" s="24"/>
      <c r="GV137" s="24"/>
      <c r="GW137" s="24"/>
      <c r="GX137" s="24"/>
      <c r="GY137" s="24"/>
      <c r="GZ137" s="24"/>
      <c r="HA137" s="24"/>
      <c r="HB137" s="24"/>
      <c r="HC137" s="24"/>
      <c r="HD137" s="24"/>
      <c r="HE137" s="24"/>
      <c r="HF137" s="24"/>
      <c r="HG137" s="24"/>
      <c r="HH137" s="24"/>
      <c r="HI137" s="24"/>
      <c r="HJ137" s="24"/>
      <c r="HK137" s="24"/>
      <c r="HL137" s="24"/>
      <c r="HM137" s="24"/>
      <c r="HN137" s="24"/>
      <c r="HO137" s="24"/>
      <c r="HP137" s="24"/>
      <c r="HQ137" s="24"/>
      <c r="HR137" s="24"/>
      <c r="HS137" s="24"/>
      <c r="HT137" s="24"/>
      <c r="HU137" s="24"/>
      <c r="HV137" s="24"/>
      <c r="HW137" s="24"/>
      <c r="HX137" s="24"/>
      <c r="HY137" s="24"/>
      <c r="HZ137" s="24"/>
      <c r="IA137" s="24"/>
      <c r="IB137" s="24"/>
      <c r="IC137" s="24"/>
      <c r="ID137" s="24"/>
      <c r="IE137" s="24"/>
      <c r="IF137" s="24"/>
      <c r="IG137" s="24"/>
      <c r="IH137" s="24"/>
      <c r="II137" s="24"/>
      <c r="IJ137" s="24"/>
      <c r="IK137" s="24"/>
      <c r="IL137" s="24"/>
      <c r="IM137" s="24"/>
      <c r="IN137" s="24"/>
      <c r="IO137" s="24"/>
      <c r="IP137" s="24"/>
      <c r="IQ137" s="24"/>
      <c r="IR137" s="24"/>
      <c r="IS137" s="24"/>
      <c r="IT137" s="24"/>
      <c r="IU137" s="24"/>
      <c r="IV137" s="24"/>
      <c r="IW137" s="24"/>
      <c r="IX137" s="24"/>
      <c r="IY137" s="24"/>
      <c r="IZ137" s="24"/>
      <c r="JA137" s="24"/>
      <c r="JB137" s="24"/>
      <c r="JC137" s="24"/>
      <c r="JD137" s="24"/>
      <c r="JE137" s="24"/>
      <c r="JF137" s="24"/>
      <c r="JG137" s="24"/>
      <c r="JH137" s="24"/>
      <c r="JI137" s="24"/>
      <c r="JJ137" s="24"/>
      <c r="JK137" s="24"/>
      <c r="JL137" s="24"/>
      <c r="JM137" s="24"/>
      <c r="JN137" s="24"/>
      <c r="JO137" s="24"/>
      <c r="JP137" s="24"/>
      <c r="JQ137" s="24"/>
      <c r="JR137" s="24"/>
      <c r="JS137" s="24"/>
      <c r="JT137" s="24"/>
      <c r="JU137" s="24"/>
      <c r="JV137" s="24"/>
      <c r="JW137" s="24"/>
      <c r="JX137" s="24"/>
    </row>
    <row r="138" spans="1:284" s="7" customFormat="1" x14ac:dyDescent="0.2">
      <c r="A138" s="406"/>
      <c r="B138" s="92" t="s">
        <v>168</v>
      </c>
      <c r="C138" s="120"/>
      <c r="D138" s="120"/>
      <c r="E138" s="120"/>
      <c r="F138" s="120"/>
      <c r="G138" s="120"/>
      <c r="H138" s="120"/>
      <c r="I138" s="123">
        <f>+I130-I136</f>
        <v>3314914.7685200004</v>
      </c>
      <c r="K138" s="7" t="s">
        <v>192</v>
      </c>
      <c r="M138" s="49">
        <f>M130-M136</f>
        <v>0</v>
      </c>
      <c r="N138" s="38">
        <f t="shared" ref="N138:BY138" si="626">N130-N136</f>
        <v>0</v>
      </c>
      <c r="O138" s="38">
        <f t="shared" si="626"/>
        <v>0</v>
      </c>
      <c r="P138" s="38">
        <f t="shared" si="626"/>
        <v>0</v>
      </c>
      <c r="Q138" s="38">
        <f t="shared" si="626"/>
        <v>0</v>
      </c>
      <c r="R138" s="38">
        <f t="shared" si="626"/>
        <v>0</v>
      </c>
      <c r="S138" s="38">
        <f t="shared" si="626"/>
        <v>0</v>
      </c>
      <c r="T138" s="38">
        <f t="shared" si="626"/>
        <v>0</v>
      </c>
      <c r="U138" s="38">
        <f t="shared" si="626"/>
        <v>0</v>
      </c>
      <c r="V138" s="38">
        <f t="shared" si="626"/>
        <v>0</v>
      </c>
      <c r="W138" s="38">
        <f t="shared" si="626"/>
        <v>0</v>
      </c>
      <c r="X138" s="38">
        <f t="shared" si="626"/>
        <v>0</v>
      </c>
      <c r="Y138" s="38">
        <f t="shared" si="626"/>
        <v>0</v>
      </c>
      <c r="Z138" s="38">
        <f t="shared" si="626"/>
        <v>0</v>
      </c>
      <c r="AA138" s="38">
        <f t="shared" si="626"/>
        <v>0</v>
      </c>
      <c r="AB138" s="38">
        <f t="shared" si="626"/>
        <v>0</v>
      </c>
      <c r="AC138" s="38">
        <f t="shared" si="626"/>
        <v>0</v>
      </c>
      <c r="AD138" s="38">
        <f t="shared" si="626"/>
        <v>0</v>
      </c>
      <c r="AE138" s="38">
        <f t="shared" si="626"/>
        <v>-137014.1267392564</v>
      </c>
      <c r="AF138" s="38">
        <f t="shared" si="626"/>
        <v>-105738.43198636749</v>
      </c>
      <c r="AG138" s="38">
        <f t="shared" si="626"/>
        <v>-74462.737233478663</v>
      </c>
      <c r="AH138" s="38">
        <f t="shared" si="626"/>
        <v>-43187.042480589735</v>
      </c>
      <c r="AI138" s="38">
        <f t="shared" si="626"/>
        <v>-11911.347727700826</v>
      </c>
      <c r="AJ138" s="38">
        <f t="shared" si="626"/>
        <v>19364.347025188054</v>
      </c>
      <c r="AK138" s="38">
        <f t="shared" si="626"/>
        <v>50640.041778076935</v>
      </c>
      <c r="AL138" s="38">
        <f t="shared" si="626"/>
        <v>81915.73653096582</v>
      </c>
      <c r="AM138" s="38">
        <f t="shared" si="626"/>
        <v>113191.43128385466</v>
      </c>
      <c r="AN138" s="38">
        <f t="shared" si="626"/>
        <v>144467.12603674358</v>
      </c>
      <c r="AO138" s="38">
        <f t="shared" si="626"/>
        <v>175742.8207896325</v>
      </c>
      <c r="AP138" s="38">
        <f t="shared" si="626"/>
        <v>207018.5155425214</v>
      </c>
      <c r="AQ138" s="38">
        <f t="shared" si="626"/>
        <v>223226.79761989755</v>
      </c>
      <c r="AR138" s="38">
        <f t="shared" si="626"/>
        <v>255440.76321537315</v>
      </c>
      <c r="AS138" s="38">
        <f t="shared" si="626"/>
        <v>294529.40665734163</v>
      </c>
      <c r="AT138" s="38">
        <f t="shared" si="626"/>
        <v>295640.04453234165</v>
      </c>
      <c r="AU138" s="38">
        <f t="shared" si="626"/>
        <v>296750.68240734166</v>
      </c>
      <c r="AV138" s="38">
        <f t="shared" si="626"/>
        <v>297861.32028234168</v>
      </c>
      <c r="AW138" s="38">
        <f t="shared" si="626"/>
        <v>298971.95815734164</v>
      </c>
      <c r="AX138" s="38">
        <f t="shared" si="626"/>
        <v>300082.59603234159</v>
      </c>
      <c r="AY138" s="38">
        <f t="shared" si="626"/>
        <v>301193.23390734167</v>
      </c>
      <c r="AZ138" s="38">
        <f t="shared" si="626"/>
        <v>302303.87178234162</v>
      </c>
      <c r="BA138" s="38">
        <f t="shared" si="626"/>
        <v>303414.50965734164</v>
      </c>
      <c r="BB138" s="38">
        <f t="shared" si="626"/>
        <v>304525.14753234165</v>
      </c>
      <c r="BC138" s="38">
        <f t="shared" si="626"/>
        <v>291922.13281565561</v>
      </c>
      <c r="BD138" s="38">
        <f t="shared" si="626"/>
        <v>293066.08982690558</v>
      </c>
      <c r="BE138" s="38">
        <f t="shared" si="626"/>
        <v>280482.56270315562</v>
      </c>
      <c r="BF138" s="38">
        <f t="shared" si="626"/>
        <v>281626.5197144057</v>
      </c>
      <c r="BG138" s="38">
        <f t="shared" si="626"/>
        <v>282770.47672565567</v>
      </c>
      <c r="BH138" s="38">
        <f t="shared" si="626"/>
        <v>283914.43373690575</v>
      </c>
      <c r="BI138" s="38">
        <f t="shared" si="626"/>
        <v>285058.39074815571</v>
      </c>
      <c r="BJ138" s="38">
        <f t="shared" si="626"/>
        <v>286202.34775940567</v>
      </c>
      <c r="BK138" s="38">
        <f t="shared" si="626"/>
        <v>287346.30477065576</v>
      </c>
      <c r="BL138" s="38">
        <f t="shared" si="626"/>
        <v>288490.26178190572</v>
      </c>
      <c r="BM138" s="38">
        <f t="shared" si="626"/>
        <v>289634.21879315568</v>
      </c>
      <c r="BN138" s="38">
        <f t="shared" si="626"/>
        <v>290778.17580440565</v>
      </c>
      <c r="BO138" s="38">
        <f t="shared" si="626"/>
        <v>300679.79680012522</v>
      </c>
      <c r="BP138" s="38">
        <f t="shared" si="626"/>
        <v>301858.07252171275</v>
      </c>
      <c r="BQ138" s="38">
        <f t="shared" si="626"/>
        <v>288897.03958425031</v>
      </c>
      <c r="BR138" s="38">
        <f t="shared" si="626"/>
        <v>290075.31530583772</v>
      </c>
      <c r="BS138" s="38">
        <f t="shared" si="626"/>
        <v>291253.59102742531</v>
      </c>
      <c r="BT138" s="38">
        <f t="shared" si="626"/>
        <v>292431.86674901273</v>
      </c>
      <c r="BU138" s="38">
        <f t="shared" si="626"/>
        <v>293610.14247060032</v>
      </c>
      <c r="BV138" s="38">
        <f t="shared" si="626"/>
        <v>294788.41819218767</v>
      </c>
      <c r="BW138" s="38">
        <f t="shared" si="626"/>
        <v>295966.69391377526</v>
      </c>
      <c r="BX138" s="38">
        <f t="shared" si="626"/>
        <v>297144.96963536274</v>
      </c>
      <c r="BY138" s="38">
        <f t="shared" si="626"/>
        <v>298323.24535695033</v>
      </c>
      <c r="BZ138" s="38">
        <f t="shared" ref="BZ138:EK138" si="627">BZ130-BZ136</f>
        <v>299501.52107853774</v>
      </c>
      <c r="CA138" s="38">
        <f t="shared" si="627"/>
        <v>309700.190704129</v>
      </c>
      <c r="CB138" s="38">
        <f t="shared" si="627"/>
        <v>310913.81469736423</v>
      </c>
      <c r="CC138" s="38">
        <f t="shared" si="627"/>
        <v>297563.95077177783</v>
      </c>
      <c r="CD138" s="38">
        <f t="shared" si="627"/>
        <v>298777.57476501295</v>
      </c>
      <c r="CE138" s="38">
        <f t="shared" si="627"/>
        <v>299991.19875824812</v>
      </c>
      <c r="CF138" s="38">
        <f t="shared" si="627"/>
        <v>301204.8227514833</v>
      </c>
      <c r="CG138" s="38">
        <f t="shared" si="627"/>
        <v>302418.44674471824</v>
      </c>
      <c r="CH138" s="38">
        <f t="shared" si="627"/>
        <v>303632.07073795341</v>
      </c>
      <c r="CI138" s="38">
        <f t="shared" si="627"/>
        <v>304845.69473118859</v>
      </c>
      <c r="CJ138" s="38">
        <f t="shared" si="627"/>
        <v>306059.31872442365</v>
      </c>
      <c r="CK138" s="38">
        <f t="shared" si="627"/>
        <v>307272.94271765882</v>
      </c>
      <c r="CL138" s="38">
        <f t="shared" si="627"/>
        <v>308486.56671089405</v>
      </c>
      <c r="CM138" s="38">
        <f t="shared" si="627"/>
        <v>318991.196425253</v>
      </c>
      <c r="CN138" s="38">
        <f t="shared" si="627"/>
        <v>320241.22913828527</v>
      </c>
      <c r="CO138" s="38">
        <f t="shared" si="627"/>
        <v>306490.86929493118</v>
      </c>
      <c r="CP138" s="38">
        <f t="shared" si="627"/>
        <v>307740.90200796339</v>
      </c>
      <c r="CQ138" s="38">
        <f t="shared" si="627"/>
        <v>308990.93472099554</v>
      </c>
      <c r="CR138" s="38">
        <f t="shared" si="627"/>
        <v>310240.96743402781</v>
      </c>
      <c r="CS138" s="38">
        <f t="shared" si="627"/>
        <v>311491.00014705997</v>
      </c>
      <c r="CT138" s="38">
        <f t="shared" si="627"/>
        <v>312741.03286009206</v>
      </c>
      <c r="CU138" s="38">
        <f t="shared" si="627"/>
        <v>313991.06557312433</v>
      </c>
      <c r="CV138" s="38">
        <f t="shared" si="627"/>
        <v>315241.09828615648</v>
      </c>
      <c r="CW138" s="38">
        <f t="shared" si="627"/>
        <v>316491.1309991887</v>
      </c>
      <c r="CX138" s="38">
        <f t="shared" si="627"/>
        <v>317741.16371222085</v>
      </c>
      <c r="CY138" s="38">
        <f t="shared" si="627"/>
        <v>328560.93231801048</v>
      </c>
      <c r="CZ138" s="38">
        <f t="shared" si="627"/>
        <v>329848.46601243364</v>
      </c>
      <c r="DA138" s="38">
        <f t="shared" si="627"/>
        <v>315685.59537377913</v>
      </c>
      <c r="DB138" s="38">
        <f t="shared" si="627"/>
        <v>316973.12906820228</v>
      </c>
      <c r="DC138" s="38">
        <f t="shared" si="627"/>
        <v>318260.66276262532</v>
      </c>
      <c r="DD138" s="38">
        <f t="shared" si="627"/>
        <v>319548.19645704847</v>
      </c>
      <c r="DE138" s="38">
        <f t="shared" si="627"/>
        <v>320835.73015147162</v>
      </c>
      <c r="DF138" s="38">
        <f t="shared" si="627"/>
        <v>322123.26384589478</v>
      </c>
      <c r="DG138" s="38">
        <f t="shared" si="627"/>
        <v>323410.79754031799</v>
      </c>
      <c r="DH138" s="38">
        <f t="shared" si="627"/>
        <v>324698.33123474114</v>
      </c>
      <c r="DI138" s="38">
        <f t="shared" si="627"/>
        <v>325985.86492916429</v>
      </c>
      <c r="DJ138" s="38">
        <f t="shared" si="627"/>
        <v>327273.39862358733</v>
      </c>
      <c r="DK138" s="38">
        <f t="shared" si="627"/>
        <v>338417.76028755098</v>
      </c>
      <c r="DL138" s="38">
        <f t="shared" si="627"/>
        <v>339743.91999280674</v>
      </c>
      <c r="DM138" s="38">
        <f t="shared" si="627"/>
        <v>325156.16323499253</v>
      </c>
      <c r="DN138" s="38">
        <f t="shared" si="627"/>
        <v>326482.3229402483</v>
      </c>
      <c r="DO138" s="38">
        <f t="shared" si="627"/>
        <v>327808.48264550418</v>
      </c>
      <c r="DP138" s="38">
        <f t="shared" si="627"/>
        <v>329134.64235076006</v>
      </c>
      <c r="DQ138" s="38">
        <f t="shared" si="627"/>
        <v>330460.80205601582</v>
      </c>
      <c r="DR138" s="38">
        <f t="shared" si="627"/>
        <v>331786.9617612717</v>
      </c>
      <c r="DS138" s="38">
        <f t="shared" si="627"/>
        <v>333113.12146652758</v>
      </c>
      <c r="DT138" s="38">
        <f t="shared" si="627"/>
        <v>334439.28117178346</v>
      </c>
      <c r="DU138" s="38">
        <f t="shared" si="627"/>
        <v>335765.44087703922</v>
      </c>
      <c r="DV138" s="38">
        <f t="shared" si="627"/>
        <v>337091.6005822951</v>
      </c>
      <c r="DW138" s="38">
        <f t="shared" si="627"/>
        <v>348570.29309617728</v>
      </c>
      <c r="DX138" s="38">
        <f t="shared" si="627"/>
        <v>349936.23759259074</v>
      </c>
      <c r="DY138" s="38">
        <f t="shared" si="627"/>
        <v>334910.84813204227</v>
      </c>
      <c r="DZ138" s="38">
        <f t="shared" si="627"/>
        <v>336276.79262845585</v>
      </c>
      <c r="EA138" s="38">
        <f t="shared" si="627"/>
        <v>337642.73712486919</v>
      </c>
      <c r="EB138" s="38">
        <f t="shared" si="627"/>
        <v>339008.68162128277</v>
      </c>
      <c r="EC138" s="38">
        <f t="shared" si="627"/>
        <v>340374.62611769623</v>
      </c>
      <c r="ED138" s="38">
        <f t="shared" si="627"/>
        <v>341740.57061410981</v>
      </c>
      <c r="EE138" s="38">
        <f t="shared" si="627"/>
        <v>343106.51511052327</v>
      </c>
      <c r="EF138" s="38">
        <f t="shared" si="627"/>
        <v>344472.45960693684</v>
      </c>
      <c r="EG138" s="38">
        <f t="shared" si="627"/>
        <v>345838.40410335036</v>
      </c>
      <c r="EH138" s="38">
        <f t="shared" si="627"/>
        <v>347204.3485997637</v>
      </c>
      <c r="EI138" s="38">
        <f t="shared" si="627"/>
        <v>359027.40188906278</v>
      </c>
      <c r="EJ138" s="38">
        <f t="shared" si="627"/>
        <v>360434.32472036849</v>
      </c>
      <c r="EK138" s="38">
        <f t="shared" si="627"/>
        <v>344958.17357600329</v>
      </c>
      <c r="EL138" s="38">
        <f>EL130-EL136</f>
        <v>346365.09640730941</v>
      </c>
      <c r="EM138" s="38">
        <f>EM130-EM136</f>
        <v>347772.01923861541</v>
      </c>
      <c r="EN138" s="38">
        <f>EN130-EN136</f>
        <v>349178.94206992112</v>
      </c>
      <c r="EP138" s="24"/>
      <c r="EQ138" s="24"/>
      <c r="ER138" s="24"/>
      <c r="ES138" s="24"/>
      <c r="ET138" s="24"/>
      <c r="EU138" s="33"/>
      <c r="EV138" s="24"/>
      <c r="EW138" s="24"/>
      <c r="EX138" s="24"/>
      <c r="EY138" s="24"/>
      <c r="EZ138" s="24"/>
      <c r="FA138" s="24"/>
      <c r="FB138" s="24"/>
      <c r="FC138" s="24"/>
      <c r="FD138" s="24"/>
      <c r="FE138" s="24"/>
      <c r="FF138" s="24"/>
      <c r="FG138" s="24"/>
      <c r="FH138" s="24"/>
      <c r="FI138" s="24"/>
      <c r="FJ138" s="24"/>
      <c r="FK138" s="24"/>
      <c r="FL138" s="24"/>
      <c r="FM138" s="24"/>
      <c r="FN138" s="24"/>
      <c r="FO138" s="24"/>
      <c r="FP138" s="24"/>
      <c r="FQ138" s="24"/>
      <c r="FR138" s="24"/>
      <c r="FS138" s="24"/>
      <c r="FT138" s="24"/>
      <c r="FU138" s="24"/>
      <c r="FV138" s="24"/>
      <c r="FW138" s="24"/>
      <c r="FX138" s="24"/>
      <c r="FY138" s="24"/>
      <c r="FZ138" s="24"/>
      <c r="GA138" s="24"/>
      <c r="GB138" s="24"/>
      <c r="GC138" s="24"/>
      <c r="GD138" s="24"/>
      <c r="GE138" s="24"/>
      <c r="GF138" s="24"/>
      <c r="GG138" s="24"/>
      <c r="GH138" s="24"/>
      <c r="GI138" s="24"/>
      <c r="GJ138" s="24"/>
      <c r="GK138" s="24"/>
      <c r="GL138" s="24"/>
      <c r="GM138" s="24"/>
      <c r="GN138" s="24"/>
      <c r="GO138" s="24"/>
      <c r="GP138" s="24"/>
      <c r="GQ138" s="24"/>
      <c r="GR138" s="24"/>
      <c r="GS138" s="24"/>
      <c r="GT138" s="24"/>
      <c r="GU138" s="24"/>
      <c r="GV138" s="24"/>
      <c r="GW138" s="24"/>
      <c r="GX138" s="24"/>
      <c r="GY138" s="24"/>
      <c r="GZ138" s="24"/>
      <c r="HA138" s="24"/>
      <c r="HB138" s="24"/>
      <c r="HC138" s="24"/>
      <c r="HD138" s="24"/>
      <c r="HE138" s="24"/>
      <c r="HF138" s="24"/>
      <c r="HG138" s="24"/>
      <c r="HH138" s="24"/>
      <c r="HI138" s="24"/>
      <c r="HJ138" s="24"/>
      <c r="HK138" s="24"/>
      <c r="HL138" s="24"/>
      <c r="HM138" s="24"/>
      <c r="HN138" s="24"/>
      <c r="HO138" s="24"/>
      <c r="HP138" s="24"/>
      <c r="HQ138" s="24"/>
      <c r="HR138" s="24"/>
      <c r="HS138" s="24"/>
      <c r="HT138" s="24"/>
      <c r="HU138" s="24"/>
      <c r="HV138" s="24"/>
      <c r="HW138" s="24"/>
      <c r="HX138" s="24"/>
      <c r="HY138" s="24"/>
      <c r="HZ138" s="24"/>
      <c r="IA138" s="24"/>
      <c r="IB138" s="24"/>
      <c r="IC138" s="24"/>
      <c r="ID138" s="24"/>
      <c r="IE138" s="24"/>
      <c r="IF138" s="24"/>
      <c r="IG138" s="24"/>
      <c r="IH138" s="24"/>
      <c r="II138" s="24"/>
      <c r="IJ138" s="24"/>
      <c r="IK138" s="24"/>
      <c r="IL138" s="24"/>
      <c r="IM138" s="24"/>
      <c r="IN138" s="24"/>
      <c r="IO138" s="24"/>
      <c r="IP138" s="24"/>
      <c r="IQ138" s="24"/>
      <c r="IR138" s="24"/>
      <c r="IS138" s="24"/>
      <c r="IT138" s="24"/>
      <c r="IU138" s="24"/>
      <c r="IV138" s="24"/>
      <c r="IW138" s="24"/>
      <c r="IX138" s="24"/>
      <c r="IY138" s="24"/>
      <c r="IZ138" s="24"/>
      <c r="JA138" s="24"/>
      <c r="JB138" s="24"/>
      <c r="JC138" s="24"/>
      <c r="JD138" s="24"/>
      <c r="JE138" s="24"/>
      <c r="JF138" s="24"/>
      <c r="JG138" s="24"/>
      <c r="JH138" s="24"/>
      <c r="JI138" s="24"/>
      <c r="JJ138" s="24"/>
      <c r="JK138" s="24"/>
      <c r="JL138" s="24"/>
      <c r="JM138" s="24"/>
      <c r="JN138" s="24"/>
      <c r="JO138" s="24"/>
      <c r="JP138" s="24"/>
      <c r="JQ138" s="24"/>
      <c r="JR138" s="24"/>
      <c r="JS138" s="24"/>
      <c r="JT138" s="24"/>
      <c r="JU138" s="24"/>
      <c r="JV138" s="24"/>
      <c r="JW138" s="24"/>
      <c r="JX138" s="24"/>
    </row>
    <row r="139" spans="1:284" s="7" customFormat="1" ht="0.6" customHeight="1" x14ac:dyDescent="0.35">
      <c r="A139" s="406"/>
      <c r="B139" s="147" t="s">
        <v>609</v>
      </c>
      <c r="C139" s="120"/>
      <c r="D139" s="120"/>
      <c r="E139" s="120"/>
      <c r="F139" s="120"/>
      <c r="G139" s="120"/>
      <c r="H139" s="120"/>
      <c r="I139" s="436">
        <f>H77*Perm_Debt?</f>
        <v>0</v>
      </c>
      <c r="M139" s="564">
        <f t="shared" ref="M139:AR139" si="628">(M3&gt;PermDebt_Fund)*Perm_Debt?*$H$77/12</f>
        <v>0</v>
      </c>
      <c r="N139" s="564">
        <f t="shared" si="628"/>
        <v>0</v>
      </c>
      <c r="O139" s="564">
        <f t="shared" si="628"/>
        <v>0</v>
      </c>
      <c r="P139" s="564">
        <f t="shared" si="628"/>
        <v>0</v>
      </c>
      <c r="Q139" s="564">
        <f t="shared" si="628"/>
        <v>0</v>
      </c>
      <c r="R139" s="564">
        <f t="shared" si="628"/>
        <v>0</v>
      </c>
      <c r="S139" s="564">
        <f t="shared" si="628"/>
        <v>0</v>
      </c>
      <c r="T139" s="564">
        <f t="shared" si="628"/>
        <v>0</v>
      </c>
      <c r="U139" s="564">
        <f t="shared" si="628"/>
        <v>0</v>
      </c>
      <c r="V139" s="564">
        <f t="shared" si="628"/>
        <v>0</v>
      </c>
      <c r="W139" s="564">
        <f t="shared" si="628"/>
        <v>0</v>
      </c>
      <c r="X139" s="564">
        <f t="shared" si="628"/>
        <v>0</v>
      </c>
      <c r="Y139" s="564">
        <f t="shared" si="628"/>
        <v>0</v>
      </c>
      <c r="Z139" s="564">
        <f t="shared" si="628"/>
        <v>0</v>
      </c>
      <c r="AA139" s="564">
        <f t="shared" si="628"/>
        <v>0</v>
      </c>
      <c r="AB139" s="564">
        <f t="shared" si="628"/>
        <v>0</v>
      </c>
      <c r="AC139" s="564">
        <f t="shared" si="628"/>
        <v>0</v>
      </c>
      <c r="AD139" s="564">
        <f t="shared" si="628"/>
        <v>0</v>
      </c>
      <c r="AE139" s="564">
        <f t="shared" si="628"/>
        <v>0</v>
      </c>
      <c r="AF139" s="564">
        <f t="shared" si="628"/>
        <v>0</v>
      </c>
      <c r="AG139" s="564">
        <f t="shared" si="628"/>
        <v>0</v>
      </c>
      <c r="AH139" s="564">
        <f t="shared" si="628"/>
        <v>0</v>
      </c>
      <c r="AI139" s="564">
        <f t="shared" si="628"/>
        <v>0</v>
      </c>
      <c r="AJ139" s="564">
        <f t="shared" si="628"/>
        <v>0</v>
      </c>
      <c r="AK139" s="564">
        <f t="shared" si="628"/>
        <v>0</v>
      </c>
      <c r="AL139" s="564">
        <f t="shared" si="628"/>
        <v>0</v>
      </c>
      <c r="AM139" s="564">
        <f t="shared" si="628"/>
        <v>0</v>
      </c>
      <c r="AN139" s="564">
        <f t="shared" si="628"/>
        <v>0</v>
      </c>
      <c r="AO139" s="564">
        <f t="shared" si="628"/>
        <v>0</v>
      </c>
      <c r="AP139" s="564">
        <f t="shared" si="628"/>
        <v>0</v>
      </c>
      <c r="AQ139" s="564">
        <f t="shared" si="628"/>
        <v>0</v>
      </c>
      <c r="AR139" s="564">
        <f t="shared" si="628"/>
        <v>0</v>
      </c>
      <c r="AS139" s="564">
        <f t="shared" ref="AS139:BX139" si="629">(AS3&gt;PermDebt_Fund)*Perm_Debt?*$H$77/12</f>
        <v>0</v>
      </c>
      <c r="AT139" s="564">
        <f t="shared" si="629"/>
        <v>0</v>
      </c>
      <c r="AU139" s="564">
        <f t="shared" si="629"/>
        <v>0</v>
      </c>
      <c r="AV139" s="564">
        <f t="shared" si="629"/>
        <v>0</v>
      </c>
      <c r="AW139" s="564">
        <f t="shared" si="629"/>
        <v>0</v>
      </c>
      <c r="AX139" s="564">
        <f t="shared" si="629"/>
        <v>0</v>
      </c>
      <c r="AY139" s="564">
        <f t="shared" si="629"/>
        <v>0</v>
      </c>
      <c r="AZ139" s="564">
        <f t="shared" si="629"/>
        <v>0</v>
      </c>
      <c r="BA139" s="564">
        <f t="shared" si="629"/>
        <v>0</v>
      </c>
      <c r="BB139" s="564">
        <f t="shared" si="629"/>
        <v>0</v>
      </c>
      <c r="BC139" s="564">
        <f t="shared" si="629"/>
        <v>0</v>
      </c>
      <c r="BD139" s="564">
        <f t="shared" si="629"/>
        <v>0</v>
      </c>
      <c r="BE139" s="564">
        <f t="shared" si="629"/>
        <v>0</v>
      </c>
      <c r="BF139" s="564">
        <f t="shared" si="629"/>
        <v>0</v>
      </c>
      <c r="BG139" s="564">
        <f t="shared" si="629"/>
        <v>0</v>
      </c>
      <c r="BH139" s="564">
        <f t="shared" si="629"/>
        <v>0</v>
      </c>
      <c r="BI139" s="564">
        <f t="shared" si="629"/>
        <v>0</v>
      </c>
      <c r="BJ139" s="564">
        <f t="shared" si="629"/>
        <v>0</v>
      </c>
      <c r="BK139" s="564">
        <f t="shared" si="629"/>
        <v>0</v>
      </c>
      <c r="BL139" s="564">
        <f t="shared" si="629"/>
        <v>0</v>
      </c>
      <c r="BM139" s="564">
        <f t="shared" si="629"/>
        <v>0</v>
      </c>
      <c r="BN139" s="564">
        <f t="shared" si="629"/>
        <v>0</v>
      </c>
      <c r="BO139" s="564">
        <f t="shared" si="629"/>
        <v>0</v>
      </c>
      <c r="BP139" s="564">
        <f t="shared" si="629"/>
        <v>0</v>
      </c>
      <c r="BQ139" s="564">
        <f t="shared" si="629"/>
        <v>0</v>
      </c>
      <c r="BR139" s="564">
        <f t="shared" si="629"/>
        <v>0</v>
      </c>
      <c r="BS139" s="564">
        <f t="shared" si="629"/>
        <v>0</v>
      </c>
      <c r="BT139" s="564">
        <f t="shared" si="629"/>
        <v>0</v>
      </c>
      <c r="BU139" s="564">
        <f t="shared" si="629"/>
        <v>0</v>
      </c>
      <c r="BV139" s="564">
        <f t="shared" si="629"/>
        <v>0</v>
      </c>
      <c r="BW139" s="564">
        <f t="shared" si="629"/>
        <v>0</v>
      </c>
      <c r="BX139" s="564">
        <f t="shared" si="629"/>
        <v>0</v>
      </c>
      <c r="BY139" s="564">
        <f t="shared" ref="BY139:DD139" si="630">(BY3&gt;PermDebt_Fund)*Perm_Debt?*$H$77/12</f>
        <v>0</v>
      </c>
      <c r="BZ139" s="564">
        <f t="shared" si="630"/>
        <v>0</v>
      </c>
      <c r="CA139" s="564">
        <f t="shared" si="630"/>
        <v>0</v>
      </c>
      <c r="CB139" s="564">
        <f t="shared" si="630"/>
        <v>0</v>
      </c>
      <c r="CC139" s="564">
        <f t="shared" si="630"/>
        <v>0</v>
      </c>
      <c r="CD139" s="564">
        <f t="shared" si="630"/>
        <v>0</v>
      </c>
      <c r="CE139" s="564">
        <f t="shared" si="630"/>
        <v>0</v>
      </c>
      <c r="CF139" s="564">
        <f t="shared" si="630"/>
        <v>0</v>
      </c>
      <c r="CG139" s="564">
        <f t="shared" si="630"/>
        <v>0</v>
      </c>
      <c r="CH139" s="564">
        <f t="shared" si="630"/>
        <v>0</v>
      </c>
      <c r="CI139" s="564">
        <f t="shared" si="630"/>
        <v>0</v>
      </c>
      <c r="CJ139" s="564">
        <f t="shared" si="630"/>
        <v>0</v>
      </c>
      <c r="CK139" s="564">
        <f t="shared" si="630"/>
        <v>0</v>
      </c>
      <c r="CL139" s="564">
        <f t="shared" si="630"/>
        <v>0</v>
      </c>
      <c r="CM139" s="564">
        <f t="shared" si="630"/>
        <v>0</v>
      </c>
      <c r="CN139" s="564">
        <f t="shared" si="630"/>
        <v>0</v>
      </c>
      <c r="CO139" s="564">
        <f t="shared" si="630"/>
        <v>0</v>
      </c>
      <c r="CP139" s="564">
        <f t="shared" si="630"/>
        <v>0</v>
      </c>
      <c r="CQ139" s="564">
        <f t="shared" si="630"/>
        <v>0</v>
      </c>
      <c r="CR139" s="564">
        <f t="shared" si="630"/>
        <v>0</v>
      </c>
      <c r="CS139" s="564">
        <f t="shared" si="630"/>
        <v>0</v>
      </c>
      <c r="CT139" s="564">
        <f t="shared" si="630"/>
        <v>0</v>
      </c>
      <c r="CU139" s="564">
        <f t="shared" si="630"/>
        <v>0</v>
      </c>
      <c r="CV139" s="564">
        <f t="shared" si="630"/>
        <v>0</v>
      </c>
      <c r="CW139" s="564">
        <f t="shared" si="630"/>
        <v>0</v>
      </c>
      <c r="CX139" s="564">
        <f t="shared" si="630"/>
        <v>0</v>
      </c>
      <c r="CY139" s="564">
        <f t="shared" si="630"/>
        <v>0</v>
      </c>
      <c r="CZ139" s="564">
        <f t="shared" si="630"/>
        <v>0</v>
      </c>
      <c r="DA139" s="564">
        <f t="shared" si="630"/>
        <v>0</v>
      </c>
      <c r="DB139" s="564">
        <f t="shared" si="630"/>
        <v>0</v>
      </c>
      <c r="DC139" s="564">
        <f t="shared" si="630"/>
        <v>0</v>
      </c>
      <c r="DD139" s="564">
        <f t="shared" si="630"/>
        <v>0</v>
      </c>
      <c r="DE139" s="564">
        <f t="shared" ref="DE139:EN139" si="631">(DE3&gt;PermDebt_Fund)*Perm_Debt?*$H$77/12</f>
        <v>0</v>
      </c>
      <c r="DF139" s="564">
        <f t="shared" si="631"/>
        <v>0</v>
      </c>
      <c r="DG139" s="564">
        <f t="shared" si="631"/>
        <v>0</v>
      </c>
      <c r="DH139" s="564">
        <f t="shared" si="631"/>
        <v>0</v>
      </c>
      <c r="DI139" s="564">
        <f t="shared" si="631"/>
        <v>0</v>
      </c>
      <c r="DJ139" s="564">
        <f t="shared" si="631"/>
        <v>0</v>
      </c>
      <c r="DK139" s="564">
        <f t="shared" si="631"/>
        <v>0</v>
      </c>
      <c r="DL139" s="564">
        <f t="shared" si="631"/>
        <v>0</v>
      </c>
      <c r="DM139" s="564">
        <f t="shared" si="631"/>
        <v>0</v>
      </c>
      <c r="DN139" s="564">
        <f t="shared" si="631"/>
        <v>0</v>
      </c>
      <c r="DO139" s="564">
        <f t="shared" si="631"/>
        <v>0</v>
      </c>
      <c r="DP139" s="564">
        <f t="shared" si="631"/>
        <v>0</v>
      </c>
      <c r="DQ139" s="564">
        <f t="shared" si="631"/>
        <v>0</v>
      </c>
      <c r="DR139" s="564">
        <f t="shared" si="631"/>
        <v>0</v>
      </c>
      <c r="DS139" s="564">
        <f t="shared" si="631"/>
        <v>0</v>
      </c>
      <c r="DT139" s="564">
        <f t="shared" si="631"/>
        <v>0</v>
      </c>
      <c r="DU139" s="564">
        <f t="shared" si="631"/>
        <v>0</v>
      </c>
      <c r="DV139" s="564">
        <f t="shared" si="631"/>
        <v>0</v>
      </c>
      <c r="DW139" s="564">
        <f t="shared" si="631"/>
        <v>0</v>
      </c>
      <c r="DX139" s="564">
        <f t="shared" si="631"/>
        <v>0</v>
      </c>
      <c r="DY139" s="564">
        <f t="shared" si="631"/>
        <v>0</v>
      </c>
      <c r="DZ139" s="564">
        <f t="shared" si="631"/>
        <v>0</v>
      </c>
      <c r="EA139" s="564">
        <f t="shared" si="631"/>
        <v>0</v>
      </c>
      <c r="EB139" s="564">
        <f t="shared" si="631"/>
        <v>0</v>
      </c>
      <c r="EC139" s="564">
        <f t="shared" si="631"/>
        <v>0</v>
      </c>
      <c r="ED139" s="564">
        <f t="shared" si="631"/>
        <v>0</v>
      </c>
      <c r="EE139" s="564">
        <f t="shared" si="631"/>
        <v>0</v>
      </c>
      <c r="EF139" s="564">
        <f t="shared" si="631"/>
        <v>0</v>
      </c>
      <c r="EG139" s="564">
        <f t="shared" si="631"/>
        <v>0</v>
      </c>
      <c r="EH139" s="564">
        <f t="shared" si="631"/>
        <v>0</v>
      </c>
      <c r="EI139" s="564">
        <f t="shared" si="631"/>
        <v>0</v>
      </c>
      <c r="EJ139" s="564">
        <f t="shared" si="631"/>
        <v>0</v>
      </c>
      <c r="EK139" s="564">
        <f t="shared" si="631"/>
        <v>0</v>
      </c>
      <c r="EL139" s="564">
        <f t="shared" si="631"/>
        <v>0</v>
      </c>
      <c r="EM139" s="564">
        <f t="shared" si="631"/>
        <v>0</v>
      </c>
      <c r="EN139" s="564">
        <f t="shared" si="631"/>
        <v>0</v>
      </c>
      <c r="EP139" s="24"/>
      <c r="EQ139" s="24"/>
      <c r="ER139" s="24"/>
      <c r="ES139" s="24"/>
      <c r="ET139" s="24"/>
      <c r="EU139" s="33"/>
      <c r="EV139" s="24"/>
      <c r="EW139" s="24"/>
      <c r="EX139" s="24"/>
      <c r="EY139" s="24"/>
      <c r="EZ139" s="24"/>
      <c r="FA139" s="24"/>
      <c r="FB139" s="24"/>
      <c r="FC139" s="24"/>
      <c r="FD139" s="24"/>
      <c r="FE139" s="24"/>
      <c r="FF139" s="24"/>
      <c r="FG139" s="24"/>
      <c r="FH139" s="24"/>
      <c r="FI139" s="24"/>
      <c r="FJ139" s="24"/>
      <c r="FK139" s="24"/>
      <c r="FL139" s="24"/>
      <c r="FM139" s="24"/>
      <c r="FN139" s="24"/>
      <c r="FO139" s="24"/>
      <c r="FP139" s="24"/>
      <c r="FQ139" s="24"/>
      <c r="FR139" s="24"/>
      <c r="FS139" s="24"/>
      <c r="FT139" s="24"/>
      <c r="FU139" s="24"/>
      <c r="FV139" s="24"/>
      <c r="FW139" s="24"/>
      <c r="FX139" s="24"/>
      <c r="FY139" s="24"/>
      <c r="FZ139" s="24"/>
      <c r="GA139" s="24"/>
      <c r="GB139" s="24"/>
      <c r="GC139" s="24"/>
      <c r="GD139" s="24"/>
      <c r="GE139" s="24"/>
      <c r="GF139" s="24"/>
      <c r="GG139" s="24"/>
      <c r="GH139" s="24"/>
      <c r="GI139" s="24"/>
      <c r="GJ139" s="24"/>
      <c r="GK139" s="24"/>
      <c r="GL139" s="24"/>
      <c r="GM139" s="24"/>
      <c r="GN139" s="24"/>
      <c r="GO139" s="24"/>
      <c r="GP139" s="24"/>
      <c r="GQ139" s="24"/>
      <c r="GR139" s="24"/>
      <c r="GS139" s="24"/>
      <c r="GT139" s="24"/>
      <c r="GU139" s="24"/>
      <c r="GV139" s="24"/>
      <c r="GW139" s="24"/>
      <c r="GX139" s="24"/>
      <c r="GY139" s="24"/>
      <c r="GZ139" s="24"/>
      <c r="HA139" s="24"/>
      <c r="HB139" s="24"/>
      <c r="HC139" s="24"/>
      <c r="HD139" s="24"/>
      <c r="HE139" s="24"/>
      <c r="HF139" s="24"/>
      <c r="HG139" s="24"/>
      <c r="HH139" s="24"/>
      <c r="HI139" s="24"/>
      <c r="HJ139" s="24"/>
      <c r="HK139" s="24"/>
      <c r="HL139" s="24"/>
      <c r="HM139" s="24"/>
      <c r="HN139" s="24"/>
      <c r="HO139" s="24"/>
      <c r="HP139" s="24"/>
      <c r="HQ139" s="24"/>
      <c r="HR139" s="24"/>
      <c r="HS139" s="24"/>
      <c r="HT139" s="24"/>
      <c r="HU139" s="24"/>
      <c r="HV139" s="24"/>
      <c r="HW139" s="24"/>
      <c r="HX139" s="24"/>
      <c r="HY139" s="24"/>
      <c r="HZ139" s="24"/>
      <c r="IA139" s="24"/>
      <c r="IB139" s="24"/>
      <c r="IC139" s="24"/>
      <c r="ID139" s="24"/>
      <c r="IE139" s="24"/>
      <c r="IF139" s="24"/>
      <c r="IG139" s="24"/>
      <c r="IH139" s="24"/>
      <c r="II139" s="24"/>
      <c r="IJ139" s="24"/>
      <c r="IK139" s="24"/>
      <c r="IL139" s="24"/>
      <c r="IM139" s="24"/>
      <c r="IN139" s="24"/>
      <c r="IO139" s="24"/>
      <c r="IP139" s="24"/>
      <c r="IQ139" s="24"/>
      <c r="IR139" s="24"/>
      <c r="IS139" s="24"/>
      <c r="IT139" s="24"/>
      <c r="IU139" s="24"/>
      <c r="IV139" s="24"/>
      <c r="IW139" s="24"/>
      <c r="IX139" s="24"/>
      <c r="IY139" s="24"/>
      <c r="IZ139" s="24"/>
      <c r="JA139" s="24"/>
      <c r="JB139" s="24"/>
      <c r="JC139" s="24"/>
      <c r="JD139" s="24"/>
      <c r="JE139" s="24"/>
      <c r="JF139" s="24"/>
      <c r="JG139" s="24"/>
      <c r="JH139" s="24"/>
      <c r="JI139" s="24"/>
      <c r="JJ139" s="24"/>
      <c r="JK139" s="24"/>
      <c r="JL139" s="24"/>
      <c r="JM139" s="24"/>
      <c r="JN139" s="24"/>
      <c r="JO139" s="24"/>
      <c r="JP139" s="24"/>
      <c r="JQ139" s="24"/>
      <c r="JR139" s="24"/>
      <c r="JS139" s="24"/>
      <c r="JT139" s="24"/>
      <c r="JU139" s="24"/>
      <c r="JV139" s="24"/>
      <c r="JW139" s="24"/>
      <c r="JX139" s="24"/>
    </row>
    <row r="140" spans="1:284" s="7" customFormat="1" ht="0.6" customHeight="1" x14ac:dyDescent="0.2">
      <c r="A140" s="406"/>
      <c r="B140" s="92" t="s">
        <v>610</v>
      </c>
      <c r="C140" s="120"/>
      <c r="D140" s="120"/>
      <c r="E140" s="120" t="str">
        <f>IF(Perm_Debt?=0,"","Cash-on-Cash Return (Month "&amp;PermDebt_Fund+1&amp;")")</f>
        <v/>
      </c>
      <c r="F140" s="574">
        <f ca="1">SUM(OFFSET(INDEX(M140:EN140,1,PermDebt_Fund+1),0,0,1,12))/I65</f>
        <v>0.24364022301898111</v>
      </c>
      <c r="G140" s="120"/>
      <c r="H140" s="120"/>
      <c r="I140" s="123">
        <f>+I138-I139</f>
        <v>3314914.7685200004</v>
      </c>
      <c r="K140" s="7" t="s">
        <v>611</v>
      </c>
      <c r="M140" s="49">
        <f>M138-M139</f>
        <v>0</v>
      </c>
      <c r="N140" s="49">
        <f t="shared" ref="N140:BY140" si="632">N138-N139</f>
        <v>0</v>
      </c>
      <c r="O140" s="49">
        <f t="shared" si="632"/>
        <v>0</v>
      </c>
      <c r="P140" s="49">
        <f t="shared" si="632"/>
        <v>0</v>
      </c>
      <c r="Q140" s="49">
        <f t="shared" si="632"/>
        <v>0</v>
      </c>
      <c r="R140" s="49">
        <f t="shared" si="632"/>
        <v>0</v>
      </c>
      <c r="S140" s="49">
        <f t="shared" si="632"/>
        <v>0</v>
      </c>
      <c r="T140" s="49">
        <f t="shared" si="632"/>
        <v>0</v>
      </c>
      <c r="U140" s="49">
        <f t="shared" si="632"/>
        <v>0</v>
      </c>
      <c r="V140" s="49">
        <f t="shared" si="632"/>
        <v>0</v>
      </c>
      <c r="W140" s="49">
        <f t="shared" si="632"/>
        <v>0</v>
      </c>
      <c r="X140" s="49">
        <f t="shared" si="632"/>
        <v>0</v>
      </c>
      <c r="Y140" s="49">
        <f t="shared" si="632"/>
        <v>0</v>
      </c>
      <c r="Z140" s="49">
        <f t="shared" si="632"/>
        <v>0</v>
      </c>
      <c r="AA140" s="49">
        <f t="shared" si="632"/>
        <v>0</v>
      </c>
      <c r="AB140" s="49">
        <f t="shared" si="632"/>
        <v>0</v>
      </c>
      <c r="AC140" s="49">
        <f t="shared" si="632"/>
        <v>0</v>
      </c>
      <c r="AD140" s="49">
        <f t="shared" si="632"/>
        <v>0</v>
      </c>
      <c r="AE140" s="49">
        <f t="shared" si="632"/>
        <v>-137014.1267392564</v>
      </c>
      <c r="AF140" s="49">
        <f t="shared" si="632"/>
        <v>-105738.43198636749</v>
      </c>
      <c r="AG140" s="49">
        <f t="shared" si="632"/>
        <v>-74462.737233478663</v>
      </c>
      <c r="AH140" s="49">
        <f t="shared" si="632"/>
        <v>-43187.042480589735</v>
      </c>
      <c r="AI140" s="49">
        <f t="shared" si="632"/>
        <v>-11911.347727700826</v>
      </c>
      <c r="AJ140" s="49">
        <f t="shared" si="632"/>
        <v>19364.347025188054</v>
      </c>
      <c r="AK140" s="49">
        <f t="shared" si="632"/>
        <v>50640.041778076935</v>
      </c>
      <c r="AL140" s="49">
        <f t="shared" si="632"/>
        <v>81915.73653096582</v>
      </c>
      <c r="AM140" s="49">
        <f t="shared" si="632"/>
        <v>113191.43128385466</v>
      </c>
      <c r="AN140" s="49">
        <f t="shared" si="632"/>
        <v>144467.12603674358</v>
      </c>
      <c r="AO140" s="49">
        <f t="shared" si="632"/>
        <v>175742.8207896325</v>
      </c>
      <c r="AP140" s="49">
        <f t="shared" si="632"/>
        <v>207018.5155425214</v>
      </c>
      <c r="AQ140" s="49">
        <f t="shared" si="632"/>
        <v>223226.79761989755</v>
      </c>
      <c r="AR140" s="49">
        <f t="shared" si="632"/>
        <v>255440.76321537315</v>
      </c>
      <c r="AS140" s="49">
        <f t="shared" si="632"/>
        <v>294529.40665734163</v>
      </c>
      <c r="AT140" s="49">
        <f t="shared" si="632"/>
        <v>295640.04453234165</v>
      </c>
      <c r="AU140" s="49">
        <f t="shared" si="632"/>
        <v>296750.68240734166</v>
      </c>
      <c r="AV140" s="49">
        <f t="shared" si="632"/>
        <v>297861.32028234168</v>
      </c>
      <c r="AW140" s="49">
        <f t="shared" si="632"/>
        <v>298971.95815734164</v>
      </c>
      <c r="AX140" s="49">
        <f t="shared" si="632"/>
        <v>300082.59603234159</v>
      </c>
      <c r="AY140" s="49">
        <f t="shared" si="632"/>
        <v>301193.23390734167</v>
      </c>
      <c r="AZ140" s="49">
        <f t="shared" si="632"/>
        <v>302303.87178234162</v>
      </c>
      <c r="BA140" s="49">
        <f t="shared" si="632"/>
        <v>303414.50965734164</v>
      </c>
      <c r="BB140" s="49">
        <f t="shared" si="632"/>
        <v>304525.14753234165</v>
      </c>
      <c r="BC140" s="49">
        <f t="shared" si="632"/>
        <v>291922.13281565561</v>
      </c>
      <c r="BD140" s="49">
        <f t="shared" si="632"/>
        <v>293066.08982690558</v>
      </c>
      <c r="BE140" s="49">
        <f t="shared" si="632"/>
        <v>280482.56270315562</v>
      </c>
      <c r="BF140" s="49">
        <f t="shared" si="632"/>
        <v>281626.5197144057</v>
      </c>
      <c r="BG140" s="49">
        <f t="shared" si="632"/>
        <v>282770.47672565567</v>
      </c>
      <c r="BH140" s="49">
        <f t="shared" si="632"/>
        <v>283914.43373690575</v>
      </c>
      <c r="BI140" s="49">
        <f t="shared" si="632"/>
        <v>285058.39074815571</v>
      </c>
      <c r="BJ140" s="49">
        <f t="shared" si="632"/>
        <v>286202.34775940567</v>
      </c>
      <c r="BK140" s="49">
        <f t="shared" si="632"/>
        <v>287346.30477065576</v>
      </c>
      <c r="BL140" s="49">
        <f t="shared" si="632"/>
        <v>288490.26178190572</v>
      </c>
      <c r="BM140" s="49">
        <f t="shared" si="632"/>
        <v>289634.21879315568</v>
      </c>
      <c r="BN140" s="49">
        <f t="shared" si="632"/>
        <v>290778.17580440565</v>
      </c>
      <c r="BO140" s="49">
        <f t="shared" si="632"/>
        <v>300679.79680012522</v>
      </c>
      <c r="BP140" s="49">
        <f t="shared" si="632"/>
        <v>301858.07252171275</v>
      </c>
      <c r="BQ140" s="49">
        <f t="shared" si="632"/>
        <v>288897.03958425031</v>
      </c>
      <c r="BR140" s="49">
        <f t="shared" si="632"/>
        <v>290075.31530583772</v>
      </c>
      <c r="BS140" s="49">
        <f t="shared" si="632"/>
        <v>291253.59102742531</v>
      </c>
      <c r="BT140" s="49">
        <f t="shared" si="632"/>
        <v>292431.86674901273</v>
      </c>
      <c r="BU140" s="49">
        <f t="shared" si="632"/>
        <v>293610.14247060032</v>
      </c>
      <c r="BV140" s="49">
        <f t="shared" si="632"/>
        <v>294788.41819218767</v>
      </c>
      <c r="BW140" s="49">
        <f t="shared" si="632"/>
        <v>295966.69391377526</v>
      </c>
      <c r="BX140" s="49">
        <f t="shared" si="632"/>
        <v>297144.96963536274</v>
      </c>
      <c r="BY140" s="49">
        <f t="shared" si="632"/>
        <v>298323.24535695033</v>
      </c>
      <c r="BZ140" s="49">
        <f t="shared" ref="BZ140:EK140" si="633">BZ138-BZ139</f>
        <v>299501.52107853774</v>
      </c>
      <c r="CA140" s="49">
        <f t="shared" si="633"/>
        <v>309700.190704129</v>
      </c>
      <c r="CB140" s="49">
        <f t="shared" si="633"/>
        <v>310913.81469736423</v>
      </c>
      <c r="CC140" s="49">
        <f t="shared" si="633"/>
        <v>297563.95077177783</v>
      </c>
      <c r="CD140" s="49">
        <f t="shared" si="633"/>
        <v>298777.57476501295</v>
      </c>
      <c r="CE140" s="49">
        <f t="shared" si="633"/>
        <v>299991.19875824812</v>
      </c>
      <c r="CF140" s="49">
        <f t="shared" si="633"/>
        <v>301204.8227514833</v>
      </c>
      <c r="CG140" s="49">
        <f t="shared" si="633"/>
        <v>302418.44674471824</v>
      </c>
      <c r="CH140" s="49">
        <f t="shared" si="633"/>
        <v>303632.07073795341</v>
      </c>
      <c r="CI140" s="49">
        <f t="shared" si="633"/>
        <v>304845.69473118859</v>
      </c>
      <c r="CJ140" s="49">
        <f t="shared" si="633"/>
        <v>306059.31872442365</v>
      </c>
      <c r="CK140" s="49">
        <f t="shared" si="633"/>
        <v>307272.94271765882</v>
      </c>
      <c r="CL140" s="49">
        <f t="shared" si="633"/>
        <v>308486.56671089405</v>
      </c>
      <c r="CM140" s="49">
        <f t="shared" si="633"/>
        <v>318991.196425253</v>
      </c>
      <c r="CN140" s="49">
        <f t="shared" si="633"/>
        <v>320241.22913828527</v>
      </c>
      <c r="CO140" s="49">
        <f t="shared" si="633"/>
        <v>306490.86929493118</v>
      </c>
      <c r="CP140" s="49">
        <f t="shared" si="633"/>
        <v>307740.90200796339</v>
      </c>
      <c r="CQ140" s="49">
        <f t="shared" si="633"/>
        <v>308990.93472099554</v>
      </c>
      <c r="CR140" s="49">
        <f t="shared" si="633"/>
        <v>310240.96743402781</v>
      </c>
      <c r="CS140" s="49">
        <f t="shared" si="633"/>
        <v>311491.00014705997</v>
      </c>
      <c r="CT140" s="49">
        <f t="shared" si="633"/>
        <v>312741.03286009206</v>
      </c>
      <c r="CU140" s="49">
        <f t="shared" si="633"/>
        <v>313991.06557312433</v>
      </c>
      <c r="CV140" s="49">
        <f t="shared" si="633"/>
        <v>315241.09828615648</v>
      </c>
      <c r="CW140" s="49">
        <f t="shared" si="633"/>
        <v>316491.1309991887</v>
      </c>
      <c r="CX140" s="49">
        <f t="shared" si="633"/>
        <v>317741.16371222085</v>
      </c>
      <c r="CY140" s="49">
        <f t="shared" si="633"/>
        <v>328560.93231801048</v>
      </c>
      <c r="CZ140" s="49">
        <f t="shared" si="633"/>
        <v>329848.46601243364</v>
      </c>
      <c r="DA140" s="49">
        <f t="shared" si="633"/>
        <v>315685.59537377913</v>
      </c>
      <c r="DB140" s="49">
        <f t="shared" si="633"/>
        <v>316973.12906820228</v>
      </c>
      <c r="DC140" s="49">
        <f t="shared" si="633"/>
        <v>318260.66276262532</v>
      </c>
      <c r="DD140" s="49">
        <f t="shared" si="633"/>
        <v>319548.19645704847</v>
      </c>
      <c r="DE140" s="49">
        <f t="shared" si="633"/>
        <v>320835.73015147162</v>
      </c>
      <c r="DF140" s="49">
        <f t="shared" si="633"/>
        <v>322123.26384589478</v>
      </c>
      <c r="DG140" s="49">
        <f t="shared" si="633"/>
        <v>323410.79754031799</v>
      </c>
      <c r="DH140" s="49">
        <f t="shared" si="633"/>
        <v>324698.33123474114</v>
      </c>
      <c r="DI140" s="49">
        <f t="shared" si="633"/>
        <v>325985.86492916429</v>
      </c>
      <c r="DJ140" s="49">
        <f t="shared" si="633"/>
        <v>327273.39862358733</v>
      </c>
      <c r="DK140" s="49">
        <f t="shared" si="633"/>
        <v>338417.76028755098</v>
      </c>
      <c r="DL140" s="49">
        <f t="shared" si="633"/>
        <v>339743.91999280674</v>
      </c>
      <c r="DM140" s="49">
        <f t="shared" si="633"/>
        <v>325156.16323499253</v>
      </c>
      <c r="DN140" s="49">
        <f t="shared" si="633"/>
        <v>326482.3229402483</v>
      </c>
      <c r="DO140" s="49">
        <f t="shared" si="633"/>
        <v>327808.48264550418</v>
      </c>
      <c r="DP140" s="49">
        <f t="shared" si="633"/>
        <v>329134.64235076006</v>
      </c>
      <c r="DQ140" s="49">
        <f t="shared" si="633"/>
        <v>330460.80205601582</v>
      </c>
      <c r="DR140" s="49">
        <f t="shared" si="633"/>
        <v>331786.9617612717</v>
      </c>
      <c r="DS140" s="49">
        <f t="shared" si="633"/>
        <v>333113.12146652758</v>
      </c>
      <c r="DT140" s="49">
        <f t="shared" si="633"/>
        <v>334439.28117178346</v>
      </c>
      <c r="DU140" s="49">
        <f t="shared" si="633"/>
        <v>335765.44087703922</v>
      </c>
      <c r="DV140" s="49">
        <f t="shared" si="633"/>
        <v>337091.6005822951</v>
      </c>
      <c r="DW140" s="49">
        <f t="shared" si="633"/>
        <v>348570.29309617728</v>
      </c>
      <c r="DX140" s="49">
        <f t="shared" si="633"/>
        <v>349936.23759259074</v>
      </c>
      <c r="DY140" s="49">
        <f t="shared" si="633"/>
        <v>334910.84813204227</v>
      </c>
      <c r="DZ140" s="49">
        <f t="shared" si="633"/>
        <v>336276.79262845585</v>
      </c>
      <c r="EA140" s="49">
        <f t="shared" si="633"/>
        <v>337642.73712486919</v>
      </c>
      <c r="EB140" s="49">
        <f t="shared" si="633"/>
        <v>339008.68162128277</v>
      </c>
      <c r="EC140" s="49">
        <f t="shared" si="633"/>
        <v>340374.62611769623</v>
      </c>
      <c r="ED140" s="49">
        <f t="shared" si="633"/>
        <v>341740.57061410981</v>
      </c>
      <c r="EE140" s="49">
        <f t="shared" si="633"/>
        <v>343106.51511052327</v>
      </c>
      <c r="EF140" s="49">
        <f t="shared" si="633"/>
        <v>344472.45960693684</v>
      </c>
      <c r="EG140" s="49">
        <f t="shared" si="633"/>
        <v>345838.40410335036</v>
      </c>
      <c r="EH140" s="49">
        <f t="shared" si="633"/>
        <v>347204.3485997637</v>
      </c>
      <c r="EI140" s="49">
        <f t="shared" si="633"/>
        <v>359027.40188906278</v>
      </c>
      <c r="EJ140" s="49">
        <f t="shared" si="633"/>
        <v>360434.32472036849</v>
      </c>
      <c r="EK140" s="49">
        <f t="shared" si="633"/>
        <v>344958.17357600329</v>
      </c>
      <c r="EL140" s="49">
        <f t="shared" ref="EL140:EN140" si="634">EL138-EL139</f>
        <v>346365.09640730941</v>
      </c>
      <c r="EM140" s="49">
        <f t="shared" si="634"/>
        <v>347772.01923861541</v>
      </c>
      <c r="EN140" s="49">
        <f t="shared" si="634"/>
        <v>349178.94206992112</v>
      </c>
      <c r="EP140" s="24"/>
      <c r="EQ140" s="24"/>
      <c r="ER140" s="24"/>
      <c r="ES140" s="24"/>
      <c r="ET140" s="24"/>
      <c r="EU140" s="33"/>
      <c r="EV140" s="24"/>
      <c r="EW140" s="24"/>
      <c r="EX140" s="24"/>
      <c r="EY140" s="24"/>
      <c r="EZ140" s="24"/>
      <c r="FA140" s="24"/>
      <c r="FB140" s="24"/>
      <c r="FC140" s="24"/>
      <c r="FD140" s="24"/>
      <c r="FE140" s="24"/>
      <c r="FF140" s="24"/>
      <c r="FG140" s="24"/>
      <c r="FH140" s="24"/>
      <c r="FI140" s="24"/>
      <c r="FJ140" s="24"/>
      <c r="FK140" s="24"/>
      <c r="FL140" s="24"/>
      <c r="FM140" s="24"/>
      <c r="FN140" s="24"/>
      <c r="FO140" s="24"/>
      <c r="FP140" s="24"/>
      <c r="FQ140" s="24"/>
      <c r="FR140" s="24"/>
      <c r="FS140" s="24"/>
      <c r="FT140" s="24"/>
      <c r="FU140" s="24"/>
      <c r="FV140" s="24"/>
      <c r="FW140" s="24"/>
      <c r="FX140" s="24"/>
      <c r="FY140" s="24"/>
      <c r="FZ140" s="24"/>
      <c r="GA140" s="24"/>
      <c r="GB140" s="24"/>
      <c r="GC140" s="24"/>
      <c r="GD140" s="24"/>
      <c r="GE140" s="24"/>
      <c r="GF140" s="24"/>
      <c r="GG140" s="24"/>
      <c r="GH140" s="24"/>
      <c r="GI140" s="24"/>
      <c r="GJ140" s="24"/>
      <c r="GK140" s="24"/>
      <c r="GL140" s="24"/>
      <c r="GM140" s="24"/>
      <c r="GN140" s="24"/>
      <c r="GO140" s="24"/>
      <c r="GP140" s="24"/>
      <c r="GQ140" s="24"/>
      <c r="GR140" s="24"/>
      <c r="GS140" s="24"/>
      <c r="GT140" s="24"/>
      <c r="GU140" s="24"/>
      <c r="GV140" s="24"/>
      <c r="GW140" s="24"/>
      <c r="GX140" s="24"/>
      <c r="GY140" s="24"/>
      <c r="GZ140" s="24"/>
      <c r="HA140" s="24"/>
      <c r="HB140" s="24"/>
      <c r="HC140" s="24"/>
      <c r="HD140" s="24"/>
      <c r="HE140" s="24"/>
      <c r="HF140" s="24"/>
      <c r="HG140" s="24"/>
      <c r="HH140" s="24"/>
      <c r="HI140" s="24"/>
      <c r="HJ140" s="24"/>
      <c r="HK140" s="24"/>
      <c r="HL140" s="24"/>
      <c r="HM140" s="24"/>
      <c r="HN140" s="24"/>
      <c r="HO140" s="24"/>
      <c r="HP140" s="24"/>
      <c r="HQ140" s="24"/>
      <c r="HR140" s="24"/>
      <c r="HS140" s="24"/>
      <c r="HT140" s="24"/>
      <c r="HU140" s="24"/>
      <c r="HV140" s="24"/>
      <c r="HW140" s="24"/>
      <c r="HX140" s="24"/>
      <c r="HY140" s="24"/>
      <c r="HZ140" s="24"/>
      <c r="IA140" s="24"/>
      <c r="IB140" s="24"/>
      <c r="IC140" s="24"/>
      <c r="ID140" s="24"/>
      <c r="IE140" s="24"/>
      <c r="IF140" s="24"/>
      <c r="IG140" s="24"/>
      <c r="IH140" s="24"/>
      <c r="II140" s="24"/>
      <c r="IJ140" s="24"/>
      <c r="IK140" s="24"/>
      <c r="IL140" s="24"/>
      <c r="IM140" s="24"/>
      <c r="IN140" s="24"/>
      <c r="IO140" s="24"/>
      <c r="IP140" s="24"/>
      <c r="IQ140" s="24"/>
      <c r="IR140" s="24"/>
      <c r="IS140" s="24"/>
      <c r="IT140" s="24"/>
      <c r="IU140" s="24"/>
      <c r="IV140" s="24"/>
      <c r="IW140" s="24"/>
      <c r="IX140" s="24"/>
      <c r="IY140" s="24"/>
      <c r="IZ140" s="24"/>
      <c r="JA140" s="24"/>
      <c r="JB140" s="24"/>
      <c r="JC140" s="24"/>
      <c r="JD140" s="24"/>
      <c r="JE140" s="24"/>
      <c r="JF140" s="24"/>
      <c r="JG140" s="24"/>
      <c r="JH140" s="24"/>
      <c r="JI140" s="24"/>
      <c r="JJ140" s="24"/>
      <c r="JK140" s="24"/>
      <c r="JL140" s="24"/>
      <c r="JM140" s="24"/>
      <c r="JN140" s="24"/>
      <c r="JO140" s="24"/>
      <c r="JP140" s="24"/>
      <c r="JQ140" s="24"/>
      <c r="JR140" s="24"/>
      <c r="JS140" s="24"/>
      <c r="JT140" s="24"/>
      <c r="JU140" s="24"/>
      <c r="JV140" s="24"/>
      <c r="JW140" s="24"/>
      <c r="JX140" s="24"/>
    </row>
    <row r="141" spans="1:284" s="7" customFormat="1" ht="4.9000000000000004" customHeight="1" x14ac:dyDescent="0.2">
      <c r="A141" s="406"/>
      <c r="B141" s="11"/>
      <c r="C141" s="67"/>
      <c r="D141" s="67"/>
      <c r="E141" s="67"/>
      <c r="F141" s="67"/>
      <c r="G141" s="67"/>
      <c r="H141" s="67"/>
      <c r="I141" s="67"/>
      <c r="J141" s="41"/>
      <c r="K141" s="41"/>
      <c r="L141" s="41"/>
      <c r="M141" s="41"/>
      <c r="N141" s="41"/>
      <c r="O141" s="41"/>
      <c r="P141" s="41"/>
      <c r="Q141" s="41"/>
      <c r="R141" s="41"/>
      <c r="S141" s="41"/>
      <c r="T141" s="41"/>
      <c r="U141" s="41"/>
      <c r="V141" s="41"/>
      <c r="W141" s="41"/>
      <c r="X141" s="41"/>
      <c r="Y141" s="41"/>
      <c r="Z141" s="41"/>
      <c r="AA141" s="41"/>
      <c r="AB141" s="41"/>
      <c r="AC141" s="41"/>
      <c r="AD141" s="41"/>
      <c r="AE141" s="41"/>
      <c r="AF141" s="41"/>
      <c r="AG141" s="41"/>
      <c r="AH141" s="41"/>
      <c r="AI141" s="41"/>
      <c r="AJ141" s="41"/>
      <c r="AK141" s="41"/>
      <c r="AL141" s="41"/>
      <c r="AM141" s="41"/>
      <c r="AN141" s="41"/>
      <c r="AO141" s="41"/>
      <c r="AP141" s="41"/>
      <c r="AQ141" s="41"/>
      <c r="AR141" s="41"/>
      <c r="AS141" s="41"/>
      <c r="AT141" s="41"/>
      <c r="AU141" s="41"/>
      <c r="AV141" s="41"/>
      <c r="AW141" s="41"/>
      <c r="AX141" s="41"/>
      <c r="AY141" s="41"/>
      <c r="AZ141" s="41"/>
      <c r="BA141" s="41"/>
      <c r="BB141" s="41"/>
      <c r="BC141" s="41"/>
      <c r="BD141" s="41"/>
      <c r="BE141" s="41"/>
      <c r="BF141" s="41"/>
      <c r="BG141" s="41"/>
      <c r="BH141" s="41"/>
      <c r="BI141" s="41"/>
      <c r="BJ141" s="41"/>
      <c r="BK141" s="41"/>
      <c r="BL141" s="41"/>
      <c r="BM141" s="41"/>
      <c r="BN141" s="41"/>
      <c r="BO141" s="41"/>
      <c r="BP141" s="41"/>
      <c r="BQ141" s="41"/>
      <c r="BR141" s="41"/>
      <c r="BS141" s="41"/>
      <c r="BT141" s="41"/>
      <c r="BU141" s="41"/>
      <c r="BV141" s="41"/>
      <c r="BW141" s="41"/>
      <c r="BX141" s="41"/>
      <c r="BY141" s="41"/>
      <c r="BZ141" s="41"/>
      <c r="CA141" s="41"/>
      <c r="CB141" s="41"/>
      <c r="CC141" s="41"/>
      <c r="CD141" s="41"/>
      <c r="CE141" s="41"/>
      <c r="CF141" s="41"/>
      <c r="CG141" s="41"/>
      <c r="CH141" s="41"/>
      <c r="CI141" s="41"/>
      <c r="CJ141" s="41"/>
      <c r="CK141" s="41"/>
      <c r="CL141" s="41"/>
      <c r="CM141" s="41"/>
      <c r="CN141" s="41"/>
      <c r="CO141" s="41"/>
      <c r="CP141" s="41"/>
      <c r="CQ141" s="41"/>
      <c r="CR141" s="41"/>
      <c r="CS141" s="41"/>
      <c r="CT141" s="41"/>
      <c r="CU141" s="41"/>
      <c r="CV141" s="41"/>
      <c r="CW141" s="41"/>
      <c r="CX141" s="41"/>
      <c r="CY141" s="41"/>
      <c r="CZ141" s="41"/>
      <c r="DA141" s="41"/>
      <c r="DB141" s="41"/>
      <c r="DC141" s="41"/>
      <c r="DD141" s="41"/>
      <c r="DE141" s="41"/>
      <c r="DF141" s="41"/>
      <c r="DG141" s="41"/>
      <c r="DH141" s="41"/>
      <c r="DI141" s="41"/>
      <c r="DJ141" s="41"/>
      <c r="DK141" s="41"/>
      <c r="DL141" s="41"/>
      <c r="DM141" s="41"/>
      <c r="DN141" s="41"/>
      <c r="DO141" s="41"/>
      <c r="DP141" s="41"/>
      <c r="DQ141" s="41"/>
      <c r="DR141" s="41"/>
      <c r="DS141" s="41"/>
      <c r="DT141" s="41"/>
      <c r="DU141" s="41"/>
      <c r="DV141" s="41"/>
      <c r="DW141" s="41"/>
      <c r="DX141" s="41"/>
      <c r="DY141" s="41"/>
      <c r="DZ141" s="41"/>
      <c r="EA141" s="41"/>
      <c r="EB141" s="41"/>
      <c r="EC141" s="41"/>
      <c r="ED141" s="41"/>
      <c r="EE141" s="41"/>
      <c r="EF141" s="41"/>
      <c r="EG141" s="41"/>
      <c r="EH141" s="41"/>
      <c r="EI141" s="41"/>
      <c r="EJ141" s="41"/>
      <c r="EK141" s="41"/>
      <c r="EL141" s="41"/>
      <c r="EM141" s="41"/>
      <c r="EN141" s="41"/>
      <c r="EO141" s="41"/>
      <c r="EP141" s="42"/>
      <c r="EQ141" s="42"/>
      <c r="ER141" s="42"/>
      <c r="ES141" s="42"/>
      <c r="ET141" s="42"/>
      <c r="EU141" s="216"/>
      <c r="EV141" s="42"/>
      <c r="EW141" s="42"/>
      <c r="EX141" s="42"/>
      <c r="EY141" s="42"/>
      <c r="EZ141" s="42"/>
      <c r="FA141" s="42"/>
      <c r="FB141" s="42"/>
      <c r="FC141" s="42"/>
      <c r="FD141" s="42"/>
      <c r="FE141" s="42"/>
      <c r="FF141" s="42"/>
      <c r="FG141" s="42"/>
      <c r="FH141" s="42"/>
      <c r="FI141" s="42"/>
      <c r="FJ141" s="42"/>
      <c r="FK141" s="42"/>
      <c r="FL141" s="42"/>
      <c r="FM141" s="42"/>
      <c r="FN141" s="42"/>
      <c r="FO141" s="42"/>
      <c r="FP141" s="42"/>
      <c r="FQ141" s="42"/>
      <c r="FR141" s="42"/>
      <c r="FS141" s="42"/>
      <c r="FT141" s="42"/>
      <c r="FU141" s="42"/>
      <c r="FV141" s="42"/>
      <c r="FW141" s="42"/>
      <c r="FX141" s="42"/>
      <c r="FY141" s="42"/>
      <c r="FZ141" s="42"/>
      <c r="GA141" s="42"/>
      <c r="GB141" s="42"/>
      <c r="GC141" s="42"/>
      <c r="GD141" s="42"/>
      <c r="GE141" s="42"/>
      <c r="GF141" s="42"/>
      <c r="GG141" s="42"/>
      <c r="GH141" s="42"/>
      <c r="GI141" s="42"/>
      <c r="GJ141" s="42"/>
      <c r="GK141" s="42"/>
      <c r="GL141" s="42"/>
      <c r="GM141" s="42"/>
      <c r="GN141" s="42"/>
      <c r="GO141" s="42"/>
      <c r="GP141" s="42"/>
      <c r="GQ141" s="42"/>
      <c r="GR141" s="42"/>
      <c r="GS141" s="42"/>
      <c r="GT141" s="42"/>
      <c r="GU141" s="42"/>
      <c r="GV141" s="42"/>
      <c r="GW141" s="42"/>
      <c r="GX141" s="42"/>
      <c r="GY141" s="42"/>
      <c r="GZ141" s="42"/>
      <c r="HA141" s="42"/>
      <c r="HB141" s="42"/>
      <c r="HC141" s="42"/>
      <c r="HD141" s="42"/>
      <c r="HE141" s="42"/>
      <c r="HF141" s="42"/>
      <c r="HG141" s="42"/>
      <c r="HH141" s="42"/>
      <c r="HI141" s="42"/>
      <c r="HJ141" s="42"/>
      <c r="HK141" s="42"/>
      <c r="HL141" s="42"/>
      <c r="HM141" s="42"/>
      <c r="HN141" s="42"/>
      <c r="HO141" s="42"/>
      <c r="HP141" s="42"/>
      <c r="HQ141" s="42"/>
      <c r="HR141" s="42"/>
      <c r="HS141" s="42"/>
      <c r="HT141" s="42"/>
      <c r="HU141" s="42"/>
      <c r="HV141" s="42"/>
      <c r="HW141" s="42"/>
      <c r="HX141" s="42"/>
      <c r="HY141" s="42"/>
      <c r="HZ141" s="42"/>
      <c r="IA141" s="42"/>
      <c r="IB141" s="42"/>
      <c r="IC141" s="42"/>
      <c r="ID141" s="42"/>
      <c r="IE141" s="42"/>
      <c r="IF141" s="42"/>
      <c r="IG141" s="42"/>
      <c r="IH141" s="42"/>
      <c r="II141" s="42"/>
      <c r="IJ141" s="42"/>
      <c r="IK141" s="42"/>
      <c r="IL141" s="42"/>
      <c r="IM141" s="42"/>
      <c r="IN141" s="42"/>
      <c r="IO141" s="42"/>
      <c r="IP141" s="42"/>
      <c r="IQ141" s="42"/>
      <c r="IR141" s="42"/>
      <c r="IS141" s="42"/>
      <c r="IT141" s="42"/>
      <c r="IU141" s="42"/>
      <c r="IV141" s="42"/>
      <c r="IW141" s="42"/>
      <c r="IX141" s="42"/>
      <c r="IY141" s="42"/>
      <c r="IZ141" s="42"/>
      <c r="JA141" s="42"/>
      <c r="JB141" s="42"/>
      <c r="JC141" s="42"/>
      <c r="JD141" s="42"/>
      <c r="JE141" s="42"/>
      <c r="JF141" s="42"/>
      <c r="JG141" s="42"/>
      <c r="JH141" s="42"/>
      <c r="JI141" s="42"/>
      <c r="JJ141" s="42"/>
      <c r="JK141" s="42"/>
      <c r="JL141" s="42"/>
      <c r="JM141" s="42"/>
      <c r="JN141" s="42"/>
      <c r="JO141" s="42"/>
      <c r="JP141" s="42"/>
      <c r="JQ141" s="42"/>
      <c r="JR141" s="42"/>
      <c r="JS141" s="42"/>
      <c r="JT141" s="42"/>
      <c r="JU141" s="42"/>
      <c r="JV141" s="42"/>
      <c r="JW141" s="42"/>
      <c r="JX141" s="42"/>
    </row>
    <row r="142" spans="1:284" s="7" customFormat="1" x14ac:dyDescent="0.2">
      <c r="A142" s="406"/>
      <c r="B142" s="2" t="s">
        <v>3</v>
      </c>
      <c r="C142" s="67"/>
      <c r="D142" s="67"/>
      <c r="E142" s="67"/>
      <c r="F142" s="67"/>
      <c r="G142" s="67"/>
      <c r="H142" s="67"/>
      <c r="I142" s="67"/>
      <c r="J142" s="381"/>
      <c r="K142" s="381"/>
      <c r="L142" s="381"/>
      <c r="M142" s="381"/>
      <c r="N142" s="381"/>
      <c r="O142" s="381"/>
      <c r="P142" s="381"/>
      <c r="Q142" s="381"/>
      <c r="R142" s="381"/>
      <c r="S142" s="381"/>
      <c r="T142" s="381"/>
      <c r="U142" s="381"/>
      <c r="V142" s="381"/>
      <c r="W142" s="381"/>
      <c r="X142" s="381"/>
      <c r="Y142" s="381"/>
      <c r="Z142" s="381"/>
      <c r="AA142" s="381"/>
      <c r="AB142" s="381"/>
      <c r="AC142" s="381"/>
      <c r="AD142" s="381"/>
      <c r="AE142" s="381"/>
      <c r="AF142" s="381"/>
      <c r="AG142" s="381"/>
      <c r="AH142" s="381"/>
      <c r="AI142" s="381"/>
      <c r="AJ142" s="381"/>
      <c r="AK142" s="381"/>
      <c r="AL142" s="381"/>
      <c r="AM142" s="381"/>
      <c r="AN142" s="381"/>
      <c r="AO142" s="381"/>
      <c r="AP142" s="381"/>
      <c r="AQ142" s="381"/>
      <c r="AR142" s="381"/>
      <c r="AS142" s="381"/>
      <c r="AT142" s="381"/>
      <c r="AU142" s="381"/>
      <c r="AV142" s="381"/>
      <c r="AW142" s="381"/>
      <c r="AX142" s="381"/>
      <c r="AY142" s="381"/>
      <c r="AZ142" s="381"/>
      <c r="BA142" s="381"/>
      <c r="BB142" s="381"/>
      <c r="BC142" s="381"/>
      <c r="BD142" s="381"/>
      <c r="BE142" s="381"/>
      <c r="BF142" s="381"/>
      <c r="BG142" s="381"/>
      <c r="BH142" s="381"/>
      <c r="BI142" s="381"/>
      <c r="BJ142" s="381"/>
      <c r="BK142" s="381"/>
      <c r="BL142" s="381"/>
      <c r="BM142" s="381"/>
      <c r="BN142" s="381"/>
      <c r="BO142" s="381"/>
      <c r="BP142" s="381"/>
      <c r="BQ142" s="381"/>
      <c r="BR142" s="381"/>
      <c r="BS142" s="381"/>
      <c r="BT142" s="381"/>
      <c r="BU142" s="381"/>
      <c r="BV142" s="381"/>
      <c r="BW142" s="381"/>
      <c r="BX142" s="381"/>
      <c r="BY142" s="381"/>
      <c r="BZ142" s="381"/>
      <c r="CA142" s="381"/>
      <c r="CB142" s="381"/>
      <c r="CC142" s="381"/>
      <c r="CD142" s="381"/>
      <c r="CE142" s="381"/>
      <c r="CF142" s="381"/>
      <c r="CG142" s="381"/>
      <c r="CH142" s="381"/>
      <c r="CI142" s="381"/>
      <c r="CJ142" s="381"/>
      <c r="CK142" s="381"/>
      <c r="CL142" s="381"/>
      <c r="CM142" s="381"/>
      <c r="CN142" s="381"/>
      <c r="CO142" s="381"/>
      <c r="CP142" s="381"/>
      <c r="CQ142" s="381"/>
      <c r="CR142" s="381"/>
      <c r="CS142" s="381"/>
      <c r="CT142" s="381"/>
      <c r="CU142" s="381"/>
      <c r="CV142" s="381"/>
      <c r="CW142" s="381"/>
      <c r="CX142" s="381"/>
      <c r="CY142" s="381"/>
      <c r="CZ142" s="381"/>
      <c r="DA142" s="381"/>
      <c r="DB142" s="381"/>
      <c r="DC142" s="381"/>
      <c r="DD142" s="381"/>
      <c r="DE142" s="381"/>
      <c r="DF142" s="381"/>
      <c r="DG142" s="381"/>
      <c r="DH142" s="381"/>
      <c r="DI142" s="381"/>
      <c r="DJ142" s="381"/>
      <c r="DK142" s="381"/>
      <c r="DL142" s="381"/>
      <c r="DM142" s="381"/>
      <c r="DN142" s="381"/>
      <c r="DO142" s="381"/>
      <c r="DP142" s="381"/>
      <c r="DQ142" s="381"/>
      <c r="DR142" s="381"/>
      <c r="DS142" s="381"/>
      <c r="DT142" s="381"/>
      <c r="DU142" s="381"/>
      <c r="DV142" s="381"/>
      <c r="DW142" s="381"/>
      <c r="DX142" s="381"/>
      <c r="DY142" s="381"/>
      <c r="DZ142" s="381"/>
      <c r="EA142" s="381"/>
      <c r="EB142" s="381"/>
      <c r="EC142" s="381"/>
      <c r="ED142" s="381"/>
      <c r="EE142" s="381"/>
      <c r="EF142" s="381"/>
      <c r="EG142" s="381"/>
      <c r="EH142" s="381"/>
      <c r="EI142" s="381"/>
      <c r="EJ142" s="381"/>
      <c r="EK142" s="381"/>
      <c r="EL142" s="381"/>
      <c r="EM142" s="381"/>
      <c r="EN142" s="381"/>
      <c r="EO142" s="381"/>
      <c r="EP142" s="24"/>
      <c r="EQ142" s="24"/>
      <c r="ER142" s="24"/>
      <c r="ES142" s="24"/>
      <c r="ET142" s="24"/>
      <c r="EU142" s="33"/>
      <c r="EV142" s="24"/>
      <c r="EW142" s="24"/>
      <c r="EX142" s="24"/>
      <c r="EY142" s="24"/>
      <c r="EZ142" s="24"/>
      <c r="FA142" s="24"/>
      <c r="FB142" s="24"/>
      <c r="FC142" s="24"/>
      <c r="FD142" s="24"/>
      <c r="FE142" s="24"/>
      <c r="FF142" s="24"/>
      <c r="FG142" s="24"/>
      <c r="FH142" s="24"/>
      <c r="FI142" s="24"/>
      <c r="FJ142" s="24"/>
      <c r="FK142" s="24"/>
      <c r="FL142" s="24"/>
      <c r="FM142" s="24"/>
      <c r="FN142" s="24"/>
      <c r="FO142" s="24"/>
      <c r="FP142" s="24"/>
      <c r="FQ142" s="24"/>
      <c r="FR142" s="24"/>
      <c r="FS142" s="24"/>
      <c r="FT142" s="24"/>
      <c r="FU142" s="24"/>
      <c r="FV142" s="24"/>
      <c r="FW142" s="24"/>
      <c r="FX142" s="24"/>
      <c r="FY142" s="24"/>
      <c r="FZ142" s="24"/>
      <c r="GA142" s="24"/>
      <c r="GB142" s="24"/>
      <c r="GC142" s="24"/>
      <c r="GD142" s="24"/>
      <c r="GE142" s="24"/>
      <c r="GF142" s="24"/>
      <c r="GG142" s="24"/>
      <c r="GH142" s="24"/>
      <c r="GI142" s="24"/>
      <c r="GJ142" s="24"/>
      <c r="GK142" s="24"/>
      <c r="GL142" s="24"/>
      <c r="GM142" s="24"/>
      <c r="GN142" s="24"/>
      <c r="GO142" s="24"/>
      <c r="GP142" s="24"/>
      <c r="GQ142" s="24"/>
      <c r="GR142" s="24"/>
      <c r="GS142" s="24"/>
      <c r="GT142" s="24"/>
      <c r="GU142" s="24"/>
      <c r="GV142" s="24"/>
      <c r="GW142" s="24"/>
      <c r="GX142" s="24"/>
      <c r="GY142" s="24"/>
      <c r="GZ142" s="24"/>
      <c r="HA142" s="24"/>
      <c r="HB142" s="24"/>
      <c r="HC142" s="24"/>
      <c r="HD142" s="24"/>
      <c r="HE142" s="24"/>
      <c r="HF142" s="24"/>
      <c r="HG142" s="24"/>
      <c r="HH142" s="24"/>
      <c r="HI142" s="24"/>
      <c r="HJ142" s="24"/>
      <c r="HK142" s="24"/>
      <c r="HL142" s="24"/>
      <c r="HM142" s="24"/>
      <c r="HN142" s="24"/>
      <c r="HO142" s="24"/>
      <c r="HP142" s="24"/>
      <c r="HQ142" s="24"/>
      <c r="HR142" s="24"/>
      <c r="HS142" s="24"/>
      <c r="HT142" s="24"/>
      <c r="HU142" s="24"/>
      <c r="HV142" s="24"/>
      <c r="HW142" s="24"/>
      <c r="HX142" s="24"/>
      <c r="HY142" s="24"/>
      <c r="HZ142" s="24"/>
      <c r="IA142" s="24"/>
      <c r="IB142" s="24"/>
      <c r="IC142" s="24"/>
      <c r="ID142" s="24"/>
      <c r="IE142" s="24"/>
      <c r="IF142" s="24"/>
      <c r="IG142" s="24"/>
      <c r="IH142" s="24"/>
      <c r="II142" s="24"/>
      <c r="IJ142" s="24"/>
      <c r="IK142" s="24"/>
      <c r="IL142" s="24"/>
      <c r="IM142" s="24"/>
      <c r="IN142" s="24"/>
      <c r="IO142" s="24"/>
      <c r="IP142" s="24"/>
      <c r="IQ142" s="24"/>
      <c r="IR142" s="24"/>
      <c r="IS142" s="24"/>
      <c r="IT142" s="24"/>
      <c r="IU142" s="24"/>
      <c r="IV142" s="24"/>
      <c r="IW142" s="24"/>
      <c r="IX142" s="24"/>
      <c r="IY142" s="24"/>
      <c r="IZ142" s="24"/>
      <c r="JA142" s="24"/>
      <c r="JB142" s="24"/>
      <c r="JC142" s="24"/>
      <c r="JD142" s="24"/>
      <c r="JE142" s="24"/>
      <c r="JF142" s="24"/>
      <c r="JG142" s="24"/>
      <c r="JH142" s="24"/>
      <c r="JI142" s="24"/>
      <c r="JJ142" s="24"/>
      <c r="JK142" s="24"/>
      <c r="JL142" s="24"/>
      <c r="JM142" s="24"/>
      <c r="JN142" s="24"/>
      <c r="JO142" s="24"/>
      <c r="JP142" s="24"/>
      <c r="JQ142" s="24"/>
      <c r="JR142" s="24"/>
      <c r="JS142" s="24"/>
      <c r="JT142" s="24"/>
      <c r="JU142" s="24"/>
      <c r="JV142" s="24"/>
      <c r="JW142" s="24"/>
      <c r="JX142" s="24"/>
    </row>
    <row r="143" spans="1:284" s="7" customFormat="1" x14ac:dyDescent="0.2">
      <c r="A143" s="406"/>
      <c r="B143" s="72" t="s">
        <v>173</v>
      </c>
      <c r="C143" s="72"/>
      <c r="D143" s="72"/>
      <c r="E143" s="74"/>
      <c r="F143" s="74"/>
      <c r="G143" s="75" t="s">
        <v>174</v>
      </c>
      <c r="H143" s="74"/>
      <c r="I143" s="74"/>
      <c r="J143" s="381"/>
      <c r="K143" s="381"/>
      <c r="L143" s="381"/>
      <c r="M143" s="381"/>
      <c r="N143" s="381"/>
      <c r="O143" s="381"/>
      <c r="P143" s="381"/>
      <c r="Q143" s="381"/>
      <c r="R143" s="381"/>
      <c r="S143" s="381"/>
      <c r="T143" s="381"/>
      <c r="U143" s="381"/>
      <c r="V143" s="381"/>
      <c r="W143" s="381"/>
      <c r="X143" s="381"/>
      <c r="Y143" s="381"/>
      <c r="Z143" s="381"/>
      <c r="AA143" s="381"/>
      <c r="AB143" s="381"/>
      <c r="AC143" s="381"/>
      <c r="AD143" s="381"/>
      <c r="AE143" s="381"/>
      <c r="AF143" s="381"/>
      <c r="AG143" s="381"/>
      <c r="AH143" s="381"/>
      <c r="AI143" s="381"/>
      <c r="AJ143" s="381"/>
      <c r="AK143" s="381"/>
      <c r="AL143" s="381"/>
      <c r="AM143" s="381"/>
      <c r="AN143" s="381"/>
      <c r="AO143" s="381"/>
      <c r="AP143" s="381"/>
      <c r="AQ143" s="381"/>
      <c r="AR143" s="381"/>
      <c r="AS143" s="381"/>
      <c r="AT143" s="381"/>
      <c r="AU143" s="381"/>
      <c r="AV143" s="381"/>
      <c r="AW143" s="381"/>
      <c r="AX143" s="381"/>
      <c r="AY143" s="381"/>
      <c r="AZ143" s="381"/>
      <c r="BA143" s="381"/>
      <c r="BB143" s="381"/>
      <c r="BC143" s="381"/>
      <c r="BD143" s="381"/>
      <c r="BE143" s="381"/>
      <c r="BF143" s="381"/>
      <c r="BG143" s="381"/>
      <c r="BH143" s="381"/>
      <c r="BI143" s="381"/>
      <c r="BJ143" s="381"/>
      <c r="BK143" s="381"/>
      <c r="BL143" s="381"/>
      <c r="BM143" s="381"/>
      <c r="BN143" s="381"/>
      <c r="BO143" s="381"/>
      <c r="BP143" s="381"/>
      <c r="BQ143" s="381"/>
      <c r="BR143" s="381"/>
      <c r="BS143" s="381"/>
      <c r="BT143" s="381"/>
      <c r="BU143" s="381"/>
      <c r="BV143" s="381"/>
      <c r="BW143" s="381"/>
      <c r="BX143" s="381"/>
      <c r="BY143" s="381"/>
      <c r="BZ143" s="381"/>
      <c r="CA143" s="381"/>
      <c r="CB143" s="381"/>
      <c r="CC143" s="381"/>
      <c r="CD143" s="381"/>
      <c r="CE143" s="381"/>
      <c r="CF143" s="381"/>
      <c r="CG143" s="381"/>
      <c r="CH143" s="381"/>
      <c r="CI143" s="381"/>
      <c r="CJ143" s="381"/>
      <c r="CK143" s="381"/>
      <c r="CL143" s="381"/>
      <c r="CM143" s="381"/>
      <c r="CN143" s="381"/>
      <c r="CO143" s="381"/>
      <c r="CP143" s="381"/>
      <c r="CQ143" s="381"/>
      <c r="CR143" s="381"/>
      <c r="CS143" s="381"/>
      <c r="CT143" s="381"/>
      <c r="CU143" s="381"/>
      <c r="CV143" s="381"/>
      <c r="CW143" s="381"/>
      <c r="CX143" s="381"/>
      <c r="CY143" s="381"/>
      <c r="CZ143" s="381"/>
      <c r="DA143" s="381"/>
      <c r="DB143" s="381"/>
      <c r="DC143" s="381"/>
      <c r="DD143" s="381"/>
      <c r="DE143" s="381"/>
      <c r="DF143" s="381"/>
      <c r="DG143" s="381"/>
      <c r="DH143" s="381"/>
      <c r="DI143" s="381"/>
      <c r="DJ143" s="381"/>
      <c r="DK143" s="381"/>
      <c r="DL143" s="381"/>
      <c r="DM143" s="381"/>
      <c r="DN143" s="381"/>
      <c r="DO143" s="381"/>
      <c r="DP143" s="381"/>
      <c r="DQ143" s="381"/>
      <c r="DR143" s="381"/>
      <c r="DS143" s="381"/>
      <c r="DT143" s="381"/>
      <c r="DU143" s="381"/>
      <c r="DV143" s="381"/>
      <c r="DW143" s="381"/>
      <c r="DX143" s="381"/>
      <c r="DY143" s="381"/>
      <c r="DZ143" s="381"/>
      <c r="EA143" s="381"/>
      <c r="EB143" s="381"/>
      <c r="EC143" s="381"/>
      <c r="ED143" s="381"/>
      <c r="EE143" s="381"/>
      <c r="EF143" s="381"/>
      <c r="EG143" s="381"/>
      <c r="EH143" s="381"/>
      <c r="EI143" s="381"/>
      <c r="EJ143" s="381"/>
      <c r="EK143" s="381"/>
      <c r="EL143" s="381"/>
      <c r="EM143" s="381"/>
      <c r="EN143" s="381"/>
      <c r="EO143" s="381"/>
      <c r="EP143" s="24"/>
      <c r="EQ143" s="24"/>
      <c r="ER143" s="24"/>
      <c r="ES143" s="24"/>
      <c r="ET143" s="24"/>
      <c r="EU143" s="33"/>
      <c r="EV143" s="24"/>
      <c r="EW143" s="24"/>
      <c r="EX143" s="24"/>
      <c r="EY143" s="24"/>
      <c r="EZ143" s="24"/>
      <c r="FA143" s="24"/>
      <c r="FB143" s="24"/>
      <c r="FC143" s="24"/>
      <c r="FD143" s="24"/>
      <c r="FE143" s="24"/>
      <c r="FF143" s="24"/>
      <c r="FG143" s="24"/>
      <c r="FH143" s="24"/>
      <c r="FI143" s="24"/>
      <c r="FJ143" s="24"/>
      <c r="FK143" s="24"/>
      <c r="FL143" s="24"/>
      <c r="FM143" s="24"/>
      <c r="FN143" s="24"/>
      <c r="FO143" s="24"/>
      <c r="FP143" s="24"/>
      <c r="FQ143" s="24"/>
      <c r="FR143" s="24"/>
      <c r="FS143" s="24"/>
      <c r="FT143" s="24"/>
      <c r="FU143" s="24"/>
      <c r="FV143" s="24"/>
      <c r="FW143" s="24"/>
      <c r="FX143" s="24"/>
      <c r="FY143" s="24"/>
      <c r="FZ143" s="24"/>
      <c r="GA143" s="24"/>
      <c r="GB143" s="24"/>
      <c r="GC143" s="24"/>
      <c r="GD143" s="24"/>
      <c r="GE143" s="24"/>
      <c r="GF143" s="24"/>
      <c r="GG143" s="24"/>
      <c r="GH143" s="24"/>
      <c r="GI143" s="24"/>
      <c r="GJ143" s="24"/>
      <c r="GK143" s="24"/>
      <c r="GL143" s="24"/>
      <c r="GM143" s="24"/>
      <c r="GN143" s="24"/>
      <c r="GO143" s="24"/>
      <c r="GP143" s="24"/>
      <c r="GQ143" s="24"/>
      <c r="GR143" s="24"/>
      <c r="GS143" s="24"/>
      <c r="GT143" s="24"/>
      <c r="GU143" s="24"/>
      <c r="GV143" s="24"/>
      <c r="GW143" s="24"/>
      <c r="GX143" s="24"/>
      <c r="GY143" s="24"/>
      <c r="GZ143" s="24"/>
      <c r="HA143" s="24"/>
      <c r="HB143" s="24"/>
      <c r="HC143" s="24"/>
      <c r="HD143" s="24"/>
      <c r="HE143" s="24"/>
      <c r="HF143" s="24"/>
      <c r="HG143" s="24"/>
      <c r="HH143" s="24"/>
      <c r="HI143" s="24"/>
      <c r="HJ143" s="24"/>
      <c r="HK143" s="24"/>
      <c r="HL143" s="24"/>
      <c r="HM143" s="24"/>
      <c r="HN143" s="24"/>
      <c r="HO143" s="24"/>
      <c r="HP143" s="24"/>
      <c r="HQ143" s="24"/>
      <c r="HR143" s="24"/>
      <c r="HS143" s="24"/>
      <c r="HT143" s="24"/>
      <c r="HU143" s="24"/>
      <c r="HV143" s="24"/>
      <c r="HW143" s="24"/>
      <c r="HX143" s="24"/>
      <c r="HY143" s="24"/>
      <c r="HZ143" s="24"/>
      <c r="IA143" s="24"/>
      <c r="IB143" s="24"/>
      <c r="IC143" s="24"/>
      <c r="ID143" s="24"/>
      <c r="IE143" s="24"/>
      <c r="IF143" s="24"/>
      <c r="IG143" s="24"/>
      <c r="IH143" s="24"/>
      <c r="II143" s="24"/>
      <c r="IJ143" s="24"/>
      <c r="IK143" s="24"/>
      <c r="IL143" s="24"/>
      <c r="IM143" s="24"/>
      <c r="IN143" s="24"/>
      <c r="IO143" s="24"/>
      <c r="IP143" s="24"/>
      <c r="IQ143" s="24"/>
      <c r="IR143" s="24"/>
      <c r="IS143" s="24"/>
      <c r="IT143" s="24"/>
      <c r="IU143" s="24"/>
      <c r="IV143" s="24"/>
      <c r="IW143" s="24"/>
      <c r="IX143" s="24"/>
      <c r="IY143" s="24"/>
      <c r="IZ143" s="24"/>
      <c r="JA143" s="24"/>
      <c r="JB143" s="24"/>
      <c r="JC143" s="24"/>
      <c r="JD143" s="24"/>
      <c r="JE143" s="24"/>
      <c r="JF143" s="24"/>
      <c r="JG143" s="24"/>
      <c r="JH143" s="24"/>
      <c r="JI143" s="24"/>
      <c r="JJ143" s="24"/>
      <c r="JK143" s="24"/>
      <c r="JL143" s="24"/>
      <c r="JM143" s="24"/>
      <c r="JN143" s="24"/>
      <c r="JO143" s="24"/>
      <c r="JP143" s="24"/>
      <c r="JQ143" s="24"/>
      <c r="JR143" s="24"/>
      <c r="JS143" s="24"/>
      <c r="JT143" s="24"/>
      <c r="JU143" s="24"/>
      <c r="JV143" s="24"/>
      <c r="JW143" s="24"/>
      <c r="JX143" s="24"/>
    </row>
    <row r="144" spans="1:284" s="7" customFormat="1" x14ac:dyDescent="0.2">
      <c r="A144" s="406"/>
      <c r="B144" s="92" t="s">
        <v>442</v>
      </c>
      <c r="C144" s="120"/>
      <c r="D144" s="552">
        <f>Timing_Construction_End</f>
        <v>18</v>
      </c>
      <c r="E144" s="120"/>
      <c r="F144" s="120"/>
      <c r="G144" s="179" t="s">
        <v>175</v>
      </c>
      <c r="H144" s="120"/>
      <c r="I144" s="130">
        <v>4.7500000000000001E-2</v>
      </c>
      <c r="J144" s="381"/>
      <c r="K144" s="381"/>
      <c r="L144" s="381"/>
      <c r="M144" s="381"/>
      <c r="N144" s="381"/>
      <c r="O144" s="381"/>
      <c r="P144" s="381"/>
      <c r="Q144" s="381"/>
      <c r="R144" s="381"/>
      <c r="S144" s="381"/>
      <c r="T144" s="381"/>
      <c r="U144" s="381"/>
      <c r="V144" s="381"/>
      <c r="W144" s="381"/>
      <c r="X144" s="381"/>
      <c r="Y144" s="381"/>
      <c r="Z144" s="381"/>
      <c r="AA144" s="381"/>
      <c r="AB144" s="381"/>
      <c r="AC144" s="381"/>
      <c r="AD144" s="381"/>
      <c r="AE144" s="381"/>
      <c r="AF144" s="381"/>
      <c r="AG144" s="381"/>
      <c r="AH144" s="381"/>
      <c r="AI144" s="381"/>
      <c r="AJ144" s="381"/>
      <c r="AK144" s="381"/>
      <c r="AL144" s="381"/>
      <c r="AM144" s="381"/>
      <c r="AN144" s="381"/>
      <c r="AO144" s="381"/>
      <c r="AP144" s="381"/>
      <c r="AQ144" s="381"/>
      <c r="AR144" s="381"/>
      <c r="AS144" s="381"/>
      <c r="AT144" s="381"/>
      <c r="AU144" s="381"/>
      <c r="AV144" s="381"/>
      <c r="AW144" s="381"/>
      <c r="AX144" s="381"/>
      <c r="AY144" s="381"/>
      <c r="AZ144" s="381"/>
      <c r="BA144" s="381"/>
      <c r="BB144" s="381"/>
      <c r="BC144" s="381"/>
      <c r="BD144" s="381"/>
      <c r="BE144" s="381"/>
      <c r="BF144" s="381"/>
      <c r="BG144" s="381"/>
      <c r="BH144" s="381"/>
      <c r="BI144" s="381"/>
      <c r="BJ144" s="381"/>
      <c r="BK144" s="381"/>
      <c r="BL144" s="381"/>
      <c r="BM144" s="381"/>
      <c r="BN144" s="381"/>
      <c r="BO144" s="381"/>
      <c r="BP144" s="381"/>
      <c r="BQ144" s="381"/>
      <c r="BR144" s="381"/>
      <c r="BS144" s="381"/>
      <c r="BT144" s="381"/>
      <c r="BU144" s="381"/>
      <c r="BV144" s="381"/>
      <c r="BW144" s="381"/>
      <c r="BX144" s="381"/>
      <c r="BY144" s="381"/>
      <c r="BZ144" s="381"/>
      <c r="CA144" s="381"/>
      <c r="CB144" s="381"/>
      <c r="CC144" s="381"/>
      <c r="CD144" s="381"/>
      <c r="CE144" s="381"/>
      <c r="CF144" s="381"/>
      <c r="CG144" s="381"/>
      <c r="CH144" s="381"/>
      <c r="CI144" s="381"/>
      <c r="CJ144" s="381"/>
      <c r="CK144" s="381"/>
      <c r="CL144" s="381"/>
      <c r="CM144" s="381"/>
      <c r="CN144" s="381"/>
      <c r="CO144" s="381"/>
      <c r="CP144" s="381"/>
      <c r="CQ144" s="381"/>
      <c r="CR144" s="381"/>
      <c r="CS144" s="381"/>
      <c r="CT144" s="381"/>
      <c r="CU144" s="381"/>
      <c r="CV144" s="381"/>
      <c r="CW144" s="381"/>
      <c r="CX144" s="381"/>
      <c r="CY144" s="381"/>
      <c r="CZ144" s="381"/>
      <c r="DA144" s="381"/>
      <c r="DB144" s="381"/>
      <c r="DC144" s="381"/>
      <c r="DD144" s="381"/>
      <c r="DE144" s="381"/>
      <c r="DF144" s="381"/>
      <c r="DG144" s="381"/>
      <c r="DH144" s="381"/>
      <c r="DI144" s="381"/>
      <c r="DJ144" s="381"/>
      <c r="DK144" s="381"/>
      <c r="DL144" s="381"/>
      <c r="DM144" s="381"/>
      <c r="DN144" s="381"/>
      <c r="DO144" s="381"/>
      <c r="DP144" s="381"/>
      <c r="DQ144" s="381"/>
      <c r="DR144" s="381"/>
      <c r="DS144" s="381"/>
      <c r="DT144" s="381"/>
      <c r="DU144" s="381"/>
      <c r="DV144" s="381"/>
      <c r="DW144" s="381"/>
      <c r="DX144" s="381"/>
      <c r="DY144" s="381"/>
      <c r="DZ144" s="381"/>
      <c r="EA144" s="381"/>
      <c r="EB144" s="381"/>
      <c r="EC144" s="381"/>
      <c r="ED144" s="381"/>
      <c r="EE144" s="381"/>
      <c r="EF144" s="381"/>
      <c r="EG144" s="381"/>
      <c r="EH144" s="381"/>
      <c r="EI144" s="381"/>
      <c r="EJ144" s="381"/>
      <c r="EK144" s="381"/>
      <c r="EL144" s="381"/>
      <c r="EM144" s="381"/>
      <c r="EN144" s="381"/>
      <c r="EO144" s="381"/>
      <c r="EP144" s="24"/>
      <c r="EQ144" s="24"/>
      <c r="ER144" s="24"/>
      <c r="ES144" s="24"/>
      <c r="ET144" s="24"/>
      <c r="EU144" s="33"/>
      <c r="EV144" s="24"/>
      <c r="EW144" s="24"/>
      <c r="EX144" s="24"/>
      <c r="EY144" s="24"/>
      <c r="EZ144" s="24"/>
      <c r="FA144" s="24"/>
      <c r="FB144" s="24"/>
      <c r="FC144" s="24"/>
      <c r="FD144" s="24"/>
      <c r="FE144" s="24"/>
      <c r="FF144" s="24"/>
      <c r="FG144" s="24"/>
      <c r="FH144" s="24"/>
      <c r="FI144" s="24"/>
      <c r="FJ144" s="24"/>
      <c r="FK144" s="24"/>
      <c r="FL144" s="24"/>
      <c r="FM144" s="24"/>
      <c r="FN144" s="24"/>
      <c r="FO144" s="24"/>
      <c r="FP144" s="24"/>
      <c r="FQ144" s="24"/>
      <c r="FR144" s="24"/>
      <c r="FS144" s="24"/>
      <c r="FT144" s="24"/>
      <c r="FU144" s="24"/>
      <c r="FV144" s="24"/>
      <c r="FW144" s="24"/>
      <c r="FX144" s="24"/>
      <c r="FY144" s="24"/>
      <c r="FZ144" s="24"/>
      <c r="GA144" s="24"/>
      <c r="GB144" s="24"/>
      <c r="GC144" s="24"/>
      <c r="GD144" s="24"/>
      <c r="GE144" s="24"/>
      <c r="GF144" s="24"/>
      <c r="GG144" s="24"/>
      <c r="GH144" s="24"/>
      <c r="GI144" s="24"/>
      <c r="GJ144" s="24"/>
      <c r="GK144" s="24"/>
      <c r="GL144" s="24"/>
      <c r="GM144" s="24"/>
      <c r="GN144" s="24"/>
      <c r="GO144" s="24"/>
      <c r="GP144" s="24"/>
      <c r="GQ144" s="24"/>
      <c r="GR144" s="24"/>
      <c r="GS144" s="24"/>
      <c r="GT144" s="24"/>
      <c r="GU144" s="24"/>
      <c r="GV144" s="24"/>
      <c r="GW144" s="24"/>
      <c r="GX144" s="24"/>
      <c r="GY144" s="24"/>
      <c r="GZ144" s="24"/>
      <c r="HA144" s="24"/>
      <c r="HB144" s="24"/>
      <c r="HC144" s="24"/>
      <c r="HD144" s="24"/>
      <c r="HE144" s="24"/>
      <c r="HF144" s="24"/>
      <c r="HG144" s="24"/>
      <c r="HH144" s="24"/>
      <c r="HI144" s="24"/>
      <c r="HJ144" s="24"/>
      <c r="HK144" s="24"/>
      <c r="HL144" s="24"/>
      <c r="HM144" s="24"/>
      <c r="HN144" s="24"/>
      <c r="HO144" s="24"/>
      <c r="HP144" s="24"/>
      <c r="HQ144" s="24"/>
      <c r="HR144" s="24"/>
      <c r="HS144" s="24"/>
      <c r="HT144" s="24"/>
      <c r="HU144" s="24"/>
      <c r="HV144" s="24"/>
      <c r="HW144" s="24"/>
      <c r="HX144" s="24"/>
      <c r="HY144" s="24"/>
      <c r="HZ144" s="24"/>
      <c r="IA144" s="24"/>
      <c r="IB144" s="24"/>
      <c r="IC144" s="24"/>
      <c r="ID144" s="24"/>
      <c r="IE144" s="24"/>
      <c r="IF144" s="24"/>
      <c r="IG144" s="24"/>
      <c r="IH144" s="24"/>
      <c r="II144" s="24"/>
      <c r="IJ144" s="24"/>
      <c r="IK144" s="24"/>
      <c r="IL144" s="24"/>
      <c r="IM144" s="24"/>
      <c r="IN144" s="24"/>
      <c r="IO144" s="24"/>
      <c r="IP144" s="24"/>
      <c r="IQ144" s="24"/>
      <c r="IR144" s="24"/>
      <c r="IS144" s="24"/>
      <c r="IT144" s="24"/>
      <c r="IU144" s="24"/>
      <c r="IV144" s="24"/>
      <c r="IW144" s="24"/>
      <c r="IX144" s="24"/>
      <c r="IY144" s="24"/>
      <c r="IZ144" s="24"/>
      <c r="JA144" s="24"/>
      <c r="JB144" s="24"/>
      <c r="JC144" s="24"/>
      <c r="JD144" s="24"/>
      <c r="JE144" s="24"/>
      <c r="JF144" s="24"/>
      <c r="JG144" s="24"/>
      <c r="JH144" s="24"/>
      <c r="JI144" s="24"/>
      <c r="JJ144" s="24"/>
      <c r="JK144" s="24"/>
      <c r="JL144" s="24"/>
      <c r="JM144" s="24"/>
      <c r="JN144" s="24"/>
      <c r="JO144" s="24"/>
      <c r="JP144" s="24"/>
      <c r="JQ144" s="24"/>
      <c r="JR144" s="24"/>
      <c r="JS144" s="24"/>
      <c r="JT144" s="24"/>
      <c r="JU144" s="24"/>
      <c r="JV144" s="24"/>
      <c r="JW144" s="24"/>
      <c r="JX144" s="24"/>
    </row>
    <row r="145" spans="1:284" s="7" customFormat="1" x14ac:dyDescent="0.2">
      <c r="A145" s="406"/>
      <c r="B145" s="92" t="s">
        <v>590</v>
      </c>
      <c r="C145" s="120"/>
      <c r="D145" s="553">
        <f>Timing_Operation_Begin_Month</f>
        <v>19</v>
      </c>
      <c r="E145" s="179"/>
      <c r="F145" s="179"/>
      <c r="G145" s="179" t="s">
        <v>176</v>
      </c>
      <c r="H145" s="120"/>
      <c r="I145" s="130">
        <v>5.2499999999999998E-2</v>
      </c>
      <c r="J145" s="381"/>
      <c r="K145" s="381"/>
      <c r="L145" s="381"/>
      <c r="M145" s="381"/>
      <c r="N145" s="381"/>
      <c r="O145" s="381"/>
      <c r="P145" s="381"/>
      <c r="Q145" s="381"/>
      <c r="R145" s="381"/>
      <c r="S145" s="381"/>
      <c r="T145" s="381"/>
      <c r="U145" s="381"/>
      <c r="V145" s="381"/>
      <c r="W145" s="381"/>
      <c r="X145" s="381"/>
      <c r="Y145" s="381"/>
      <c r="Z145" s="381"/>
      <c r="AA145" s="381"/>
      <c r="AB145" s="381"/>
      <c r="AC145" s="381"/>
      <c r="AD145" s="381"/>
      <c r="AE145" s="381"/>
      <c r="AF145" s="381"/>
      <c r="AG145" s="381"/>
      <c r="AH145" s="381"/>
      <c r="AI145" s="381"/>
      <c r="AJ145" s="381"/>
      <c r="AK145" s="381"/>
      <c r="AL145" s="381"/>
      <c r="AM145" s="381"/>
      <c r="AN145" s="381"/>
      <c r="AO145" s="381"/>
      <c r="AP145" s="381"/>
      <c r="AQ145" s="381"/>
      <c r="AR145" s="381"/>
      <c r="AS145" s="381"/>
      <c r="AT145" s="381"/>
      <c r="AU145" s="381"/>
      <c r="AV145" s="381"/>
      <c r="AW145" s="381"/>
      <c r="AX145" s="381"/>
      <c r="AY145" s="381"/>
      <c r="AZ145" s="381"/>
      <c r="BA145" s="381"/>
      <c r="BB145" s="381"/>
      <c r="BC145" s="381"/>
      <c r="BD145" s="381"/>
      <c r="BE145" s="381"/>
      <c r="BF145" s="381"/>
      <c r="BG145" s="381"/>
      <c r="BH145" s="381"/>
      <c r="BI145" s="381"/>
      <c r="BJ145" s="381"/>
      <c r="BK145" s="381"/>
      <c r="BL145" s="381"/>
      <c r="BM145" s="381"/>
      <c r="BN145" s="381"/>
      <c r="BO145" s="381"/>
      <c r="BP145" s="381"/>
      <c r="BQ145" s="381"/>
      <c r="BR145" s="381"/>
      <c r="BS145" s="381"/>
      <c r="BT145" s="381"/>
      <c r="BU145" s="381"/>
      <c r="BV145" s="381"/>
      <c r="BW145" s="381"/>
      <c r="BX145" s="381"/>
      <c r="BY145" s="381"/>
      <c r="BZ145" s="381"/>
      <c r="CA145" s="381"/>
      <c r="CB145" s="381"/>
      <c r="CC145" s="381"/>
      <c r="CD145" s="381"/>
      <c r="CE145" s="381"/>
      <c r="CF145" s="381"/>
      <c r="CG145" s="381"/>
      <c r="CH145" s="381"/>
      <c r="CI145" s="381"/>
      <c r="CJ145" s="381"/>
      <c r="CK145" s="381"/>
      <c r="CL145" s="381"/>
      <c r="CM145" s="381"/>
      <c r="CN145" s="381"/>
      <c r="CO145" s="381"/>
      <c r="CP145" s="381"/>
      <c r="CQ145" s="381"/>
      <c r="CR145" s="381"/>
      <c r="CS145" s="381"/>
      <c r="CT145" s="381"/>
      <c r="CU145" s="381"/>
      <c r="CV145" s="381"/>
      <c r="CW145" s="381"/>
      <c r="CX145" s="381"/>
      <c r="CY145" s="381"/>
      <c r="CZ145" s="381"/>
      <c r="DA145" s="381"/>
      <c r="DB145" s="381"/>
      <c r="DC145" s="381"/>
      <c r="DD145" s="381"/>
      <c r="DE145" s="381"/>
      <c r="DF145" s="381"/>
      <c r="DG145" s="381"/>
      <c r="DH145" s="381"/>
      <c r="DI145" s="381"/>
      <c r="DJ145" s="381"/>
      <c r="DK145" s="381"/>
      <c r="DL145" s="381"/>
      <c r="DM145" s="381"/>
      <c r="DN145" s="381"/>
      <c r="DO145" s="381"/>
      <c r="DP145" s="381"/>
      <c r="DQ145" s="381"/>
      <c r="DR145" s="381"/>
      <c r="DS145" s="381"/>
      <c r="DT145" s="381"/>
      <c r="DU145" s="381"/>
      <c r="DV145" s="381"/>
      <c r="DW145" s="381"/>
      <c r="DX145" s="381"/>
      <c r="DY145" s="381"/>
      <c r="DZ145" s="381"/>
      <c r="EA145" s="381"/>
      <c r="EB145" s="381"/>
      <c r="EC145" s="381"/>
      <c r="ED145" s="381"/>
      <c r="EE145" s="381"/>
      <c r="EF145" s="381"/>
      <c r="EG145" s="381"/>
      <c r="EH145" s="381"/>
      <c r="EI145" s="381"/>
      <c r="EJ145" s="381"/>
      <c r="EK145" s="381"/>
      <c r="EL145" s="381"/>
      <c r="EM145" s="381"/>
      <c r="EN145" s="381"/>
      <c r="EO145" s="381"/>
      <c r="EP145" s="24"/>
      <c r="EQ145" s="24"/>
      <c r="ER145" s="24"/>
      <c r="ES145" s="24"/>
      <c r="ET145" s="24"/>
      <c r="EU145" s="33"/>
      <c r="EV145" s="24"/>
      <c r="EW145" s="24"/>
      <c r="EX145" s="24"/>
      <c r="EY145" s="24"/>
      <c r="EZ145" s="24"/>
      <c r="FA145" s="24"/>
      <c r="FB145" s="24"/>
      <c r="FC145" s="24"/>
      <c r="FD145" s="24"/>
      <c r="FE145" s="24"/>
      <c r="FF145" s="24"/>
      <c r="FG145" s="24"/>
      <c r="FH145" s="24"/>
      <c r="FI145" s="24"/>
      <c r="FJ145" s="24"/>
      <c r="FK145" s="24"/>
      <c r="FL145" s="24"/>
      <c r="FM145" s="24"/>
      <c r="FN145" s="24"/>
      <c r="FO145" s="24"/>
      <c r="FP145" s="24"/>
      <c r="FQ145" s="24"/>
      <c r="FR145" s="24"/>
      <c r="FS145" s="24"/>
      <c r="FT145" s="24"/>
      <c r="FU145" s="24"/>
      <c r="FV145" s="24"/>
      <c r="FW145" s="24"/>
      <c r="FX145" s="24"/>
      <c r="FY145" s="24"/>
      <c r="FZ145" s="24"/>
      <c r="GA145" s="24"/>
      <c r="GB145" s="24"/>
      <c r="GC145" s="24"/>
      <c r="GD145" s="24"/>
      <c r="GE145" s="24"/>
      <c r="GF145" s="24"/>
      <c r="GG145" s="24"/>
      <c r="GH145" s="24"/>
      <c r="GI145" s="24"/>
      <c r="GJ145" s="24"/>
      <c r="GK145" s="24"/>
      <c r="GL145" s="24"/>
      <c r="GM145" s="24"/>
      <c r="GN145" s="24"/>
      <c r="GO145" s="24"/>
      <c r="GP145" s="24"/>
      <c r="GQ145" s="24"/>
      <c r="GR145" s="24"/>
      <c r="GS145" s="24"/>
      <c r="GT145" s="24"/>
      <c r="GU145" s="24"/>
      <c r="GV145" s="24"/>
      <c r="GW145" s="24"/>
      <c r="GX145" s="24"/>
      <c r="GY145" s="24"/>
      <c r="GZ145" s="24"/>
      <c r="HA145" s="24"/>
      <c r="HB145" s="24"/>
      <c r="HC145" s="24"/>
      <c r="HD145" s="24"/>
      <c r="HE145" s="24"/>
      <c r="HF145" s="24"/>
      <c r="HG145" s="24"/>
      <c r="HH145" s="24"/>
      <c r="HI145" s="24"/>
      <c r="HJ145" s="24"/>
      <c r="HK145" s="24"/>
      <c r="HL145" s="24"/>
      <c r="HM145" s="24"/>
      <c r="HN145" s="24"/>
      <c r="HO145" s="24"/>
      <c r="HP145" s="24"/>
      <c r="HQ145" s="24"/>
      <c r="HR145" s="24"/>
      <c r="HS145" s="24"/>
      <c r="HT145" s="24"/>
      <c r="HU145" s="24"/>
      <c r="HV145" s="24"/>
      <c r="HW145" s="24"/>
      <c r="HX145" s="24"/>
      <c r="HY145" s="24"/>
      <c r="HZ145" s="24"/>
      <c r="IA145" s="24"/>
      <c r="IB145" s="24"/>
      <c r="IC145" s="24"/>
      <c r="ID145" s="24"/>
      <c r="IE145" s="24"/>
      <c r="IF145" s="24"/>
      <c r="IG145" s="24"/>
      <c r="IH145" s="24"/>
      <c r="II145" s="24"/>
      <c r="IJ145" s="24"/>
      <c r="IK145" s="24"/>
      <c r="IL145" s="24"/>
      <c r="IM145" s="24"/>
      <c r="IN145" s="24"/>
      <c r="IO145" s="24"/>
      <c r="IP145" s="24"/>
      <c r="IQ145" s="24"/>
      <c r="IR145" s="24"/>
      <c r="IS145" s="24"/>
      <c r="IT145" s="24"/>
      <c r="IU145" s="24"/>
      <c r="IV145" s="24"/>
      <c r="IW145" s="24"/>
      <c r="IX145" s="24"/>
      <c r="IY145" s="24"/>
      <c r="IZ145" s="24"/>
      <c r="JA145" s="24"/>
      <c r="JB145" s="24"/>
      <c r="JC145" s="24"/>
      <c r="JD145" s="24"/>
      <c r="JE145" s="24"/>
      <c r="JF145" s="24"/>
      <c r="JG145" s="24"/>
      <c r="JH145" s="24"/>
      <c r="JI145" s="24"/>
      <c r="JJ145" s="24"/>
      <c r="JK145" s="24"/>
      <c r="JL145" s="24"/>
      <c r="JM145" s="24"/>
      <c r="JN145" s="24"/>
      <c r="JO145" s="24"/>
      <c r="JP145" s="24"/>
      <c r="JQ145" s="24"/>
      <c r="JR145" s="24"/>
      <c r="JS145" s="24"/>
      <c r="JT145" s="24"/>
      <c r="JU145" s="24"/>
      <c r="JV145" s="24"/>
      <c r="JW145" s="24"/>
      <c r="JX145" s="24"/>
    </row>
    <row r="146" spans="1:284" s="7" customFormat="1" x14ac:dyDescent="0.2">
      <c r="A146" s="406"/>
      <c r="B146" s="92" t="s">
        <v>171</v>
      </c>
      <c r="C146" s="120"/>
      <c r="D146" s="553">
        <f>Stabilization_1st_Month</f>
        <v>33</v>
      </c>
      <c r="E146" s="179"/>
      <c r="F146" s="179"/>
      <c r="G146" s="179" t="s">
        <v>177</v>
      </c>
      <c r="H146" s="120"/>
      <c r="I146" s="130">
        <v>1.4999999999999999E-2</v>
      </c>
      <c r="J146" s="381"/>
      <c r="K146" s="381"/>
      <c r="L146" s="381"/>
      <c r="M146" s="381"/>
      <c r="N146" s="381"/>
      <c r="O146" s="381"/>
      <c r="P146" s="381"/>
      <c r="Q146" s="381"/>
      <c r="R146" s="381"/>
      <c r="S146" s="381"/>
      <c r="T146" s="381"/>
      <c r="U146" s="381"/>
      <c r="V146" s="381"/>
      <c r="W146" s="381"/>
      <c r="X146" s="381"/>
      <c r="Y146" s="381"/>
      <c r="Z146" s="381"/>
      <c r="AA146" s="381"/>
      <c r="AB146" s="381"/>
      <c r="AC146" s="381"/>
      <c r="AD146" s="381"/>
      <c r="AE146" s="381"/>
      <c r="AF146" s="381"/>
      <c r="AG146" s="381"/>
      <c r="AH146" s="381"/>
      <c r="AI146" s="381"/>
      <c r="AJ146" s="381"/>
      <c r="AK146" s="381"/>
      <c r="AL146" s="381"/>
      <c r="AM146" s="381"/>
      <c r="AN146" s="381"/>
      <c r="AO146" s="381"/>
      <c r="AP146" s="381"/>
      <c r="AQ146" s="381"/>
      <c r="AR146" s="381"/>
      <c r="AS146" s="381"/>
      <c r="AT146" s="381"/>
      <c r="AU146" s="381"/>
      <c r="AV146" s="381"/>
      <c r="AW146" s="381"/>
      <c r="AX146" s="381"/>
      <c r="AY146" s="381"/>
      <c r="AZ146" s="381"/>
      <c r="BA146" s="381"/>
      <c r="BB146" s="381"/>
      <c r="BC146" s="381"/>
      <c r="BD146" s="381"/>
      <c r="BE146" s="381"/>
      <c r="BF146" s="381"/>
      <c r="BG146" s="381"/>
      <c r="BH146" s="381"/>
      <c r="BI146" s="381"/>
      <c r="BJ146" s="381"/>
      <c r="BK146" s="381"/>
      <c r="BL146" s="381"/>
      <c r="BM146" s="381"/>
      <c r="BN146" s="381"/>
      <c r="BO146" s="381"/>
      <c r="BP146" s="381"/>
      <c r="BQ146" s="381"/>
      <c r="BR146" s="381"/>
      <c r="BS146" s="381"/>
      <c r="BT146" s="381"/>
      <c r="BU146" s="381"/>
      <c r="BV146" s="381"/>
      <c r="BW146" s="381"/>
      <c r="BX146" s="381"/>
      <c r="BY146" s="381"/>
      <c r="BZ146" s="381"/>
      <c r="CA146" s="381"/>
      <c r="CB146" s="381"/>
      <c r="CC146" s="381"/>
      <c r="CD146" s="381"/>
      <c r="CE146" s="381"/>
      <c r="CF146" s="381"/>
      <c r="CG146" s="381"/>
      <c r="CH146" s="381"/>
      <c r="CI146" s="381"/>
      <c r="CJ146" s="381"/>
      <c r="CK146" s="381"/>
      <c r="CL146" s="381"/>
      <c r="CM146" s="381"/>
      <c r="CN146" s="381"/>
      <c r="CO146" s="381"/>
      <c r="CP146" s="381"/>
      <c r="CQ146" s="381"/>
      <c r="CR146" s="381"/>
      <c r="CS146" s="381"/>
      <c r="CT146" s="381"/>
      <c r="CU146" s="381"/>
      <c r="CV146" s="381"/>
      <c r="CW146" s="381"/>
      <c r="CX146" s="381"/>
      <c r="CY146" s="381"/>
      <c r="CZ146" s="381"/>
      <c r="DA146" s="381"/>
      <c r="DB146" s="381"/>
      <c r="DC146" s="381"/>
      <c r="DD146" s="381"/>
      <c r="DE146" s="381"/>
      <c r="DF146" s="381"/>
      <c r="DG146" s="381"/>
      <c r="DH146" s="381"/>
      <c r="DI146" s="381"/>
      <c r="DJ146" s="381"/>
      <c r="DK146" s="381"/>
      <c r="DL146" s="381"/>
      <c r="DM146" s="381"/>
      <c r="DN146" s="381"/>
      <c r="DO146" s="381"/>
      <c r="DP146" s="381"/>
      <c r="DQ146" s="381"/>
      <c r="DR146" s="381"/>
      <c r="DS146" s="381"/>
      <c r="DT146" s="381"/>
      <c r="DU146" s="381"/>
      <c r="DV146" s="381"/>
      <c r="DW146" s="381"/>
      <c r="DX146" s="381"/>
      <c r="DY146" s="381"/>
      <c r="DZ146" s="381"/>
      <c r="EA146" s="381"/>
      <c r="EB146" s="381"/>
      <c r="EC146" s="381"/>
      <c r="ED146" s="381"/>
      <c r="EE146" s="381"/>
      <c r="EF146" s="381"/>
      <c r="EG146" s="381"/>
      <c r="EH146" s="381"/>
      <c r="EI146" s="381"/>
      <c r="EJ146" s="381"/>
      <c r="EK146" s="381"/>
      <c r="EL146" s="381"/>
      <c r="EM146" s="381"/>
      <c r="EN146" s="381"/>
      <c r="EO146" s="381"/>
      <c r="EP146" s="24"/>
      <c r="EQ146" s="24"/>
      <c r="ER146" s="24"/>
      <c r="ES146" s="24"/>
      <c r="ET146" s="24"/>
      <c r="EU146" s="33"/>
      <c r="EV146" s="24"/>
      <c r="EW146" s="24"/>
      <c r="EX146" s="24"/>
      <c r="EY146" s="24"/>
      <c r="EZ146" s="24"/>
      <c r="FA146" s="24"/>
      <c r="FB146" s="24"/>
      <c r="FC146" s="24"/>
      <c r="FD146" s="24"/>
      <c r="FE146" s="24"/>
      <c r="FF146" s="24"/>
      <c r="FG146" s="24"/>
      <c r="FH146" s="24"/>
      <c r="FI146" s="24"/>
      <c r="FJ146" s="24"/>
      <c r="FK146" s="24"/>
      <c r="FL146" s="24"/>
      <c r="FM146" s="24"/>
      <c r="FN146" s="24"/>
      <c r="FO146" s="24"/>
      <c r="FP146" s="24"/>
      <c r="FQ146" s="24"/>
      <c r="FR146" s="24"/>
      <c r="FS146" s="24"/>
      <c r="FT146" s="24"/>
      <c r="FU146" s="24"/>
      <c r="FV146" s="24"/>
      <c r="FW146" s="24"/>
      <c r="FX146" s="24"/>
      <c r="FY146" s="24"/>
      <c r="FZ146" s="24"/>
      <c r="GA146" s="24"/>
      <c r="GB146" s="24"/>
      <c r="GC146" s="24"/>
      <c r="GD146" s="24"/>
      <c r="GE146" s="24"/>
      <c r="GF146" s="24"/>
      <c r="GG146" s="24"/>
      <c r="GH146" s="24"/>
      <c r="GI146" s="24"/>
      <c r="GJ146" s="24"/>
      <c r="GK146" s="24"/>
      <c r="GL146" s="24"/>
      <c r="GM146" s="24"/>
      <c r="GN146" s="24"/>
      <c r="GO146" s="24"/>
      <c r="GP146" s="24"/>
      <c r="GQ146" s="24"/>
      <c r="GR146" s="24"/>
      <c r="GS146" s="24"/>
      <c r="GT146" s="24"/>
      <c r="GU146" s="24"/>
      <c r="GV146" s="24"/>
      <c r="GW146" s="24"/>
      <c r="GX146" s="24"/>
      <c r="GY146" s="24"/>
      <c r="GZ146" s="24"/>
      <c r="HA146" s="24"/>
      <c r="HB146" s="24"/>
      <c r="HC146" s="24"/>
      <c r="HD146" s="24"/>
      <c r="HE146" s="24"/>
      <c r="HF146" s="24"/>
      <c r="HG146" s="24"/>
      <c r="HH146" s="24"/>
      <c r="HI146" s="24"/>
      <c r="HJ146" s="24"/>
      <c r="HK146" s="24"/>
      <c r="HL146" s="24"/>
      <c r="HM146" s="24"/>
      <c r="HN146" s="24"/>
      <c r="HO146" s="24"/>
      <c r="HP146" s="24"/>
      <c r="HQ146" s="24"/>
      <c r="HR146" s="24"/>
      <c r="HS146" s="24"/>
      <c r="HT146" s="24"/>
      <c r="HU146" s="24"/>
      <c r="HV146" s="24"/>
      <c r="HW146" s="24"/>
      <c r="HX146" s="24"/>
      <c r="HY146" s="24"/>
      <c r="HZ146" s="24"/>
      <c r="IA146" s="24"/>
      <c r="IB146" s="24"/>
      <c r="IC146" s="24"/>
      <c r="ID146" s="24"/>
      <c r="IE146" s="24"/>
      <c r="IF146" s="24"/>
      <c r="IG146" s="24"/>
      <c r="IH146" s="24"/>
      <c r="II146" s="24"/>
      <c r="IJ146" s="24"/>
      <c r="IK146" s="24"/>
      <c r="IL146" s="24"/>
      <c r="IM146" s="24"/>
      <c r="IN146" s="24"/>
      <c r="IO146" s="24"/>
      <c r="IP146" s="24"/>
      <c r="IQ146" s="24"/>
      <c r="IR146" s="24"/>
      <c r="IS146" s="24"/>
      <c r="IT146" s="24"/>
      <c r="IU146" s="24"/>
      <c r="IV146" s="24"/>
      <c r="IW146" s="24"/>
      <c r="IX146" s="24"/>
      <c r="IY146" s="24"/>
      <c r="IZ146" s="24"/>
      <c r="JA146" s="24"/>
      <c r="JB146" s="24"/>
      <c r="JC146" s="24"/>
      <c r="JD146" s="24"/>
      <c r="JE146" s="24"/>
      <c r="JF146" s="24"/>
      <c r="JG146" s="24"/>
      <c r="JH146" s="24"/>
      <c r="JI146" s="24"/>
      <c r="JJ146" s="24"/>
      <c r="JK146" s="24"/>
      <c r="JL146" s="24"/>
      <c r="JM146" s="24"/>
      <c r="JN146" s="24"/>
      <c r="JO146" s="24"/>
      <c r="JP146" s="24"/>
      <c r="JQ146" s="24"/>
      <c r="JR146" s="24"/>
      <c r="JS146" s="24"/>
      <c r="JT146" s="24"/>
      <c r="JU146" s="24"/>
      <c r="JV146" s="24"/>
      <c r="JW146" s="24"/>
      <c r="JX146" s="24"/>
    </row>
    <row r="147" spans="1:284" s="7" customFormat="1" x14ac:dyDescent="0.2">
      <c r="A147" s="406"/>
      <c r="B147" s="92" t="s">
        <v>172</v>
      </c>
      <c r="C147" s="120"/>
      <c r="D147" s="554">
        <f>IF(Perm_Debt?=1,120,Stabilization_1st_Month+12)</f>
        <v>45</v>
      </c>
      <c r="E147" s="179"/>
      <c r="F147" s="179"/>
      <c r="G147" s="181" t="s">
        <v>183</v>
      </c>
      <c r="H147" s="181" t="str">
        <f>"Month "&amp;Stabilization_1st_Month&amp;" - "&amp;Stabilization_1st_Month+11</f>
        <v>Month 33 - 44</v>
      </c>
      <c r="I147" s="181" t="str">
        <f>"Month "&amp;Timing_Reversion_Month&amp;" - "&amp;Timing_Reversion_Month+11</f>
        <v>Month 45 - 56</v>
      </c>
      <c r="J147" s="381"/>
      <c r="K147" s="381"/>
      <c r="L147" s="381"/>
      <c r="M147" s="381"/>
      <c r="N147" s="381"/>
      <c r="O147" s="381"/>
      <c r="P147" s="381"/>
      <c r="Q147" s="381"/>
      <c r="R147" s="381"/>
      <c r="S147" s="381"/>
      <c r="T147" s="381"/>
      <c r="U147" s="381"/>
      <c r="V147" s="381"/>
      <c r="W147" s="381"/>
      <c r="X147" s="381"/>
      <c r="Y147" s="381"/>
      <c r="Z147" s="381"/>
      <c r="AA147" s="381"/>
      <c r="AB147" s="381"/>
      <c r="AC147" s="381"/>
      <c r="AD147" s="381"/>
      <c r="AE147" s="381"/>
      <c r="AF147" s="381"/>
      <c r="AG147" s="381"/>
      <c r="AH147" s="381"/>
      <c r="AI147" s="381"/>
      <c r="AJ147" s="381"/>
      <c r="AK147" s="381"/>
      <c r="AL147" s="381"/>
      <c r="AM147" s="381"/>
      <c r="AN147" s="381"/>
      <c r="AO147" s="381"/>
      <c r="AP147" s="381"/>
      <c r="AQ147" s="381"/>
      <c r="AR147" s="381"/>
      <c r="AS147" s="381"/>
      <c r="AT147" s="381"/>
      <c r="AU147" s="381"/>
      <c r="AV147" s="381"/>
      <c r="AW147" s="381"/>
      <c r="AX147" s="381"/>
      <c r="AY147" s="381"/>
      <c r="AZ147" s="381"/>
      <c r="BA147" s="381"/>
      <c r="BB147" s="381"/>
      <c r="BC147" s="381"/>
      <c r="BD147" s="381"/>
      <c r="BE147" s="381"/>
      <c r="BF147" s="381"/>
      <c r="BG147" s="381"/>
      <c r="BH147" s="381"/>
      <c r="BI147" s="381"/>
      <c r="BJ147" s="381"/>
      <c r="BK147" s="381"/>
      <c r="BL147" s="381"/>
      <c r="BM147" s="381"/>
      <c r="BN147" s="381"/>
      <c r="BO147" s="381"/>
      <c r="BP147" s="381"/>
      <c r="BQ147" s="381"/>
      <c r="BR147" s="381"/>
      <c r="BS147" s="381"/>
      <c r="BT147" s="381"/>
      <c r="BU147" s="381"/>
      <c r="BV147" s="381"/>
      <c r="BW147" s="381"/>
      <c r="BX147" s="381"/>
      <c r="BY147" s="381"/>
      <c r="BZ147" s="381"/>
      <c r="CA147" s="381"/>
      <c r="CB147" s="381"/>
      <c r="CC147" s="381"/>
      <c r="CD147" s="381"/>
      <c r="CE147" s="381"/>
      <c r="CF147" s="381"/>
      <c r="CG147" s="381"/>
      <c r="CH147" s="381"/>
      <c r="CI147" s="381"/>
      <c r="CJ147" s="381"/>
      <c r="CK147" s="381"/>
      <c r="CL147" s="381"/>
      <c r="CM147" s="381"/>
      <c r="CN147" s="381"/>
      <c r="CO147" s="381"/>
      <c r="CP147" s="381"/>
      <c r="CQ147" s="381"/>
      <c r="CR147" s="381"/>
      <c r="CS147" s="381"/>
      <c r="CT147" s="381"/>
      <c r="CU147" s="381"/>
      <c r="CV147" s="381"/>
      <c r="CW147" s="381"/>
      <c r="CX147" s="381"/>
      <c r="CY147" s="381"/>
      <c r="CZ147" s="381"/>
      <c r="DA147" s="381"/>
      <c r="DB147" s="381"/>
      <c r="DC147" s="381"/>
      <c r="DD147" s="381"/>
      <c r="DE147" s="381"/>
      <c r="DF147" s="381"/>
      <c r="DG147" s="381"/>
      <c r="DH147" s="381"/>
      <c r="DI147" s="381"/>
      <c r="DJ147" s="381"/>
      <c r="DK147" s="381"/>
      <c r="DL147" s="381"/>
      <c r="DM147" s="381"/>
      <c r="DN147" s="381"/>
      <c r="DO147" s="381"/>
      <c r="DP147" s="381"/>
      <c r="DQ147" s="381"/>
      <c r="DR147" s="381"/>
      <c r="DS147" s="381"/>
      <c r="DT147" s="381"/>
      <c r="DU147" s="381"/>
      <c r="DV147" s="381"/>
      <c r="DW147" s="381"/>
      <c r="DX147" s="381"/>
      <c r="DY147" s="381"/>
      <c r="DZ147" s="381"/>
      <c r="EA147" s="381"/>
      <c r="EB147" s="381"/>
      <c r="EC147" s="381"/>
      <c r="ED147" s="381"/>
      <c r="EE147" s="381"/>
      <c r="EF147" s="381"/>
      <c r="EG147" s="381"/>
      <c r="EH147" s="381"/>
      <c r="EI147" s="381"/>
      <c r="EJ147" s="381"/>
      <c r="EK147" s="381"/>
      <c r="EL147" s="381"/>
      <c r="EM147" s="381"/>
      <c r="EN147" s="381"/>
      <c r="EO147" s="381"/>
      <c r="EP147" s="24"/>
      <c r="EQ147" s="24"/>
      <c r="ER147" s="24"/>
      <c r="ES147" s="24"/>
      <c r="ET147" s="24"/>
      <c r="EU147" s="33"/>
      <c r="EV147" s="24"/>
      <c r="EW147" s="24"/>
      <c r="EX147" s="24"/>
      <c r="EY147" s="24"/>
      <c r="EZ147" s="24"/>
      <c r="FA147" s="24"/>
      <c r="FB147" s="24"/>
      <c r="FC147" s="24"/>
      <c r="FD147" s="24"/>
      <c r="FE147" s="24"/>
      <c r="FF147" s="24"/>
      <c r="FG147" s="24"/>
      <c r="FH147" s="24"/>
      <c r="FI147" s="24"/>
      <c r="FJ147" s="24"/>
      <c r="FK147" s="24"/>
      <c r="FL147" s="24"/>
      <c r="FM147" s="24"/>
      <c r="FN147" s="24"/>
      <c r="FO147" s="24"/>
      <c r="FP147" s="24"/>
      <c r="FQ147" s="24"/>
      <c r="FR147" s="24"/>
      <c r="FS147" s="24"/>
      <c r="FT147" s="24"/>
      <c r="FU147" s="24"/>
      <c r="FV147" s="24"/>
      <c r="FW147" s="24"/>
      <c r="FX147" s="24"/>
      <c r="FY147" s="24"/>
      <c r="FZ147" s="24"/>
      <c r="GA147" s="24"/>
      <c r="GB147" s="24"/>
      <c r="GC147" s="24"/>
      <c r="GD147" s="24"/>
      <c r="GE147" s="24"/>
      <c r="GF147" s="24"/>
      <c r="GG147" s="24"/>
      <c r="GH147" s="24"/>
      <c r="GI147" s="24"/>
      <c r="GJ147" s="24"/>
      <c r="GK147" s="24"/>
      <c r="GL147" s="24"/>
      <c r="GM147" s="24"/>
      <c r="GN147" s="24"/>
      <c r="GO147" s="24"/>
      <c r="GP147" s="24"/>
      <c r="GQ147" s="24"/>
      <c r="GR147" s="24"/>
      <c r="GS147" s="24"/>
      <c r="GT147" s="24"/>
      <c r="GU147" s="24"/>
      <c r="GV147" s="24"/>
      <c r="GW147" s="24"/>
      <c r="GX147" s="24"/>
      <c r="GY147" s="24"/>
      <c r="GZ147" s="24"/>
      <c r="HA147" s="24"/>
      <c r="HB147" s="24"/>
      <c r="HC147" s="24"/>
      <c r="HD147" s="24"/>
      <c r="HE147" s="24"/>
      <c r="HF147" s="24"/>
      <c r="HG147" s="24"/>
      <c r="HH147" s="24"/>
      <c r="HI147" s="24"/>
      <c r="HJ147" s="24"/>
      <c r="HK147" s="24"/>
      <c r="HL147" s="24"/>
      <c r="HM147" s="24"/>
      <c r="HN147" s="24"/>
      <c r="HO147" s="24"/>
      <c r="HP147" s="24"/>
      <c r="HQ147" s="24"/>
      <c r="HR147" s="24"/>
      <c r="HS147" s="24"/>
      <c r="HT147" s="24"/>
      <c r="HU147" s="24"/>
      <c r="HV147" s="24"/>
      <c r="HW147" s="24"/>
      <c r="HX147" s="24"/>
      <c r="HY147" s="24"/>
      <c r="HZ147" s="24"/>
      <c r="IA147" s="24"/>
      <c r="IB147" s="24"/>
      <c r="IC147" s="24"/>
      <c r="ID147" s="24"/>
      <c r="IE147" s="24"/>
      <c r="IF147" s="24"/>
      <c r="IG147" s="24"/>
      <c r="IH147" s="24"/>
      <c r="II147" s="24"/>
      <c r="IJ147" s="24"/>
      <c r="IK147" s="24"/>
      <c r="IL147" s="24"/>
      <c r="IM147" s="24"/>
      <c r="IN147" s="24"/>
      <c r="IO147" s="24"/>
      <c r="IP147" s="24"/>
      <c r="IQ147" s="24"/>
      <c r="IR147" s="24"/>
      <c r="IS147" s="24"/>
      <c r="IT147" s="24"/>
      <c r="IU147" s="24"/>
      <c r="IV147" s="24"/>
      <c r="IW147" s="24"/>
      <c r="IX147" s="24"/>
      <c r="IY147" s="24"/>
      <c r="IZ147" s="24"/>
      <c r="JA147" s="24"/>
      <c r="JB147" s="24"/>
      <c r="JC147" s="24"/>
      <c r="JD147" s="24"/>
      <c r="JE147" s="24"/>
      <c r="JF147" s="24"/>
      <c r="JG147" s="24"/>
      <c r="JH147" s="24"/>
      <c r="JI147" s="24"/>
      <c r="JJ147" s="24"/>
      <c r="JK147" s="24"/>
      <c r="JL147" s="24"/>
      <c r="JM147" s="24"/>
      <c r="JN147" s="24"/>
      <c r="JO147" s="24"/>
      <c r="JP147" s="24"/>
      <c r="JQ147" s="24"/>
      <c r="JR147" s="24"/>
      <c r="JS147" s="24"/>
      <c r="JT147" s="24"/>
      <c r="JU147" s="24"/>
      <c r="JV147" s="24"/>
      <c r="JW147" s="24"/>
      <c r="JX147" s="24"/>
    </row>
    <row r="148" spans="1:284" s="7" customFormat="1" x14ac:dyDescent="0.2">
      <c r="A148" s="406"/>
      <c r="B148" s="72" t="s">
        <v>170</v>
      </c>
      <c r="C148" s="72"/>
      <c r="D148" s="72"/>
      <c r="E148" s="74"/>
      <c r="F148" s="74"/>
      <c r="G148" s="74" t="s">
        <v>180</v>
      </c>
      <c r="H148" s="74" t="s">
        <v>181</v>
      </c>
      <c r="I148" s="74" t="s">
        <v>182</v>
      </c>
      <c r="J148" s="381"/>
      <c r="K148" s="381"/>
      <c r="L148" s="381"/>
      <c r="M148" s="381"/>
      <c r="N148" s="381"/>
      <c r="O148" s="381"/>
      <c r="P148" s="381"/>
      <c r="Q148" s="381"/>
      <c r="R148" s="381"/>
      <c r="S148" s="381"/>
      <c r="T148" s="381"/>
      <c r="U148" s="381"/>
      <c r="V148" s="381"/>
      <c r="W148" s="381"/>
      <c r="X148" s="381"/>
      <c r="Y148" s="381"/>
      <c r="Z148" s="381"/>
      <c r="AA148" s="381"/>
      <c r="AB148" s="381"/>
      <c r="AC148" s="381"/>
      <c r="AD148" s="381"/>
      <c r="AE148" s="381"/>
      <c r="AF148" s="381"/>
      <c r="AG148" s="381"/>
      <c r="AH148" s="381"/>
      <c r="AI148" s="381"/>
      <c r="AJ148" s="381"/>
      <c r="AK148" s="381"/>
      <c r="AL148" s="381"/>
      <c r="AM148" s="381"/>
      <c r="AN148" s="381"/>
      <c r="AO148" s="381"/>
      <c r="AP148" s="381"/>
      <c r="AQ148" s="381"/>
      <c r="AR148" s="381"/>
      <c r="AS148" s="381"/>
      <c r="AT148" s="381"/>
      <c r="AU148" s="381"/>
      <c r="AV148" s="381"/>
      <c r="AW148" s="381"/>
      <c r="AX148" s="381"/>
      <c r="AY148" s="381"/>
      <c r="AZ148" s="381"/>
      <c r="BA148" s="381"/>
      <c r="BB148" s="381"/>
      <c r="BC148" s="381"/>
      <c r="BD148" s="381"/>
      <c r="BE148" s="381"/>
      <c r="BF148" s="381"/>
      <c r="BG148" s="381"/>
      <c r="BH148" s="381"/>
      <c r="BI148" s="381"/>
      <c r="BJ148" s="381"/>
      <c r="BK148" s="381"/>
      <c r="BL148" s="381"/>
      <c r="BM148" s="381"/>
      <c r="BN148" s="381"/>
      <c r="BO148" s="381"/>
      <c r="BP148" s="381"/>
      <c r="BQ148" s="381"/>
      <c r="BR148" s="381"/>
      <c r="BS148" s="381"/>
      <c r="BT148" s="381"/>
      <c r="BU148" s="381"/>
      <c r="BV148" s="381"/>
      <c r="BW148" s="381"/>
      <c r="BX148" s="381"/>
      <c r="BY148" s="381"/>
      <c r="BZ148" s="381"/>
      <c r="CA148" s="381"/>
      <c r="CB148" s="381"/>
      <c r="CC148" s="381"/>
      <c r="CD148" s="381"/>
      <c r="CE148" s="381"/>
      <c r="CF148" s="381"/>
      <c r="CG148" s="381"/>
      <c r="CH148" s="381"/>
      <c r="CI148" s="381"/>
      <c r="CJ148" s="381"/>
      <c r="CK148" s="381"/>
      <c r="CL148" s="381"/>
      <c r="CM148" s="381"/>
      <c r="CN148" s="381"/>
      <c r="CO148" s="381"/>
      <c r="CP148" s="381"/>
      <c r="CQ148" s="381"/>
      <c r="CR148" s="381"/>
      <c r="CS148" s="381"/>
      <c r="CT148" s="381"/>
      <c r="CU148" s="381"/>
      <c r="CV148" s="381"/>
      <c r="CW148" s="381"/>
      <c r="CX148" s="381"/>
      <c r="CY148" s="381"/>
      <c r="CZ148" s="381"/>
      <c r="DA148" s="381"/>
      <c r="DB148" s="381"/>
      <c r="DC148" s="381"/>
      <c r="DD148" s="381"/>
      <c r="DE148" s="381"/>
      <c r="DF148" s="381"/>
      <c r="DG148" s="381"/>
      <c r="DH148" s="381"/>
      <c r="DI148" s="381"/>
      <c r="DJ148" s="381"/>
      <c r="DK148" s="381"/>
      <c r="DL148" s="381"/>
      <c r="DM148" s="381"/>
      <c r="DN148" s="381"/>
      <c r="DO148" s="381"/>
      <c r="DP148" s="381"/>
      <c r="DQ148" s="381"/>
      <c r="DR148" s="381"/>
      <c r="DS148" s="381"/>
      <c r="DT148" s="381"/>
      <c r="DU148" s="381"/>
      <c r="DV148" s="381"/>
      <c r="DW148" s="381"/>
      <c r="DX148" s="381"/>
      <c r="DY148" s="381"/>
      <c r="DZ148" s="381"/>
      <c r="EA148" s="381"/>
      <c r="EB148" s="381"/>
      <c r="EC148" s="381"/>
      <c r="ED148" s="381"/>
      <c r="EE148" s="381"/>
      <c r="EF148" s="381"/>
      <c r="EG148" s="381"/>
      <c r="EH148" s="381"/>
      <c r="EI148" s="381"/>
      <c r="EJ148" s="381"/>
      <c r="EK148" s="381"/>
      <c r="EL148" s="381"/>
      <c r="EM148" s="381"/>
      <c r="EN148" s="381"/>
      <c r="EO148" s="381"/>
      <c r="EP148" s="24"/>
      <c r="EQ148" s="24"/>
      <c r="ER148" s="24"/>
      <c r="ES148" s="24"/>
      <c r="ET148" s="24"/>
      <c r="EU148" s="33"/>
      <c r="EV148" s="24"/>
      <c r="EW148" s="24"/>
      <c r="EX148" s="24"/>
      <c r="EY148" s="24"/>
      <c r="EZ148" s="24"/>
      <c r="FA148" s="24"/>
      <c r="FB148" s="24"/>
      <c r="FC148" s="24"/>
      <c r="FD148" s="24"/>
      <c r="FE148" s="24"/>
      <c r="FF148" s="24"/>
      <c r="FG148" s="24"/>
      <c r="FH148" s="24"/>
      <c r="FI148" s="24"/>
      <c r="FJ148" s="24"/>
      <c r="FK148" s="24"/>
      <c r="FL148" s="24"/>
      <c r="FM148" s="24"/>
      <c r="FN148" s="24"/>
      <c r="FO148" s="24"/>
      <c r="FP148" s="24"/>
      <c r="FQ148" s="24"/>
      <c r="FR148" s="24"/>
      <c r="FS148" s="24"/>
      <c r="FT148" s="24"/>
      <c r="FU148" s="24"/>
      <c r="FV148" s="24"/>
      <c r="FW148" s="24"/>
      <c r="FX148" s="24"/>
      <c r="FY148" s="24"/>
      <c r="FZ148" s="24"/>
      <c r="GA148" s="24"/>
      <c r="GB148" s="24"/>
      <c r="GC148" s="24"/>
      <c r="GD148" s="24"/>
      <c r="GE148" s="24"/>
      <c r="GF148" s="24"/>
      <c r="GG148" s="24"/>
      <c r="GH148" s="24"/>
      <c r="GI148" s="24"/>
      <c r="GJ148" s="24"/>
      <c r="GK148" s="24"/>
      <c r="GL148" s="24"/>
      <c r="GM148" s="24"/>
      <c r="GN148" s="24"/>
      <c r="GO148" s="24"/>
      <c r="GP148" s="24"/>
      <c r="GQ148" s="24"/>
      <c r="GR148" s="24"/>
      <c r="GS148" s="24"/>
      <c r="GT148" s="24"/>
      <c r="GU148" s="24"/>
      <c r="GV148" s="24"/>
      <c r="GW148" s="24"/>
      <c r="GX148" s="24"/>
      <c r="GY148" s="24"/>
      <c r="GZ148" s="24"/>
      <c r="HA148" s="24"/>
      <c r="HB148" s="24"/>
      <c r="HC148" s="24"/>
      <c r="HD148" s="24"/>
      <c r="HE148" s="24"/>
      <c r="HF148" s="24"/>
      <c r="HG148" s="24"/>
      <c r="HH148" s="24"/>
      <c r="HI148" s="24"/>
      <c r="HJ148" s="24"/>
      <c r="HK148" s="24"/>
      <c r="HL148" s="24"/>
      <c r="HM148" s="24"/>
      <c r="HN148" s="24"/>
      <c r="HO148" s="24"/>
      <c r="HP148" s="24"/>
      <c r="HQ148" s="24"/>
      <c r="HR148" s="24"/>
      <c r="HS148" s="24"/>
      <c r="HT148" s="24"/>
      <c r="HU148" s="24"/>
      <c r="HV148" s="24"/>
      <c r="HW148" s="24"/>
      <c r="HX148" s="24"/>
      <c r="HY148" s="24"/>
      <c r="HZ148" s="24"/>
      <c r="IA148" s="24"/>
      <c r="IB148" s="24"/>
      <c r="IC148" s="24"/>
      <c r="ID148" s="24"/>
      <c r="IE148" s="24"/>
      <c r="IF148" s="24"/>
      <c r="IG148" s="24"/>
      <c r="IH148" s="24"/>
      <c r="II148" s="24"/>
      <c r="IJ148" s="24"/>
      <c r="IK148" s="24"/>
      <c r="IL148" s="24"/>
      <c r="IM148" s="24"/>
      <c r="IN148" s="24"/>
      <c r="IO148" s="24"/>
      <c r="IP148" s="24"/>
      <c r="IQ148" s="24"/>
      <c r="IR148" s="24"/>
      <c r="IS148" s="24"/>
      <c r="IT148" s="24"/>
      <c r="IU148" s="24"/>
      <c r="IV148" s="24"/>
      <c r="IW148" s="24"/>
      <c r="IX148" s="24"/>
      <c r="IY148" s="24"/>
      <c r="IZ148" s="24"/>
      <c r="JA148" s="24"/>
      <c r="JB148" s="24"/>
      <c r="JC148" s="24"/>
      <c r="JD148" s="24"/>
      <c r="JE148" s="24"/>
      <c r="JF148" s="24"/>
      <c r="JG148" s="24"/>
      <c r="JH148" s="24"/>
      <c r="JI148" s="24"/>
      <c r="JJ148" s="24"/>
      <c r="JK148" s="24"/>
      <c r="JL148" s="24"/>
      <c r="JM148" s="24"/>
      <c r="JN148" s="24"/>
      <c r="JO148" s="24"/>
      <c r="JP148" s="24"/>
      <c r="JQ148" s="24"/>
      <c r="JR148" s="24"/>
      <c r="JS148" s="24"/>
      <c r="JT148" s="24"/>
      <c r="JU148" s="24"/>
      <c r="JV148" s="24"/>
      <c r="JW148" s="24"/>
      <c r="JX148" s="24"/>
    </row>
    <row r="149" spans="1:284" s="7" customFormat="1" x14ac:dyDescent="0.2">
      <c r="A149" s="406"/>
      <c r="B149" s="92" t="str">
        <f t="shared" ref="B149:B159" si="635">B96</f>
        <v>GROSS RENT</v>
      </c>
      <c r="C149" s="120"/>
      <c r="D149" s="120"/>
      <c r="E149" s="179"/>
      <c r="F149" s="179"/>
      <c r="G149" s="123">
        <f>I96</f>
        <v>5785200</v>
      </c>
      <c r="H149" s="123">
        <f ca="1">SUM(OFFSET($L96,0,Stabilization_1st_Month,1,12))</f>
        <v>5988549.7799999993</v>
      </c>
      <c r="I149" s="124">
        <f ca="1">MAX(SUM(OFFSET($L96,0,Timing_Reversion_Month,1,12)))</f>
        <v>6168206.2733999994</v>
      </c>
      <c r="J149" s="381"/>
      <c r="K149" s="381"/>
      <c r="L149" s="381"/>
      <c r="M149" s="381"/>
      <c r="N149" s="381"/>
      <c r="O149" s="381"/>
      <c r="P149" s="381"/>
      <c r="Q149" s="381"/>
      <c r="R149" s="381"/>
      <c r="S149" s="381"/>
      <c r="T149" s="381"/>
      <c r="U149" s="381"/>
      <c r="V149" s="381"/>
      <c r="W149" s="381"/>
      <c r="X149" s="381"/>
      <c r="Y149" s="381"/>
      <c r="Z149" s="381"/>
      <c r="AA149" s="381"/>
      <c r="AB149" s="381"/>
      <c r="AC149" s="381"/>
      <c r="AD149" s="381"/>
      <c r="AE149" s="381"/>
      <c r="AF149" s="381"/>
      <c r="AG149" s="381"/>
      <c r="AH149" s="381"/>
      <c r="AI149" s="381"/>
      <c r="AJ149" s="381"/>
      <c r="AK149" s="381"/>
      <c r="AL149" s="381"/>
      <c r="AM149" s="381"/>
      <c r="AN149" s="381"/>
      <c r="AO149" s="381"/>
      <c r="AP149" s="381"/>
      <c r="AQ149" s="381"/>
      <c r="AR149" s="381"/>
      <c r="AS149" s="381"/>
      <c r="AT149" s="381"/>
      <c r="AU149" s="381"/>
      <c r="AV149" s="381"/>
      <c r="AW149" s="381"/>
      <c r="AX149" s="381"/>
      <c r="AY149" s="381"/>
      <c r="AZ149" s="381"/>
      <c r="BA149" s="381"/>
      <c r="BB149" s="381"/>
      <c r="BC149" s="381"/>
      <c r="BD149" s="381"/>
      <c r="BE149" s="381"/>
      <c r="BF149" s="381"/>
      <c r="BG149" s="381"/>
      <c r="BH149" s="381"/>
      <c r="BI149" s="381"/>
      <c r="BJ149" s="381"/>
      <c r="BK149" s="381"/>
      <c r="BL149" s="381"/>
      <c r="BM149" s="381"/>
      <c r="BN149" s="381"/>
      <c r="BO149" s="381"/>
      <c r="BP149" s="381"/>
      <c r="BQ149" s="381"/>
      <c r="BR149" s="381"/>
      <c r="BS149" s="381"/>
      <c r="BT149" s="381"/>
      <c r="BU149" s="381"/>
      <c r="BV149" s="381"/>
      <c r="BW149" s="381"/>
      <c r="BX149" s="381"/>
      <c r="BY149" s="381"/>
      <c r="BZ149" s="381"/>
      <c r="CA149" s="381"/>
      <c r="CB149" s="381"/>
      <c r="CC149" s="381"/>
      <c r="CD149" s="381"/>
      <c r="CE149" s="381"/>
      <c r="CF149" s="381"/>
      <c r="CG149" s="381"/>
      <c r="CH149" s="381"/>
      <c r="CI149" s="381"/>
      <c r="CJ149" s="381"/>
      <c r="CK149" s="381"/>
      <c r="CL149" s="381"/>
      <c r="CM149" s="381"/>
      <c r="CN149" s="381"/>
      <c r="CO149" s="381"/>
      <c r="CP149" s="381"/>
      <c r="CQ149" s="381"/>
      <c r="CR149" s="381"/>
      <c r="CS149" s="381"/>
      <c r="CT149" s="381"/>
      <c r="CU149" s="381"/>
      <c r="CV149" s="381"/>
      <c r="CW149" s="381"/>
      <c r="CX149" s="381"/>
      <c r="CY149" s="381"/>
      <c r="CZ149" s="381"/>
      <c r="DA149" s="381"/>
      <c r="DB149" s="381"/>
      <c r="DC149" s="381"/>
      <c r="DD149" s="381"/>
      <c r="DE149" s="381"/>
      <c r="DF149" s="381"/>
      <c r="DG149" s="381"/>
      <c r="DH149" s="381"/>
      <c r="DI149" s="381"/>
      <c r="DJ149" s="381"/>
      <c r="DK149" s="381"/>
      <c r="DL149" s="381"/>
      <c r="DM149" s="381"/>
      <c r="DN149" s="381"/>
      <c r="DO149" s="381"/>
      <c r="DP149" s="381"/>
      <c r="DQ149" s="381"/>
      <c r="DR149" s="381"/>
      <c r="DS149" s="381"/>
      <c r="DT149" s="381"/>
      <c r="DU149" s="381"/>
      <c r="DV149" s="381"/>
      <c r="DW149" s="381"/>
      <c r="DX149" s="381"/>
      <c r="DY149" s="381"/>
      <c r="DZ149" s="381"/>
      <c r="EA149" s="381"/>
      <c r="EB149" s="381"/>
      <c r="EC149" s="381"/>
      <c r="ED149" s="381"/>
      <c r="EE149" s="381"/>
      <c r="EF149" s="381"/>
      <c r="EG149" s="381"/>
      <c r="EH149" s="381"/>
      <c r="EI149" s="381"/>
      <c r="EJ149" s="381"/>
      <c r="EK149" s="381"/>
      <c r="EL149" s="381"/>
      <c r="EM149" s="381"/>
      <c r="EN149" s="381"/>
      <c r="EO149" s="381"/>
      <c r="EP149" s="24"/>
      <c r="EQ149" s="24"/>
      <c r="ER149" s="24"/>
      <c r="ES149" s="24"/>
      <c r="ET149" s="24"/>
      <c r="EU149" s="33"/>
      <c r="EV149" s="24"/>
      <c r="EW149" s="24"/>
      <c r="EX149" s="24"/>
      <c r="EY149" s="24"/>
      <c r="EZ149" s="24"/>
      <c r="FA149" s="24"/>
      <c r="FB149" s="24"/>
      <c r="FC149" s="24"/>
      <c r="FD149" s="24"/>
      <c r="FE149" s="24"/>
      <c r="FF149" s="24"/>
      <c r="FG149" s="24"/>
      <c r="FH149" s="24"/>
      <c r="FI149" s="24"/>
      <c r="FJ149" s="24"/>
      <c r="FK149" s="24"/>
      <c r="FL149" s="24"/>
      <c r="FM149" s="24"/>
      <c r="FN149" s="24"/>
      <c r="FO149" s="24"/>
      <c r="FP149" s="24"/>
      <c r="FQ149" s="24"/>
      <c r="FR149" s="24"/>
      <c r="FS149" s="24"/>
      <c r="FT149" s="24"/>
      <c r="FU149" s="24"/>
      <c r="FV149" s="24"/>
      <c r="FW149" s="24"/>
      <c r="FX149" s="24"/>
      <c r="FY149" s="24"/>
      <c r="FZ149" s="24"/>
      <c r="GA149" s="24"/>
      <c r="GB149" s="24"/>
      <c r="GC149" s="24"/>
      <c r="GD149" s="24"/>
      <c r="GE149" s="24"/>
      <c r="GF149" s="24"/>
      <c r="GG149" s="24"/>
      <c r="GH149" s="24"/>
      <c r="GI149" s="24"/>
      <c r="GJ149" s="24"/>
      <c r="GK149" s="24"/>
      <c r="GL149" s="24"/>
      <c r="GM149" s="24"/>
      <c r="GN149" s="24"/>
      <c r="GO149" s="24"/>
      <c r="GP149" s="24"/>
      <c r="GQ149" s="24"/>
      <c r="GR149" s="24"/>
      <c r="GS149" s="24"/>
      <c r="GT149" s="24"/>
      <c r="GU149" s="24"/>
      <c r="GV149" s="24"/>
      <c r="GW149" s="24"/>
      <c r="GX149" s="24"/>
      <c r="GY149" s="24"/>
      <c r="GZ149" s="24"/>
      <c r="HA149" s="24"/>
      <c r="HB149" s="24"/>
      <c r="HC149" s="24"/>
      <c r="HD149" s="24"/>
      <c r="HE149" s="24"/>
      <c r="HF149" s="24"/>
      <c r="HG149" s="24"/>
      <c r="HH149" s="24"/>
      <c r="HI149" s="24"/>
      <c r="HJ149" s="24"/>
      <c r="HK149" s="24"/>
      <c r="HL149" s="24"/>
      <c r="HM149" s="24"/>
      <c r="HN149" s="24"/>
      <c r="HO149" s="24"/>
      <c r="HP149" s="24"/>
      <c r="HQ149" s="24"/>
      <c r="HR149" s="24"/>
      <c r="HS149" s="24"/>
      <c r="HT149" s="24"/>
      <c r="HU149" s="24"/>
      <c r="HV149" s="24"/>
      <c r="HW149" s="24"/>
      <c r="HX149" s="24"/>
      <c r="HY149" s="24"/>
      <c r="HZ149" s="24"/>
      <c r="IA149" s="24"/>
      <c r="IB149" s="24"/>
      <c r="IC149" s="24"/>
      <c r="ID149" s="24"/>
      <c r="IE149" s="24"/>
      <c r="IF149" s="24"/>
      <c r="IG149" s="24"/>
      <c r="IH149" s="24"/>
      <c r="II149" s="24"/>
      <c r="IJ149" s="24"/>
      <c r="IK149" s="24"/>
      <c r="IL149" s="24"/>
      <c r="IM149" s="24"/>
      <c r="IN149" s="24"/>
      <c r="IO149" s="24"/>
      <c r="IP149" s="24"/>
      <c r="IQ149" s="24"/>
      <c r="IR149" s="24"/>
      <c r="IS149" s="24"/>
      <c r="IT149" s="24"/>
      <c r="IU149" s="24"/>
      <c r="IV149" s="24"/>
      <c r="IW149" s="24"/>
      <c r="IX149" s="24"/>
      <c r="IY149" s="24"/>
      <c r="IZ149" s="24"/>
      <c r="JA149" s="24"/>
      <c r="JB149" s="24"/>
      <c r="JC149" s="24"/>
      <c r="JD149" s="24"/>
      <c r="JE149" s="24"/>
      <c r="JF149" s="24"/>
      <c r="JG149" s="24"/>
      <c r="JH149" s="24"/>
      <c r="JI149" s="24"/>
      <c r="JJ149" s="24"/>
      <c r="JK149" s="24"/>
      <c r="JL149" s="24"/>
      <c r="JM149" s="24"/>
      <c r="JN149" s="24"/>
      <c r="JO149" s="24"/>
      <c r="JP149" s="24"/>
      <c r="JQ149" s="24"/>
      <c r="JR149" s="24"/>
      <c r="JS149" s="24"/>
      <c r="JT149" s="24"/>
      <c r="JU149" s="24"/>
      <c r="JV149" s="24"/>
      <c r="JW149" s="24"/>
      <c r="JX149" s="24"/>
    </row>
    <row r="150" spans="1:284" s="7" customFormat="1" x14ac:dyDescent="0.2">
      <c r="A150" s="406"/>
      <c r="B150" s="147" t="str">
        <f t="shared" si="635"/>
        <v>- Concessions (Free Rent)</v>
      </c>
      <c r="C150" s="120"/>
      <c r="D150" s="120"/>
      <c r="E150" s="179"/>
      <c r="F150" s="179"/>
      <c r="G150" s="123">
        <f>I97</f>
        <v>0</v>
      </c>
      <c r="H150" s="123">
        <f ca="1">SUM(OFFSET($L97,0,Stabilization_1st_Month,1,12))</f>
        <v>0</v>
      </c>
      <c r="I150" s="124">
        <f ca="1">MIN(SUM(OFFSET($L97,0,Timing_Reversion_Month,1,12)),H150)</f>
        <v>0</v>
      </c>
      <c r="J150" s="381"/>
      <c r="K150" s="381"/>
      <c r="L150" s="381"/>
      <c r="M150" s="381"/>
      <c r="N150" s="381"/>
      <c r="O150" s="381"/>
      <c r="P150" s="381"/>
      <c r="Q150" s="381"/>
      <c r="R150" s="381"/>
      <c r="S150" s="381"/>
      <c r="T150" s="381"/>
      <c r="U150" s="381"/>
      <c r="V150" s="381"/>
      <c r="W150" s="381"/>
      <c r="X150" s="381"/>
      <c r="Y150" s="381"/>
      <c r="Z150" s="381"/>
      <c r="AA150" s="381"/>
      <c r="AB150" s="381"/>
      <c r="AC150" s="381"/>
      <c r="AD150" s="381"/>
      <c r="AE150" s="381"/>
      <c r="AF150" s="381"/>
      <c r="AG150" s="381"/>
      <c r="AH150" s="381"/>
      <c r="AI150" s="381"/>
      <c r="AJ150" s="381"/>
      <c r="AK150" s="381"/>
      <c r="AL150" s="381"/>
      <c r="AM150" s="381"/>
      <c r="AN150" s="381"/>
      <c r="AO150" s="381"/>
      <c r="AP150" s="381"/>
      <c r="AQ150" s="381"/>
      <c r="AR150" s="381"/>
      <c r="AS150" s="381"/>
      <c r="AT150" s="381"/>
      <c r="AU150" s="381"/>
      <c r="AV150" s="381"/>
      <c r="AW150" s="381"/>
      <c r="AX150" s="381"/>
      <c r="AY150" s="381"/>
      <c r="AZ150" s="381"/>
      <c r="BA150" s="381"/>
      <c r="BB150" s="381"/>
      <c r="BC150" s="381"/>
      <c r="BD150" s="381"/>
      <c r="BE150" s="381"/>
      <c r="BF150" s="381"/>
      <c r="BG150" s="381"/>
      <c r="BH150" s="381"/>
      <c r="BI150" s="381"/>
      <c r="BJ150" s="381"/>
      <c r="BK150" s="381"/>
      <c r="BL150" s="381"/>
      <c r="BM150" s="381"/>
      <c r="BN150" s="381"/>
      <c r="BO150" s="381"/>
      <c r="BP150" s="381"/>
      <c r="BQ150" s="381"/>
      <c r="BR150" s="381"/>
      <c r="BS150" s="381"/>
      <c r="BT150" s="381"/>
      <c r="BU150" s="381"/>
      <c r="BV150" s="381"/>
      <c r="BW150" s="381"/>
      <c r="BX150" s="381"/>
      <c r="BY150" s="381"/>
      <c r="BZ150" s="381"/>
      <c r="CA150" s="381"/>
      <c r="CB150" s="381"/>
      <c r="CC150" s="381"/>
      <c r="CD150" s="381"/>
      <c r="CE150" s="381"/>
      <c r="CF150" s="381"/>
      <c r="CG150" s="381"/>
      <c r="CH150" s="381"/>
      <c r="CI150" s="381"/>
      <c r="CJ150" s="381"/>
      <c r="CK150" s="381"/>
      <c r="CL150" s="381"/>
      <c r="CM150" s="381"/>
      <c r="CN150" s="381"/>
      <c r="CO150" s="381"/>
      <c r="CP150" s="381"/>
      <c r="CQ150" s="381"/>
      <c r="CR150" s="381"/>
      <c r="CS150" s="381"/>
      <c r="CT150" s="381"/>
      <c r="CU150" s="381"/>
      <c r="CV150" s="381"/>
      <c r="CW150" s="381"/>
      <c r="CX150" s="381"/>
      <c r="CY150" s="381"/>
      <c r="CZ150" s="381"/>
      <c r="DA150" s="381"/>
      <c r="DB150" s="381"/>
      <c r="DC150" s="381"/>
      <c r="DD150" s="381"/>
      <c r="DE150" s="381"/>
      <c r="DF150" s="381"/>
      <c r="DG150" s="381"/>
      <c r="DH150" s="381"/>
      <c r="DI150" s="381"/>
      <c r="DJ150" s="381"/>
      <c r="DK150" s="381"/>
      <c r="DL150" s="381"/>
      <c r="DM150" s="381"/>
      <c r="DN150" s="381"/>
      <c r="DO150" s="381"/>
      <c r="DP150" s="381"/>
      <c r="DQ150" s="381"/>
      <c r="DR150" s="381"/>
      <c r="DS150" s="381"/>
      <c r="DT150" s="381"/>
      <c r="DU150" s="381"/>
      <c r="DV150" s="381"/>
      <c r="DW150" s="381"/>
      <c r="DX150" s="381"/>
      <c r="DY150" s="381"/>
      <c r="DZ150" s="381"/>
      <c r="EA150" s="381"/>
      <c r="EB150" s="381"/>
      <c r="EC150" s="381"/>
      <c r="ED150" s="381"/>
      <c r="EE150" s="381"/>
      <c r="EF150" s="381"/>
      <c r="EG150" s="381"/>
      <c r="EH150" s="381"/>
      <c r="EI150" s="381"/>
      <c r="EJ150" s="381"/>
      <c r="EK150" s="381"/>
      <c r="EL150" s="381"/>
      <c r="EM150" s="381"/>
      <c r="EN150" s="381"/>
      <c r="EO150" s="381"/>
      <c r="EP150" s="24"/>
      <c r="EQ150" s="24"/>
      <c r="ER150" s="24"/>
      <c r="ES150" s="24"/>
      <c r="ET150" s="24"/>
      <c r="EU150" s="33"/>
      <c r="EV150" s="24"/>
      <c r="EW150" s="24"/>
      <c r="EX150" s="24"/>
      <c r="EY150" s="24"/>
      <c r="EZ150" s="24"/>
      <c r="FA150" s="24"/>
      <c r="FB150" s="24"/>
      <c r="FC150" s="24"/>
      <c r="FD150" s="24"/>
      <c r="FE150" s="24"/>
      <c r="FF150" s="24"/>
      <c r="FG150" s="24"/>
      <c r="FH150" s="24"/>
      <c r="FI150" s="24"/>
      <c r="FJ150" s="24"/>
      <c r="FK150" s="24"/>
      <c r="FL150" s="24"/>
      <c r="FM150" s="24"/>
      <c r="FN150" s="24"/>
      <c r="FO150" s="24"/>
      <c r="FP150" s="24"/>
      <c r="FQ150" s="24"/>
      <c r="FR150" s="24"/>
      <c r="FS150" s="24"/>
      <c r="FT150" s="24"/>
      <c r="FU150" s="24"/>
      <c r="FV150" s="24"/>
      <c r="FW150" s="24"/>
      <c r="FX150" s="24"/>
      <c r="FY150" s="24"/>
      <c r="FZ150" s="24"/>
      <c r="GA150" s="24"/>
      <c r="GB150" s="24"/>
      <c r="GC150" s="24"/>
      <c r="GD150" s="24"/>
      <c r="GE150" s="24"/>
      <c r="GF150" s="24"/>
      <c r="GG150" s="24"/>
      <c r="GH150" s="24"/>
      <c r="GI150" s="24"/>
      <c r="GJ150" s="24"/>
      <c r="GK150" s="24"/>
      <c r="GL150" s="24"/>
      <c r="GM150" s="24"/>
      <c r="GN150" s="24"/>
      <c r="GO150" s="24"/>
      <c r="GP150" s="24"/>
      <c r="GQ150" s="24"/>
      <c r="GR150" s="24"/>
      <c r="GS150" s="24"/>
      <c r="GT150" s="24"/>
      <c r="GU150" s="24"/>
      <c r="GV150" s="24"/>
      <c r="GW150" s="24"/>
      <c r="GX150" s="24"/>
      <c r="GY150" s="24"/>
      <c r="GZ150" s="24"/>
      <c r="HA150" s="24"/>
      <c r="HB150" s="24"/>
      <c r="HC150" s="24"/>
      <c r="HD150" s="24"/>
      <c r="HE150" s="24"/>
      <c r="HF150" s="24"/>
      <c r="HG150" s="24"/>
      <c r="HH150" s="24"/>
      <c r="HI150" s="24"/>
      <c r="HJ150" s="24"/>
      <c r="HK150" s="24"/>
      <c r="HL150" s="24"/>
      <c r="HM150" s="24"/>
      <c r="HN150" s="24"/>
      <c r="HO150" s="24"/>
      <c r="HP150" s="24"/>
      <c r="HQ150" s="24"/>
      <c r="HR150" s="24"/>
      <c r="HS150" s="24"/>
      <c r="HT150" s="24"/>
      <c r="HU150" s="24"/>
      <c r="HV150" s="24"/>
      <c r="HW150" s="24"/>
      <c r="HX150" s="24"/>
      <c r="HY150" s="24"/>
      <c r="HZ150" s="24"/>
      <c r="IA150" s="24"/>
      <c r="IB150" s="24"/>
      <c r="IC150" s="24"/>
      <c r="ID150" s="24"/>
      <c r="IE150" s="24"/>
      <c r="IF150" s="24"/>
      <c r="IG150" s="24"/>
      <c r="IH150" s="24"/>
      <c r="II150" s="24"/>
      <c r="IJ150" s="24"/>
      <c r="IK150" s="24"/>
      <c r="IL150" s="24"/>
      <c r="IM150" s="24"/>
      <c r="IN150" s="24"/>
      <c r="IO150" s="24"/>
      <c r="IP150" s="24"/>
      <c r="IQ150" s="24"/>
      <c r="IR150" s="24"/>
      <c r="IS150" s="24"/>
      <c r="IT150" s="24"/>
      <c r="IU150" s="24"/>
      <c r="IV150" s="24"/>
      <c r="IW150" s="24"/>
      <c r="IX150" s="24"/>
      <c r="IY150" s="24"/>
      <c r="IZ150" s="24"/>
      <c r="JA150" s="24"/>
      <c r="JB150" s="24"/>
      <c r="JC150" s="24"/>
      <c r="JD150" s="24"/>
      <c r="JE150" s="24"/>
      <c r="JF150" s="24"/>
      <c r="JG150" s="24"/>
      <c r="JH150" s="24"/>
      <c r="JI150" s="24"/>
      <c r="JJ150" s="24"/>
      <c r="JK150" s="24"/>
      <c r="JL150" s="24"/>
      <c r="JM150" s="24"/>
      <c r="JN150" s="24"/>
      <c r="JO150" s="24"/>
      <c r="JP150" s="24"/>
      <c r="JQ150" s="24"/>
      <c r="JR150" s="24"/>
      <c r="JS150" s="24"/>
      <c r="JT150" s="24"/>
      <c r="JU150" s="24"/>
      <c r="JV150" s="24"/>
      <c r="JW150" s="24"/>
      <c r="JX150" s="24"/>
    </row>
    <row r="151" spans="1:284" s="7" customFormat="1" x14ac:dyDescent="0.2">
      <c r="A151" s="406"/>
      <c r="B151" s="147" t="str">
        <f t="shared" si="635"/>
        <v>- Gain/Loss-to-Lease</v>
      </c>
      <c r="C151" s="120"/>
      <c r="D151" s="120"/>
      <c r="E151" s="179"/>
      <c r="F151" s="179"/>
      <c r="G151" s="123">
        <f>I98</f>
        <v>0</v>
      </c>
      <c r="H151" s="123">
        <f ca="1">SUM(OFFSET($L98,0,Stabilization_1st_Month,1,12))</f>
        <v>-79582.657500000001</v>
      </c>
      <c r="I151" s="124">
        <f ca="1">MIN(SUM(OFFSET($L98,0,Timing_Reversion_Month,1,12)),H151)</f>
        <v>-81970.137224999751</v>
      </c>
      <c r="J151" s="381"/>
      <c r="K151" s="381"/>
      <c r="L151" s="381"/>
      <c r="M151" s="381"/>
      <c r="N151" s="381"/>
      <c r="O151" s="381"/>
      <c r="P151" s="381"/>
      <c r="Q151" s="381"/>
      <c r="R151" s="381"/>
      <c r="S151" s="381"/>
      <c r="T151" s="381"/>
      <c r="U151" s="381"/>
      <c r="V151" s="381"/>
      <c r="W151" s="381"/>
      <c r="X151" s="381"/>
      <c r="Y151" s="381"/>
      <c r="Z151" s="381"/>
      <c r="AA151" s="381"/>
      <c r="AB151" s="381"/>
      <c r="AC151" s="381"/>
      <c r="AD151" s="381"/>
      <c r="AE151" s="381"/>
      <c r="AF151" s="381"/>
      <c r="AG151" s="381"/>
      <c r="AH151" s="381"/>
      <c r="AI151" s="381"/>
      <c r="AJ151" s="381"/>
      <c r="AK151" s="381"/>
      <c r="AL151" s="381"/>
      <c r="AM151" s="381"/>
      <c r="AN151" s="381"/>
      <c r="AO151" s="381"/>
      <c r="AP151" s="381"/>
      <c r="AQ151" s="381"/>
      <c r="AR151" s="381"/>
      <c r="AS151" s="381"/>
      <c r="AT151" s="381"/>
      <c r="AU151" s="381"/>
      <c r="AV151" s="381"/>
      <c r="AW151" s="381"/>
      <c r="AX151" s="381"/>
      <c r="AY151" s="381"/>
      <c r="AZ151" s="381"/>
      <c r="BA151" s="381"/>
      <c r="BB151" s="381"/>
      <c r="BC151" s="381"/>
      <c r="BD151" s="381"/>
      <c r="BE151" s="381"/>
      <c r="BF151" s="381"/>
      <c r="BG151" s="381"/>
      <c r="BH151" s="381"/>
      <c r="BI151" s="381"/>
      <c r="BJ151" s="381"/>
      <c r="BK151" s="381"/>
      <c r="BL151" s="381"/>
      <c r="BM151" s="381"/>
      <c r="BN151" s="381"/>
      <c r="BO151" s="381"/>
      <c r="BP151" s="381"/>
      <c r="BQ151" s="381"/>
      <c r="BR151" s="381"/>
      <c r="BS151" s="381"/>
      <c r="BT151" s="381"/>
      <c r="BU151" s="381"/>
      <c r="BV151" s="381"/>
      <c r="BW151" s="381"/>
      <c r="BX151" s="381"/>
      <c r="BY151" s="381"/>
      <c r="BZ151" s="381"/>
      <c r="CA151" s="381"/>
      <c r="CB151" s="381"/>
      <c r="CC151" s="381"/>
      <c r="CD151" s="381"/>
      <c r="CE151" s="381"/>
      <c r="CF151" s="381"/>
      <c r="CG151" s="381"/>
      <c r="CH151" s="381"/>
      <c r="CI151" s="381"/>
      <c r="CJ151" s="381"/>
      <c r="CK151" s="381"/>
      <c r="CL151" s="381"/>
      <c r="CM151" s="381"/>
      <c r="CN151" s="381"/>
      <c r="CO151" s="381"/>
      <c r="CP151" s="381"/>
      <c r="CQ151" s="381"/>
      <c r="CR151" s="381"/>
      <c r="CS151" s="381"/>
      <c r="CT151" s="381"/>
      <c r="CU151" s="381"/>
      <c r="CV151" s="381"/>
      <c r="CW151" s="381"/>
      <c r="CX151" s="381"/>
      <c r="CY151" s="381"/>
      <c r="CZ151" s="381"/>
      <c r="DA151" s="381"/>
      <c r="DB151" s="381"/>
      <c r="DC151" s="381"/>
      <c r="DD151" s="381"/>
      <c r="DE151" s="381"/>
      <c r="DF151" s="381"/>
      <c r="DG151" s="381"/>
      <c r="DH151" s="381"/>
      <c r="DI151" s="381"/>
      <c r="DJ151" s="381"/>
      <c r="DK151" s="381"/>
      <c r="DL151" s="381"/>
      <c r="DM151" s="381"/>
      <c r="DN151" s="381"/>
      <c r="DO151" s="381"/>
      <c r="DP151" s="381"/>
      <c r="DQ151" s="381"/>
      <c r="DR151" s="381"/>
      <c r="DS151" s="381"/>
      <c r="DT151" s="381"/>
      <c r="DU151" s="381"/>
      <c r="DV151" s="381"/>
      <c r="DW151" s="381"/>
      <c r="DX151" s="381"/>
      <c r="DY151" s="381"/>
      <c r="DZ151" s="381"/>
      <c r="EA151" s="381"/>
      <c r="EB151" s="381"/>
      <c r="EC151" s="381"/>
      <c r="ED151" s="381"/>
      <c r="EE151" s="381"/>
      <c r="EF151" s="381"/>
      <c r="EG151" s="381"/>
      <c r="EH151" s="381"/>
      <c r="EI151" s="381"/>
      <c r="EJ151" s="381"/>
      <c r="EK151" s="381"/>
      <c r="EL151" s="381"/>
      <c r="EM151" s="381"/>
      <c r="EN151" s="381"/>
      <c r="EO151" s="381"/>
      <c r="EP151" s="24"/>
      <c r="EQ151" s="24"/>
      <c r="ER151" s="24"/>
      <c r="ES151" s="24"/>
      <c r="ET151" s="24"/>
      <c r="EU151" s="33"/>
      <c r="EV151" s="24"/>
      <c r="EW151" s="24"/>
      <c r="EX151" s="24"/>
      <c r="EY151" s="24"/>
      <c r="EZ151" s="24"/>
      <c r="FA151" s="24"/>
      <c r="FB151" s="24"/>
      <c r="FC151" s="24"/>
      <c r="FD151" s="24"/>
      <c r="FE151" s="24"/>
      <c r="FF151" s="24"/>
      <c r="FG151" s="24"/>
      <c r="FH151" s="24"/>
      <c r="FI151" s="24"/>
      <c r="FJ151" s="24"/>
      <c r="FK151" s="24"/>
      <c r="FL151" s="24"/>
      <c r="FM151" s="24"/>
      <c r="FN151" s="24"/>
      <c r="FO151" s="24"/>
      <c r="FP151" s="24"/>
      <c r="FQ151" s="24"/>
      <c r="FR151" s="24"/>
      <c r="FS151" s="24"/>
      <c r="FT151" s="24"/>
      <c r="FU151" s="24"/>
      <c r="FV151" s="24"/>
      <c r="FW151" s="24"/>
      <c r="FX151" s="24"/>
      <c r="FY151" s="24"/>
      <c r="FZ151" s="24"/>
      <c r="GA151" s="24"/>
      <c r="GB151" s="24"/>
      <c r="GC151" s="24"/>
      <c r="GD151" s="24"/>
      <c r="GE151" s="24"/>
      <c r="GF151" s="24"/>
      <c r="GG151" s="24"/>
      <c r="GH151" s="24"/>
      <c r="GI151" s="24"/>
      <c r="GJ151" s="24"/>
      <c r="GK151" s="24"/>
      <c r="GL151" s="24"/>
      <c r="GM151" s="24"/>
      <c r="GN151" s="24"/>
      <c r="GO151" s="24"/>
      <c r="GP151" s="24"/>
      <c r="GQ151" s="24"/>
      <c r="GR151" s="24"/>
      <c r="GS151" s="24"/>
      <c r="GT151" s="24"/>
      <c r="GU151" s="24"/>
      <c r="GV151" s="24"/>
      <c r="GW151" s="24"/>
      <c r="GX151" s="24"/>
      <c r="GY151" s="24"/>
      <c r="GZ151" s="24"/>
      <c r="HA151" s="24"/>
      <c r="HB151" s="24"/>
      <c r="HC151" s="24"/>
      <c r="HD151" s="24"/>
      <c r="HE151" s="24"/>
      <c r="HF151" s="24"/>
      <c r="HG151" s="24"/>
      <c r="HH151" s="24"/>
      <c r="HI151" s="24"/>
      <c r="HJ151" s="24"/>
      <c r="HK151" s="24"/>
      <c r="HL151" s="24"/>
      <c r="HM151" s="24"/>
      <c r="HN151" s="24"/>
      <c r="HO151" s="24"/>
      <c r="HP151" s="24"/>
      <c r="HQ151" s="24"/>
      <c r="HR151" s="24"/>
      <c r="HS151" s="24"/>
      <c r="HT151" s="24"/>
      <c r="HU151" s="24"/>
      <c r="HV151" s="24"/>
      <c r="HW151" s="24"/>
      <c r="HX151" s="24"/>
      <c r="HY151" s="24"/>
      <c r="HZ151" s="24"/>
      <c r="IA151" s="24"/>
      <c r="IB151" s="24"/>
      <c r="IC151" s="24"/>
      <c r="ID151" s="24"/>
      <c r="IE151" s="24"/>
      <c r="IF151" s="24"/>
      <c r="IG151" s="24"/>
      <c r="IH151" s="24"/>
      <c r="II151" s="24"/>
      <c r="IJ151" s="24"/>
      <c r="IK151" s="24"/>
      <c r="IL151" s="24"/>
      <c r="IM151" s="24"/>
      <c r="IN151" s="24"/>
      <c r="IO151" s="24"/>
      <c r="IP151" s="24"/>
      <c r="IQ151" s="24"/>
      <c r="IR151" s="24"/>
      <c r="IS151" s="24"/>
      <c r="IT151" s="24"/>
      <c r="IU151" s="24"/>
      <c r="IV151" s="24"/>
      <c r="IW151" s="24"/>
      <c r="IX151" s="24"/>
      <c r="IY151" s="24"/>
      <c r="IZ151" s="24"/>
      <c r="JA151" s="24"/>
      <c r="JB151" s="24"/>
      <c r="JC151" s="24"/>
      <c r="JD151" s="24"/>
      <c r="JE151" s="24"/>
      <c r="JF151" s="24"/>
      <c r="JG151" s="24"/>
      <c r="JH151" s="24"/>
      <c r="JI151" s="24"/>
      <c r="JJ151" s="24"/>
      <c r="JK151" s="24"/>
      <c r="JL151" s="24"/>
      <c r="JM151" s="24"/>
      <c r="JN151" s="24"/>
      <c r="JO151" s="24"/>
      <c r="JP151" s="24"/>
      <c r="JQ151" s="24"/>
      <c r="JR151" s="24"/>
      <c r="JS151" s="24"/>
      <c r="JT151" s="24"/>
      <c r="JU151" s="24"/>
      <c r="JV151" s="24"/>
      <c r="JW151" s="24"/>
      <c r="JX151" s="24"/>
    </row>
    <row r="152" spans="1:284" s="7" customFormat="1" ht="16.5" x14ac:dyDescent="0.35">
      <c r="A152" s="406"/>
      <c r="B152" s="147" t="str">
        <f t="shared" si="635"/>
        <v>- Non-Revenue (Model) Units</v>
      </c>
      <c r="C152" s="120"/>
      <c r="D152" s="120"/>
      <c r="E152" s="179"/>
      <c r="F152" s="179"/>
      <c r="G152" s="131">
        <f>I99</f>
        <v>-38568</v>
      </c>
      <c r="H152" s="131">
        <f ca="1">SUM(OFFSET($L99,0,Stabilization_1st_Month,1,12))</f>
        <v>-39923.665199999996</v>
      </c>
      <c r="I152" s="177">
        <f ca="1">MIN(SUM(OFFSET($L99,0,Timing_Reversion_Month,1,12)),H152)</f>
        <v>-41121.375155999995</v>
      </c>
      <c r="J152" s="381"/>
      <c r="K152" s="381"/>
      <c r="L152" s="381"/>
      <c r="M152" s="381"/>
      <c r="N152" s="381"/>
      <c r="O152" s="381"/>
      <c r="P152" s="381"/>
      <c r="Q152" s="381"/>
      <c r="R152" s="381"/>
      <c r="S152" s="381"/>
      <c r="T152" s="381"/>
      <c r="U152" s="381"/>
      <c r="V152" s="381"/>
      <c r="W152" s="381"/>
      <c r="X152" s="381"/>
      <c r="Y152" s="381"/>
      <c r="Z152" s="381"/>
      <c r="AA152" s="381"/>
      <c r="AB152" s="381"/>
      <c r="AC152" s="381"/>
      <c r="AD152" s="381"/>
      <c r="AE152" s="381"/>
      <c r="AF152" s="381"/>
      <c r="AG152" s="381"/>
      <c r="AH152" s="381"/>
      <c r="AI152" s="381"/>
      <c r="AJ152" s="381"/>
      <c r="AK152" s="381"/>
      <c r="AL152" s="381"/>
      <c r="AM152" s="381"/>
      <c r="AN152" s="381"/>
      <c r="AO152" s="381"/>
      <c r="AP152" s="381"/>
      <c r="AQ152" s="381"/>
      <c r="AR152" s="381"/>
      <c r="AS152" s="381"/>
      <c r="AT152" s="381"/>
      <c r="AU152" s="381"/>
      <c r="AV152" s="381"/>
      <c r="AW152" s="381"/>
      <c r="AX152" s="381"/>
      <c r="AY152" s="381"/>
      <c r="AZ152" s="381"/>
      <c r="BA152" s="381"/>
      <c r="BB152" s="381"/>
      <c r="BC152" s="381"/>
      <c r="BD152" s="381"/>
      <c r="BE152" s="381"/>
      <c r="BF152" s="381"/>
      <c r="BG152" s="381"/>
      <c r="BH152" s="381"/>
      <c r="BI152" s="381"/>
      <c r="BJ152" s="381"/>
      <c r="BK152" s="381"/>
      <c r="BL152" s="381"/>
      <c r="BM152" s="381"/>
      <c r="BN152" s="381"/>
      <c r="BO152" s="381"/>
      <c r="BP152" s="381"/>
      <c r="BQ152" s="381"/>
      <c r="BR152" s="381"/>
      <c r="BS152" s="381"/>
      <c r="BT152" s="381"/>
      <c r="BU152" s="381"/>
      <c r="BV152" s="381"/>
      <c r="BW152" s="381"/>
      <c r="BX152" s="381"/>
      <c r="BY152" s="381"/>
      <c r="BZ152" s="381"/>
      <c r="CA152" s="381"/>
      <c r="CB152" s="381"/>
      <c r="CC152" s="381"/>
      <c r="CD152" s="381"/>
      <c r="CE152" s="381"/>
      <c r="CF152" s="381"/>
      <c r="CG152" s="381"/>
      <c r="CH152" s="381"/>
      <c r="CI152" s="381"/>
      <c r="CJ152" s="381"/>
      <c r="CK152" s="381"/>
      <c r="CL152" s="381"/>
      <c r="CM152" s="381"/>
      <c r="CN152" s="381"/>
      <c r="CO152" s="381"/>
      <c r="CP152" s="381"/>
      <c r="CQ152" s="381"/>
      <c r="CR152" s="381"/>
      <c r="CS152" s="381"/>
      <c r="CT152" s="381"/>
      <c r="CU152" s="381"/>
      <c r="CV152" s="381"/>
      <c r="CW152" s="381"/>
      <c r="CX152" s="381"/>
      <c r="CY152" s="381"/>
      <c r="CZ152" s="381"/>
      <c r="DA152" s="381"/>
      <c r="DB152" s="381"/>
      <c r="DC152" s="381"/>
      <c r="DD152" s="381"/>
      <c r="DE152" s="381"/>
      <c r="DF152" s="381"/>
      <c r="DG152" s="381"/>
      <c r="DH152" s="381"/>
      <c r="DI152" s="381"/>
      <c r="DJ152" s="381"/>
      <c r="DK152" s="381"/>
      <c r="DL152" s="381"/>
      <c r="DM152" s="381"/>
      <c r="DN152" s="381"/>
      <c r="DO152" s="381"/>
      <c r="DP152" s="381"/>
      <c r="DQ152" s="381"/>
      <c r="DR152" s="381"/>
      <c r="DS152" s="381"/>
      <c r="DT152" s="381"/>
      <c r="DU152" s="381"/>
      <c r="DV152" s="381"/>
      <c r="DW152" s="381"/>
      <c r="DX152" s="381"/>
      <c r="DY152" s="381"/>
      <c r="DZ152" s="381"/>
      <c r="EA152" s="381"/>
      <c r="EB152" s="381"/>
      <c r="EC152" s="381"/>
      <c r="ED152" s="381"/>
      <c r="EE152" s="381"/>
      <c r="EF152" s="381"/>
      <c r="EG152" s="381"/>
      <c r="EH152" s="381"/>
      <c r="EI152" s="381"/>
      <c r="EJ152" s="381"/>
      <c r="EK152" s="381"/>
      <c r="EL152" s="381"/>
      <c r="EM152" s="381"/>
      <c r="EN152" s="381"/>
      <c r="EO152" s="381"/>
      <c r="EP152" s="24"/>
      <c r="EQ152" s="24"/>
      <c r="ER152" s="24"/>
      <c r="ES152" s="24"/>
      <c r="ET152" s="24"/>
      <c r="EU152" s="33"/>
      <c r="EV152" s="24"/>
      <c r="EW152" s="24"/>
      <c r="EX152" s="24"/>
      <c r="EY152" s="24"/>
      <c r="EZ152" s="24"/>
      <c r="FA152" s="24"/>
      <c r="FB152" s="24"/>
      <c r="FC152" s="24"/>
      <c r="FD152" s="24"/>
      <c r="FE152" s="24"/>
      <c r="FF152" s="24"/>
      <c r="FG152" s="24"/>
      <c r="FH152" s="24"/>
      <c r="FI152" s="24"/>
      <c r="FJ152" s="24"/>
      <c r="FK152" s="24"/>
      <c r="FL152" s="24"/>
      <c r="FM152" s="24"/>
      <c r="FN152" s="24"/>
      <c r="FO152" s="24"/>
      <c r="FP152" s="24"/>
      <c r="FQ152" s="24"/>
      <c r="FR152" s="24"/>
      <c r="FS152" s="24"/>
      <c r="FT152" s="24"/>
      <c r="FU152" s="24"/>
      <c r="FV152" s="24"/>
      <c r="FW152" s="24"/>
      <c r="FX152" s="24"/>
      <c r="FY152" s="24"/>
      <c r="FZ152" s="24"/>
      <c r="GA152" s="24"/>
      <c r="GB152" s="24"/>
      <c r="GC152" s="24"/>
      <c r="GD152" s="24"/>
      <c r="GE152" s="24"/>
      <c r="GF152" s="24"/>
      <c r="GG152" s="24"/>
      <c r="GH152" s="24"/>
      <c r="GI152" s="24"/>
      <c r="GJ152" s="24"/>
      <c r="GK152" s="24"/>
      <c r="GL152" s="24"/>
      <c r="GM152" s="24"/>
      <c r="GN152" s="24"/>
      <c r="GO152" s="24"/>
      <c r="GP152" s="24"/>
      <c r="GQ152" s="24"/>
      <c r="GR152" s="24"/>
      <c r="GS152" s="24"/>
      <c r="GT152" s="24"/>
      <c r="GU152" s="24"/>
      <c r="GV152" s="24"/>
      <c r="GW152" s="24"/>
      <c r="GX152" s="24"/>
      <c r="GY152" s="24"/>
      <c r="GZ152" s="24"/>
      <c r="HA152" s="24"/>
      <c r="HB152" s="24"/>
      <c r="HC152" s="24"/>
      <c r="HD152" s="24"/>
      <c r="HE152" s="24"/>
      <c r="HF152" s="24"/>
      <c r="HG152" s="24"/>
      <c r="HH152" s="24"/>
      <c r="HI152" s="24"/>
      <c r="HJ152" s="24"/>
      <c r="HK152" s="24"/>
      <c r="HL152" s="24"/>
      <c r="HM152" s="24"/>
      <c r="HN152" s="24"/>
      <c r="HO152" s="24"/>
      <c r="HP152" s="24"/>
      <c r="HQ152" s="24"/>
      <c r="HR152" s="24"/>
      <c r="HS152" s="24"/>
      <c r="HT152" s="24"/>
      <c r="HU152" s="24"/>
      <c r="HV152" s="24"/>
      <c r="HW152" s="24"/>
      <c r="HX152" s="24"/>
      <c r="HY152" s="24"/>
      <c r="HZ152" s="24"/>
      <c r="IA152" s="24"/>
      <c r="IB152" s="24"/>
      <c r="IC152" s="24"/>
      <c r="ID152" s="24"/>
      <c r="IE152" s="24"/>
      <c r="IF152" s="24"/>
      <c r="IG152" s="24"/>
      <c r="IH152" s="24"/>
      <c r="II152" s="24"/>
      <c r="IJ152" s="24"/>
      <c r="IK152" s="24"/>
      <c r="IL152" s="24"/>
      <c r="IM152" s="24"/>
      <c r="IN152" s="24"/>
      <c r="IO152" s="24"/>
      <c r="IP152" s="24"/>
      <c r="IQ152" s="24"/>
      <c r="IR152" s="24"/>
      <c r="IS152" s="24"/>
      <c r="IT152" s="24"/>
      <c r="IU152" s="24"/>
      <c r="IV152" s="24"/>
      <c r="IW152" s="24"/>
      <c r="IX152" s="24"/>
      <c r="IY152" s="24"/>
      <c r="IZ152" s="24"/>
      <c r="JA152" s="24"/>
      <c r="JB152" s="24"/>
      <c r="JC152" s="24"/>
      <c r="JD152" s="24"/>
      <c r="JE152" s="24"/>
      <c r="JF152" s="24"/>
      <c r="JG152" s="24"/>
      <c r="JH152" s="24"/>
      <c r="JI152" s="24"/>
      <c r="JJ152" s="24"/>
      <c r="JK152" s="24"/>
      <c r="JL152" s="24"/>
      <c r="JM152" s="24"/>
      <c r="JN152" s="24"/>
      <c r="JO152" s="24"/>
      <c r="JP152" s="24"/>
      <c r="JQ152" s="24"/>
      <c r="JR152" s="24"/>
      <c r="JS152" s="24"/>
      <c r="JT152" s="24"/>
      <c r="JU152" s="24"/>
      <c r="JV152" s="24"/>
      <c r="JW152" s="24"/>
      <c r="JX152" s="24"/>
    </row>
    <row r="153" spans="1:284" s="7" customFormat="1" x14ac:dyDescent="0.2">
      <c r="A153" s="406"/>
      <c r="B153" s="92" t="str">
        <f t="shared" si="635"/>
        <v>TOTAL RENTAL INCOME</v>
      </c>
      <c r="C153" s="120"/>
      <c r="D153" s="120"/>
      <c r="E153" s="179"/>
      <c r="F153" s="179"/>
      <c r="G153" s="123">
        <f>SUM(G149:G152)</f>
        <v>5746632</v>
      </c>
      <c r="H153" s="123">
        <f ca="1">SUM(H149:H152)</f>
        <v>5869043.4572999999</v>
      </c>
      <c r="I153" s="123">
        <f ca="1">SUM(I149:I152)</f>
        <v>6045114.7610189989</v>
      </c>
      <c r="J153" s="381"/>
      <c r="K153" s="381"/>
      <c r="L153" s="381"/>
      <c r="M153" s="381"/>
      <c r="N153" s="381"/>
      <c r="O153" s="381"/>
      <c r="P153" s="381"/>
      <c r="Q153" s="381"/>
      <c r="R153" s="381"/>
      <c r="S153" s="381"/>
      <c r="T153" s="381"/>
      <c r="U153" s="381"/>
      <c r="V153" s="381"/>
      <c r="W153" s="381"/>
      <c r="X153" s="381"/>
      <c r="Y153" s="381"/>
      <c r="Z153" s="381"/>
      <c r="AA153" s="381"/>
      <c r="AB153" s="381"/>
      <c r="AC153" s="381"/>
      <c r="AD153" s="381"/>
      <c r="AE153" s="381"/>
      <c r="AF153" s="381"/>
      <c r="AG153" s="381"/>
      <c r="AH153" s="381"/>
      <c r="AI153" s="381"/>
      <c r="AJ153" s="381"/>
      <c r="AK153" s="381"/>
      <c r="AL153" s="381"/>
      <c r="AM153" s="381"/>
      <c r="AN153" s="381"/>
      <c r="AO153" s="381"/>
      <c r="AP153" s="381"/>
      <c r="AQ153" s="381"/>
      <c r="AR153" s="381"/>
      <c r="AS153" s="381"/>
      <c r="AT153" s="381"/>
      <c r="AU153" s="381"/>
      <c r="AV153" s="381"/>
      <c r="AW153" s="381"/>
      <c r="AX153" s="381"/>
      <c r="AY153" s="381"/>
      <c r="AZ153" s="381"/>
      <c r="BA153" s="381"/>
      <c r="BB153" s="381"/>
      <c r="BC153" s="381"/>
      <c r="BD153" s="381"/>
      <c r="BE153" s="381"/>
      <c r="BF153" s="381"/>
      <c r="BG153" s="381"/>
      <c r="BH153" s="381"/>
      <c r="BI153" s="381"/>
      <c r="BJ153" s="381"/>
      <c r="BK153" s="381"/>
      <c r="BL153" s="381"/>
      <c r="BM153" s="381"/>
      <c r="BN153" s="381"/>
      <c r="BO153" s="381"/>
      <c r="BP153" s="381"/>
      <c r="BQ153" s="381"/>
      <c r="BR153" s="381"/>
      <c r="BS153" s="381"/>
      <c r="BT153" s="381"/>
      <c r="BU153" s="381"/>
      <c r="BV153" s="381"/>
      <c r="BW153" s="381"/>
      <c r="BX153" s="381"/>
      <c r="BY153" s="381"/>
      <c r="BZ153" s="381"/>
      <c r="CA153" s="381"/>
      <c r="CB153" s="381"/>
      <c r="CC153" s="381"/>
      <c r="CD153" s="381"/>
      <c r="CE153" s="381"/>
      <c r="CF153" s="381"/>
      <c r="CG153" s="381"/>
      <c r="CH153" s="381"/>
      <c r="CI153" s="381"/>
      <c r="CJ153" s="381"/>
      <c r="CK153" s="381"/>
      <c r="CL153" s="381"/>
      <c r="CM153" s="381"/>
      <c r="CN153" s="381"/>
      <c r="CO153" s="381"/>
      <c r="CP153" s="381"/>
      <c r="CQ153" s="381"/>
      <c r="CR153" s="381"/>
      <c r="CS153" s="381"/>
      <c r="CT153" s="381"/>
      <c r="CU153" s="381"/>
      <c r="CV153" s="381"/>
      <c r="CW153" s="381"/>
      <c r="CX153" s="381"/>
      <c r="CY153" s="381"/>
      <c r="CZ153" s="381"/>
      <c r="DA153" s="381"/>
      <c r="DB153" s="381"/>
      <c r="DC153" s="381"/>
      <c r="DD153" s="381"/>
      <c r="DE153" s="381"/>
      <c r="DF153" s="381"/>
      <c r="DG153" s="381"/>
      <c r="DH153" s="381"/>
      <c r="DI153" s="381"/>
      <c r="DJ153" s="381"/>
      <c r="DK153" s="381"/>
      <c r="DL153" s="381"/>
      <c r="DM153" s="381"/>
      <c r="DN153" s="381"/>
      <c r="DO153" s="381"/>
      <c r="DP153" s="381"/>
      <c r="DQ153" s="381"/>
      <c r="DR153" s="381"/>
      <c r="DS153" s="381"/>
      <c r="DT153" s="381"/>
      <c r="DU153" s="381"/>
      <c r="DV153" s="381"/>
      <c r="DW153" s="381"/>
      <c r="DX153" s="381"/>
      <c r="DY153" s="381"/>
      <c r="DZ153" s="381"/>
      <c r="EA153" s="381"/>
      <c r="EB153" s="381"/>
      <c r="EC153" s="381"/>
      <c r="ED153" s="381"/>
      <c r="EE153" s="381"/>
      <c r="EF153" s="381"/>
      <c r="EG153" s="381"/>
      <c r="EH153" s="381"/>
      <c r="EI153" s="381"/>
      <c r="EJ153" s="381"/>
      <c r="EK153" s="381"/>
      <c r="EL153" s="381"/>
      <c r="EM153" s="381"/>
      <c r="EN153" s="381"/>
      <c r="EO153" s="381"/>
      <c r="EP153" s="24"/>
      <c r="EQ153" s="24"/>
      <c r="ER153" s="24"/>
      <c r="ES153" s="24"/>
      <c r="ET153" s="24"/>
      <c r="EU153" s="33"/>
      <c r="EV153" s="24"/>
      <c r="EW153" s="24"/>
      <c r="EX153" s="24"/>
      <c r="EY153" s="24"/>
      <c r="EZ153" s="24"/>
      <c r="FA153" s="24"/>
      <c r="FB153" s="24"/>
      <c r="FC153" s="24"/>
      <c r="FD153" s="24"/>
      <c r="FE153" s="24"/>
      <c r="FF153" s="24"/>
      <c r="FG153" s="24"/>
      <c r="FH153" s="24"/>
      <c r="FI153" s="24"/>
      <c r="FJ153" s="24"/>
      <c r="FK153" s="24"/>
      <c r="FL153" s="24"/>
      <c r="FM153" s="24"/>
      <c r="FN153" s="24"/>
      <c r="FO153" s="24"/>
      <c r="FP153" s="24"/>
      <c r="FQ153" s="24"/>
      <c r="FR153" s="24"/>
      <c r="FS153" s="24"/>
      <c r="FT153" s="24"/>
      <c r="FU153" s="24"/>
      <c r="FV153" s="24"/>
      <c r="FW153" s="24"/>
      <c r="FX153" s="24"/>
      <c r="FY153" s="24"/>
      <c r="FZ153" s="24"/>
      <c r="GA153" s="24"/>
      <c r="GB153" s="24"/>
      <c r="GC153" s="24"/>
      <c r="GD153" s="24"/>
      <c r="GE153" s="24"/>
      <c r="GF153" s="24"/>
      <c r="GG153" s="24"/>
      <c r="GH153" s="24"/>
      <c r="GI153" s="24"/>
      <c r="GJ153" s="24"/>
      <c r="GK153" s="24"/>
      <c r="GL153" s="24"/>
      <c r="GM153" s="24"/>
      <c r="GN153" s="24"/>
      <c r="GO153" s="24"/>
      <c r="GP153" s="24"/>
      <c r="GQ153" s="24"/>
      <c r="GR153" s="24"/>
      <c r="GS153" s="24"/>
      <c r="GT153" s="24"/>
      <c r="GU153" s="24"/>
      <c r="GV153" s="24"/>
      <c r="GW153" s="24"/>
      <c r="GX153" s="24"/>
      <c r="GY153" s="24"/>
      <c r="GZ153" s="24"/>
      <c r="HA153" s="24"/>
      <c r="HB153" s="24"/>
      <c r="HC153" s="24"/>
      <c r="HD153" s="24"/>
      <c r="HE153" s="24"/>
      <c r="HF153" s="24"/>
      <c r="HG153" s="24"/>
      <c r="HH153" s="24"/>
      <c r="HI153" s="24"/>
      <c r="HJ153" s="24"/>
      <c r="HK153" s="24"/>
      <c r="HL153" s="24"/>
      <c r="HM153" s="24"/>
      <c r="HN153" s="24"/>
      <c r="HO153" s="24"/>
      <c r="HP153" s="24"/>
      <c r="HQ153" s="24"/>
      <c r="HR153" s="24"/>
      <c r="HS153" s="24"/>
      <c r="HT153" s="24"/>
      <c r="HU153" s="24"/>
      <c r="HV153" s="24"/>
      <c r="HW153" s="24"/>
      <c r="HX153" s="24"/>
      <c r="HY153" s="24"/>
      <c r="HZ153" s="24"/>
      <c r="IA153" s="24"/>
      <c r="IB153" s="24"/>
      <c r="IC153" s="24"/>
      <c r="ID153" s="24"/>
      <c r="IE153" s="24"/>
      <c r="IF153" s="24"/>
      <c r="IG153" s="24"/>
      <c r="IH153" s="24"/>
      <c r="II153" s="24"/>
      <c r="IJ153" s="24"/>
      <c r="IK153" s="24"/>
      <c r="IL153" s="24"/>
      <c r="IM153" s="24"/>
      <c r="IN153" s="24"/>
      <c r="IO153" s="24"/>
      <c r="IP153" s="24"/>
      <c r="IQ153" s="24"/>
      <c r="IR153" s="24"/>
      <c r="IS153" s="24"/>
      <c r="IT153" s="24"/>
      <c r="IU153" s="24"/>
      <c r="IV153" s="24"/>
      <c r="IW153" s="24"/>
      <c r="IX153" s="24"/>
      <c r="IY153" s="24"/>
      <c r="IZ153" s="24"/>
      <c r="JA153" s="24"/>
      <c r="JB153" s="24"/>
      <c r="JC153" s="24"/>
      <c r="JD153" s="24"/>
      <c r="JE153" s="24"/>
      <c r="JF153" s="24"/>
      <c r="JG153" s="24"/>
      <c r="JH153" s="24"/>
      <c r="JI153" s="24"/>
      <c r="JJ153" s="24"/>
      <c r="JK153" s="24"/>
      <c r="JL153" s="24"/>
      <c r="JM153" s="24"/>
      <c r="JN153" s="24"/>
      <c r="JO153" s="24"/>
      <c r="JP153" s="24"/>
      <c r="JQ153" s="24"/>
      <c r="JR153" s="24"/>
      <c r="JS153" s="24"/>
      <c r="JT153" s="24"/>
      <c r="JU153" s="24"/>
      <c r="JV153" s="24"/>
      <c r="JW153" s="24"/>
      <c r="JX153" s="24"/>
    </row>
    <row r="154" spans="1:284" s="7" customFormat="1" x14ac:dyDescent="0.2">
      <c r="A154" s="406"/>
      <c r="B154" s="92" t="str">
        <f t="shared" si="635"/>
        <v>OTHER INCOME</v>
      </c>
      <c r="C154" s="120"/>
      <c r="D154" s="120"/>
      <c r="E154" s="179"/>
      <c r="F154" s="179"/>
      <c r="G154" s="123"/>
      <c r="H154" s="123"/>
      <c r="I154" s="123"/>
      <c r="J154" s="381"/>
      <c r="K154" s="381"/>
      <c r="L154" s="381"/>
      <c r="M154" s="381"/>
      <c r="N154" s="381"/>
      <c r="O154" s="381"/>
      <c r="P154" s="381"/>
      <c r="Q154" s="381"/>
      <c r="R154" s="381"/>
      <c r="S154" s="381"/>
      <c r="T154" s="381"/>
      <c r="U154" s="381"/>
      <c r="V154" s="381"/>
      <c r="W154" s="381"/>
      <c r="X154" s="381"/>
      <c r="Y154" s="381"/>
      <c r="Z154" s="381"/>
      <c r="AA154" s="381"/>
      <c r="AB154" s="381"/>
      <c r="AC154" s="381"/>
      <c r="AD154" s="381"/>
      <c r="AE154" s="381"/>
      <c r="AF154" s="381"/>
      <c r="AG154" s="381"/>
      <c r="AH154" s="381"/>
      <c r="AI154" s="381"/>
      <c r="AJ154" s="381"/>
      <c r="AK154" s="381"/>
      <c r="AL154" s="381"/>
      <c r="AM154" s="381"/>
      <c r="AN154" s="381"/>
      <c r="AO154" s="381"/>
      <c r="AP154" s="381"/>
      <c r="AQ154" s="381"/>
      <c r="AR154" s="381"/>
      <c r="AS154" s="381"/>
      <c r="AT154" s="381"/>
      <c r="AU154" s="381"/>
      <c r="AV154" s="381"/>
      <c r="AW154" s="381"/>
      <c r="AX154" s="381"/>
      <c r="AY154" s="381"/>
      <c r="AZ154" s="381"/>
      <c r="BA154" s="381"/>
      <c r="BB154" s="381"/>
      <c r="BC154" s="381"/>
      <c r="BD154" s="381"/>
      <c r="BE154" s="381"/>
      <c r="BF154" s="381"/>
      <c r="BG154" s="381"/>
      <c r="BH154" s="381"/>
      <c r="BI154" s="381"/>
      <c r="BJ154" s="381"/>
      <c r="BK154" s="381"/>
      <c r="BL154" s="381"/>
      <c r="BM154" s="381"/>
      <c r="BN154" s="381"/>
      <c r="BO154" s="381"/>
      <c r="BP154" s="381"/>
      <c r="BQ154" s="381"/>
      <c r="BR154" s="381"/>
      <c r="BS154" s="381"/>
      <c r="BT154" s="381"/>
      <c r="BU154" s="381"/>
      <c r="BV154" s="381"/>
      <c r="BW154" s="381"/>
      <c r="BX154" s="381"/>
      <c r="BY154" s="381"/>
      <c r="BZ154" s="381"/>
      <c r="CA154" s="381"/>
      <c r="CB154" s="381"/>
      <c r="CC154" s="381"/>
      <c r="CD154" s="381"/>
      <c r="CE154" s="381"/>
      <c r="CF154" s="381"/>
      <c r="CG154" s="381"/>
      <c r="CH154" s="381"/>
      <c r="CI154" s="381"/>
      <c r="CJ154" s="381"/>
      <c r="CK154" s="381"/>
      <c r="CL154" s="381"/>
      <c r="CM154" s="381"/>
      <c r="CN154" s="381"/>
      <c r="CO154" s="381"/>
      <c r="CP154" s="381"/>
      <c r="CQ154" s="381"/>
      <c r="CR154" s="381"/>
      <c r="CS154" s="381"/>
      <c r="CT154" s="381"/>
      <c r="CU154" s="381"/>
      <c r="CV154" s="381"/>
      <c r="CW154" s="381"/>
      <c r="CX154" s="381"/>
      <c r="CY154" s="381"/>
      <c r="CZ154" s="381"/>
      <c r="DA154" s="381"/>
      <c r="DB154" s="381"/>
      <c r="DC154" s="381"/>
      <c r="DD154" s="381"/>
      <c r="DE154" s="381"/>
      <c r="DF154" s="381"/>
      <c r="DG154" s="381"/>
      <c r="DH154" s="381"/>
      <c r="DI154" s="381"/>
      <c r="DJ154" s="381"/>
      <c r="DK154" s="381"/>
      <c r="DL154" s="381"/>
      <c r="DM154" s="381"/>
      <c r="DN154" s="381"/>
      <c r="DO154" s="381"/>
      <c r="DP154" s="381"/>
      <c r="DQ154" s="381"/>
      <c r="DR154" s="381"/>
      <c r="DS154" s="381"/>
      <c r="DT154" s="381"/>
      <c r="DU154" s="381"/>
      <c r="DV154" s="381"/>
      <c r="DW154" s="381"/>
      <c r="DX154" s="381"/>
      <c r="DY154" s="381"/>
      <c r="DZ154" s="381"/>
      <c r="EA154" s="381"/>
      <c r="EB154" s="381"/>
      <c r="EC154" s="381"/>
      <c r="ED154" s="381"/>
      <c r="EE154" s="381"/>
      <c r="EF154" s="381"/>
      <c r="EG154" s="381"/>
      <c r="EH154" s="381"/>
      <c r="EI154" s="381"/>
      <c r="EJ154" s="381"/>
      <c r="EK154" s="381"/>
      <c r="EL154" s="381"/>
      <c r="EM154" s="381"/>
      <c r="EN154" s="381"/>
      <c r="EO154" s="381"/>
      <c r="EP154" s="24"/>
      <c r="EQ154" s="24"/>
      <c r="ER154" s="24"/>
      <c r="ES154" s="24"/>
      <c r="ET154" s="24"/>
      <c r="EU154" s="33"/>
      <c r="EV154" s="24"/>
      <c r="EW154" s="24"/>
      <c r="EX154" s="24"/>
      <c r="EY154" s="24"/>
      <c r="EZ154" s="24"/>
      <c r="FA154" s="24"/>
      <c r="FB154" s="24"/>
      <c r="FC154" s="24"/>
      <c r="FD154" s="24"/>
      <c r="FE154" s="24"/>
      <c r="FF154" s="24"/>
      <c r="FG154" s="24"/>
      <c r="FH154" s="24"/>
      <c r="FI154" s="24"/>
      <c r="FJ154" s="24"/>
      <c r="FK154" s="24"/>
      <c r="FL154" s="24"/>
      <c r="FM154" s="24"/>
      <c r="FN154" s="24"/>
      <c r="FO154" s="24"/>
      <c r="FP154" s="24"/>
      <c r="FQ154" s="24"/>
      <c r="FR154" s="24"/>
      <c r="FS154" s="24"/>
      <c r="FT154" s="24"/>
      <c r="FU154" s="24"/>
      <c r="FV154" s="24"/>
      <c r="FW154" s="24"/>
      <c r="FX154" s="24"/>
      <c r="FY154" s="24"/>
      <c r="FZ154" s="24"/>
      <c r="GA154" s="24"/>
      <c r="GB154" s="24"/>
      <c r="GC154" s="24"/>
      <c r="GD154" s="24"/>
      <c r="GE154" s="24"/>
      <c r="GF154" s="24"/>
      <c r="GG154" s="24"/>
      <c r="GH154" s="24"/>
      <c r="GI154" s="24"/>
      <c r="GJ154" s="24"/>
      <c r="GK154" s="24"/>
      <c r="GL154" s="24"/>
      <c r="GM154" s="24"/>
      <c r="GN154" s="24"/>
      <c r="GO154" s="24"/>
      <c r="GP154" s="24"/>
      <c r="GQ154" s="24"/>
      <c r="GR154" s="24"/>
      <c r="GS154" s="24"/>
      <c r="GT154" s="24"/>
      <c r="GU154" s="24"/>
      <c r="GV154" s="24"/>
      <c r="GW154" s="24"/>
      <c r="GX154" s="24"/>
      <c r="GY154" s="24"/>
      <c r="GZ154" s="24"/>
      <c r="HA154" s="24"/>
      <c r="HB154" s="24"/>
      <c r="HC154" s="24"/>
      <c r="HD154" s="24"/>
      <c r="HE154" s="24"/>
      <c r="HF154" s="24"/>
      <c r="HG154" s="24"/>
      <c r="HH154" s="24"/>
      <c r="HI154" s="24"/>
      <c r="HJ154" s="24"/>
      <c r="HK154" s="24"/>
      <c r="HL154" s="24"/>
      <c r="HM154" s="24"/>
      <c r="HN154" s="24"/>
      <c r="HO154" s="24"/>
      <c r="HP154" s="24"/>
      <c r="HQ154" s="24"/>
      <c r="HR154" s="24"/>
      <c r="HS154" s="24"/>
      <c r="HT154" s="24"/>
      <c r="HU154" s="24"/>
      <c r="HV154" s="24"/>
      <c r="HW154" s="24"/>
      <c r="HX154" s="24"/>
      <c r="HY154" s="24"/>
      <c r="HZ154" s="24"/>
      <c r="IA154" s="24"/>
      <c r="IB154" s="24"/>
      <c r="IC154" s="24"/>
      <c r="ID154" s="24"/>
      <c r="IE154" s="24"/>
      <c r="IF154" s="24"/>
      <c r="IG154" s="24"/>
      <c r="IH154" s="24"/>
      <c r="II154" s="24"/>
      <c r="IJ154" s="24"/>
      <c r="IK154" s="24"/>
      <c r="IL154" s="24"/>
      <c r="IM154" s="24"/>
      <c r="IN154" s="24"/>
      <c r="IO154" s="24"/>
      <c r="IP154" s="24"/>
      <c r="IQ154" s="24"/>
      <c r="IR154" s="24"/>
      <c r="IS154" s="24"/>
      <c r="IT154" s="24"/>
      <c r="IU154" s="24"/>
      <c r="IV154" s="24"/>
      <c r="IW154" s="24"/>
      <c r="IX154" s="24"/>
      <c r="IY154" s="24"/>
      <c r="IZ154" s="24"/>
      <c r="JA154" s="24"/>
      <c r="JB154" s="24"/>
      <c r="JC154" s="24"/>
      <c r="JD154" s="24"/>
      <c r="JE154" s="24"/>
      <c r="JF154" s="24"/>
      <c r="JG154" s="24"/>
      <c r="JH154" s="24"/>
      <c r="JI154" s="24"/>
      <c r="JJ154" s="24"/>
      <c r="JK154" s="24"/>
      <c r="JL154" s="24"/>
      <c r="JM154" s="24"/>
      <c r="JN154" s="24"/>
      <c r="JO154" s="24"/>
      <c r="JP154" s="24"/>
      <c r="JQ154" s="24"/>
      <c r="JR154" s="24"/>
      <c r="JS154" s="24"/>
      <c r="JT154" s="24"/>
      <c r="JU154" s="24"/>
      <c r="JV154" s="24"/>
      <c r="JW154" s="24"/>
      <c r="JX154" s="24"/>
    </row>
    <row r="155" spans="1:284" s="7" customFormat="1" x14ac:dyDescent="0.2">
      <c r="A155" s="406"/>
      <c r="B155" s="147" t="str">
        <f t="shared" si="635"/>
        <v>RUBS</v>
      </c>
      <c r="C155" s="120"/>
      <c r="D155" s="120"/>
      <c r="E155" s="179"/>
      <c r="F155" s="179"/>
      <c r="G155" s="123">
        <f>I102</f>
        <v>180000</v>
      </c>
      <c r="H155" s="123">
        <f ca="1">SUM(OFFSET($L102,0,Stabilization_1st_Month,1,12))</f>
        <v>186327</v>
      </c>
      <c r="I155" s="124">
        <f ca="1">MAX(SUM(OFFSET($L102,0,Timing_Reversion_Month,1,12)),H155)</f>
        <v>191916.81</v>
      </c>
      <c r="J155" s="381"/>
      <c r="K155" s="381"/>
      <c r="L155" s="381"/>
      <c r="M155" s="381"/>
      <c r="N155" s="381"/>
      <c r="O155" s="381"/>
      <c r="P155" s="381"/>
      <c r="Q155" s="381"/>
      <c r="R155" s="381"/>
      <c r="S155" s="381"/>
      <c r="T155" s="381"/>
      <c r="U155" s="381"/>
      <c r="V155" s="381"/>
      <c r="W155" s="381"/>
      <c r="X155" s="381"/>
      <c r="Y155" s="381"/>
      <c r="Z155" s="381"/>
      <c r="AA155" s="381"/>
      <c r="AB155" s="381"/>
      <c r="AC155" s="381"/>
      <c r="AD155" s="381"/>
      <c r="AE155" s="381"/>
      <c r="AF155" s="381"/>
      <c r="AG155" s="381"/>
      <c r="AH155" s="381"/>
      <c r="AI155" s="381"/>
      <c r="AJ155" s="381"/>
      <c r="AK155" s="381"/>
      <c r="AL155" s="381"/>
      <c r="AM155" s="381"/>
      <c r="AN155" s="381"/>
      <c r="AO155" s="381"/>
      <c r="AP155" s="381"/>
      <c r="AQ155" s="381"/>
      <c r="AR155" s="381"/>
      <c r="AS155" s="381"/>
      <c r="AT155" s="381"/>
      <c r="AU155" s="381"/>
      <c r="AV155" s="381"/>
      <c r="AW155" s="381"/>
      <c r="AX155" s="381"/>
      <c r="AY155" s="381"/>
      <c r="AZ155" s="381"/>
      <c r="BA155" s="381"/>
      <c r="BB155" s="381"/>
      <c r="BC155" s="381"/>
      <c r="BD155" s="381"/>
      <c r="BE155" s="381"/>
      <c r="BF155" s="381"/>
      <c r="BG155" s="381"/>
      <c r="BH155" s="381"/>
      <c r="BI155" s="381"/>
      <c r="BJ155" s="381"/>
      <c r="BK155" s="381"/>
      <c r="BL155" s="381"/>
      <c r="BM155" s="381"/>
      <c r="BN155" s="381"/>
      <c r="BO155" s="381"/>
      <c r="BP155" s="381"/>
      <c r="BQ155" s="381"/>
      <c r="BR155" s="381"/>
      <c r="BS155" s="381"/>
      <c r="BT155" s="381"/>
      <c r="BU155" s="381"/>
      <c r="BV155" s="381"/>
      <c r="BW155" s="381"/>
      <c r="BX155" s="381"/>
      <c r="BY155" s="381"/>
      <c r="BZ155" s="381"/>
      <c r="CA155" s="381"/>
      <c r="CB155" s="381"/>
      <c r="CC155" s="381"/>
      <c r="CD155" s="381"/>
      <c r="CE155" s="381"/>
      <c r="CF155" s="381"/>
      <c r="CG155" s="381"/>
      <c r="CH155" s="381"/>
      <c r="CI155" s="381"/>
      <c r="CJ155" s="381"/>
      <c r="CK155" s="381"/>
      <c r="CL155" s="381"/>
      <c r="CM155" s="381"/>
      <c r="CN155" s="381"/>
      <c r="CO155" s="381"/>
      <c r="CP155" s="381"/>
      <c r="CQ155" s="381"/>
      <c r="CR155" s="381"/>
      <c r="CS155" s="381"/>
      <c r="CT155" s="381"/>
      <c r="CU155" s="381"/>
      <c r="CV155" s="381"/>
      <c r="CW155" s="381"/>
      <c r="CX155" s="381"/>
      <c r="CY155" s="381"/>
      <c r="CZ155" s="381"/>
      <c r="DA155" s="381"/>
      <c r="DB155" s="381"/>
      <c r="DC155" s="381"/>
      <c r="DD155" s="381"/>
      <c r="DE155" s="381"/>
      <c r="DF155" s="381"/>
      <c r="DG155" s="381"/>
      <c r="DH155" s="381"/>
      <c r="DI155" s="381"/>
      <c r="DJ155" s="381"/>
      <c r="DK155" s="381"/>
      <c r="DL155" s="381"/>
      <c r="DM155" s="381"/>
      <c r="DN155" s="381"/>
      <c r="DO155" s="381"/>
      <c r="DP155" s="381"/>
      <c r="DQ155" s="381"/>
      <c r="DR155" s="381"/>
      <c r="DS155" s="381"/>
      <c r="DT155" s="381"/>
      <c r="DU155" s="381"/>
      <c r="DV155" s="381"/>
      <c r="DW155" s="381"/>
      <c r="DX155" s="381"/>
      <c r="DY155" s="381"/>
      <c r="DZ155" s="381"/>
      <c r="EA155" s="381"/>
      <c r="EB155" s="381"/>
      <c r="EC155" s="381"/>
      <c r="ED155" s="381"/>
      <c r="EE155" s="381"/>
      <c r="EF155" s="381"/>
      <c r="EG155" s="381"/>
      <c r="EH155" s="381"/>
      <c r="EI155" s="381"/>
      <c r="EJ155" s="381"/>
      <c r="EK155" s="381"/>
      <c r="EL155" s="381"/>
      <c r="EM155" s="381"/>
      <c r="EN155" s="381"/>
      <c r="EO155" s="381"/>
      <c r="EP155" s="24"/>
      <c r="EQ155" s="24"/>
      <c r="ER155" s="24"/>
      <c r="ES155" s="24"/>
      <c r="ET155" s="24"/>
      <c r="EU155" s="33"/>
      <c r="EV155" s="24"/>
      <c r="EW155" s="24"/>
      <c r="EX155" s="24"/>
      <c r="EY155" s="24"/>
      <c r="EZ155" s="24"/>
      <c r="FA155" s="24"/>
      <c r="FB155" s="24"/>
      <c r="FC155" s="24"/>
      <c r="FD155" s="24"/>
      <c r="FE155" s="24"/>
      <c r="FF155" s="24"/>
      <c r="FG155" s="24"/>
      <c r="FH155" s="24"/>
      <c r="FI155" s="24"/>
      <c r="FJ155" s="24"/>
      <c r="FK155" s="24"/>
      <c r="FL155" s="24"/>
      <c r="FM155" s="24"/>
      <c r="FN155" s="24"/>
      <c r="FO155" s="24"/>
      <c r="FP155" s="24"/>
      <c r="FQ155" s="24"/>
      <c r="FR155" s="24"/>
      <c r="FS155" s="24"/>
      <c r="FT155" s="24"/>
      <c r="FU155" s="24"/>
      <c r="FV155" s="24"/>
      <c r="FW155" s="24"/>
      <c r="FX155" s="24"/>
      <c r="FY155" s="24"/>
      <c r="FZ155" s="24"/>
      <c r="GA155" s="24"/>
      <c r="GB155" s="24"/>
      <c r="GC155" s="24"/>
      <c r="GD155" s="24"/>
      <c r="GE155" s="24"/>
      <c r="GF155" s="24"/>
      <c r="GG155" s="24"/>
      <c r="GH155" s="24"/>
      <c r="GI155" s="24"/>
      <c r="GJ155" s="24"/>
      <c r="GK155" s="24"/>
      <c r="GL155" s="24"/>
      <c r="GM155" s="24"/>
      <c r="GN155" s="24"/>
      <c r="GO155" s="24"/>
      <c r="GP155" s="24"/>
      <c r="GQ155" s="24"/>
      <c r="GR155" s="24"/>
      <c r="GS155" s="24"/>
      <c r="GT155" s="24"/>
      <c r="GU155" s="24"/>
      <c r="GV155" s="24"/>
      <c r="GW155" s="24"/>
      <c r="GX155" s="24"/>
      <c r="GY155" s="24"/>
      <c r="GZ155" s="24"/>
      <c r="HA155" s="24"/>
      <c r="HB155" s="24"/>
      <c r="HC155" s="24"/>
      <c r="HD155" s="24"/>
      <c r="HE155" s="24"/>
      <c r="HF155" s="24"/>
      <c r="HG155" s="24"/>
      <c r="HH155" s="24"/>
      <c r="HI155" s="24"/>
      <c r="HJ155" s="24"/>
      <c r="HK155" s="24"/>
      <c r="HL155" s="24"/>
      <c r="HM155" s="24"/>
      <c r="HN155" s="24"/>
      <c r="HO155" s="24"/>
      <c r="HP155" s="24"/>
      <c r="HQ155" s="24"/>
      <c r="HR155" s="24"/>
      <c r="HS155" s="24"/>
      <c r="HT155" s="24"/>
      <c r="HU155" s="24"/>
      <c r="HV155" s="24"/>
      <c r="HW155" s="24"/>
      <c r="HX155" s="24"/>
      <c r="HY155" s="24"/>
      <c r="HZ155" s="24"/>
      <c r="IA155" s="24"/>
      <c r="IB155" s="24"/>
      <c r="IC155" s="24"/>
      <c r="ID155" s="24"/>
      <c r="IE155" s="24"/>
      <c r="IF155" s="24"/>
      <c r="IG155" s="24"/>
      <c r="IH155" s="24"/>
      <c r="II155" s="24"/>
      <c r="IJ155" s="24"/>
      <c r="IK155" s="24"/>
      <c r="IL155" s="24"/>
      <c r="IM155" s="24"/>
      <c r="IN155" s="24"/>
      <c r="IO155" s="24"/>
      <c r="IP155" s="24"/>
      <c r="IQ155" s="24"/>
      <c r="IR155" s="24"/>
      <c r="IS155" s="24"/>
      <c r="IT155" s="24"/>
      <c r="IU155" s="24"/>
      <c r="IV155" s="24"/>
      <c r="IW155" s="24"/>
      <c r="IX155" s="24"/>
      <c r="IY155" s="24"/>
      <c r="IZ155" s="24"/>
      <c r="JA155" s="24"/>
      <c r="JB155" s="24"/>
      <c r="JC155" s="24"/>
      <c r="JD155" s="24"/>
      <c r="JE155" s="24"/>
      <c r="JF155" s="24"/>
      <c r="JG155" s="24"/>
      <c r="JH155" s="24"/>
      <c r="JI155" s="24"/>
      <c r="JJ155" s="24"/>
      <c r="JK155" s="24"/>
      <c r="JL155" s="24"/>
      <c r="JM155" s="24"/>
      <c r="JN155" s="24"/>
      <c r="JO155" s="24"/>
      <c r="JP155" s="24"/>
      <c r="JQ155" s="24"/>
      <c r="JR155" s="24"/>
      <c r="JS155" s="24"/>
      <c r="JT155" s="24"/>
      <c r="JU155" s="24"/>
      <c r="JV155" s="24"/>
      <c r="JW155" s="24"/>
      <c r="JX155" s="24"/>
    </row>
    <row r="156" spans="1:284" s="7" customFormat="1" x14ac:dyDescent="0.2">
      <c r="A156" s="406"/>
      <c r="B156" s="147" t="str">
        <f t="shared" si="635"/>
        <v>Other Income</v>
      </c>
      <c r="C156" s="120"/>
      <c r="D156" s="120"/>
      <c r="E156" s="179"/>
      <c r="F156" s="179"/>
      <c r="G156" s="123">
        <f>I103</f>
        <v>229865.28</v>
      </c>
      <c r="H156" s="123">
        <f ca="1">SUM(OFFSET($L103,0,Stabilization_1st_Month,1,12))</f>
        <v>237945.04459200002</v>
      </c>
      <c r="I156" s="124">
        <f ca="1">MAX(SUM(OFFSET($L103,0,Timing_Reversion_Month,1,12)),H156)</f>
        <v>245083.39592975998</v>
      </c>
      <c r="J156" s="381"/>
      <c r="K156" s="381"/>
      <c r="L156" s="381"/>
      <c r="M156" s="381"/>
      <c r="N156" s="381"/>
      <c r="O156" s="381"/>
      <c r="P156" s="381"/>
      <c r="Q156" s="381"/>
      <c r="R156" s="381"/>
      <c r="S156" s="381"/>
      <c r="T156" s="381"/>
      <c r="U156" s="381"/>
      <c r="V156" s="381"/>
      <c r="W156" s="381"/>
      <c r="X156" s="381"/>
      <c r="Y156" s="381"/>
      <c r="Z156" s="381"/>
      <c r="AA156" s="381"/>
      <c r="AB156" s="381"/>
      <c r="AC156" s="381"/>
      <c r="AD156" s="381"/>
      <c r="AE156" s="381"/>
      <c r="AF156" s="381"/>
      <c r="AG156" s="381"/>
      <c r="AH156" s="381"/>
      <c r="AI156" s="381"/>
      <c r="AJ156" s="381"/>
      <c r="AK156" s="381"/>
      <c r="AL156" s="381"/>
      <c r="AM156" s="381"/>
      <c r="AN156" s="381"/>
      <c r="AO156" s="381"/>
      <c r="AP156" s="381"/>
      <c r="AQ156" s="381"/>
      <c r="AR156" s="381"/>
      <c r="AS156" s="381"/>
      <c r="AT156" s="381"/>
      <c r="AU156" s="381"/>
      <c r="AV156" s="381"/>
      <c r="AW156" s="381"/>
      <c r="AX156" s="381"/>
      <c r="AY156" s="381"/>
      <c r="AZ156" s="381"/>
      <c r="BA156" s="381"/>
      <c r="BB156" s="381"/>
      <c r="BC156" s="381"/>
      <c r="BD156" s="381"/>
      <c r="BE156" s="381"/>
      <c r="BF156" s="381"/>
      <c r="BG156" s="381"/>
      <c r="BH156" s="381"/>
      <c r="BI156" s="381"/>
      <c r="BJ156" s="381"/>
      <c r="BK156" s="381"/>
      <c r="BL156" s="381"/>
      <c r="BM156" s="381"/>
      <c r="BN156" s="381"/>
      <c r="BO156" s="381"/>
      <c r="BP156" s="381"/>
      <c r="BQ156" s="381"/>
      <c r="BR156" s="381"/>
      <c r="BS156" s="381"/>
      <c r="BT156" s="381"/>
      <c r="BU156" s="381"/>
      <c r="BV156" s="381"/>
      <c r="BW156" s="381"/>
      <c r="BX156" s="381"/>
      <c r="BY156" s="381"/>
      <c r="BZ156" s="381"/>
      <c r="CA156" s="381"/>
      <c r="CB156" s="381"/>
      <c r="CC156" s="381"/>
      <c r="CD156" s="381"/>
      <c r="CE156" s="381"/>
      <c r="CF156" s="381"/>
      <c r="CG156" s="381"/>
      <c r="CH156" s="381"/>
      <c r="CI156" s="381"/>
      <c r="CJ156" s="381"/>
      <c r="CK156" s="381"/>
      <c r="CL156" s="381"/>
      <c r="CM156" s="381"/>
      <c r="CN156" s="381"/>
      <c r="CO156" s="381"/>
      <c r="CP156" s="381"/>
      <c r="CQ156" s="381"/>
      <c r="CR156" s="381"/>
      <c r="CS156" s="381"/>
      <c r="CT156" s="381"/>
      <c r="CU156" s="381"/>
      <c r="CV156" s="381"/>
      <c r="CW156" s="381"/>
      <c r="CX156" s="381"/>
      <c r="CY156" s="381"/>
      <c r="CZ156" s="381"/>
      <c r="DA156" s="381"/>
      <c r="DB156" s="381"/>
      <c r="DC156" s="381"/>
      <c r="DD156" s="381"/>
      <c r="DE156" s="381"/>
      <c r="DF156" s="381"/>
      <c r="DG156" s="381"/>
      <c r="DH156" s="381"/>
      <c r="DI156" s="381"/>
      <c r="DJ156" s="381"/>
      <c r="DK156" s="381"/>
      <c r="DL156" s="381"/>
      <c r="DM156" s="381"/>
      <c r="DN156" s="381"/>
      <c r="DO156" s="381"/>
      <c r="DP156" s="381"/>
      <c r="DQ156" s="381"/>
      <c r="DR156" s="381"/>
      <c r="DS156" s="381"/>
      <c r="DT156" s="381"/>
      <c r="DU156" s="381"/>
      <c r="DV156" s="381"/>
      <c r="DW156" s="381"/>
      <c r="DX156" s="381"/>
      <c r="DY156" s="381"/>
      <c r="DZ156" s="381"/>
      <c r="EA156" s="381"/>
      <c r="EB156" s="381"/>
      <c r="EC156" s="381"/>
      <c r="ED156" s="381"/>
      <c r="EE156" s="381"/>
      <c r="EF156" s="381"/>
      <c r="EG156" s="381"/>
      <c r="EH156" s="381"/>
      <c r="EI156" s="381"/>
      <c r="EJ156" s="381"/>
      <c r="EK156" s="381"/>
      <c r="EL156" s="381"/>
      <c r="EM156" s="381"/>
      <c r="EN156" s="381"/>
      <c r="EO156" s="381"/>
      <c r="EP156" s="24"/>
      <c r="EQ156" s="24"/>
      <c r="ER156" s="24"/>
      <c r="ES156" s="24"/>
      <c r="ET156" s="24"/>
      <c r="EU156" s="33"/>
      <c r="EV156" s="24"/>
      <c r="EW156" s="24"/>
      <c r="EX156" s="24"/>
      <c r="EY156" s="24"/>
      <c r="EZ156" s="24"/>
      <c r="FA156" s="24"/>
      <c r="FB156" s="24"/>
      <c r="FC156" s="24"/>
      <c r="FD156" s="24"/>
      <c r="FE156" s="24"/>
      <c r="FF156" s="24"/>
      <c r="FG156" s="24"/>
      <c r="FH156" s="24"/>
      <c r="FI156" s="24"/>
      <c r="FJ156" s="24"/>
      <c r="FK156" s="24"/>
      <c r="FL156" s="24"/>
      <c r="FM156" s="24"/>
      <c r="FN156" s="24"/>
      <c r="FO156" s="24"/>
      <c r="FP156" s="24"/>
      <c r="FQ156" s="24"/>
      <c r="FR156" s="24"/>
      <c r="FS156" s="24"/>
      <c r="FT156" s="24"/>
      <c r="FU156" s="24"/>
      <c r="FV156" s="24"/>
      <c r="FW156" s="24"/>
      <c r="FX156" s="24"/>
      <c r="FY156" s="24"/>
      <c r="FZ156" s="24"/>
      <c r="GA156" s="24"/>
      <c r="GB156" s="24"/>
      <c r="GC156" s="24"/>
      <c r="GD156" s="24"/>
      <c r="GE156" s="24"/>
      <c r="GF156" s="24"/>
      <c r="GG156" s="24"/>
      <c r="GH156" s="24"/>
      <c r="GI156" s="24"/>
      <c r="GJ156" s="24"/>
      <c r="GK156" s="24"/>
      <c r="GL156" s="24"/>
      <c r="GM156" s="24"/>
      <c r="GN156" s="24"/>
      <c r="GO156" s="24"/>
      <c r="GP156" s="24"/>
      <c r="GQ156" s="24"/>
      <c r="GR156" s="24"/>
      <c r="GS156" s="24"/>
      <c r="GT156" s="24"/>
      <c r="GU156" s="24"/>
      <c r="GV156" s="24"/>
      <c r="GW156" s="24"/>
      <c r="GX156" s="24"/>
      <c r="GY156" s="24"/>
      <c r="GZ156" s="24"/>
      <c r="HA156" s="24"/>
      <c r="HB156" s="24"/>
      <c r="HC156" s="24"/>
      <c r="HD156" s="24"/>
      <c r="HE156" s="24"/>
      <c r="HF156" s="24"/>
      <c r="HG156" s="24"/>
      <c r="HH156" s="24"/>
      <c r="HI156" s="24"/>
      <c r="HJ156" s="24"/>
      <c r="HK156" s="24"/>
      <c r="HL156" s="24"/>
      <c r="HM156" s="24"/>
      <c r="HN156" s="24"/>
      <c r="HO156" s="24"/>
      <c r="HP156" s="24"/>
      <c r="HQ156" s="24"/>
      <c r="HR156" s="24"/>
      <c r="HS156" s="24"/>
      <c r="HT156" s="24"/>
      <c r="HU156" s="24"/>
      <c r="HV156" s="24"/>
      <c r="HW156" s="24"/>
      <c r="HX156" s="24"/>
      <c r="HY156" s="24"/>
      <c r="HZ156" s="24"/>
      <c r="IA156" s="24"/>
      <c r="IB156" s="24"/>
      <c r="IC156" s="24"/>
      <c r="ID156" s="24"/>
      <c r="IE156" s="24"/>
      <c r="IF156" s="24"/>
      <c r="IG156" s="24"/>
      <c r="IH156" s="24"/>
      <c r="II156" s="24"/>
      <c r="IJ156" s="24"/>
      <c r="IK156" s="24"/>
      <c r="IL156" s="24"/>
      <c r="IM156" s="24"/>
      <c r="IN156" s="24"/>
      <c r="IO156" s="24"/>
      <c r="IP156" s="24"/>
      <c r="IQ156" s="24"/>
      <c r="IR156" s="24"/>
      <c r="IS156" s="24"/>
      <c r="IT156" s="24"/>
      <c r="IU156" s="24"/>
      <c r="IV156" s="24"/>
      <c r="IW156" s="24"/>
      <c r="IX156" s="24"/>
      <c r="IY156" s="24"/>
      <c r="IZ156" s="24"/>
      <c r="JA156" s="24"/>
      <c r="JB156" s="24"/>
      <c r="JC156" s="24"/>
      <c r="JD156" s="24"/>
      <c r="JE156" s="24"/>
      <c r="JF156" s="24"/>
      <c r="JG156" s="24"/>
      <c r="JH156" s="24"/>
      <c r="JI156" s="24"/>
      <c r="JJ156" s="24"/>
      <c r="JK156" s="24"/>
      <c r="JL156" s="24"/>
      <c r="JM156" s="24"/>
      <c r="JN156" s="24"/>
      <c r="JO156" s="24"/>
      <c r="JP156" s="24"/>
      <c r="JQ156" s="24"/>
      <c r="JR156" s="24"/>
      <c r="JS156" s="24"/>
      <c r="JT156" s="24"/>
      <c r="JU156" s="24"/>
      <c r="JV156" s="24"/>
      <c r="JW156" s="24"/>
      <c r="JX156" s="24"/>
    </row>
    <row r="157" spans="1:284" s="7" customFormat="1" x14ac:dyDescent="0.2">
      <c r="A157" s="406"/>
      <c r="B157" s="147" t="str">
        <f t="shared" si="635"/>
        <v>Parking Income</v>
      </c>
      <c r="C157" s="120"/>
      <c r="D157" s="120"/>
      <c r="E157" s="179"/>
      <c r="F157" s="179"/>
      <c r="G157" s="123">
        <f>I104</f>
        <v>273600</v>
      </c>
      <c r="H157" s="123">
        <f ca="1">SUM(OFFSET($L104,0,Stabilization_1st_Month,1,12))</f>
        <v>283217.03999999998</v>
      </c>
      <c r="I157" s="124">
        <f ca="1">MAX(SUM(OFFSET($L104,0,Timing_Reversion_Month,1,12)),H157)</f>
        <v>291713.55119999999</v>
      </c>
      <c r="J157" s="381"/>
      <c r="K157" s="381"/>
      <c r="L157" s="381"/>
      <c r="M157" s="381"/>
      <c r="N157" s="381"/>
      <c r="O157" s="381"/>
      <c r="P157" s="381"/>
      <c r="Q157" s="381"/>
      <c r="R157" s="381"/>
      <c r="S157" s="381"/>
      <c r="T157" s="381"/>
      <c r="U157" s="381"/>
      <c r="V157" s="381"/>
      <c r="W157" s="381"/>
      <c r="X157" s="381"/>
      <c r="Y157" s="381"/>
      <c r="Z157" s="381"/>
      <c r="AA157" s="381"/>
      <c r="AB157" s="381"/>
      <c r="AC157" s="381"/>
      <c r="AD157" s="381"/>
      <c r="AE157" s="381"/>
      <c r="AF157" s="381"/>
      <c r="AG157" s="381"/>
      <c r="AH157" s="381"/>
      <c r="AI157" s="381"/>
      <c r="AJ157" s="381"/>
      <c r="AK157" s="381"/>
      <c r="AL157" s="381"/>
      <c r="AM157" s="381"/>
      <c r="AN157" s="381"/>
      <c r="AO157" s="381"/>
      <c r="AP157" s="381"/>
      <c r="AQ157" s="381"/>
      <c r="AR157" s="381"/>
      <c r="AS157" s="381"/>
      <c r="AT157" s="381"/>
      <c r="AU157" s="381"/>
      <c r="AV157" s="381"/>
      <c r="AW157" s="381"/>
      <c r="AX157" s="381"/>
      <c r="AY157" s="381"/>
      <c r="AZ157" s="381"/>
      <c r="BA157" s="381"/>
      <c r="BB157" s="381"/>
      <c r="BC157" s="381"/>
      <c r="BD157" s="381"/>
      <c r="BE157" s="381"/>
      <c r="BF157" s="381"/>
      <c r="BG157" s="381"/>
      <c r="BH157" s="381"/>
      <c r="BI157" s="381"/>
      <c r="BJ157" s="381"/>
      <c r="BK157" s="381"/>
      <c r="BL157" s="381"/>
      <c r="BM157" s="381"/>
      <c r="BN157" s="381"/>
      <c r="BO157" s="381"/>
      <c r="BP157" s="381"/>
      <c r="BQ157" s="381"/>
      <c r="BR157" s="381"/>
      <c r="BS157" s="381"/>
      <c r="BT157" s="381"/>
      <c r="BU157" s="381"/>
      <c r="BV157" s="381"/>
      <c r="BW157" s="381"/>
      <c r="BX157" s="381"/>
      <c r="BY157" s="381"/>
      <c r="BZ157" s="381"/>
      <c r="CA157" s="381"/>
      <c r="CB157" s="381"/>
      <c r="CC157" s="381"/>
      <c r="CD157" s="381"/>
      <c r="CE157" s="381"/>
      <c r="CF157" s="381"/>
      <c r="CG157" s="381"/>
      <c r="CH157" s="381"/>
      <c r="CI157" s="381"/>
      <c r="CJ157" s="381"/>
      <c r="CK157" s="381"/>
      <c r="CL157" s="381"/>
      <c r="CM157" s="381"/>
      <c r="CN157" s="381"/>
      <c r="CO157" s="381"/>
      <c r="CP157" s="381"/>
      <c r="CQ157" s="381"/>
      <c r="CR157" s="381"/>
      <c r="CS157" s="381"/>
      <c r="CT157" s="381"/>
      <c r="CU157" s="381"/>
      <c r="CV157" s="381"/>
      <c r="CW157" s="381"/>
      <c r="CX157" s="381"/>
      <c r="CY157" s="381"/>
      <c r="CZ157" s="381"/>
      <c r="DA157" s="381"/>
      <c r="DB157" s="381"/>
      <c r="DC157" s="381"/>
      <c r="DD157" s="381"/>
      <c r="DE157" s="381"/>
      <c r="DF157" s="381"/>
      <c r="DG157" s="381"/>
      <c r="DH157" s="381"/>
      <c r="DI157" s="381"/>
      <c r="DJ157" s="381"/>
      <c r="DK157" s="381"/>
      <c r="DL157" s="381"/>
      <c r="DM157" s="381"/>
      <c r="DN157" s="381"/>
      <c r="DO157" s="381"/>
      <c r="DP157" s="381"/>
      <c r="DQ157" s="381"/>
      <c r="DR157" s="381"/>
      <c r="DS157" s="381"/>
      <c r="DT157" s="381"/>
      <c r="DU157" s="381"/>
      <c r="DV157" s="381"/>
      <c r="DW157" s="381"/>
      <c r="DX157" s="381"/>
      <c r="DY157" s="381"/>
      <c r="DZ157" s="381"/>
      <c r="EA157" s="381"/>
      <c r="EB157" s="381"/>
      <c r="EC157" s="381"/>
      <c r="ED157" s="381"/>
      <c r="EE157" s="381"/>
      <c r="EF157" s="381"/>
      <c r="EG157" s="381"/>
      <c r="EH157" s="381"/>
      <c r="EI157" s="381"/>
      <c r="EJ157" s="381"/>
      <c r="EK157" s="381"/>
      <c r="EL157" s="381"/>
      <c r="EM157" s="381"/>
      <c r="EN157" s="381"/>
      <c r="EO157" s="381"/>
      <c r="EP157" s="24"/>
      <c r="EQ157" s="24"/>
      <c r="ER157" s="24"/>
      <c r="ES157" s="24"/>
      <c r="ET157" s="24"/>
      <c r="EU157" s="33"/>
      <c r="EV157" s="24"/>
      <c r="EW157" s="24"/>
      <c r="EX157" s="24"/>
      <c r="EY157" s="24"/>
      <c r="EZ157" s="24"/>
      <c r="FA157" s="24"/>
      <c r="FB157" s="24"/>
      <c r="FC157" s="24"/>
      <c r="FD157" s="24"/>
      <c r="FE157" s="24"/>
      <c r="FF157" s="24"/>
      <c r="FG157" s="24"/>
      <c r="FH157" s="24"/>
      <c r="FI157" s="24"/>
      <c r="FJ157" s="24"/>
      <c r="FK157" s="24"/>
      <c r="FL157" s="24"/>
      <c r="FM157" s="24"/>
      <c r="FN157" s="24"/>
      <c r="FO157" s="24"/>
      <c r="FP157" s="24"/>
      <c r="FQ157" s="24"/>
      <c r="FR157" s="24"/>
      <c r="FS157" s="24"/>
      <c r="FT157" s="24"/>
      <c r="FU157" s="24"/>
      <c r="FV157" s="24"/>
      <c r="FW157" s="24"/>
      <c r="FX157" s="24"/>
      <c r="FY157" s="24"/>
      <c r="FZ157" s="24"/>
      <c r="GA157" s="24"/>
      <c r="GB157" s="24"/>
      <c r="GC157" s="24"/>
      <c r="GD157" s="24"/>
      <c r="GE157" s="24"/>
      <c r="GF157" s="24"/>
      <c r="GG157" s="24"/>
      <c r="GH157" s="24"/>
      <c r="GI157" s="24"/>
      <c r="GJ157" s="24"/>
      <c r="GK157" s="24"/>
      <c r="GL157" s="24"/>
      <c r="GM157" s="24"/>
      <c r="GN157" s="24"/>
      <c r="GO157" s="24"/>
      <c r="GP157" s="24"/>
      <c r="GQ157" s="24"/>
      <c r="GR157" s="24"/>
      <c r="GS157" s="24"/>
      <c r="GT157" s="24"/>
      <c r="GU157" s="24"/>
      <c r="GV157" s="24"/>
      <c r="GW157" s="24"/>
      <c r="GX157" s="24"/>
      <c r="GY157" s="24"/>
      <c r="GZ157" s="24"/>
      <c r="HA157" s="24"/>
      <c r="HB157" s="24"/>
      <c r="HC157" s="24"/>
      <c r="HD157" s="24"/>
      <c r="HE157" s="24"/>
      <c r="HF157" s="24"/>
      <c r="HG157" s="24"/>
      <c r="HH157" s="24"/>
      <c r="HI157" s="24"/>
      <c r="HJ157" s="24"/>
      <c r="HK157" s="24"/>
      <c r="HL157" s="24"/>
      <c r="HM157" s="24"/>
      <c r="HN157" s="24"/>
      <c r="HO157" s="24"/>
      <c r="HP157" s="24"/>
      <c r="HQ157" s="24"/>
      <c r="HR157" s="24"/>
      <c r="HS157" s="24"/>
      <c r="HT157" s="24"/>
      <c r="HU157" s="24"/>
      <c r="HV157" s="24"/>
      <c r="HW157" s="24"/>
      <c r="HX157" s="24"/>
      <c r="HY157" s="24"/>
      <c r="HZ157" s="24"/>
      <c r="IA157" s="24"/>
      <c r="IB157" s="24"/>
      <c r="IC157" s="24"/>
      <c r="ID157" s="24"/>
      <c r="IE157" s="24"/>
      <c r="IF157" s="24"/>
      <c r="IG157" s="24"/>
      <c r="IH157" s="24"/>
      <c r="II157" s="24"/>
      <c r="IJ157" s="24"/>
      <c r="IK157" s="24"/>
      <c r="IL157" s="24"/>
      <c r="IM157" s="24"/>
      <c r="IN157" s="24"/>
      <c r="IO157" s="24"/>
      <c r="IP157" s="24"/>
      <c r="IQ157" s="24"/>
      <c r="IR157" s="24"/>
      <c r="IS157" s="24"/>
      <c r="IT157" s="24"/>
      <c r="IU157" s="24"/>
      <c r="IV157" s="24"/>
      <c r="IW157" s="24"/>
      <c r="IX157" s="24"/>
      <c r="IY157" s="24"/>
      <c r="IZ157" s="24"/>
      <c r="JA157" s="24"/>
      <c r="JB157" s="24"/>
      <c r="JC157" s="24"/>
      <c r="JD157" s="24"/>
      <c r="JE157" s="24"/>
      <c r="JF157" s="24"/>
      <c r="JG157" s="24"/>
      <c r="JH157" s="24"/>
      <c r="JI157" s="24"/>
      <c r="JJ157" s="24"/>
      <c r="JK157" s="24"/>
      <c r="JL157" s="24"/>
      <c r="JM157" s="24"/>
      <c r="JN157" s="24"/>
      <c r="JO157" s="24"/>
      <c r="JP157" s="24"/>
      <c r="JQ157" s="24"/>
      <c r="JR157" s="24"/>
      <c r="JS157" s="24"/>
      <c r="JT157" s="24"/>
      <c r="JU157" s="24"/>
      <c r="JV157" s="24"/>
      <c r="JW157" s="24"/>
      <c r="JX157" s="24"/>
    </row>
    <row r="158" spans="1:284" s="7" customFormat="1" ht="16.5" x14ac:dyDescent="0.35">
      <c r="A158" s="406"/>
      <c r="B158" s="147" t="str">
        <f t="shared" si="635"/>
        <v>[Other Income Item]</v>
      </c>
      <c r="C158" s="120"/>
      <c r="D158" s="120"/>
      <c r="E158" s="179"/>
      <c r="F158" s="179"/>
      <c r="G158" s="131">
        <f>I105</f>
        <v>0</v>
      </c>
      <c r="H158" s="131">
        <f ca="1">SUM(OFFSET($L105,0,Stabilization_1st_Month,1,12))</f>
        <v>0</v>
      </c>
      <c r="I158" s="177">
        <f ca="1">MAX(SUM(OFFSET($L105,0,Timing_Reversion_Month,1,12)),H158)</f>
        <v>0</v>
      </c>
      <c r="J158" s="381"/>
      <c r="K158" s="381"/>
      <c r="L158" s="381"/>
      <c r="M158" s="381"/>
      <c r="N158" s="381"/>
      <c r="O158" s="381"/>
      <c r="P158" s="381"/>
      <c r="Q158" s="381"/>
      <c r="R158" s="381"/>
      <c r="S158" s="381"/>
      <c r="T158" s="381"/>
      <c r="U158" s="381"/>
      <c r="V158" s="381"/>
      <c r="W158" s="381"/>
      <c r="X158" s="381"/>
      <c r="Y158" s="381"/>
      <c r="Z158" s="381"/>
      <c r="AA158" s="381"/>
      <c r="AB158" s="381"/>
      <c r="AC158" s="381"/>
      <c r="AD158" s="381"/>
      <c r="AE158" s="381"/>
      <c r="AF158" s="381"/>
      <c r="AG158" s="381"/>
      <c r="AH158" s="381"/>
      <c r="AI158" s="381"/>
      <c r="AJ158" s="381"/>
      <c r="AK158" s="381"/>
      <c r="AL158" s="381"/>
      <c r="AM158" s="381"/>
      <c r="AN158" s="381"/>
      <c r="AO158" s="381"/>
      <c r="AP158" s="381"/>
      <c r="AQ158" s="381"/>
      <c r="AR158" s="381"/>
      <c r="AS158" s="381"/>
      <c r="AT158" s="381"/>
      <c r="AU158" s="381"/>
      <c r="AV158" s="381"/>
      <c r="AW158" s="381"/>
      <c r="AX158" s="381"/>
      <c r="AY158" s="381"/>
      <c r="AZ158" s="381"/>
      <c r="BA158" s="381"/>
      <c r="BB158" s="381"/>
      <c r="BC158" s="381"/>
      <c r="BD158" s="381"/>
      <c r="BE158" s="381"/>
      <c r="BF158" s="381"/>
      <c r="BG158" s="381"/>
      <c r="BH158" s="381"/>
      <c r="BI158" s="381"/>
      <c r="BJ158" s="381"/>
      <c r="BK158" s="381"/>
      <c r="BL158" s="381"/>
      <c r="BM158" s="381"/>
      <c r="BN158" s="381"/>
      <c r="BO158" s="381"/>
      <c r="BP158" s="381"/>
      <c r="BQ158" s="381"/>
      <c r="BR158" s="381"/>
      <c r="BS158" s="381"/>
      <c r="BT158" s="381"/>
      <c r="BU158" s="381"/>
      <c r="BV158" s="381"/>
      <c r="BW158" s="381"/>
      <c r="BX158" s="381"/>
      <c r="BY158" s="381"/>
      <c r="BZ158" s="381"/>
      <c r="CA158" s="381"/>
      <c r="CB158" s="381"/>
      <c r="CC158" s="381"/>
      <c r="CD158" s="381"/>
      <c r="CE158" s="381"/>
      <c r="CF158" s="381"/>
      <c r="CG158" s="381"/>
      <c r="CH158" s="381"/>
      <c r="CI158" s="381"/>
      <c r="CJ158" s="381"/>
      <c r="CK158" s="381"/>
      <c r="CL158" s="381"/>
      <c r="CM158" s="381"/>
      <c r="CN158" s="381"/>
      <c r="CO158" s="381"/>
      <c r="CP158" s="381"/>
      <c r="CQ158" s="381"/>
      <c r="CR158" s="381"/>
      <c r="CS158" s="381"/>
      <c r="CT158" s="381"/>
      <c r="CU158" s="381"/>
      <c r="CV158" s="381"/>
      <c r="CW158" s="381"/>
      <c r="CX158" s="381"/>
      <c r="CY158" s="381"/>
      <c r="CZ158" s="381"/>
      <c r="DA158" s="381"/>
      <c r="DB158" s="381"/>
      <c r="DC158" s="381"/>
      <c r="DD158" s="381"/>
      <c r="DE158" s="381"/>
      <c r="DF158" s="381"/>
      <c r="DG158" s="381"/>
      <c r="DH158" s="381"/>
      <c r="DI158" s="381"/>
      <c r="DJ158" s="381"/>
      <c r="DK158" s="381"/>
      <c r="DL158" s="381"/>
      <c r="DM158" s="381"/>
      <c r="DN158" s="381"/>
      <c r="DO158" s="381"/>
      <c r="DP158" s="381"/>
      <c r="DQ158" s="381"/>
      <c r="DR158" s="381"/>
      <c r="DS158" s="381"/>
      <c r="DT158" s="381"/>
      <c r="DU158" s="381"/>
      <c r="DV158" s="381"/>
      <c r="DW158" s="381"/>
      <c r="DX158" s="381"/>
      <c r="DY158" s="381"/>
      <c r="DZ158" s="381"/>
      <c r="EA158" s="381"/>
      <c r="EB158" s="381"/>
      <c r="EC158" s="381"/>
      <c r="ED158" s="381"/>
      <c r="EE158" s="381"/>
      <c r="EF158" s="381"/>
      <c r="EG158" s="381"/>
      <c r="EH158" s="381"/>
      <c r="EI158" s="381"/>
      <c r="EJ158" s="381"/>
      <c r="EK158" s="381"/>
      <c r="EL158" s="381"/>
      <c r="EM158" s="381"/>
      <c r="EN158" s="381"/>
      <c r="EO158" s="381"/>
      <c r="EP158" s="24"/>
      <c r="EQ158" s="24"/>
      <c r="ER158" s="24"/>
      <c r="ES158" s="24"/>
      <c r="ET158" s="24"/>
      <c r="EU158" s="33"/>
      <c r="EV158" s="24"/>
      <c r="EW158" s="24"/>
      <c r="EX158" s="24"/>
      <c r="EY158" s="24"/>
      <c r="EZ158" s="24"/>
      <c r="FA158" s="24"/>
      <c r="FB158" s="24"/>
      <c r="FC158" s="24"/>
      <c r="FD158" s="24"/>
      <c r="FE158" s="24"/>
      <c r="FF158" s="24"/>
      <c r="FG158" s="24"/>
      <c r="FH158" s="24"/>
      <c r="FI158" s="24"/>
      <c r="FJ158" s="24"/>
      <c r="FK158" s="24"/>
      <c r="FL158" s="24"/>
      <c r="FM158" s="24"/>
      <c r="FN158" s="24"/>
      <c r="FO158" s="24"/>
      <c r="FP158" s="24"/>
      <c r="FQ158" s="24"/>
      <c r="FR158" s="24"/>
      <c r="FS158" s="24"/>
      <c r="FT158" s="24"/>
      <c r="FU158" s="24"/>
      <c r="FV158" s="24"/>
      <c r="FW158" s="24"/>
      <c r="FX158" s="24"/>
      <c r="FY158" s="24"/>
      <c r="FZ158" s="24"/>
      <c r="GA158" s="24"/>
      <c r="GB158" s="24"/>
      <c r="GC158" s="24"/>
      <c r="GD158" s="24"/>
      <c r="GE158" s="24"/>
      <c r="GF158" s="24"/>
      <c r="GG158" s="24"/>
      <c r="GH158" s="24"/>
      <c r="GI158" s="24"/>
      <c r="GJ158" s="24"/>
      <c r="GK158" s="24"/>
      <c r="GL158" s="24"/>
      <c r="GM158" s="24"/>
      <c r="GN158" s="24"/>
      <c r="GO158" s="24"/>
      <c r="GP158" s="24"/>
      <c r="GQ158" s="24"/>
      <c r="GR158" s="24"/>
      <c r="GS158" s="24"/>
      <c r="GT158" s="24"/>
      <c r="GU158" s="24"/>
      <c r="GV158" s="24"/>
      <c r="GW158" s="24"/>
      <c r="GX158" s="24"/>
      <c r="GY158" s="24"/>
      <c r="GZ158" s="24"/>
      <c r="HA158" s="24"/>
      <c r="HB158" s="24"/>
      <c r="HC158" s="24"/>
      <c r="HD158" s="24"/>
      <c r="HE158" s="24"/>
      <c r="HF158" s="24"/>
      <c r="HG158" s="24"/>
      <c r="HH158" s="24"/>
      <c r="HI158" s="24"/>
      <c r="HJ158" s="24"/>
      <c r="HK158" s="24"/>
      <c r="HL158" s="24"/>
      <c r="HM158" s="24"/>
      <c r="HN158" s="24"/>
      <c r="HO158" s="24"/>
      <c r="HP158" s="24"/>
      <c r="HQ158" s="24"/>
      <c r="HR158" s="24"/>
      <c r="HS158" s="24"/>
      <c r="HT158" s="24"/>
      <c r="HU158" s="24"/>
      <c r="HV158" s="24"/>
      <c r="HW158" s="24"/>
      <c r="HX158" s="24"/>
      <c r="HY158" s="24"/>
      <c r="HZ158" s="24"/>
      <c r="IA158" s="24"/>
      <c r="IB158" s="24"/>
      <c r="IC158" s="24"/>
      <c r="ID158" s="24"/>
      <c r="IE158" s="24"/>
      <c r="IF158" s="24"/>
      <c r="IG158" s="24"/>
      <c r="IH158" s="24"/>
      <c r="II158" s="24"/>
      <c r="IJ158" s="24"/>
      <c r="IK158" s="24"/>
      <c r="IL158" s="24"/>
      <c r="IM158" s="24"/>
      <c r="IN158" s="24"/>
      <c r="IO158" s="24"/>
      <c r="IP158" s="24"/>
      <c r="IQ158" s="24"/>
      <c r="IR158" s="24"/>
      <c r="IS158" s="24"/>
      <c r="IT158" s="24"/>
      <c r="IU158" s="24"/>
      <c r="IV158" s="24"/>
      <c r="IW158" s="24"/>
      <c r="IX158" s="24"/>
      <c r="IY158" s="24"/>
      <c r="IZ158" s="24"/>
      <c r="JA158" s="24"/>
      <c r="JB158" s="24"/>
      <c r="JC158" s="24"/>
      <c r="JD158" s="24"/>
      <c r="JE158" s="24"/>
      <c r="JF158" s="24"/>
      <c r="JG158" s="24"/>
      <c r="JH158" s="24"/>
      <c r="JI158" s="24"/>
      <c r="JJ158" s="24"/>
      <c r="JK158" s="24"/>
      <c r="JL158" s="24"/>
      <c r="JM158" s="24"/>
      <c r="JN158" s="24"/>
      <c r="JO158" s="24"/>
      <c r="JP158" s="24"/>
      <c r="JQ158" s="24"/>
      <c r="JR158" s="24"/>
      <c r="JS158" s="24"/>
      <c r="JT158" s="24"/>
      <c r="JU158" s="24"/>
      <c r="JV158" s="24"/>
      <c r="JW158" s="24"/>
      <c r="JX158" s="24"/>
    </row>
    <row r="159" spans="1:284" s="7" customFormat="1" x14ac:dyDescent="0.2">
      <c r="A159" s="406"/>
      <c r="B159" s="92" t="str">
        <f t="shared" si="635"/>
        <v>TOTAL OTHER INCOME</v>
      </c>
      <c r="C159" s="120"/>
      <c r="D159" s="120"/>
      <c r="E159" s="179"/>
      <c r="F159" s="179"/>
      <c r="G159" s="123">
        <f>SUM(G155:G158)</f>
        <v>683465.28</v>
      </c>
      <c r="H159" s="123">
        <f ca="1">SUM(H155:H158)</f>
        <v>707489.084592</v>
      </c>
      <c r="I159" s="123">
        <f ca="1">SUM(I155:I158)</f>
        <v>728713.75712975999</v>
      </c>
      <c r="J159" s="381"/>
      <c r="K159" s="381"/>
      <c r="L159" s="381"/>
      <c r="M159" s="381"/>
      <c r="N159" s="381"/>
      <c r="O159" s="381"/>
      <c r="P159" s="381"/>
      <c r="Q159" s="381"/>
      <c r="R159" s="381"/>
      <c r="S159" s="381"/>
      <c r="T159" s="381"/>
      <c r="U159" s="381"/>
      <c r="V159" s="381"/>
      <c r="W159" s="381"/>
      <c r="X159" s="381"/>
      <c r="Y159" s="381"/>
      <c r="Z159" s="381"/>
      <c r="AA159" s="381"/>
      <c r="AB159" s="381"/>
      <c r="AC159" s="381"/>
      <c r="AD159" s="381"/>
      <c r="AE159" s="381"/>
      <c r="AF159" s="381"/>
      <c r="AG159" s="381"/>
      <c r="AH159" s="381"/>
      <c r="AI159" s="381"/>
      <c r="AJ159" s="381"/>
      <c r="AK159" s="381"/>
      <c r="AL159" s="381"/>
      <c r="AM159" s="381"/>
      <c r="AN159" s="381"/>
      <c r="AO159" s="381"/>
      <c r="AP159" s="381"/>
      <c r="AQ159" s="381"/>
      <c r="AR159" s="381"/>
      <c r="AS159" s="381"/>
      <c r="AT159" s="381"/>
      <c r="AU159" s="381"/>
      <c r="AV159" s="381"/>
      <c r="AW159" s="381"/>
      <c r="AX159" s="381"/>
      <c r="AY159" s="381"/>
      <c r="AZ159" s="381"/>
      <c r="BA159" s="381"/>
      <c r="BB159" s="381"/>
      <c r="BC159" s="381"/>
      <c r="BD159" s="381"/>
      <c r="BE159" s="381"/>
      <c r="BF159" s="381"/>
      <c r="BG159" s="381"/>
      <c r="BH159" s="381"/>
      <c r="BI159" s="381"/>
      <c r="BJ159" s="381"/>
      <c r="BK159" s="381"/>
      <c r="BL159" s="381"/>
      <c r="BM159" s="381"/>
      <c r="BN159" s="381"/>
      <c r="BO159" s="381"/>
      <c r="BP159" s="381"/>
      <c r="BQ159" s="381"/>
      <c r="BR159" s="381"/>
      <c r="BS159" s="381"/>
      <c r="BT159" s="381"/>
      <c r="BU159" s="381"/>
      <c r="BV159" s="381"/>
      <c r="BW159" s="381"/>
      <c r="BX159" s="381"/>
      <c r="BY159" s="381"/>
      <c r="BZ159" s="381"/>
      <c r="CA159" s="381"/>
      <c r="CB159" s="381"/>
      <c r="CC159" s="381"/>
      <c r="CD159" s="381"/>
      <c r="CE159" s="381"/>
      <c r="CF159" s="381"/>
      <c r="CG159" s="381"/>
      <c r="CH159" s="381"/>
      <c r="CI159" s="381"/>
      <c r="CJ159" s="381"/>
      <c r="CK159" s="381"/>
      <c r="CL159" s="381"/>
      <c r="CM159" s="381"/>
      <c r="CN159" s="381"/>
      <c r="CO159" s="381"/>
      <c r="CP159" s="381"/>
      <c r="CQ159" s="381"/>
      <c r="CR159" s="381"/>
      <c r="CS159" s="381"/>
      <c r="CT159" s="381"/>
      <c r="CU159" s="381"/>
      <c r="CV159" s="381"/>
      <c r="CW159" s="381"/>
      <c r="CX159" s="381"/>
      <c r="CY159" s="381"/>
      <c r="CZ159" s="381"/>
      <c r="DA159" s="381"/>
      <c r="DB159" s="381"/>
      <c r="DC159" s="381"/>
      <c r="DD159" s="381"/>
      <c r="DE159" s="381"/>
      <c r="DF159" s="381"/>
      <c r="DG159" s="381"/>
      <c r="DH159" s="381"/>
      <c r="DI159" s="381"/>
      <c r="DJ159" s="381"/>
      <c r="DK159" s="381"/>
      <c r="DL159" s="381"/>
      <c r="DM159" s="381"/>
      <c r="DN159" s="381"/>
      <c r="DO159" s="381"/>
      <c r="DP159" s="381"/>
      <c r="DQ159" s="381"/>
      <c r="DR159" s="381"/>
      <c r="DS159" s="381"/>
      <c r="DT159" s="381"/>
      <c r="DU159" s="381"/>
      <c r="DV159" s="381"/>
      <c r="DW159" s="381"/>
      <c r="DX159" s="381"/>
      <c r="DY159" s="381"/>
      <c r="DZ159" s="381"/>
      <c r="EA159" s="381"/>
      <c r="EB159" s="381"/>
      <c r="EC159" s="381"/>
      <c r="ED159" s="381"/>
      <c r="EE159" s="381"/>
      <c r="EF159" s="381"/>
      <c r="EG159" s="381"/>
      <c r="EH159" s="381"/>
      <c r="EI159" s="381"/>
      <c r="EJ159" s="381"/>
      <c r="EK159" s="381"/>
      <c r="EL159" s="381"/>
      <c r="EM159" s="381"/>
      <c r="EN159" s="381"/>
      <c r="EO159" s="381"/>
      <c r="EP159" s="24"/>
      <c r="EQ159" s="24"/>
      <c r="ER159" s="24"/>
      <c r="ES159" s="24"/>
      <c r="ET159" s="24"/>
      <c r="EU159" s="33"/>
      <c r="EV159" s="24"/>
      <c r="EW159" s="24"/>
      <c r="EX159" s="24"/>
      <c r="EY159" s="24"/>
      <c r="EZ159" s="24"/>
      <c r="FA159" s="24"/>
      <c r="FB159" s="24"/>
      <c r="FC159" s="24"/>
      <c r="FD159" s="24"/>
      <c r="FE159" s="24"/>
      <c r="FF159" s="24"/>
      <c r="FG159" s="24"/>
      <c r="FH159" s="24"/>
      <c r="FI159" s="24"/>
      <c r="FJ159" s="24"/>
      <c r="FK159" s="24"/>
      <c r="FL159" s="24"/>
      <c r="FM159" s="24"/>
      <c r="FN159" s="24"/>
      <c r="FO159" s="24"/>
      <c r="FP159" s="24"/>
      <c r="FQ159" s="24"/>
      <c r="FR159" s="24"/>
      <c r="FS159" s="24"/>
      <c r="FT159" s="24"/>
      <c r="FU159" s="24"/>
      <c r="FV159" s="24"/>
      <c r="FW159" s="24"/>
      <c r="FX159" s="24"/>
      <c r="FY159" s="24"/>
      <c r="FZ159" s="24"/>
      <c r="GA159" s="24"/>
      <c r="GB159" s="24"/>
      <c r="GC159" s="24"/>
      <c r="GD159" s="24"/>
      <c r="GE159" s="24"/>
      <c r="GF159" s="24"/>
      <c r="GG159" s="24"/>
      <c r="GH159" s="24"/>
      <c r="GI159" s="24"/>
      <c r="GJ159" s="24"/>
      <c r="GK159" s="24"/>
      <c r="GL159" s="24"/>
      <c r="GM159" s="24"/>
      <c r="GN159" s="24"/>
      <c r="GO159" s="24"/>
      <c r="GP159" s="24"/>
      <c r="GQ159" s="24"/>
      <c r="GR159" s="24"/>
      <c r="GS159" s="24"/>
      <c r="GT159" s="24"/>
      <c r="GU159" s="24"/>
      <c r="GV159" s="24"/>
      <c r="GW159" s="24"/>
      <c r="GX159" s="24"/>
      <c r="GY159" s="24"/>
      <c r="GZ159" s="24"/>
      <c r="HA159" s="24"/>
      <c r="HB159" s="24"/>
      <c r="HC159" s="24"/>
      <c r="HD159" s="24"/>
      <c r="HE159" s="24"/>
      <c r="HF159" s="24"/>
      <c r="HG159" s="24"/>
      <c r="HH159" s="24"/>
      <c r="HI159" s="24"/>
      <c r="HJ159" s="24"/>
      <c r="HK159" s="24"/>
      <c r="HL159" s="24"/>
      <c r="HM159" s="24"/>
      <c r="HN159" s="24"/>
      <c r="HO159" s="24"/>
      <c r="HP159" s="24"/>
      <c r="HQ159" s="24"/>
      <c r="HR159" s="24"/>
      <c r="HS159" s="24"/>
      <c r="HT159" s="24"/>
      <c r="HU159" s="24"/>
      <c r="HV159" s="24"/>
      <c r="HW159" s="24"/>
      <c r="HX159" s="24"/>
      <c r="HY159" s="24"/>
      <c r="HZ159" s="24"/>
      <c r="IA159" s="24"/>
      <c r="IB159" s="24"/>
      <c r="IC159" s="24"/>
      <c r="ID159" s="24"/>
      <c r="IE159" s="24"/>
      <c r="IF159" s="24"/>
      <c r="IG159" s="24"/>
      <c r="IH159" s="24"/>
      <c r="II159" s="24"/>
      <c r="IJ159" s="24"/>
      <c r="IK159" s="24"/>
      <c r="IL159" s="24"/>
      <c r="IM159" s="24"/>
      <c r="IN159" s="24"/>
      <c r="IO159" s="24"/>
      <c r="IP159" s="24"/>
      <c r="IQ159" s="24"/>
      <c r="IR159" s="24"/>
      <c r="IS159" s="24"/>
      <c r="IT159" s="24"/>
      <c r="IU159" s="24"/>
      <c r="IV159" s="24"/>
      <c r="IW159" s="24"/>
      <c r="IX159" s="24"/>
      <c r="IY159" s="24"/>
      <c r="IZ159" s="24"/>
      <c r="JA159" s="24"/>
      <c r="JB159" s="24"/>
      <c r="JC159" s="24"/>
      <c r="JD159" s="24"/>
      <c r="JE159" s="24"/>
      <c r="JF159" s="24"/>
      <c r="JG159" s="24"/>
      <c r="JH159" s="24"/>
      <c r="JI159" s="24"/>
      <c r="JJ159" s="24"/>
      <c r="JK159" s="24"/>
      <c r="JL159" s="24"/>
      <c r="JM159" s="24"/>
      <c r="JN159" s="24"/>
      <c r="JO159" s="24"/>
      <c r="JP159" s="24"/>
      <c r="JQ159" s="24"/>
      <c r="JR159" s="24"/>
      <c r="JS159" s="24"/>
      <c r="JT159" s="24"/>
      <c r="JU159" s="24"/>
      <c r="JV159" s="24"/>
      <c r="JW159" s="24"/>
      <c r="JX159" s="24"/>
    </row>
    <row r="160" spans="1:284" s="7" customFormat="1" ht="0.6" customHeight="1" x14ac:dyDescent="0.2">
      <c r="A160" s="406"/>
      <c r="B160" s="147" t="s">
        <v>315</v>
      </c>
      <c r="C160" s="120"/>
      <c r="D160" s="120"/>
      <c r="E160" s="179"/>
      <c r="F160" s="179"/>
      <c r="G160" s="123">
        <f>I108*Retail_Income_Include?</f>
        <v>0</v>
      </c>
      <c r="H160" s="123">
        <f ca="1">SUM(OFFSET($L108,0,Stabilization_1st_Month,1,12))*Retail_Income_Include?</f>
        <v>0</v>
      </c>
      <c r="I160" s="123">
        <f ca="1">MAX(SUM(OFFSET($L108,0,Timing_Reversion_Month,1,12)),H160)*Retail_Income_Include?</f>
        <v>0</v>
      </c>
      <c r="J160" s="381"/>
      <c r="K160" s="381"/>
      <c r="L160" s="381"/>
      <c r="M160" s="381"/>
      <c r="N160" s="381"/>
      <c r="O160" s="381"/>
      <c r="P160" s="381"/>
      <c r="Q160" s="381"/>
      <c r="R160" s="381"/>
      <c r="S160" s="381"/>
      <c r="T160" s="381"/>
      <c r="U160" s="381"/>
      <c r="V160" s="381"/>
      <c r="W160" s="381"/>
      <c r="X160" s="381"/>
      <c r="Y160" s="381"/>
      <c r="Z160" s="381"/>
      <c r="AA160" s="381"/>
      <c r="AB160" s="381"/>
      <c r="AC160" s="381"/>
      <c r="AD160" s="381"/>
      <c r="AE160" s="381"/>
      <c r="AF160" s="381"/>
      <c r="AG160" s="381"/>
      <c r="AH160" s="381"/>
      <c r="AI160" s="381"/>
      <c r="AJ160" s="381"/>
      <c r="AK160" s="381"/>
      <c r="AL160" s="381"/>
      <c r="AM160" s="381"/>
      <c r="AN160" s="381"/>
      <c r="AO160" s="381"/>
      <c r="AP160" s="381"/>
      <c r="AQ160" s="381"/>
      <c r="AR160" s="381"/>
      <c r="AS160" s="381"/>
      <c r="AT160" s="381"/>
      <c r="AU160" s="381"/>
      <c r="AV160" s="381"/>
      <c r="AW160" s="381"/>
      <c r="AX160" s="381"/>
      <c r="AY160" s="381"/>
      <c r="AZ160" s="381"/>
      <c r="BA160" s="381"/>
      <c r="BB160" s="381"/>
      <c r="BC160" s="381"/>
      <c r="BD160" s="381"/>
      <c r="BE160" s="381"/>
      <c r="BF160" s="381"/>
      <c r="BG160" s="381"/>
      <c r="BH160" s="381"/>
      <c r="BI160" s="381"/>
      <c r="BJ160" s="381"/>
      <c r="BK160" s="381"/>
      <c r="BL160" s="381"/>
      <c r="BM160" s="381"/>
      <c r="BN160" s="381"/>
      <c r="BO160" s="381"/>
      <c r="BP160" s="381"/>
      <c r="BQ160" s="381"/>
      <c r="BR160" s="381"/>
      <c r="BS160" s="381"/>
      <c r="BT160" s="381"/>
      <c r="BU160" s="381"/>
      <c r="BV160" s="381"/>
      <c r="BW160" s="381"/>
      <c r="BX160" s="381"/>
      <c r="BY160" s="381"/>
      <c r="BZ160" s="381"/>
      <c r="CA160" s="381"/>
      <c r="CB160" s="381"/>
      <c r="CC160" s="381"/>
      <c r="CD160" s="381"/>
      <c r="CE160" s="381"/>
      <c r="CF160" s="381"/>
      <c r="CG160" s="381"/>
      <c r="CH160" s="381"/>
      <c r="CI160" s="381"/>
      <c r="CJ160" s="381"/>
      <c r="CK160" s="381"/>
      <c r="CL160" s="381"/>
      <c r="CM160" s="381"/>
      <c r="CN160" s="381"/>
      <c r="CO160" s="381"/>
      <c r="CP160" s="381"/>
      <c r="CQ160" s="381"/>
      <c r="CR160" s="381"/>
      <c r="CS160" s="381"/>
      <c r="CT160" s="381"/>
      <c r="CU160" s="381"/>
      <c r="CV160" s="381"/>
      <c r="CW160" s="381"/>
      <c r="CX160" s="381"/>
      <c r="CY160" s="381"/>
      <c r="CZ160" s="381"/>
      <c r="DA160" s="381"/>
      <c r="DB160" s="381"/>
      <c r="DC160" s="381"/>
      <c r="DD160" s="381"/>
      <c r="DE160" s="381"/>
      <c r="DF160" s="381"/>
      <c r="DG160" s="381"/>
      <c r="DH160" s="381"/>
      <c r="DI160" s="381"/>
      <c r="DJ160" s="381"/>
      <c r="DK160" s="381"/>
      <c r="DL160" s="381"/>
      <c r="DM160" s="381"/>
      <c r="DN160" s="381"/>
      <c r="DO160" s="381"/>
      <c r="DP160" s="381"/>
      <c r="DQ160" s="381"/>
      <c r="DR160" s="381"/>
      <c r="DS160" s="381"/>
      <c r="DT160" s="381"/>
      <c r="DU160" s="381"/>
      <c r="DV160" s="381"/>
      <c r="DW160" s="381"/>
      <c r="DX160" s="381"/>
      <c r="DY160" s="381"/>
      <c r="DZ160" s="381"/>
      <c r="EA160" s="381"/>
      <c r="EB160" s="381"/>
      <c r="EC160" s="381"/>
      <c r="ED160" s="381"/>
      <c r="EE160" s="381"/>
      <c r="EF160" s="381"/>
      <c r="EG160" s="381"/>
      <c r="EH160" s="381"/>
      <c r="EI160" s="381"/>
      <c r="EJ160" s="381"/>
      <c r="EK160" s="381"/>
      <c r="EL160" s="381"/>
      <c r="EM160" s="381"/>
      <c r="EN160" s="381"/>
      <c r="EO160" s="381"/>
      <c r="EP160" s="24"/>
      <c r="EQ160" s="24"/>
      <c r="ER160" s="24"/>
      <c r="ES160" s="24"/>
      <c r="ET160" s="24"/>
      <c r="EU160" s="33"/>
      <c r="EV160" s="24"/>
      <c r="EW160" s="24"/>
      <c r="EX160" s="24"/>
      <c r="EY160" s="24"/>
      <c r="EZ160" s="24"/>
      <c r="FA160" s="24"/>
      <c r="FB160" s="24"/>
      <c r="FC160" s="24"/>
      <c r="FD160" s="24"/>
      <c r="FE160" s="24"/>
      <c r="FF160" s="24"/>
      <c r="FG160" s="24"/>
      <c r="FH160" s="24"/>
      <c r="FI160" s="24"/>
      <c r="FJ160" s="24"/>
      <c r="FK160" s="24"/>
      <c r="FL160" s="24"/>
      <c r="FM160" s="24"/>
      <c r="FN160" s="24"/>
      <c r="FO160" s="24"/>
      <c r="FP160" s="24"/>
      <c r="FQ160" s="24"/>
      <c r="FR160" s="24"/>
      <c r="FS160" s="24"/>
      <c r="FT160" s="24"/>
      <c r="FU160" s="24"/>
      <c r="FV160" s="24"/>
      <c r="FW160" s="24"/>
      <c r="FX160" s="24"/>
      <c r="FY160" s="24"/>
      <c r="FZ160" s="24"/>
      <c r="GA160" s="24"/>
      <c r="GB160" s="24"/>
      <c r="GC160" s="24"/>
      <c r="GD160" s="24"/>
      <c r="GE160" s="24"/>
      <c r="GF160" s="24"/>
      <c r="GG160" s="24"/>
      <c r="GH160" s="24"/>
      <c r="GI160" s="24"/>
      <c r="GJ160" s="24"/>
      <c r="GK160" s="24"/>
      <c r="GL160" s="24"/>
      <c r="GM160" s="24"/>
      <c r="GN160" s="24"/>
      <c r="GO160" s="24"/>
      <c r="GP160" s="24"/>
      <c r="GQ160" s="24"/>
      <c r="GR160" s="24"/>
      <c r="GS160" s="24"/>
      <c r="GT160" s="24"/>
      <c r="GU160" s="24"/>
      <c r="GV160" s="24"/>
      <c r="GW160" s="24"/>
      <c r="GX160" s="24"/>
      <c r="GY160" s="24"/>
      <c r="GZ160" s="24"/>
      <c r="HA160" s="24"/>
      <c r="HB160" s="24"/>
      <c r="HC160" s="24"/>
      <c r="HD160" s="24"/>
      <c r="HE160" s="24"/>
      <c r="HF160" s="24"/>
      <c r="HG160" s="24"/>
      <c r="HH160" s="24"/>
      <c r="HI160" s="24"/>
      <c r="HJ160" s="24"/>
      <c r="HK160" s="24"/>
      <c r="HL160" s="24"/>
      <c r="HM160" s="24"/>
      <c r="HN160" s="24"/>
      <c r="HO160" s="24"/>
      <c r="HP160" s="24"/>
      <c r="HQ160" s="24"/>
      <c r="HR160" s="24"/>
      <c r="HS160" s="24"/>
      <c r="HT160" s="24"/>
      <c r="HU160" s="24"/>
      <c r="HV160" s="24"/>
      <c r="HW160" s="24"/>
      <c r="HX160" s="24"/>
      <c r="HY160" s="24"/>
      <c r="HZ160" s="24"/>
      <c r="IA160" s="24"/>
      <c r="IB160" s="24"/>
      <c r="IC160" s="24"/>
      <c r="ID160" s="24"/>
      <c r="IE160" s="24"/>
      <c r="IF160" s="24"/>
      <c r="IG160" s="24"/>
      <c r="IH160" s="24"/>
      <c r="II160" s="24"/>
      <c r="IJ160" s="24"/>
      <c r="IK160" s="24"/>
      <c r="IL160" s="24"/>
      <c r="IM160" s="24"/>
      <c r="IN160" s="24"/>
      <c r="IO160" s="24"/>
      <c r="IP160" s="24"/>
      <c r="IQ160" s="24"/>
      <c r="IR160" s="24"/>
      <c r="IS160" s="24"/>
      <c r="IT160" s="24"/>
      <c r="IU160" s="24"/>
      <c r="IV160" s="24"/>
      <c r="IW160" s="24"/>
      <c r="IX160" s="24"/>
      <c r="IY160" s="24"/>
      <c r="IZ160" s="24"/>
      <c r="JA160" s="24"/>
      <c r="JB160" s="24"/>
      <c r="JC160" s="24"/>
      <c r="JD160" s="24"/>
      <c r="JE160" s="24"/>
      <c r="JF160" s="24"/>
      <c r="JG160" s="24"/>
      <c r="JH160" s="24"/>
      <c r="JI160" s="24"/>
      <c r="JJ160" s="24"/>
      <c r="JK160" s="24"/>
      <c r="JL160" s="24"/>
      <c r="JM160" s="24"/>
      <c r="JN160" s="24"/>
      <c r="JO160" s="24"/>
      <c r="JP160" s="24"/>
      <c r="JQ160" s="24"/>
      <c r="JR160" s="24"/>
      <c r="JS160" s="24"/>
      <c r="JT160" s="24"/>
      <c r="JU160" s="24"/>
      <c r="JV160" s="24"/>
      <c r="JW160" s="24"/>
      <c r="JX160" s="24"/>
    </row>
    <row r="161" spans="1:284" s="7" customFormat="1" x14ac:dyDescent="0.2">
      <c r="A161" s="406"/>
      <c r="B161" s="92" t="str">
        <f>B109</f>
        <v>TOTAL POTENTIAL INCOME</v>
      </c>
      <c r="C161" s="120"/>
      <c r="D161" s="120"/>
      <c r="E161" s="179"/>
      <c r="F161" s="179"/>
      <c r="G161" s="123">
        <f>+G159+G153+G160</f>
        <v>6430097.2800000003</v>
      </c>
      <c r="H161" s="123">
        <f ca="1">+H159+H153+H160</f>
        <v>6576532.5418919995</v>
      </c>
      <c r="I161" s="123">
        <f ca="1">+I159+I153+I160</f>
        <v>6773828.5181487594</v>
      </c>
      <c r="J161" s="381"/>
      <c r="K161" s="381"/>
      <c r="L161" s="381"/>
      <c r="M161" s="381"/>
      <c r="N161" s="381"/>
      <c r="O161" s="381"/>
      <c r="P161" s="381"/>
      <c r="Q161" s="381"/>
      <c r="R161" s="381"/>
      <c r="S161" s="381"/>
      <c r="T161" s="381"/>
      <c r="U161" s="381"/>
      <c r="V161" s="381"/>
      <c r="W161" s="381"/>
      <c r="X161" s="381"/>
      <c r="Y161" s="381"/>
      <c r="Z161" s="381"/>
      <c r="AA161" s="381"/>
      <c r="AB161" s="381"/>
      <c r="AC161" s="381"/>
      <c r="AD161" s="381"/>
      <c r="AE161" s="381"/>
      <c r="AF161" s="381"/>
      <c r="AG161" s="381"/>
      <c r="AH161" s="381"/>
      <c r="AI161" s="381"/>
      <c r="AJ161" s="381"/>
      <c r="AK161" s="381"/>
      <c r="AL161" s="381"/>
      <c r="AM161" s="381"/>
      <c r="AN161" s="381"/>
      <c r="AO161" s="381"/>
      <c r="AP161" s="381"/>
      <c r="AQ161" s="381"/>
      <c r="AR161" s="381"/>
      <c r="AS161" s="381"/>
      <c r="AT161" s="381"/>
      <c r="AU161" s="381"/>
      <c r="AV161" s="381"/>
      <c r="AW161" s="381"/>
      <c r="AX161" s="381"/>
      <c r="AY161" s="381"/>
      <c r="AZ161" s="381"/>
      <c r="BA161" s="381"/>
      <c r="BB161" s="381"/>
      <c r="BC161" s="381"/>
      <c r="BD161" s="381"/>
      <c r="BE161" s="381"/>
      <c r="BF161" s="381"/>
      <c r="BG161" s="381"/>
      <c r="BH161" s="381"/>
      <c r="BI161" s="381"/>
      <c r="BJ161" s="381"/>
      <c r="BK161" s="381"/>
      <c r="BL161" s="381"/>
      <c r="BM161" s="381"/>
      <c r="BN161" s="381"/>
      <c r="BO161" s="381"/>
      <c r="BP161" s="381"/>
      <c r="BQ161" s="381"/>
      <c r="BR161" s="381"/>
      <c r="BS161" s="381"/>
      <c r="BT161" s="381"/>
      <c r="BU161" s="381"/>
      <c r="BV161" s="381"/>
      <c r="BW161" s="381"/>
      <c r="BX161" s="381"/>
      <c r="BY161" s="381"/>
      <c r="BZ161" s="381"/>
      <c r="CA161" s="381"/>
      <c r="CB161" s="381"/>
      <c r="CC161" s="381"/>
      <c r="CD161" s="381"/>
      <c r="CE161" s="381"/>
      <c r="CF161" s="381"/>
      <c r="CG161" s="381"/>
      <c r="CH161" s="381"/>
      <c r="CI161" s="381"/>
      <c r="CJ161" s="381"/>
      <c r="CK161" s="381"/>
      <c r="CL161" s="381"/>
      <c r="CM161" s="381"/>
      <c r="CN161" s="381"/>
      <c r="CO161" s="381"/>
      <c r="CP161" s="381"/>
      <c r="CQ161" s="381"/>
      <c r="CR161" s="381"/>
      <c r="CS161" s="381"/>
      <c r="CT161" s="381"/>
      <c r="CU161" s="381"/>
      <c r="CV161" s="381"/>
      <c r="CW161" s="381"/>
      <c r="CX161" s="381"/>
      <c r="CY161" s="381"/>
      <c r="CZ161" s="381"/>
      <c r="DA161" s="381"/>
      <c r="DB161" s="381"/>
      <c r="DC161" s="381"/>
      <c r="DD161" s="381"/>
      <c r="DE161" s="381"/>
      <c r="DF161" s="381"/>
      <c r="DG161" s="381"/>
      <c r="DH161" s="381"/>
      <c r="DI161" s="381"/>
      <c r="DJ161" s="381"/>
      <c r="DK161" s="381"/>
      <c r="DL161" s="381"/>
      <c r="DM161" s="381"/>
      <c r="DN161" s="381"/>
      <c r="DO161" s="381"/>
      <c r="DP161" s="381"/>
      <c r="DQ161" s="381"/>
      <c r="DR161" s="381"/>
      <c r="DS161" s="381"/>
      <c r="DT161" s="381"/>
      <c r="DU161" s="381"/>
      <c r="DV161" s="381"/>
      <c r="DW161" s="381"/>
      <c r="DX161" s="381"/>
      <c r="DY161" s="381"/>
      <c r="DZ161" s="381"/>
      <c r="EA161" s="381"/>
      <c r="EB161" s="381"/>
      <c r="EC161" s="381"/>
      <c r="ED161" s="381"/>
      <c r="EE161" s="381"/>
      <c r="EF161" s="381"/>
      <c r="EG161" s="381"/>
      <c r="EH161" s="381"/>
      <c r="EI161" s="381"/>
      <c r="EJ161" s="381"/>
      <c r="EK161" s="381"/>
      <c r="EL161" s="381"/>
      <c r="EM161" s="381"/>
      <c r="EN161" s="381"/>
      <c r="EO161" s="381"/>
      <c r="EP161" s="24"/>
      <c r="EQ161" s="24"/>
      <c r="ER161" s="24"/>
      <c r="ES161" s="24"/>
      <c r="ET161" s="24"/>
      <c r="EU161" s="33"/>
      <c r="EV161" s="24"/>
      <c r="EW161" s="24"/>
      <c r="EX161" s="24"/>
      <c r="EY161" s="24"/>
      <c r="EZ161" s="24"/>
      <c r="FA161" s="24"/>
      <c r="FB161" s="24"/>
      <c r="FC161" s="24"/>
      <c r="FD161" s="24"/>
      <c r="FE161" s="24"/>
      <c r="FF161" s="24"/>
      <c r="FG161" s="24"/>
      <c r="FH161" s="24"/>
      <c r="FI161" s="24"/>
      <c r="FJ161" s="24"/>
      <c r="FK161" s="24"/>
      <c r="FL161" s="24"/>
      <c r="FM161" s="24"/>
      <c r="FN161" s="24"/>
      <c r="FO161" s="24"/>
      <c r="FP161" s="24"/>
      <c r="FQ161" s="24"/>
      <c r="FR161" s="24"/>
      <c r="FS161" s="24"/>
      <c r="FT161" s="24"/>
      <c r="FU161" s="24"/>
      <c r="FV161" s="24"/>
      <c r="FW161" s="24"/>
      <c r="FX161" s="24"/>
      <c r="FY161" s="24"/>
      <c r="FZ161" s="24"/>
      <c r="GA161" s="24"/>
      <c r="GB161" s="24"/>
      <c r="GC161" s="24"/>
      <c r="GD161" s="24"/>
      <c r="GE161" s="24"/>
      <c r="GF161" s="24"/>
      <c r="GG161" s="24"/>
      <c r="GH161" s="24"/>
      <c r="GI161" s="24"/>
      <c r="GJ161" s="24"/>
      <c r="GK161" s="24"/>
      <c r="GL161" s="24"/>
      <c r="GM161" s="24"/>
      <c r="GN161" s="24"/>
      <c r="GO161" s="24"/>
      <c r="GP161" s="24"/>
      <c r="GQ161" s="24"/>
      <c r="GR161" s="24"/>
      <c r="GS161" s="24"/>
      <c r="GT161" s="24"/>
      <c r="GU161" s="24"/>
      <c r="GV161" s="24"/>
      <c r="GW161" s="24"/>
      <c r="GX161" s="24"/>
      <c r="GY161" s="24"/>
      <c r="GZ161" s="24"/>
      <c r="HA161" s="24"/>
      <c r="HB161" s="24"/>
      <c r="HC161" s="24"/>
      <c r="HD161" s="24"/>
      <c r="HE161" s="24"/>
      <c r="HF161" s="24"/>
      <c r="HG161" s="24"/>
      <c r="HH161" s="24"/>
      <c r="HI161" s="24"/>
      <c r="HJ161" s="24"/>
      <c r="HK161" s="24"/>
      <c r="HL161" s="24"/>
      <c r="HM161" s="24"/>
      <c r="HN161" s="24"/>
      <c r="HO161" s="24"/>
      <c r="HP161" s="24"/>
      <c r="HQ161" s="24"/>
      <c r="HR161" s="24"/>
      <c r="HS161" s="24"/>
      <c r="HT161" s="24"/>
      <c r="HU161" s="24"/>
      <c r="HV161" s="24"/>
      <c r="HW161" s="24"/>
      <c r="HX161" s="24"/>
      <c r="HY161" s="24"/>
      <c r="HZ161" s="24"/>
      <c r="IA161" s="24"/>
      <c r="IB161" s="24"/>
      <c r="IC161" s="24"/>
      <c r="ID161" s="24"/>
      <c r="IE161" s="24"/>
      <c r="IF161" s="24"/>
      <c r="IG161" s="24"/>
      <c r="IH161" s="24"/>
      <c r="II161" s="24"/>
      <c r="IJ161" s="24"/>
      <c r="IK161" s="24"/>
      <c r="IL161" s="24"/>
      <c r="IM161" s="24"/>
      <c r="IN161" s="24"/>
      <c r="IO161" s="24"/>
      <c r="IP161" s="24"/>
      <c r="IQ161" s="24"/>
      <c r="IR161" s="24"/>
      <c r="IS161" s="24"/>
      <c r="IT161" s="24"/>
      <c r="IU161" s="24"/>
      <c r="IV161" s="24"/>
      <c r="IW161" s="24"/>
      <c r="IX161" s="24"/>
      <c r="IY161" s="24"/>
      <c r="IZ161" s="24"/>
      <c r="JA161" s="24"/>
      <c r="JB161" s="24"/>
      <c r="JC161" s="24"/>
      <c r="JD161" s="24"/>
      <c r="JE161" s="24"/>
      <c r="JF161" s="24"/>
      <c r="JG161" s="24"/>
      <c r="JH161" s="24"/>
      <c r="JI161" s="24"/>
      <c r="JJ161" s="24"/>
      <c r="JK161" s="24"/>
      <c r="JL161" s="24"/>
      <c r="JM161" s="24"/>
      <c r="JN161" s="24"/>
      <c r="JO161" s="24"/>
      <c r="JP161" s="24"/>
      <c r="JQ161" s="24"/>
      <c r="JR161" s="24"/>
      <c r="JS161" s="24"/>
      <c r="JT161" s="24"/>
      <c r="JU161" s="24"/>
      <c r="JV161" s="24"/>
      <c r="JW161" s="24"/>
      <c r="JX161" s="24"/>
    </row>
    <row r="162" spans="1:284" s="7" customFormat="1" ht="16.5" x14ac:dyDescent="0.35">
      <c r="A162" s="406"/>
      <c r="B162" s="147" t="str">
        <f>B110</f>
        <v>- General Vacancy and Credit Loss</v>
      </c>
      <c r="C162" s="120"/>
      <c r="D162" s="120"/>
      <c r="E162" s="179"/>
      <c r="F162" s="179"/>
      <c r="G162" s="131">
        <f>I110</f>
        <v>-321504.86400000006</v>
      </c>
      <c r="H162" s="131">
        <f ca="1">SUM(OFFSET($L110,0,Stabilization_1st_Month,1,12))</f>
        <v>-328826.62709459994</v>
      </c>
      <c r="I162" s="177">
        <f ca="1">MIN(SUM(OFFSET($L110,0,Timing_Reversion_Month,1,12)),H162)</f>
        <v>-338691.42590743804</v>
      </c>
      <c r="J162" s="381"/>
      <c r="K162" s="381"/>
      <c r="L162" s="381"/>
      <c r="M162" s="381"/>
      <c r="N162" s="381"/>
      <c r="O162" s="381"/>
      <c r="P162" s="381"/>
      <c r="Q162" s="381"/>
      <c r="R162" s="381"/>
      <c r="S162" s="381"/>
      <c r="T162" s="381"/>
      <c r="U162" s="381"/>
      <c r="V162" s="381"/>
      <c r="W162" s="381"/>
      <c r="X162" s="381"/>
      <c r="Y162" s="381"/>
      <c r="Z162" s="381"/>
      <c r="AA162" s="381"/>
      <c r="AB162" s="381"/>
      <c r="AC162" s="381"/>
      <c r="AD162" s="381"/>
      <c r="AE162" s="381"/>
      <c r="AF162" s="381"/>
      <c r="AG162" s="381"/>
      <c r="AH162" s="381"/>
      <c r="AI162" s="381"/>
      <c r="AJ162" s="381"/>
      <c r="AK162" s="381"/>
      <c r="AL162" s="381"/>
      <c r="AM162" s="381"/>
      <c r="AN162" s="381"/>
      <c r="AO162" s="381"/>
      <c r="AP162" s="381"/>
      <c r="AQ162" s="381"/>
      <c r="AR162" s="381"/>
      <c r="AS162" s="381"/>
      <c r="AT162" s="381"/>
      <c r="AU162" s="381"/>
      <c r="AV162" s="381"/>
      <c r="AW162" s="381"/>
      <c r="AX162" s="381"/>
      <c r="AY162" s="381"/>
      <c r="AZ162" s="381"/>
      <c r="BA162" s="381"/>
      <c r="BB162" s="381"/>
      <c r="BC162" s="381"/>
      <c r="BD162" s="381"/>
      <c r="BE162" s="381"/>
      <c r="BF162" s="381"/>
      <c r="BG162" s="381"/>
      <c r="BH162" s="381"/>
      <c r="BI162" s="381"/>
      <c r="BJ162" s="381"/>
      <c r="BK162" s="381"/>
      <c r="BL162" s="381"/>
      <c r="BM162" s="381"/>
      <c r="BN162" s="381"/>
      <c r="BO162" s="381"/>
      <c r="BP162" s="381"/>
      <c r="BQ162" s="381"/>
      <c r="BR162" s="381"/>
      <c r="BS162" s="381"/>
      <c r="BT162" s="381"/>
      <c r="BU162" s="381"/>
      <c r="BV162" s="381"/>
      <c r="BW162" s="381"/>
      <c r="BX162" s="381"/>
      <c r="BY162" s="381"/>
      <c r="BZ162" s="381"/>
      <c r="CA162" s="381"/>
      <c r="CB162" s="381"/>
      <c r="CC162" s="381"/>
      <c r="CD162" s="381"/>
      <c r="CE162" s="381"/>
      <c r="CF162" s="381"/>
      <c r="CG162" s="381"/>
      <c r="CH162" s="381"/>
      <c r="CI162" s="381"/>
      <c r="CJ162" s="381"/>
      <c r="CK162" s="381"/>
      <c r="CL162" s="381"/>
      <c r="CM162" s="381"/>
      <c r="CN162" s="381"/>
      <c r="CO162" s="381"/>
      <c r="CP162" s="381"/>
      <c r="CQ162" s="381"/>
      <c r="CR162" s="381"/>
      <c r="CS162" s="381"/>
      <c r="CT162" s="381"/>
      <c r="CU162" s="381"/>
      <c r="CV162" s="381"/>
      <c r="CW162" s="381"/>
      <c r="CX162" s="381"/>
      <c r="CY162" s="381"/>
      <c r="CZ162" s="381"/>
      <c r="DA162" s="381"/>
      <c r="DB162" s="381"/>
      <c r="DC162" s="381"/>
      <c r="DD162" s="381"/>
      <c r="DE162" s="381"/>
      <c r="DF162" s="381"/>
      <c r="DG162" s="381"/>
      <c r="DH162" s="381"/>
      <c r="DI162" s="381"/>
      <c r="DJ162" s="381"/>
      <c r="DK162" s="381"/>
      <c r="DL162" s="381"/>
      <c r="DM162" s="381"/>
      <c r="DN162" s="381"/>
      <c r="DO162" s="381"/>
      <c r="DP162" s="381"/>
      <c r="DQ162" s="381"/>
      <c r="DR162" s="381"/>
      <c r="DS162" s="381"/>
      <c r="DT162" s="381"/>
      <c r="DU162" s="381"/>
      <c r="DV162" s="381"/>
      <c r="DW162" s="381"/>
      <c r="DX162" s="381"/>
      <c r="DY162" s="381"/>
      <c r="DZ162" s="381"/>
      <c r="EA162" s="381"/>
      <c r="EB162" s="381"/>
      <c r="EC162" s="381"/>
      <c r="ED162" s="381"/>
      <c r="EE162" s="381"/>
      <c r="EF162" s="381"/>
      <c r="EG162" s="381"/>
      <c r="EH162" s="381"/>
      <c r="EI162" s="381"/>
      <c r="EJ162" s="381"/>
      <c r="EK162" s="381"/>
      <c r="EL162" s="381"/>
      <c r="EM162" s="381"/>
      <c r="EN162" s="381"/>
      <c r="EO162" s="381"/>
      <c r="EP162" s="24"/>
      <c r="EQ162" s="24"/>
      <c r="ER162" s="24"/>
      <c r="ES162" s="24"/>
      <c r="ET162" s="24"/>
      <c r="EU162" s="33"/>
      <c r="EV162" s="24"/>
      <c r="EW162" s="24"/>
      <c r="EX162" s="24"/>
      <c r="EY162" s="24"/>
      <c r="EZ162" s="24"/>
      <c r="FA162" s="24"/>
      <c r="FB162" s="24"/>
      <c r="FC162" s="24"/>
      <c r="FD162" s="24"/>
      <c r="FE162" s="24"/>
      <c r="FF162" s="24"/>
      <c r="FG162" s="24"/>
      <c r="FH162" s="24"/>
      <c r="FI162" s="24"/>
      <c r="FJ162" s="24"/>
      <c r="FK162" s="24"/>
      <c r="FL162" s="24"/>
      <c r="FM162" s="24"/>
      <c r="FN162" s="24"/>
      <c r="FO162" s="24"/>
      <c r="FP162" s="24"/>
      <c r="FQ162" s="24"/>
      <c r="FR162" s="24"/>
      <c r="FS162" s="24"/>
      <c r="FT162" s="24"/>
      <c r="FU162" s="24"/>
      <c r="FV162" s="24"/>
      <c r="FW162" s="24"/>
      <c r="FX162" s="24"/>
      <c r="FY162" s="24"/>
      <c r="FZ162" s="24"/>
      <c r="GA162" s="24"/>
      <c r="GB162" s="24"/>
      <c r="GC162" s="24"/>
      <c r="GD162" s="24"/>
      <c r="GE162" s="24"/>
      <c r="GF162" s="24"/>
      <c r="GG162" s="24"/>
      <c r="GH162" s="24"/>
      <c r="GI162" s="24"/>
      <c r="GJ162" s="24"/>
      <c r="GK162" s="24"/>
      <c r="GL162" s="24"/>
      <c r="GM162" s="24"/>
      <c r="GN162" s="24"/>
      <c r="GO162" s="24"/>
      <c r="GP162" s="24"/>
      <c r="GQ162" s="24"/>
      <c r="GR162" s="24"/>
      <c r="GS162" s="24"/>
      <c r="GT162" s="24"/>
      <c r="GU162" s="24"/>
      <c r="GV162" s="24"/>
      <c r="GW162" s="24"/>
      <c r="GX162" s="24"/>
      <c r="GY162" s="24"/>
      <c r="GZ162" s="24"/>
      <c r="HA162" s="24"/>
      <c r="HB162" s="24"/>
      <c r="HC162" s="24"/>
      <c r="HD162" s="24"/>
      <c r="HE162" s="24"/>
      <c r="HF162" s="24"/>
      <c r="HG162" s="24"/>
      <c r="HH162" s="24"/>
      <c r="HI162" s="24"/>
      <c r="HJ162" s="24"/>
      <c r="HK162" s="24"/>
      <c r="HL162" s="24"/>
      <c r="HM162" s="24"/>
      <c r="HN162" s="24"/>
      <c r="HO162" s="24"/>
      <c r="HP162" s="24"/>
      <c r="HQ162" s="24"/>
      <c r="HR162" s="24"/>
      <c r="HS162" s="24"/>
      <c r="HT162" s="24"/>
      <c r="HU162" s="24"/>
      <c r="HV162" s="24"/>
      <c r="HW162" s="24"/>
      <c r="HX162" s="24"/>
      <c r="HY162" s="24"/>
      <c r="HZ162" s="24"/>
      <c r="IA162" s="24"/>
      <c r="IB162" s="24"/>
      <c r="IC162" s="24"/>
      <c r="ID162" s="24"/>
      <c r="IE162" s="24"/>
      <c r="IF162" s="24"/>
      <c r="IG162" s="24"/>
      <c r="IH162" s="24"/>
      <c r="II162" s="24"/>
      <c r="IJ162" s="24"/>
      <c r="IK162" s="24"/>
      <c r="IL162" s="24"/>
      <c r="IM162" s="24"/>
      <c r="IN162" s="24"/>
      <c r="IO162" s="24"/>
      <c r="IP162" s="24"/>
      <c r="IQ162" s="24"/>
      <c r="IR162" s="24"/>
      <c r="IS162" s="24"/>
      <c r="IT162" s="24"/>
      <c r="IU162" s="24"/>
      <c r="IV162" s="24"/>
      <c r="IW162" s="24"/>
      <c r="IX162" s="24"/>
      <c r="IY162" s="24"/>
      <c r="IZ162" s="24"/>
      <c r="JA162" s="24"/>
      <c r="JB162" s="24"/>
      <c r="JC162" s="24"/>
      <c r="JD162" s="24"/>
      <c r="JE162" s="24"/>
      <c r="JF162" s="24"/>
      <c r="JG162" s="24"/>
      <c r="JH162" s="24"/>
      <c r="JI162" s="24"/>
      <c r="JJ162" s="24"/>
      <c r="JK162" s="24"/>
      <c r="JL162" s="24"/>
      <c r="JM162" s="24"/>
      <c r="JN162" s="24"/>
      <c r="JO162" s="24"/>
      <c r="JP162" s="24"/>
      <c r="JQ162" s="24"/>
      <c r="JR162" s="24"/>
      <c r="JS162" s="24"/>
      <c r="JT162" s="24"/>
      <c r="JU162" s="24"/>
      <c r="JV162" s="24"/>
      <c r="JW162" s="24"/>
      <c r="JX162" s="24"/>
    </row>
    <row r="163" spans="1:284" s="7" customFormat="1" x14ac:dyDescent="0.2">
      <c r="A163" s="406"/>
      <c r="B163" s="92" t="str">
        <f>B111</f>
        <v>EFFECTIVE GROSS REVENUE</v>
      </c>
      <c r="C163" s="120"/>
      <c r="D163" s="120"/>
      <c r="E163" s="179"/>
      <c r="F163" s="179"/>
      <c r="G163" s="123">
        <f>+G161+G162</f>
        <v>6108592.4160000002</v>
      </c>
      <c r="H163" s="123">
        <f ca="1">+H161+H162</f>
        <v>6247705.9147973992</v>
      </c>
      <c r="I163" s="123">
        <f ca="1">+I161+I162</f>
        <v>6435137.0922413217</v>
      </c>
      <c r="J163" s="381"/>
      <c r="K163" s="381"/>
      <c r="L163" s="381"/>
      <c r="M163" s="381"/>
      <c r="N163" s="381"/>
      <c r="O163" s="381"/>
      <c r="P163" s="381"/>
      <c r="Q163" s="381"/>
      <c r="R163" s="381"/>
      <c r="S163" s="381"/>
      <c r="T163" s="381"/>
      <c r="U163" s="381"/>
      <c r="V163" s="381"/>
      <c r="W163" s="381"/>
      <c r="X163" s="381"/>
      <c r="Y163" s="381"/>
      <c r="Z163" s="381"/>
      <c r="AA163" s="381"/>
      <c r="AB163" s="381"/>
      <c r="AC163" s="381"/>
      <c r="AD163" s="381"/>
      <c r="AE163" s="381"/>
      <c r="AF163" s="381"/>
      <c r="AG163" s="381"/>
      <c r="AH163" s="381"/>
      <c r="AI163" s="381"/>
      <c r="AJ163" s="381"/>
      <c r="AK163" s="381"/>
      <c r="AL163" s="381"/>
      <c r="AM163" s="381"/>
      <c r="AN163" s="381"/>
      <c r="AO163" s="381"/>
      <c r="AP163" s="381"/>
      <c r="AQ163" s="381"/>
      <c r="AR163" s="381"/>
      <c r="AS163" s="381"/>
      <c r="AT163" s="381"/>
      <c r="AU163" s="381"/>
      <c r="AV163" s="381"/>
      <c r="AW163" s="381"/>
      <c r="AX163" s="381"/>
      <c r="AY163" s="381"/>
      <c r="AZ163" s="381"/>
      <c r="BA163" s="381"/>
      <c r="BB163" s="381"/>
      <c r="BC163" s="381"/>
      <c r="BD163" s="381"/>
      <c r="BE163" s="381"/>
      <c r="BF163" s="381"/>
      <c r="BG163" s="381"/>
      <c r="BH163" s="381"/>
      <c r="BI163" s="381"/>
      <c r="BJ163" s="381"/>
      <c r="BK163" s="381"/>
      <c r="BL163" s="381"/>
      <c r="BM163" s="381"/>
      <c r="BN163" s="381"/>
      <c r="BO163" s="381"/>
      <c r="BP163" s="381"/>
      <c r="BQ163" s="381"/>
      <c r="BR163" s="381"/>
      <c r="BS163" s="381"/>
      <c r="BT163" s="381"/>
      <c r="BU163" s="381"/>
      <c r="BV163" s="381"/>
      <c r="BW163" s="381"/>
      <c r="BX163" s="381"/>
      <c r="BY163" s="381"/>
      <c r="BZ163" s="381"/>
      <c r="CA163" s="381"/>
      <c r="CB163" s="381"/>
      <c r="CC163" s="381"/>
      <c r="CD163" s="381"/>
      <c r="CE163" s="381"/>
      <c r="CF163" s="381"/>
      <c r="CG163" s="381"/>
      <c r="CH163" s="381"/>
      <c r="CI163" s="381"/>
      <c r="CJ163" s="381"/>
      <c r="CK163" s="381"/>
      <c r="CL163" s="381"/>
      <c r="CM163" s="381"/>
      <c r="CN163" s="381"/>
      <c r="CO163" s="381"/>
      <c r="CP163" s="381"/>
      <c r="CQ163" s="381"/>
      <c r="CR163" s="381"/>
      <c r="CS163" s="381"/>
      <c r="CT163" s="381"/>
      <c r="CU163" s="381"/>
      <c r="CV163" s="381"/>
      <c r="CW163" s="381"/>
      <c r="CX163" s="381"/>
      <c r="CY163" s="381"/>
      <c r="CZ163" s="381"/>
      <c r="DA163" s="381"/>
      <c r="DB163" s="381"/>
      <c r="DC163" s="381"/>
      <c r="DD163" s="381"/>
      <c r="DE163" s="381"/>
      <c r="DF163" s="381"/>
      <c r="DG163" s="381"/>
      <c r="DH163" s="381"/>
      <c r="DI163" s="381"/>
      <c r="DJ163" s="381"/>
      <c r="DK163" s="381"/>
      <c r="DL163" s="381"/>
      <c r="DM163" s="381"/>
      <c r="DN163" s="381"/>
      <c r="DO163" s="381"/>
      <c r="DP163" s="381"/>
      <c r="DQ163" s="381"/>
      <c r="DR163" s="381"/>
      <c r="DS163" s="381"/>
      <c r="DT163" s="381"/>
      <c r="DU163" s="381"/>
      <c r="DV163" s="381"/>
      <c r="DW163" s="381"/>
      <c r="DX163" s="381"/>
      <c r="DY163" s="381"/>
      <c r="DZ163" s="381"/>
      <c r="EA163" s="381"/>
      <c r="EB163" s="381"/>
      <c r="EC163" s="381"/>
      <c r="ED163" s="381"/>
      <c r="EE163" s="381"/>
      <c r="EF163" s="381"/>
      <c r="EG163" s="381"/>
      <c r="EH163" s="381"/>
      <c r="EI163" s="381"/>
      <c r="EJ163" s="381"/>
      <c r="EK163" s="381"/>
      <c r="EL163" s="381"/>
      <c r="EM163" s="381"/>
      <c r="EN163" s="381"/>
      <c r="EO163" s="381"/>
      <c r="EP163" s="24"/>
      <c r="EQ163" s="24"/>
      <c r="ER163" s="24"/>
      <c r="ES163" s="24"/>
      <c r="ET163" s="24"/>
      <c r="EU163" s="33"/>
      <c r="EV163" s="24"/>
      <c r="EW163" s="24"/>
      <c r="EX163" s="24"/>
      <c r="EY163" s="24"/>
      <c r="EZ163" s="24"/>
      <c r="FA163" s="24"/>
      <c r="FB163" s="24"/>
      <c r="FC163" s="24"/>
      <c r="FD163" s="24"/>
      <c r="FE163" s="24"/>
      <c r="FF163" s="24"/>
      <c r="FG163" s="24"/>
      <c r="FH163" s="24"/>
      <c r="FI163" s="24"/>
      <c r="FJ163" s="24"/>
      <c r="FK163" s="24"/>
      <c r="FL163" s="24"/>
      <c r="FM163" s="24"/>
      <c r="FN163" s="24"/>
      <c r="FO163" s="24"/>
      <c r="FP163" s="24"/>
      <c r="FQ163" s="24"/>
      <c r="FR163" s="24"/>
      <c r="FS163" s="24"/>
      <c r="FT163" s="24"/>
      <c r="FU163" s="24"/>
      <c r="FV163" s="24"/>
      <c r="FW163" s="24"/>
      <c r="FX163" s="24"/>
      <c r="FY163" s="24"/>
      <c r="FZ163" s="24"/>
      <c r="GA163" s="24"/>
      <c r="GB163" s="24"/>
      <c r="GC163" s="24"/>
      <c r="GD163" s="24"/>
      <c r="GE163" s="24"/>
      <c r="GF163" s="24"/>
      <c r="GG163" s="24"/>
      <c r="GH163" s="24"/>
      <c r="GI163" s="24"/>
      <c r="GJ163" s="24"/>
      <c r="GK163" s="24"/>
      <c r="GL163" s="24"/>
      <c r="GM163" s="24"/>
      <c r="GN163" s="24"/>
      <c r="GO163" s="24"/>
      <c r="GP163" s="24"/>
      <c r="GQ163" s="24"/>
      <c r="GR163" s="24"/>
      <c r="GS163" s="24"/>
      <c r="GT163" s="24"/>
      <c r="GU163" s="24"/>
      <c r="GV163" s="24"/>
      <c r="GW163" s="24"/>
      <c r="GX163" s="24"/>
      <c r="GY163" s="24"/>
      <c r="GZ163" s="24"/>
      <c r="HA163" s="24"/>
      <c r="HB163" s="24"/>
      <c r="HC163" s="24"/>
      <c r="HD163" s="24"/>
      <c r="HE163" s="24"/>
      <c r="HF163" s="24"/>
      <c r="HG163" s="24"/>
      <c r="HH163" s="24"/>
      <c r="HI163" s="24"/>
      <c r="HJ163" s="24"/>
      <c r="HK163" s="24"/>
      <c r="HL163" s="24"/>
      <c r="HM163" s="24"/>
      <c r="HN163" s="24"/>
      <c r="HO163" s="24"/>
      <c r="HP163" s="24"/>
      <c r="HQ163" s="24"/>
      <c r="HR163" s="24"/>
      <c r="HS163" s="24"/>
      <c r="HT163" s="24"/>
      <c r="HU163" s="24"/>
      <c r="HV163" s="24"/>
      <c r="HW163" s="24"/>
      <c r="HX163" s="24"/>
      <c r="HY163" s="24"/>
      <c r="HZ163" s="24"/>
      <c r="IA163" s="24"/>
      <c r="IB163" s="24"/>
      <c r="IC163" s="24"/>
      <c r="ID163" s="24"/>
      <c r="IE163" s="24"/>
      <c r="IF163" s="24"/>
      <c r="IG163" s="24"/>
      <c r="IH163" s="24"/>
      <c r="II163" s="24"/>
      <c r="IJ163" s="24"/>
      <c r="IK163" s="24"/>
      <c r="IL163" s="24"/>
      <c r="IM163" s="24"/>
      <c r="IN163" s="24"/>
      <c r="IO163" s="24"/>
      <c r="IP163" s="24"/>
      <c r="IQ163" s="24"/>
      <c r="IR163" s="24"/>
      <c r="IS163" s="24"/>
      <c r="IT163" s="24"/>
      <c r="IU163" s="24"/>
      <c r="IV163" s="24"/>
      <c r="IW163" s="24"/>
      <c r="IX163" s="24"/>
      <c r="IY163" s="24"/>
      <c r="IZ163" s="24"/>
      <c r="JA163" s="24"/>
      <c r="JB163" s="24"/>
      <c r="JC163" s="24"/>
      <c r="JD163" s="24"/>
      <c r="JE163" s="24"/>
      <c r="JF163" s="24"/>
      <c r="JG163" s="24"/>
      <c r="JH163" s="24"/>
      <c r="JI163" s="24"/>
      <c r="JJ163" s="24"/>
      <c r="JK163" s="24"/>
      <c r="JL163" s="24"/>
      <c r="JM163" s="24"/>
      <c r="JN163" s="24"/>
      <c r="JO163" s="24"/>
      <c r="JP163" s="24"/>
      <c r="JQ163" s="24"/>
      <c r="JR163" s="24"/>
      <c r="JS163" s="24"/>
      <c r="JT163" s="24"/>
      <c r="JU163" s="24"/>
      <c r="JV163" s="24"/>
      <c r="JW163" s="24"/>
      <c r="JX163" s="24"/>
    </row>
    <row r="164" spans="1:284" s="7" customFormat="1" ht="4.9000000000000004" customHeight="1" x14ac:dyDescent="0.2">
      <c r="A164" s="406"/>
      <c r="B164" s="92"/>
      <c r="C164" s="120"/>
      <c r="D164" s="120"/>
      <c r="E164" s="179"/>
      <c r="F164" s="179"/>
      <c r="G164" s="123"/>
      <c r="H164" s="123"/>
      <c r="I164" s="123"/>
      <c r="J164" s="381"/>
      <c r="K164" s="381"/>
      <c r="L164" s="381"/>
      <c r="M164" s="381"/>
      <c r="N164" s="381"/>
      <c r="O164" s="381"/>
      <c r="P164" s="381"/>
      <c r="Q164" s="381"/>
      <c r="R164" s="381"/>
      <c r="S164" s="381"/>
      <c r="T164" s="381"/>
      <c r="U164" s="381"/>
      <c r="V164" s="381"/>
      <c r="W164" s="381"/>
      <c r="X164" s="381"/>
      <c r="Y164" s="381"/>
      <c r="Z164" s="381"/>
      <c r="AA164" s="381"/>
      <c r="AB164" s="381"/>
      <c r="AC164" s="381"/>
      <c r="AD164" s="381"/>
      <c r="AE164" s="381"/>
      <c r="AF164" s="381"/>
      <c r="AG164" s="381"/>
      <c r="AH164" s="381"/>
      <c r="AI164" s="381"/>
      <c r="AJ164" s="381"/>
      <c r="AK164" s="381"/>
      <c r="AL164" s="381"/>
      <c r="AM164" s="381"/>
      <c r="AN164" s="381"/>
      <c r="AO164" s="381"/>
      <c r="AP164" s="381"/>
      <c r="AQ164" s="381"/>
      <c r="AR164" s="381"/>
      <c r="AS164" s="381"/>
      <c r="AT164" s="381"/>
      <c r="AU164" s="381"/>
      <c r="AV164" s="381"/>
      <c r="AW164" s="381"/>
      <c r="AX164" s="381"/>
      <c r="AY164" s="381"/>
      <c r="AZ164" s="381"/>
      <c r="BA164" s="381"/>
      <c r="BB164" s="381"/>
      <c r="BC164" s="381"/>
      <c r="BD164" s="381"/>
      <c r="BE164" s="381"/>
      <c r="BF164" s="381"/>
      <c r="BG164" s="381"/>
      <c r="BH164" s="381"/>
      <c r="BI164" s="381"/>
      <c r="BJ164" s="381"/>
      <c r="BK164" s="381"/>
      <c r="BL164" s="381"/>
      <c r="BM164" s="381"/>
      <c r="BN164" s="381"/>
      <c r="BO164" s="381"/>
      <c r="BP164" s="381"/>
      <c r="BQ164" s="381"/>
      <c r="BR164" s="381"/>
      <c r="BS164" s="381"/>
      <c r="BT164" s="381"/>
      <c r="BU164" s="381"/>
      <c r="BV164" s="381"/>
      <c r="BW164" s="381"/>
      <c r="BX164" s="381"/>
      <c r="BY164" s="381"/>
      <c r="BZ164" s="381"/>
      <c r="CA164" s="381"/>
      <c r="CB164" s="381"/>
      <c r="CC164" s="381"/>
      <c r="CD164" s="381"/>
      <c r="CE164" s="381"/>
      <c r="CF164" s="381"/>
      <c r="CG164" s="381"/>
      <c r="CH164" s="381"/>
      <c r="CI164" s="381"/>
      <c r="CJ164" s="381"/>
      <c r="CK164" s="381"/>
      <c r="CL164" s="381"/>
      <c r="CM164" s="381"/>
      <c r="CN164" s="381"/>
      <c r="CO164" s="381"/>
      <c r="CP164" s="381"/>
      <c r="CQ164" s="381"/>
      <c r="CR164" s="381"/>
      <c r="CS164" s="381"/>
      <c r="CT164" s="381"/>
      <c r="CU164" s="381"/>
      <c r="CV164" s="381"/>
      <c r="CW164" s="381"/>
      <c r="CX164" s="381"/>
      <c r="CY164" s="381"/>
      <c r="CZ164" s="381"/>
      <c r="DA164" s="381"/>
      <c r="DB164" s="381"/>
      <c r="DC164" s="381"/>
      <c r="DD164" s="381"/>
      <c r="DE164" s="381"/>
      <c r="DF164" s="381"/>
      <c r="DG164" s="381"/>
      <c r="DH164" s="381"/>
      <c r="DI164" s="381"/>
      <c r="DJ164" s="381"/>
      <c r="DK164" s="381"/>
      <c r="DL164" s="381"/>
      <c r="DM164" s="381"/>
      <c r="DN164" s="381"/>
      <c r="DO164" s="381"/>
      <c r="DP164" s="381"/>
      <c r="DQ164" s="381"/>
      <c r="DR164" s="381"/>
      <c r="DS164" s="381"/>
      <c r="DT164" s="381"/>
      <c r="DU164" s="381"/>
      <c r="DV164" s="381"/>
      <c r="DW164" s="381"/>
      <c r="DX164" s="381"/>
      <c r="DY164" s="381"/>
      <c r="DZ164" s="381"/>
      <c r="EA164" s="381"/>
      <c r="EB164" s="381"/>
      <c r="EC164" s="381"/>
      <c r="ED164" s="381"/>
      <c r="EE164" s="381"/>
      <c r="EF164" s="381"/>
      <c r="EG164" s="381"/>
      <c r="EH164" s="381"/>
      <c r="EI164" s="381"/>
      <c r="EJ164" s="381"/>
      <c r="EK164" s="381"/>
      <c r="EL164" s="381"/>
      <c r="EM164" s="381"/>
      <c r="EN164" s="381"/>
      <c r="EO164" s="381"/>
      <c r="EP164" s="24"/>
      <c r="EQ164" s="24"/>
      <c r="ER164" s="24"/>
      <c r="ES164" s="24"/>
      <c r="ET164" s="24"/>
      <c r="EU164" s="33"/>
      <c r="EV164" s="24"/>
      <c r="EW164" s="24"/>
      <c r="EX164" s="24"/>
      <c r="EY164" s="24"/>
      <c r="EZ164" s="24"/>
      <c r="FA164" s="24"/>
      <c r="FB164" s="24"/>
      <c r="FC164" s="24"/>
      <c r="FD164" s="24"/>
      <c r="FE164" s="24"/>
      <c r="FF164" s="24"/>
      <c r="FG164" s="24"/>
      <c r="FH164" s="24"/>
      <c r="FI164" s="24"/>
      <c r="FJ164" s="24"/>
      <c r="FK164" s="24"/>
      <c r="FL164" s="24"/>
      <c r="FM164" s="24"/>
      <c r="FN164" s="24"/>
      <c r="FO164" s="24"/>
      <c r="FP164" s="24"/>
      <c r="FQ164" s="24"/>
      <c r="FR164" s="24"/>
      <c r="FS164" s="24"/>
      <c r="FT164" s="24"/>
      <c r="FU164" s="24"/>
      <c r="FV164" s="24"/>
      <c r="FW164" s="24"/>
      <c r="FX164" s="24"/>
      <c r="FY164" s="24"/>
      <c r="FZ164" s="24"/>
      <c r="GA164" s="24"/>
      <c r="GB164" s="24"/>
      <c r="GC164" s="24"/>
      <c r="GD164" s="24"/>
      <c r="GE164" s="24"/>
      <c r="GF164" s="24"/>
      <c r="GG164" s="24"/>
      <c r="GH164" s="24"/>
      <c r="GI164" s="24"/>
      <c r="GJ164" s="24"/>
      <c r="GK164" s="24"/>
      <c r="GL164" s="24"/>
      <c r="GM164" s="24"/>
      <c r="GN164" s="24"/>
      <c r="GO164" s="24"/>
      <c r="GP164" s="24"/>
      <c r="GQ164" s="24"/>
      <c r="GR164" s="24"/>
      <c r="GS164" s="24"/>
      <c r="GT164" s="24"/>
      <c r="GU164" s="24"/>
      <c r="GV164" s="24"/>
      <c r="GW164" s="24"/>
      <c r="GX164" s="24"/>
      <c r="GY164" s="24"/>
      <c r="GZ164" s="24"/>
      <c r="HA164" s="24"/>
      <c r="HB164" s="24"/>
      <c r="HC164" s="24"/>
      <c r="HD164" s="24"/>
      <c r="HE164" s="24"/>
      <c r="HF164" s="24"/>
      <c r="HG164" s="24"/>
      <c r="HH164" s="24"/>
      <c r="HI164" s="24"/>
      <c r="HJ164" s="24"/>
      <c r="HK164" s="24"/>
      <c r="HL164" s="24"/>
      <c r="HM164" s="24"/>
      <c r="HN164" s="24"/>
      <c r="HO164" s="24"/>
      <c r="HP164" s="24"/>
      <c r="HQ164" s="24"/>
      <c r="HR164" s="24"/>
      <c r="HS164" s="24"/>
      <c r="HT164" s="24"/>
      <c r="HU164" s="24"/>
      <c r="HV164" s="24"/>
      <c r="HW164" s="24"/>
      <c r="HX164" s="24"/>
      <c r="HY164" s="24"/>
      <c r="HZ164" s="24"/>
      <c r="IA164" s="24"/>
      <c r="IB164" s="24"/>
      <c r="IC164" s="24"/>
      <c r="ID164" s="24"/>
      <c r="IE164" s="24"/>
      <c r="IF164" s="24"/>
      <c r="IG164" s="24"/>
      <c r="IH164" s="24"/>
      <c r="II164" s="24"/>
      <c r="IJ164" s="24"/>
      <c r="IK164" s="24"/>
      <c r="IL164" s="24"/>
      <c r="IM164" s="24"/>
      <c r="IN164" s="24"/>
      <c r="IO164" s="24"/>
      <c r="IP164" s="24"/>
      <c r="IQ164" s="24"/>
      <c r="IR164" s="24"/>
      <c r="IS164" s="24"/>
      <c r="IT164" s="24"/>
      <c r="IU164" s="24"/>
      <c r="IV164" s="24"/>
      <c r="IW164" s="24"/>
      <c r="IX164" s="24"/>
      <c r="IY164" s="24"/>
      <c r="IZ164" s="24"/>
      <c r="JA164" s="24"/>
      <c r="JB164" s="24"/>
      <c r="JC164" s="24"/>
      <c r="JD164" s="24"/>
      <c r="JE164" s="24"/>
      <c r="JF164" s="24"/>
      <c r="JG164" s="24"/>
      <c r="JH164" s="24"/>
      <c r="JI164" s="24"/>
      <c r="JJ164" s="24"/>
      <c r="JK164" s="24"/>
      <c r="JL164" s="24"/>
      <c r="JM164" s="24"/>
      <c r="JN164" s="24"/>
      <c r="JO164" s="24"/>
      <c r="JP164" s="24"/>
      <c r="JQ164" s="24"/>
      <c r="JR164" s="24"/>
      <c r="JS164" s="24"/>
      <c r="JT164" s="24"/>
      <c r="JU164" s="24"/>
      <c r="JV164" s="24"/>
      <c r="JW164" s="24"/>
      <c r="JX164" s="24"/>
    </row>
    <row r="165" spans="1:284" s="7" customFormat="1" x14ac:dyDescent="0.2">
      <c r="A165" s="406"/>
      <c r="B165" s="92" t="str">
        <f t="shared" ref="B165:B176" si="636">B117</f>
        <v>OPERATING EXPENSES</v>
      </c>
      <c r="C165" s="120"/>
      <c r="D165" s="120"/>
      <c r="E165" s="179"/>
      <c r="F165" s="179"/>
      <c r="G165" s="123"/>
      <c r="H165" s="123"/>
      <c r="I165" s="123"/>
      <c r="J165" s="381"/>
      <c r="K165" s="381"/>
      <c r="L165" s="381"/>
      <c r="M165" s="381"/>
      <c r="N165" s="381"/>
      <c r="O165" s="381"/>
      <c r="P165" s="381"/>
      <c r="Q165" s="381"/>
      <c r="R165" s="381"/>
      <c r="S165" s="381"/>
      <c r="T165" s="381"/>
      <c r="U165" s="381"/>
      <c r="V165" s="381"/>
      <c r="W165" s="381"/>
      <c r="X165" s="381"/>
      <c r="Y165" s="381"/>
      <c r="Z165" s="381"/>
      <c r="AA165" s="381"/>
      <c r="AB165" s="381"/>
      <c r="AC165" s="381"/>
      <c r="AD165" s="381"/>
      <c r="AE165" s="381"/>
      <c r="AF165" s="381"/>
      <c r="AG165" s="381"/>
      <c r="AH165" s="381"/>
      <c r="AI165" s="381"/>
      <c r="AJ165" s="381"/>
      <c r="AK165" s="381"/>
      <c r="AL165" s="381"/>
      <c r="AM165" s="381"/>
      <c r="AN165" s="381"/>
      <c r="AO165" s="381"/>
      <c r="AP165" s="381"/>
      <c r="AQ165" s="381"/>
      <c r="AR165" s="381"/>
      <c r="AS165" s="381"/>
      <c r="AT165" s="381"/>
      <c r="AU165" s="381"/>
      <c r="AV165" s="381"/>
      <c r="AW165" s="381"/>
      <c r="AX165" s="381"/>
      <c r="AY165" s="381"/>
      <c r="AZ165" s="381"/>
      <c r="BA165" s="381"/>
      <c r="BB165" s="381"/>
      <c r="BC165" s="381"/>
      <c r="BD165" s="381"/>
      <c r="BE165" s="381"/>
      <c r="BF165" s="381"/>
      <c r="BG165" s="381"/>
      <c r="BH165" s="381"/>
      <c r="BI165" s="381"/>
      <c r="BJ165" s="381"/>
      <c r="BK165" s="381"/>
      <c r="BL165" s="381"/>
      <c r="BM165" s="381"/>
      <c r="BN165" s="381"/>
      <c r="BO165" s="381"/>
      <c r="BP165" s="381"/>
      <c r="BQ165" s="381"/>
      <c r="BR165" s="381"/>
      <c r="BS165" s="381"/>
      <c r="BT165" s="381"/>
      <c r="BU165" s="381"/>
      <c r="BV165" s="381"/>
      <c r="BW165" s="381"/>
      <c r="BX165" s="381"/>
      <c r="BY165" s="381"/>
      <c r="BZ165" s="381"/>
      <c r="CA165" s="381"/>
      <c r="CB165" s="381"/>
      <c r="CC165" s="381"/>
      <c r="CD165" s="381"/>
      <c r="CE165" s="381"/>
      <c r="CF165" s="381"/>
      <c r="CG165" s="381"/>
      <c r="CH165" s="381"/>
      <c r="CI165" s="381"/>
      <c r="CJ165" s="381"/>
      <c r="CK165" s="381"/>
      <c r="CL165" s="381"/>
      <c r="CM165" s="381"/>
      <c r="CN165" s="381"/>
      <c r="CO165" s="381"/>
      <c r="CP165" s="381"/>
      <c r="CQ165" s="381"/>
      <c r="CR165" s="381"/>
      <c r="CS165" s="381"/>
      <c r="CT165" s="381"/>
      <c r="CU165" s="381"/>
      <c r="CV165" s="381"/>
      <c r="CW165" s="381"/>
      <c r="CX165" s="381"/>
      <c r="CY165" s="381"/>
      <c r="CZ165" s="381"/>
      <c r="DA165" s="381"/>
      <c r="DB165" s="381"/>
      <c r="DC165" s="381"/>
      <c r="DD165" s="381"/>
      <c r="DE165" s="381"/>
      <c r="DF165" s="381"/>
      <c r="DG165" s="381"/>
      <c r="DH165" s="381"/>
      <c r="DI165" s="381"/>
      <c r="DJ165" s="381"/>
      <c r="DK165" s="381"/>
      <c r="DL165" s="381"/>
      <c r="DM165" s="381"/>
      <c r="DN165" s="381"/>
      <c r="DO165" s="381"/>
      <c r="DP165" s="381"/>
      <c r="DQ165" s="381"/>
      <c r="DR165" s="381"/>
      <c r="DS165" s="381"/>
      <c r="DT165" s="381"/>
      <c r="DU165" s="381"/>
      <c r="DV165" s="381"/>
      <c r="DW165" s="381"/>
      <c r="DX165" s="381"/>
      <c r="DY165" s="381"/>
      <c r="DZ165" s="381"/>
      <c r="EA165" s="381"/>
      <c r="EB165" s="381"/>
      <c r="EC165" s="381"/>
      <c r="ED165" s="381"/>
      <c r="EE165" s="381"/>
      <c r="EF165" s="381"/>
      <c r="EG165" s="381"/>
      <c r="EH165" s="381"/>
      <c r="EI165" s="381"/>
      <c r="EJ165" s="381"/>
      <c r="EK165" s="381"/>
      <c r="EL165" s="381"/>
      <c r="EM165" s="381"/>
      <c r="EN165" s="381"/>
      <c r="EO165" s="381"/>
      <c r="EP165" s="24"/>
      <c r="EQ165" s="24"/>
      <c r="ER165" s="24"/>
      <c r="ES165" s="24"/>
      <c r="ET165" s="24"/>
      <c r="EU165" s="33"/>
      <c r="EV165" s="24"/>
      <c r="EW165" s="24"/>
      <c r="EX165" s="24"/>
      <c r="EY165" s="24"/>
      <c r="EZ165" s="24"/>
      <c r="FA165" s="24"/>
      <c r="FB165" s="24"/>
      <c r="FC165" s="24"/>
      <c r="FD165" s="24"/>
      <c r="FE165" s="24"/>
      <c r="FF165" s="24"/>
      <c r="FG165" s="24"/>
      <c r="FH165" s="24"/>
      <c r="FI165" s="24"/>
      <c r="FJ165" s="24"/>
      <c r="FK165" s="24"/>
      <c r="FL165" s="24"/>
      <c r="FM165" s="24"/>
      <c r="FN165" s="24"/>
      <c r="FO165" s="24"/>
      <c r="FP165" s="24"/>
      <c r="FQ165" s="24"/>
      <c r="FR165" s="24"/>
      <c r="FS165" s="24"/>
      <c r="FT165" s="24"/>
      <c r="FU165" s="24"/>
      <c r="FV165" s="24"/>
      <c r="FW165" s="24"/>
      <c r="FX165" s="24"/>
      <c r="FY165" s="24"/>
      <c r="FZ165" s="24"/>
      <c r="GA165" s="24"/>
      <c r="GB165" s="24"/>
      <c r="GC165" s="24"/>
      <c r="GD165" s="24"/>
      <c r="GE165" s="24"/>
      <c r="GF165" s="24"/>
      <c r="GG165" s="24"/>
      <c r="GH165" s="24"/>
      <c r="GI165" s="24"/>
      <c r="GJ165" s="24"/>
      <c r="GK165" s="24"/>
      <c r="GL165" s="24"/>
      <c r="GM165" s="24"/>
      <c r="GN165" s="24"/>
      <c r="GO165" s="24"/>
      <c r="GP165" s="24"/>
      <c r="GQ165" s="24"/>
      <c r="GR165" s="24"/>
      <c r="GS165" s="24"/>
      <c r="GT165" s="24"/>
      <c r="GU165" s="24"/>
      <c r="GV165" s="24"/>
      <c r="GW165" s="24"/>
      <c r="GX165" s="24"/>
      <c r="GY165" s="24"/>
      <c r="GZ165" s="24"/>
      <c r="HA165" s="24"/>
      <c r="HB165" s="24"/>
      <c r="HC165" s="24"/>
      <c r="HD165" s="24"/>
      <c r="HE165" s="24"/>
      <c r="HF165" s="24"/>
      <c r="HG165" s="24"/>
      <c r="HH165" s="24"/>
      <c r="HI165" s="24"/>
      <c r="HJ165" s="24"/>
      <c r="HK165" s="24"/>
      <c r="HL165" s="24"/>
      <c r="HM165" s="24"/>
      <c r="HN165" s="24"/>
      <c r="HO165" s="24"/>
      <c r="HP165" s="24"/>
      <c r="HQ165" s="24"/>
      <c r="HR165" s="24"/>
      <c r="HS165" s="24"/>
      <c r="HT165" s="24"/>
      <c r="HU165" s="24"/>
      <c r="HV165" s="24"/>
      <c r="HW165" s="24"/>
      <c r="HX165" s="24"/>
      <c r="HY165" s="24"/>
      <c r="HZ165" s="24"/>
      <c r="IA165" s="24"/>
      <c r="IB165" s="24"/>
      <c r="IC165" s="24"/>
      <c r="ID165" s="24"/>
      <c r="IE165" s="24"/>
      <c r="IF165" s="24"/>
      <c r="IG165" s="24"/>
      <c r="IH165" s="24"/>
      <c r="II165" s="24"/>
      <c r="IJ165" s="24"/>
      <c r="IK165" s="24"/>
      <c r="IL165" s="24"/>
      <c r="IM165" s="24"/>
      <c r="IN165" s="24"/>
      <c r="IO165" s="24"/>
      <c r="IP165" s="24"/>
      <c r="IQ165" s="24"/>
      <c r="IR165" s="24"/>
      <c r="IS165" s="24"/>
      <c r="IT165" s="24"/>
      <c r="IU165" s="24"/>
      <c r="IV165" s="24"/>
      <c r="IW165" s="24"/>
      <c r="IX165" s="24"/>
      <c r="IY165" s="24"/>
      <c r="IZ165" s="24"/>
      <c r="JA165" s="24"/>
      <c r="JB165" s="24"/>
      <c r="JC165" s="24"/>
      <c r="JD165" s="24"/>
      <c r="JE165" s="24"/>
      <c r="JF165" s="24"/>
      <c r="JG165" s="24"/>
      <c r="JH165" s="24"/>
      <c r="JI165" s="24"/>
      <c r="JJ165" s="24"/>
      <c r="JK165" s="24"/>
      <c r="JL165" s="24"/>
      <c r="JM165" s="24"/>
      <c r="JN165" s="24"/>
      <c r="JO165" s="24"/>
      <c r="JP165" s="24"/>
      <c r="JQ165" s="24"/>
      <c r="JR165" s="24"/>
      <c r="JS165" s="24"/>
      <c r="JT165" s="24"/>
      <c r="JU165" s="24"/>
      <c r="JV165" s="24"/>
      <c r="JW165" s="24"/>
      <c r="JX165" s="24"/>
    </row>
    <row r="166" spans="1:284" s="7" customFormat="1" x14ac:dyDescent="0.2">
      <c r="A166" s="406"/>
      <c r="B166" s="147" t="str">
        <f t="shared" si="636"/>
        <v>Repairs and Maintenance</v>
      </c>
      <c r="C166" s="120"/>
      <c r="D166" s="120"/>
      <c r="E166" s="179"/>
      <c r="F166" s="179"/>
      <c r="G166" s="123">
        <f t="shared" ref="G166:G175" si="637">I118</f>
        <v>215000</v>
      </c>
      <c r="H166" s="123">
        <f t="shared" ref="H166:H174" ca="1" si="638">SUM(OFFSET($L118,0,Stabilization_1st_Month,1,12))</f>
        <v>222557.24999999997</v>
      </c>
      <c r="I166" s="124">
        <f t="shared" ref="I166:I175" ca="1" si="639">MAX(SUM(OFFSET($L118,0,Timing_Reversion_Month,1,12)),H166)</f>
        <v>229233.9675</v>
      </c>
      <c r="J166" s="381"/>
      <c r="K166" s="381"/>
      <c r="L166" s="381"/>
      <c r="M166" s="381"/>
      <c r="N166" s="381"/>
      <c r="O166" s="381"/>
      <c r="P166" s="381"/>
      <c r="Q166" s="381"/>
      <c r="R166" s="381"/>
      <c r="S166" s="381"/>
      <c r="T166" s="381"/>
      <c r="U166" s="381"/>
      <c r="V166" s="381"/>
      <c r="W166" s="381"/>
      <c r="X166" s="381"/>
      <c r="Y166" s="381"/>
      <c r="Z166" s="381"/>
      <c r="AA166" s="381"/>
      <c r="AB166" s="381"/>
      <c r="AC166" s="381"/>
      <c r="AD166" s="381"/>
      <c r="AE166" s="381"/>
      <c r="AF166" s="381"/>
      <c r="AG166" s="381"/>
      <c r="AH166" s="381"/>
      <c r="AI166" s="381"/>
      <c r="AJ166" s="381"/>
      <c r="AK166" s="381"/>
      <c r="AL166" s="381"/>
      <c r="AM166" s="381"/>
      <c r="AN166" s="381"/>
      <c r="AO166" s="381"/>
      <c r="AP166" s="381"/>
      <c r="AQ166" s="381"/>
      <c r="AR166" s="381"/>
      <c r="AS166" s="381"/>
      <c r="AT166" s="381"/>
      <c r="AU166" s="381"/>
      <c r="AV166" s="381"/>
      <c r="AW166" s="381"/>
      <c r="AX166" s="381"/>
      <c r="AY166" s="381"/>
      <c r="AZ166" s="381"/>
      <c r="BA166" s="381"/>
      <c r="BB166" s="381"/>
      <c r="BC166" s="381"/>
      <c r="BD166" s="381"/>
      <c r="BE166" s="381"/>
      <c r="BF166" s="381"/>
      <c r="BG166" s="381"/>
      <c r="BH166" s="381"/>
      <c r="BI166" s="381"/>
      <c r="BJ166" s="381"/>
      <c r="BK166" s="381"/>
      <c r="BL166" s="381"/>
      <c r="BM166" s="381"/>
      <c r="BN166" s="381"/>
      <c r="BO166" s="381"/>
      <c r="BP166" s="381"/>
      <c r="BQ166" s="381"/>
      <c r="BR166" s="381"/>
      <c r="BS166" s="381"/>
      <c r="BT166" s="381"/>
      <c r="BU166" s="381"/>
      <c r="BV166" s="381"/>
      <c r="BW166" s="381"/>
      <c r="BX166" s="381"/>
      <c r="BY166" s="381"/>
      <c r="BZ166" s="381"/>
      <c r="CA166" s="381"/>
      <c r="CB166" s="381"/>
      <c r="CC166" s="381"/>
      <c r="CD166" s="381"/>
      <c r="CE166" s="381"/>
      <c r="CF166" s="381"/>
      <c r="CG166" s="381"/>
      <c r="CH166" s="381"/>
      <c r="CI166" s="381"/>
      <c r="CJ166" s="381"/>
      <c r="CK166" s="381"/>
      <c r="CL166" s="381"/>
      <c r="CM166" s="381"/>
      <c r="CN166" s="381"/>
      <c r="CO166" s="381"/>
      <c r="CP166" s="381"/>
      <c r="CQ166" s="381"/>
      <c r="CR166" s="381"/>
      <c r="CS166" s="381"/>
      <c r="CT166" s="381"/>
      <c r="CU166" s="381"/>
      <c r="CV166" s="381"/>
      <c r="CW166" s="381"/>
      <c r="CX166" s="381"/>
      <c r="CY166" s="381"/>
      <c r="CZ166" s="381"/>
      <c r="DA166" s="381"/>
      <c r="DB166" s="381"/>
      <c r="DC166" s="381"/>
      <c r="DD166" s="381"/>
      <c r="DE166" s="381"/>
      <c r="DF166" s="381"/>
      <c r="DG166" s="381"/>
      <c r="DH166" s="381"/>
      <c r="DI166" s="381"/>
      <c r="DJ166" s="381"/>
      <c r="DK166" s="381"/>
      <c r="DL166" s="381"/>
      <c r="DM166" s="381"/>
      <c r="DN166" s="381"/>
      <c r="DO166" s="381"/>
      <c r="DP166" s="381"/>
      <c r="DQ166" s="381"/>
      <c r="DR166" s="381"/>
      <c r="DS166" s="381"/>
      <c r="DT166" s="381"/>
      <c r="DU166" s="381"/>
      <c r="DV166" s="381"/>
      <c r="DW166" s="381"/>
      <c r="DX166" s="381"/>
      <c r="DY166" s="381"/>
      <c r="DZ166" s="381"/>
      <c r="EA166" s="381"/>
      <c r="EB166" s="381"/>
      <c r="EC166" s="381"/>
      <c r="ED166" s="381"/>
      <c r="EE166" s="381"/>
      <c r="EF166" s="381"/>
      <c r="EG166" s="381"/>
      <c r="EH166" s="381"/>
      <c r="EI166" s="381"/>
      <c r="EJ166" s="381"/>
      <c r="EK166" s="381"/>
      <c r="EL166" s="381"/>
      <c r="EM166" s="381"/>
      <c r="EN166" s="381"/>
      <c r="EO166" s="381"/>
      <c r="EP166" s="24"/>
      <c r="EQ166" s="24"/>
      <c r="ER166" s="24"/>
      <c r="ES166" s="24"/>
      <c r="ET166" s="24"/>
      <c r="EU166" s="33"/>
      <c r="EV166" s="24"/>
      <c r="EW166" s="24"/>
      <c r="EX166" s="24"/>
      <c r="EY166" s="24"/>
      <c r="EZ166" s="24"/>
      <c r="FA166" s="24"/>
      <c r="FB166" s="24"/>
      <c r="FC166" s="24"/>
      <c r="FD166" s="24"/>
      <c r="FE166" s="24"/>
      <c r="FF166" s="24"/>
      <c r="FG166" s="24"/>
      <c r="FH166" s="24"/>
      <c r="FI166" s="24"/>
      <c r="FJ166" s="24"/>
      <c r="FK166" s="24"/>
      <c r="FL166" s="24"/>
      <c r="FM166" s="24"/>
      <c r="FN166" s="24"/>
      <c r="FO166" s="24"/>
      <c r="FP166" s="24"/>
      <c r="FQ166" s="24"/>
      <c r="FR166" s="24"/>
      <c r="FS166" s="24"/>
      <c r="FT166" s="24"/>
      <c r="FU166" s="24"/>
      <c r="FV166" s="24"/>
      <c r="FW166" s="24"/>
      <c r="FX166" s="24"/>
      <c r="FY166" s="24"/>
      <c r="FZ166" s="24"/>
      <c r="GA166" s="24"/>
      <c r="GB166" s="24"/>
      <c r="GC166" s="24"/>
      <c r="GD166" s="24"/>
      <c r="GE166" s="24"/>
      <c r="GF166" s="24"/>
      <c r="GG166" s="24"/>
      <c r="GH166" s="24"/>
      <c r="GI166" s="24"/>
      <c r="GJ166" s="24"/>
      <c r="GK166" s="24"/>
      <c r="GL166" s="24"/>
      <c r="GM166" s="24"/>
      <c r="GN166" s="24"/>
      <c r="GO166" s="24"/>
      <c r="GP166" s="24"/>
      <c r="GQ166" s="24"/>
      <c r="GR166" s="24"/>
      <c r="GS166" s="24"/>
      <c r="GT166" s="24"/>
      <c r="GU166" s="24"/>
      <c r="GV166" s="24"/>
      <c r="GW166" s="24"/>
      <c r="GX166" s="24"/>
      <c r="GY166" s="24"/>
      <c r="GZ166" s="24"/>
      <c r="HA166" s="24"/>
      <c r="HB166" s="24"/>
      <c r="HC166" s="24"/>
      <c r="HD166" s="24"/>
      <c r="HE166" s="24"/>
      <c r="HF166" s="24"/>
      <c r="HG166" s="24"/>
      <c r="HH166" s="24"/>
      <c r="HI166" s="24"/>
      <c r="HJ166" s="24"/>
      <c r="HK166" s="24"/>
      <c r="HL166" s="24"/>
      <c r="HM166" s="24"/>
      <c r="HN166" s="24"/>
      <c r="HO166" s="24"/>
      <c r="HP166" s="24"/>
      <c r="HQ166" s="24"/>
      <c r="HR166" s="24"/>
      <c r="HS166" s="24"/>
      <c r="HT166" s="24"/>
      <c r="HU166" s="24"/>
      <c r="HV166" s="24"/>
      <c r="HW166" s="24"/>
      <c r="HX166" s="24"/>
      <c r="HY166" s="24"/>
      <c r="HZ166" s="24"/>
      <c r="IA166" s="24"/>
      <c r="IB166" s="24"/>
      <c r="IC166" s="24"/>
      <c r="ID166" s="24"/>
      <c r="IE166" s="24"/>
      <c r="IF166" s="24"/>
      <c r="IG166" s="24"/>
      <c r="IH166" s="24"/>
      <c r="II166" s="24"/>
      <c r="IJ166" s="24"/>
      <c r="IK166" s="24"/>
      <c r="IL166" s="24"/>
      <c r="IM166" s="24"/>
      <c r="IN166" s="24"/>
      <c r="IO166" s="24"/>
      <c r="IP166" s="24"/>
      <c r="IQ166" s="24"/>
      <c r="IR166" s="24"/>
      <c r="IS166" s="24"/>
      <c r="IT166" s="24"/>
      <c r="IU166" s="24"/>
      <c r="IV166" s="24"/>
      <c r="IW166" s="24"/>
      <c r="IX166" s="24"/>
      <c r="IY166" s="24"/>
      <c r="IZ166" s="24"/>
      <c r="JA166" s="24"/>
      <c r="JB166" s="24"/>
      <c r="JC166" s="24"/>
      <c r="JD166" s="24"/>
      <c r="JE166" s="24"/>
      <c r="JF166" s="24"/>
      <c r="JG166" s="24"/>
      <c r="JH166" s="24"/>
      <c r="JI166" s="24"/>
      <c r="JJ166" s="24"/>
      <c r="JK166" s="24"/>
      <c r="JL166" s="24"/>
      <c r="JM166" s="24"/>
      <c r="JN166" s="24"/>
      <c r="JO166" s="24"/>
      <c r="JP166" s="24"/>
      <c r="JQ166" s="24"/>
      <c r="JR166" s="24"/>
      <c r="JS166" s="24"/>
      <c r="JT166" s="24"/>
      <c r="JU166" s="24"/>
      <c r="JV166" s="24"/>
      <c r="JW166" s="24"/>
      <c r="JX166" s="24"/>
    </row>
    <row r="167" spans="1:284" s="7" customFormat="1" x14ac:dyDescent="0.2">
      <c r="A167" s="406"/>
      <c r="B167" s="147" t="str">
        <f t="shared" si="636"/>
        <v>Payroll</v>
      </c>
      <c r="C167" s="120"/>
      <c r="D167" s="120"/>
      <c r="E167" s="179"/>
      <c r="F167" s="179"/>
      <c r="G167" s="123">
        <f t="shared" si="637"/>
        <v>395100</v>
      </c>
      <c r="H167" s="123">
        <f t="shared" ca="1" si="638"/>
        <v>408987.76500000001</v>
      </c>
      <c r="I167" s="124">
        <f t="shared" ca="1" si="639"/>
        <v>421257.39795000001</v>
      </c>
      <c r="J167" s="381"/>
      <c r="K167" s="381"/>
      <c r="L167" s="381"/>
      <c r="M167" s="381"/>
      <c r="N167" s="381"/>
      <c r="O167" s="381"/>
      <c r="P167" s="381"/>
      <c r="Q167" s="381"/>
      <c r="R167" s="381"/>
      <c r="S167" s="381"/>
      <c r="T167" s="381"/>
      <c r="U167" s="381"/>
      <c r="V167" s="381"/>
      <c r="W167" s="381"/>
      <c r="X167" s="381"/>
      <c r="Y167" s="381"/>
      <c r="Z167" s="381"/>
      <c r="AA167" s="381"/>
      <c r="AB167" s="381"/>
      <c r="AC167" s="381"/>
      <c r="AD167" s="381"/>
      <c r="AE167" s="381"/>
      <c r="AF167" s="381"/>
      <c r="AG167" s="381"/>
      <c r="AH167" s="381"/>
      <c r="AI167" s="381"/>
      <c r="AJ167" s="381"/>
      <c r="AK167" s="381"/>
      <c r="AL167" s="381"/>
      <c r="AM167" s="381"/>
      <c r="AN167" s="381"/>
      <c r="AO167" s="381"/>
      <c r="AP167" s="381"/>
      <c r="AQ167" s="381"/>
      <c r="AR167" s="381"/>
      <c r="AS167" s="381"/>
      <c r="AT167" s="381"/>
      <c r="AU167" s="381"/>
      <c r="AV167" s="381"/>
      <c r="AW167" s="381"/>
      <c r="AX167" s="381"/>
      <c r="AY167" s="381"/>
      <c r="AZ167" s="381"/>
      <c r="BA167" s="381"/>
      <c r="BB167" s="381"/>
      <c r="BC167" s="381"/>
      <c r="BD167" s="381"/>
      <c r="BE167" s="381"/>
      <c r="BF167" s="381"/>
      <c r="BG167" s="381"/>
      <c r="BH167" s="381"/>
      <c r="BI167" s="381"/>
      <c r="BJ167" s="381"/>
      <c r="BK167" s="381"/>
      <c r="BL167" s="381"/>
      <c r="BM167" s="381"/>
      <c r="BN167" s="381"/>
      <c r="BO167" s="381"/>
      <c r="BP167" s="381"/>
      <c r="BQ167" s="381"/>
      <c r="BR167" s="381"/>
      <c r="BS167" s="381"/>
      <c r="BT167" s="381"/>
      <c r="BU167" s="381"/>
      <c r="BV167" s="381"/>
      <c r="BW167" s="381"/>
      <c r="BX167" s="381"/>
      <c r="BY167" s="381"/>
      <c r="BZ167" s="381"/>
      <c r="CA167" s="381"/>
      <c r="CB167" s="381"/>
      <c r="CC167" s="381"/>
      <c r="CD167" s="381"/>
      <c r="CE167" s="381"/>
      <c r="CF167" s="381"/>
      <c r="CG167" s="381"/>
      <c r="CH167" s="381"/>
      <c r="CI167" s="381"/>
      <c r="CJ167" s="381"/>
      <c r="CK167" s="381"/>
      <c r="CL167" s="381"/>
      <c r="CM167" s="381"/>
      <c r="CN167" s="381"/>
      <c r="CO167" s="381"/>
      <c r="CP167" s="381"/>
      <c r="CQ167" s="381"/>
      <c r="CR167" s="381"/>
      <c r="CS167" s="381"/>
      <c r="CT167" s="381"/>
      <c r="CU167" s="381"/>
      <c r="CV167" s="381"/>
      <c r="CW167" s="381"/>
      <c r="CX167" s="381"/>
      <c r="CY167" s="381"/>
      <c r="CZ167" s="381"/>
      <c r="DA167" s="381"/>
      <c r="DB167" s="381"/>
      <c r="DC167" s="381"/>
      <c r="DD167" s="381"/>
      <c r="DE167" s="381"/>
      <c r="DF167" s="381"/>
      <c r="DG167" s="381"/>
      <c r="DH167" s="381"/>
      <c r="DI167" s="381"/>
      <c r="DJ167" s="381"/>
      <c r="DK167" s="381"/>
      <c r="DL167" s="381"/>
      <c r="DM167" s="381"/>
      <c r="DN167" s="381"/>
      <c r="DO167" s="381"/>
      <c r="DP167" s="381"/>
      <c r="DQ167" s="381"/>
      <c r="DR167" s="381"/>
      <c r="DS167" s="381"/>
      <c r="DT167" s="381"/>
      <c r="DU167" s="381"/>
      <c r="DV167" s="381"/>
      <c r="DW167" s="381"/>
      <c r="DX167" s="381"/>
      <c r="DY167" s="381"/>
      <c r="DZ167" s="381"/>
      <c r="EA167" s="381"/>
      <c r="EB167" s="381"/>
      <c r="EC167" s="381"/>
      <c r="ED167" s="381"/>
      <c r="EE167" s="381"/>
      <c r="EF167" s="381"/>
      <c r="EG167" s="381"/>
      <c r="EH167" s="381"/>
      <c r="EI167" s="381"/>
      <c r="EJ167" s="381"/>
      <c r="EK167" s="381"/>
      <c r="EL167" s="381"/>
      <c r="EM167" s="381"/>
      <c r="EN167" s="381"/>
      <c r="EO167" s="381"/>
      <c r="EP167" s="24"/>
      <c r="EQ167" s="24"/>
      <c r="ER167" s="24"/>
      <c r="ES167" s="24"/>
      <c r="ET167" s="24"/>
      <c r="EU167" s="33"/>
      <c r="EV167" s="24"/>
      <c r="EW167" s="24"/>
      <c r="EX167" s="24"/>
      <c r="EY167" s="24"/>
      <c r="EZ167" s="24"/>
      <c r="FA167" s="24"/>
      <c r="FB167" s="24"/>
      <c r="FC167" s="24"/>
      <c r="FD167" s="24"/>
      <c r="FE167" s="24"/>
      <c r="FF167" s="24"/>
      <c r="FG167" s="24"/>
      <c r="FH167" s="24"/>
      <c r="FI167" s="24"/>
      <c r="FJ167" s="24"/>
      <c r="FK167" s="24"/>
      <c r="FL167" s="24"/>
      <c r="FM167" s="24"/>
      <c r="FN167" s="24"/>
      <c r="FO167" s="24"/>
      <c r="FP167" s="24"/>
      <c r="FQ167" s="24"/>
      <c r="FR167" s="24"/>
      <c r="FS167" s="24"/>
      <c r="FT167" s="24"/>
      <c r="FU167" s="24"/>
      <c r="FV167" s="24"/>
      <c r="FW167" s="24"/>
      <c r="FX167" s="24"/>
      <c r="FY167" s="24"/>
      <c r="FZ167" s="24"/>
      <c r="GA167" s="24"/>
      <c r="GB167" s="24"/>
      <c r="GC167" s="24"/>
      <c r="GD167" s="24"/>
      <c r="GE167" s="24"/>
      <c r="GF167" s="24"/>
      <c r="GG167" s="24"/>
      <c r="GH167" s="24"/>
      <c r="GI167" s="24"/>
      <c r="GJ167" s="24"/>
      <c r="GK167" s="24"/>
      <c r="GL167" s="24"/>
      <c r="GM167" s="24"/>
      <c r="GN167" s="24"/>
      <c r="GO167" s="24"/>
      <c r="GP167" s="24"/>
      <c r="GQ167" s="24"/>
      <c r="GR167" s="24"/>
      <c r="GS167" s="24"/>
      <c r="GT167" s="24"/>
      <c r="GU167" s="24"/>
      <c r="GV167" s="24"/>
      <c r="GW167" s="24"/>
      <c r="GX167" s="24"/>
      <c r="GY167" s="24"/>
      <c r="GZ167" s="24"/>
      <c r="HA167" s="24"/>
      <c r="HB167" s="24"/>
      <c r="HC167" s="24"/>
      <c r="HD167" s="24"/>
      <c r="HE167" s="24"/>
      <c r="HF167" s="24"/>
      <c r="HG167" s="24"/>
      <c r="HH167" s="24"/>
      <c r="HI167" s="24"/>
      <c r="HJ167" s="24"/>
      <c r="HK167" s="24"/>
      <c r="HL167" s="24"/>
      <c r="HM167" s="24"/>
      <c r="HN167" s="24"/>
      <c r="HO167" s="24"/>
      <c r="HP167" s="24"/>
      <c r="HQ167" s="24"/>
      <c r="HR167" s="24"/>
      <c r="HS167" s="24"/>
      <c r="HT167" s="24"/>
      <c r="HU167" s="24"/>
      <c r="HV167" s="24"/>
      <c r="HW167" s="24"/>
      <c r="HX167" s="24"/>
      <c r="HY167" s="24"/>
      <c r="HZ167" s="24"/>
      <c r="IA167" s="24"/>
      <c r="IB167" s="24"/>
      <c r="IC167" s="24"/>
      <c r="ID167" s="24"/>
      <c r="IE167" s="24"/>
      <c r="IF167" s="24"/>
      <c r="IG167" s="24"/>
      <c r="IH167" s="24"/>
      <c r="II167" s="24"/>
      <c r="IJ167" s="24"/>
      <c r="IK167" s="24"/>
      <c r="IL167" s="24"/>
      <c r="IM167" s="24"/>
      <c r="IN167" s="24"/>
      <c r="IO167" s="24"/>
      <c r="IP167" s="24"/>
      <c r="IQ167" s="24"/>
      <c r="IR167" s="24"/>
      <c r="IS167" s="24"/>
      <c r="IT167" s="24"/>
      <c r="IU167" s="24"/>
      <c r="IV167" s="24"/>
      <c r="IW167" s="24"/>
      <c r="IX167" s="24"/>
      <c r="IY167" s="24"/>
      <c r="IZ167" s="24"/>
      <c r="JA167" s="24"/>
      <c r="JB167" s="24"/>
      <c r="JC167" s="24"/>
      <c r="JD167" s="24"/>
      <c r="JE167" s="24"/>
      <c r="JF167" s="24"/>
      <c r="JG167" s="24"/>
      <c r="JH167" s="24"/>
      <c r="JI167" s="24"/>
      <c r="JJ167" s="24"/>
      <c r="JK167" s="24"/>
      <c r="JL167" s="24"/>
      <c r="JM167" s="24"/>
      <c r="JN167" s="24"/>
      <c r="JO167" s="24"/>
      <c r="JP167" s="24"/>
      <c r="JQ167" s="24"/>
      <c r="JR167" s="24"/>
      <c r="JS167" s="24"/>
      <c r="JT167" s="24"/>
      <c r="JU167" s="24"/>
      <c r="JV167" s="24"/>
      <c r="JW167" s="24"/>
      <c r="JX167" s="24"/>
    </row>
    <row r="168" spans="1:284" s="7" customFormat="1" x14ac:dyDescent="0.2">
      <c r="A168" s="406"/>
      <c r="B168" s="147" t="str">
        <f t="shared" si="636"/>
        <v>General &amp; Administrative</v>
      </c>
      <c r="C168" s="120"/>
      <c r="D168" s="120"/>
      <c r="E168" s="179"/>
      <c r="F168" s="179"/>
      <c r="G168" s="123">
        <f t="shared" si="637"/>
        <v>240000</v>
      </c>
      <c r="H168" s="123">
        <f t="shared" ca="1" si="638"/>
        <v>248436</v>
      </c>
      <c r="I168" s="124">
        <f t="shared" ca="1" si="639"/>
        <v>255889.08000000002</v>
      </c>
      <c r="J168" s="381"/>
      <c r="K168" s="381"/>
      <c r="L168" s="381"/>
      <c r="M168" s="381"/>
      <c r="N168" s="381"/>
      <c r="O168" s="381"/>
      <c r="P168" s="381"/>
      <c r="Q168" s="381"/>
      <c r="R168" s="381"/>
      <c r="S168" s="381"/>
      <c r="T168" s="381"/>
      <c r="U168" s="381"/>
      <c r="V168" s="381"/>
      <c r="W168" s="381"/>
      <c r="X168" s="381"/>
      <c r="Y168" s="381"/>
      <c r="Z168" s="381"/>
      <c r="AA168" s="381"/>
      <c r="AB168" s="381"/>
      <c r="AC168" s="381"/>
      <c r="AD168" s="381"/>
      <c r="AE168" s="381"/>
      <c r="AF168" s="381"/>
      <c r="AG168" s="381"/>
      <c r="AH168" s="381"/>
      <c r="AI168" s="381"/>
      <c r="AJ168" s="381"/>
      <c r="AK168" s="381"/>
      <c r="AL168" s="381"/>
      <c r="AM168" s="381"/>
      <c r="AN168" s="381"/>
      <c r="AO168" s="381"/>
      <c r="AP168" s="381"/>
      <c r="AQ168" s="381"/>
      <c r="AR168" s="381"/>
      <c r="AS168" s="381"/>
      <c r="AT168" s="381"/>
      <c r="AU168" s="381"/>
      <c r="AV168" s="381"/>
      <c r="AW168" s="381"/>
      <c r="AX168" s="381"/>
      <c r="AY168" s="381"/>
      <c r="AZ168" s="381"/>
      <c r="BA168" s="381"/>
      <c r="BB168" s="381"/>
      <c r="BC168" s="381"/>
      <c r="BD168" s="381"/>
      <c r="BE168" s="381"/>
      <c r="BF168" s="381"/>
      <c r="BG168" s="381"/>
      <c r="BH168" s="381"/>
      <c r="BI168" s="381"/>
      <c r="BJ168" s="381"/>
      <c r="BK168" s="381"/>
      <c r="BL168" s="381"/>
      <c r="BM168" s="381"/>
      <c r="BN168" s="381"/>
      <c r="BO168" s="381"/>
      <c r="BP168" s="381"/>
      <c r="BQ168" s="381"/>
      <c r="BR168" s="381"/>
      <c r="BS168" s="381"/>
      <c r="BT168" s="381"/>
      <c r="BU168" s="381"/>
      <c r="BV168" s="381"/>
      <c r="BW168" s="381"/>
      <c r="BX168" s="381"/>
      <c r="BY168" s="381"/>
      <c r="BZ168" s="381"/>
      <c r="CA168" s="381"/>
      <c r="CB168" s="381"/>
      <c r="CC168" s="381"/>
      <c r="CD168" s="381"/>
      <c r="CE168" s="381"/>
      <c r="CF168" s="381"/>
      <c r="CG168" s="381"/>
      <c r="CH168" s="381"/>
      <c r="CI168" s="381"/>
      <c r="CJ168" s="381"/>
      <c r="CK168" s="381"/>
      <c r="CL168" s="381"/>
      <c r="CM168" s="381"/>
      <c r="CN168" s="381"/>
      <c r="CO168" s="381"/>
      <c r="CP168" s="381"/>
      <c r="CQ168" s="381"/>
      <c r="CR168" s="381"/>
      <c r="CS168" s="381"/>
      <c r="CT168" s="381"/>
      <c r="CU168" s="381"/>
      <c r="CV168" s="381"/>
      <c r="CW168" s="381"/>
      <c r="CX168" s="381"/>
      <c r="CY168" s="381"/>
      <c r="CZ168" s="381"/>
      <c r="DA168" s="381"/>
      <c r="DB168" s="381"/>
      <c r="DC168" s="381"/>
      <c r="DD168" s="381"/>
      <c r="DE168" s="381"/>
      <c r="DF168" s="381"/>
      <c r="DG168" s="381"/>
      <c r="DH168" s="381"/>
      <c r="DI168" s="381"/>
      <c r="DJ168" s="381"/>
      <c r="DK168" s="381"/>
      <c r="DL168" s="381"/>
      <c r="DM168" s="381"/>
      <c r="DN168" s="381"/>
      <c r="DO168" s="381"/>
      <c r="DP168" s="381"/>
      <c r="DQ168" s="381"/>
      <c r="DR168" s="381"/>
      <c r="DS168" s="381"/>
      <c r="DT168" s="381"/>
      <c r="DU168" s="381"/>
      <c r="DV168" s="381"/>
      <c r="DW168" s="381"/>
      <c r="DX168" s="381"/>
      <c r="DY168" s="381"/>
      <c r="DZ168" s="381"/>
      <c r="EA168" s="381"/>
      <c r="EB168" s="381"/>
      <c r="EC168" s="381"/>
      <c r="ED168" s="381"/>
      <c r="EE168" s="381"/>
      <c r="EF168" s="381"/>
      <c r="EG168" s="381"/>
      <c r="EH168" s="381"/>
      <c r="EI168" s="381"/>
      <c r="EJ168" s="381"/>
      <c r="EK168" s="381"/>
      <c r="EL168" s="381"/>
      <c r="EM168" s="381"/>
      <c r="EN168" s="381"/>
      <c r="EO168" s="381"/>
      <c r="EP168" s="24"/>
      <c r="EQ168" s="24"/>
      <c r="ER168" s="24"/>
      <c r="ES168" s="24"/>
      <c r="ET168" s="24"/>
      <c r="EU168" s="33"/>
      <c r="EV168" s="24"/>
      <c r="EW168" s="24"/>
      <c r="EX168" s="24"/>
      <c r="EY168" s="24"/>
      <c r="EZ168" s="24"/>
      <c r="FA168" s="24"/>
      <c r="FB168" s="24"/>
      <c r="FC168" s="24"/>
      <c r="FD168" s="24"/>
      <c r="FE168" s="24"/>
      <c r="FF168" s="24"/>
      <c r="FG168" s="24"/>
      <c r="FH168" s="24"/>
      <c r="FI168" s="24"/>
      <c r="FJ168" s="24"/>
      <c r="FK168" s="24"/>
      <c r="FL168" s="24"/>
      <c r="FM168" s="24"/>
      <c r="FN168" s="24"/>
      <c r="FO168" s="24"/>
      <c r="FP168" s="24"/>
      <c r="FQ168" s="24"/>
      <c r="FR168" s="24"/>
      <c r="FS168" s="24"/>
      <c r="FT168" s="24"/>
      <c r="FU168" s="24"/>
      <c r="FV168" s="24"/>
      <c r="FW168" s="24"/>
      <c r="FX168" s="24"/>
      <c r="FY168" s="24"/>
      <c r="FZ168" s="24"/>
      <c r="GA168" s="24"/>
      <c r="GB168" s="24"/>
      <c r="GC168" s="24"/>
      <c r="GD168" s="24"/>
      <c r="GE168" s="24"/>
      <c r="GF168" s="24"/>
      <c r="GG168" s="24"/>
      <c r="GH168" s="24"/>
      <c r="GI168" s="24"/>
      <c r="GJ168" s="24"/>
      <c r="GK168" s="24"/>
      <c r="GL168" s="24"/>
      <c r="GM168" s="24"/>
      <c r="GN168" s="24"/>
      <c r="GO168" s="24"/>
      <c r="GP168" s="24"/>
      <c r="GQ168" s="24"/>
      <c r="GR168" s="24"/>
      <c r="GS168" s="24"/>
      <c r="GT168" s="24"/>
      <c r="GU168" s="24"/>
      <c r="GV168" s="24"/>
      <c r="GW168" s="24"/>
      <c r="GX168" s="24"/>
      <c r="GY168" s="24"/>
      <c r="GZ168" s="24"/>
      <c r="HA168" s="24"/>
      <c r="HB168" s="24"/>
      <c r="HC168" s="24"/>
      <c r="HD168" s="24"/>
      <c r="HE168" s="24"/>
      <c r="HF168" s="24"/>
      <c r="HG168" s="24"/>
      <c r="HH168" s="24"/>
      <c r="HI168" s="24"/>
      <c r="HJ168" s="24"/>
      <c r="HK168" s="24"/>
      <c r="HL168" s="24"/>
      <c r="HM168" s="24"/>
      <c r="HN168" s="24"/>
      <c r="HO168" s="24"/>
      <c r="HP168" s="24"/>
      <c r="HQ168" s="24"/>
      <c r="HR168" s="24"/>
      <c r="HS168" s="24"/>
      <c r="HT168" s="24"/>
      <c r="HU168" s="24"/>
      <c r="HV168" s="24"/>
      <c r="HW168" s="24"/>
      <c r="HX168" s="24"/>
      <c r="HY168" s="24"/>
      <c r="HZ168" s="24"/>
      <c r="IA168" s="24"/>
      <c r="IB168" s="24"/>
      <c r="IC168" s="24"/>
      <c r="ID168" s="24"/>
      <c r="IE168" s="24"/>
      <c r="IF168" s="24"/>
      <c r="IG168" s="24"/>
      <c r="IH168" s="24"/>
      <c r="II168" s="24"/>
      <c r="IJ168" s="24"/>
      <c r="IK168" s="24"/>
      <c r="IL168" s="24"/>
      <c r="IM168" s="24"/>
      <c r="IN168" s="24"/>
      <c r="IO168" s="24"/>
      <c r="IP168" s="24"/>
      <c r="IQ168" s="24"/>
      <c r="IR168" s="24"/>
      <c r="IS168" s="24"/>
      <c r="IT168" s="24"/>
      <c r="IU168" s="24"/>
      <c r="IV168" s="24"/>
      <c r="IW168" s="24"/>
      <c r="IX168" s="24"/>
      <c r="IY168" s="24"/>
      <c r="IZ168" s="24"/>
      <c r="JA168" s="24"/>
      <c r="JB168" s="24"/>
      <c r="JC168" s="24"/>
      <c r="JD168" s="24"/>
      <c r="JE168" s="24"/>
      <c r="JF168" s="24"/>
      <c r="JG168" s="24"/>
      <c r="JH168" s="24"/>
      <c r="JI168" s="24"/>
      <c r="JJ168" s="24"/>
      <c r="JK168" s="24"/>
      <c r="JL168" s="24"/>
      <c r="JM168" s="24"/>
      <c r="JN168" s="24"/>
      <c r="JO168" s="24"/>
      <c r="JP168" s="24"/>
      <c r="JQ168" s="24"/>
      <c r="JR168" s="24"/>
      <c r="JS168" s="24"/>
      <c r="JT168" s="24"/>
      <c r="JU168" s="24"/>
      <c r="JV168" s="24"/>
      <c r="JW168" s="24"/>
      <c r="JX168" s="24"/>
    </row>
    <row r="169" spans="1:284" s="7" customFormat="1" x14ac:dyDescent="0.2">
      <c r="A169" s="406"/>
      <c r="B169" s="147" t="str">
        <f t="shared" si="636"/>
        <v>Marketing</v>
      </c>
      <c r="C169" s="120"/>
      <c r="D169" s="120"/>
      <c r="E169" s="179"/>
      <c r="F169" s="179"/>
      <c r="G169" s="123">
        <f t="shared" si="637"/>
        <v>130000</v>
      </c>
      <c r="H169" s="123">
        <f t="shared" ca="1" si="638"/>
        <v>134569.49999999997</v>
      </c>
      <c r="I169" s="124">
        <f t="shared" ca="1" si="639"/>
        <v>138606.58499999999</v>
      </c>
      <c r="J169" s="381"/>
      <c r="K169" s="381"/>
      <c r="L169" s="381"/>
      <c r="M169" s="381"/>
      <c r="N169" s="381"/>
      <c r="O169" s="381"/>
      <c r="P169" s="381"/>
      <c r="Q169" s="381"/>
      <c r="R169" s="381"/>
      <c r="S169" s="381"/>
      <c r="T169" s="381"/>
      <c r="U169" s="381"/>
      <c r="V169" s="381"/>
      <c r="W169" s="381"/>
      <c r="X169" s="381"/>
      <c r="Y169" s="381"/>
      <c r="Z169" s="381"/>
      <c r="AA169" s="381"/>
      <c r="AB169" s="381"/>
      <c r="AC169" s="381"/>
      <c r="AD169" s="381"/>
      <c r="AE169" s="381"/>
      <c r="AF169" s="381"/>
      <c r="AG169" s="381"/>
      <c r="AH169" s="381"/>
      <c r="AI169" s="381"/>
      <c r="AJ169" s="381"/>
      <c r="AK169" s="381"/>
      <c r="AL169" s="381"/>
      <c r="AM169" s="381"/>
      <c r="AN169" s="381"/>
      <c r="AO169" s="381"/>
      <c r="AP169" s="381"/>
      <c r="AQ169" s="381"/>
      <c r="AR169" s="381"/>
      <c r="AS169" s="381"/>
      <c r="AT169" s="381"/>
      <c r="AU169" s="381"/>
      <c r="AV169" s="381"/>
      <c r="AW169" s="381"/>
      <c r="AX169" s="381"/>
      <c r="AY169" s="381"/>
      <c r="AZ169" s="381"/>
      <c r="BA169" s="381"/>
      <c r="BB169" s="381"/>
      <c r="BC169" s="381"/>
      <c r="BD169" s="381"/>
      <c r="BE169" s="381"/>
      <c r="BF169" s="381"/>
      <c r="BG169" s="381"/>
      <c r="BH169" s="381"/>
      <c r="BI169" s="381"/>
      <c r="BJ169" s="381"/>
      <c r="BK169" s="381"/>
      <c r="BL169" s="381"/>
      <c r="BM169" s="381"/>
      <c r="BN169" s="381"/>
      <c r="BO169" s="381"/>
      <c r="BP169" s="381"/>
      <c r="BQ169" s="381"/>
      <c r="BR169" s="381"/>
      <c r="BS169" s="381"/>
      <c r="BT169" s="381"/>
      <c r="BU169" s="381"/>
      <c r="BV169" s="381"/>
      <c r="BW169" s="381"/>
      <c r="BX169" s="381"/>
      <c r="BY169" s="381"/>
      <c r="BZ169" s="381"/>
      <c r="CA169" s="381"/>
      <c r="CB169" s="381"/>
      <c r="CC169" s="381"/>
      <c r="CD169" s="381"/>
      <c r="CE169" s="381"/>
      <c r="CF169" s="381"/>
      <c r="CG169" s="381"/>
      <c r="CH169" s="381"/>
      <c r="CI169" s="381"/>
      <c r="CJ169" s="381"/>
      <c r="CK169" s="381"/>
      <c r="CL169" s="381"/>
      <c r="CM169" s="381"/>
      <c r="CN169" s="381"/>
      <c r="CO169" s="381"/>
      <c r="CP169" s="381"/>
      <c r="CQ169" s="381"/>
      <c r="CR169" s="381"/>
      <c r="CS169" s="381"/>
      <c r="CT169" s="381"/>
      <c r="CU169" s="381"/>
      <c r="CV169" s="381"/>
      <c r="CW169" s="381"/>
      <c r="CX169" s="381"/>
      <c r="CY169" s="381"/>
      <c r="CZ169" s="381"/>
      <c r="DA169" s="381"/>
      <c r="DB169" s="381"/>
      <c r="DC169" s="381"/>
      <c r="DD169" s="381"/>
      <c r="DE169" s="381"/>
      <c r="DF169" s="381"/>
      <c r="DG169" s="381"/>
      <c r="DH169" s="381"/>
      <c r="DI169" s="381"/>
      <c r="DJ169" s="381"/>
      <c r="DK169" s="381"/>
      <c r="DL169" s="381"/>
      <c r="DM169" s="381"/>
      <c r="DN169" s="381"/>
      <c r="DO169" s="381"/>
      <c r="DP169" s="381"/>
      <c r="DQ169" s="381"/>
      <c r="DR169" s="381"/>
      <c r="DS169" s="381"/>
      <c r="DT169" s="381"/>
      <c r="DU169" s="381"/>
      <c r="DV169" s="381"/>
      <c r="DW169" s="381"/>
      <c r="DX169" s="381"/>
      <c r="DY169" s="381"/>
      <c r="DZ169" s="381"/>
      <c r="EA169" s="381"/>
      <c r="EB169" s="381"/>
      <c r="EC169" s="381"/>
      <c r="ED169" s="381"/>
      <c r="EE169" s="381"/>
      <c r="EF169" s="381"/>
      <c r="EG169" s="381"/>
      <c r="EH169" s="381"/>
      <c r="EI169" s="381"/>
      <c r="EJ169" s="381"/>
      <c r="EK169" s="381"/>
      <c r="EL169" s="381"/>
      <c r="EM169" s="381"/>
      <c r="EN169" s="381"/>
      <c r="EO169" s="381"/>
      <c r="EP169" s="24"/>
      <c r="EQ169" s="24"/>
      <c r="ER169" s="24"/>
      <c r="ES169" s="24"/>
      <c r="ET169" s="24"/>
      <c r="EU169" s="33"/>
      <c r="EV169" s="24"/>
      <c r="EW169" s="24"/>
      <c r="EX169" s="24"/>
      <c r="EY169" s="24"/>
      <c r="EZ169" s="24"/>
      <c r="FA169" s="24"/>
      <c r="FB169" s="24"/>
      <c r="FC169" s="24"/>
      <c r="FD169" s="24"/>
      <c r="FE169" s="24"/>
      <c r="FF169" s="24"/>
      <c r="FG169" s="24"/>
      <c r="FH169" s="24"/>
      <c r="FI169" s="24"/>
      <c r="FJ169" s="24"/>
      <c r="FK169" s="24"/>
      <c r="FL169" s="24"/>
      <c r="FM169" s="24"/>
      <c r="FN169" s="24"/>
      <c r="FO169" s="24"/>
      <c r="FP169" s="24"/>
      <c r="FQ169" s="24"/>
      <c r="FR169" s="24"/>
      <c r="FS169" s="24"/>
      <c r="FT169" s="24"/>
      <c r="FU169" s="24"/>
      <c r="FV169" s="24"/>
      <c r="FW169" s="24"/>
      <c r="FX169" s="24"/>
      <c r="FY169" s="24"/>
      <c r="FZ169" s="24"/>
      <c r="GA169" s="24"/>
      <c r="GB169" s="24"/>
      <c r="GC169" s="24"/>
      <c r="GD169" s="24"/>
      <c r="GE169" s="24"/>
      <c r="GF169" s="24"/>
      <c r="GG169" s="24"/>
      <c r="GH169" s="24"/>
      <c r="GI169" s="24"/>
      <c r="GJ169" s="24"/>
      <c r="GK169" s="24"/>
      <c r="GL169" s="24"/>
      <c r="GM169" s="24"/>
      <c r="GN169" s="24"/>
      <c r="GO169" s="24"/>
      <c r="GP169" s="24"/>
      <c r="GQ169" s="24"/>
      <c r="GR169" s="24"/>
      <c r="GS169" s="24"/>
      <c r="GT169" s="24"/>
      <c r="GU169" s="24"/>
      <c r="GV169" s="24"/>
      <c r="GW169" s="24"/>
      <c r="GX169" s="24"/>
      <c r="GY169" s="24"/>
      <c r="GZ169" s="24"/>
      <c r="HA169" s="24"/>
      <c r="HB169" s="24"/>
      <c r="HC169" s="24"/>
      <c r="HD169" s="24"/>
      <c r="HE169" s="24"/>
      <c r="HF169" s="24"/>
      <c r="HG169" s="24"/>
      <c r="HH169" s="24"/>
      <c r="HI169" s="24"/>
      <c r="HJ169" s="24"/>
      <c r="HK169" s="24"/>
      <c r="HL169" s="24"/>
      <c r="HM169" s="24"/>
      <c r="HN169" s="24"/>
      <c r="HO169" s="24"/>
      <c r="HP169" s="24"/>
      <c r="HQ169" s="24"/>
      <c r="HR169" s="24"/>
      <c r="HS169" s="24"/>
      <c r="HT169" s="24"/>
      <c r="HU169" s="24"/>
      <c r="HV169" s="24"/>
      <c r="HW169" s="24"/>
      <c r="HX169" s="24"/>
      <c r="HY169" s="24"/>
      <c r="HZ169" s="24"/>
      <c r="IA169" s="24"/>
      <c r="IB169" s="24"/>
      <c r="IC169" s="24"/>
      <c r="ID169" s="24"/>
      <c r="IE169" s="24"/>
      <c r="IF169" s="24"/>
      <c r="IG169" s="24"/>
      <c r="IH169" s="24"/>
      <c r="II169" s="24"/>
      <c r="IJ169" s="24"/>
      <c r="IK169" s="24"/>
      <c r="IL169" s="24"/>
      <c r="IM169" s="24"/>
      <c r="IN169" s="24"/>
      <c r="IO169" s="24"/>
      <c r="IP169" s="24"/>
      <c r="IQ169" s="24"/>
      <c r="IR169" s="24"/>
      <c r="IS169" s="24"/>
      <c r="IT169" s="24"/>
      <c r="IU169" s="24"/>
      <c r="IV169" s="24"/>
      <c r="IW169" s="24"/>
      <c r="IX169" s="24"/>
      <c r="IY169" s="24"/>
      <c r="IZ169" s="24"/>
      <c r="JA169" s="24"/>
      <c r="JB169" s="24"/>
      <c r="JC169" s="24"/>
      <c r="JD169" s="24"/>
      <c r="JE169" s="24"/>
      <c r="JF169" s="24"/>
      <c r="JG169" s="24"/>
      <c r="JH169" s="24"/>
      <c r="JI169" s="24"/>
      <c r="JJ169" s="24"/>
      <c r="JK169" s="24"/>
      <c r="JL169" s="24"/>
      <c r="JM169" s="24"/>
      <c r="JN169" s="24"/>
      <c r="JO169" s="24"/>
      <c r="JP169" s="24"/>
      <c r="JQ169" s="24"/>
      <c r="JR169" s="24"/>
      <c r="JS169" s="24"/>
      <c r="JT169" s="24"/>
      <c r="JU169" s="24"/>
      <c r="JV169" s="24"/>
      <c r="JW169" s="24"/>
      <c r="JX169" s="24"/>
    </row>
    <row r="170" spans="1:284" s="7" customFormat="1" x14ac:dyDescent="0.2">
      <c r="A170" s="406"/>
      <c r="B170" s="147" t="str">
        <f t="shared" si="636"/>
        <v>Utilities</v>
      </c>
      <c r="C170" s="120"/>
      <c r="D170" s="120"/>
      <c r="E170" s="179"/>
      <c r="F170" s="179"/>
      <c r="G170" s="123">
        <f t="shared" si="637"/>
        <v>280000</v>
      </c>
      <c r="H170" s="123">
        <f t="shared" ca="1" si="638"/>
        <v>289842</v>
      </c>
      <c r="I170" s="124">
        <f t="shared" ca="1" si="639"/>
        <v>298537.26</v>
      </c>
      <c r="J170" s="381"/>
      <c r="K170" s="381"/>
      <c r="L170" s="381"/>
      <c r="M170" s="381"/>
      <c r="N170" s="381"/>
      <c r="O170" s="381"/>
      <c r="P170" s="381"/>
      <c r="Q170" s="381"/>
      <c r="R170" s="381"/>
      <c r="S170" s="381"/>
      <c r="T170" s="381"/>
      <c r="U170" s="381"/>
      <c r="V170" s="381"/>
      <c r="W170" s="381"/>
      <c r="X170" s="381"/>
      <c r="Y170" s="381"/>
      <c r="Z170" s="381"/>
      <c r="AA170" s="381"/>
      <c r="AB170" s="381"/>
      <c r="AC170" s="381"/>
      <c r="AD170" s="381"/>
      <c r="AE170" s="381"/>
      <c r="AF170" s="381"/>
      <c r="AG170" s="381"/>
      <c r="AH170" s="381"/>
      <c r="AI170" s="381"/>
      <c r="AJ170" s="381"/>
      <c r="AK170" s="381"/>
      <c r="AL170" s="381"/>
      <c r="AM170" s="381"/>
      <c r="AN170" s="381"/>
      <c r="AO170" s="381"/>
      <c r="AP170" s="381"/>
      <c r="AQ170" s="381"/>
      <c r="AR170" s="381"/>
      <c r="AS170" s="381"/>
      <c r="AT170" s="381"/>
      <c r="AU170" s="381"/>
      <c r="AV170" s="381"/>
      <c r="AW170" s="381"/>
      <c r="AX170" s="381"/>
      <c r="AY170" s="381"/>
      <c r="AZ170" s="381"/>
      <c r="BA170" s="381"/>
      <c r="BB170" s="381"/>
      <c r="BC170" s="381"/>
      <c r="BD170" s="381"/>
      <c r="BE170" s="381"/>
      <c r="BF170" s="381"/>
      <c r="BG170" s="381"/>
      <c r="BH170" s="381"/>
      <c r="BI170" s="381"/>
      <c r="BJ170" s="381"/>
      <c r="BK170" s="381"/>
      <c r="BL170" s="381"/>
      <c r="BM170" s="381"/>
      <c r="BN170" s="381"/>
      <c r="BO170" s="381"/>
      <c r="BP170" s="381"/>
      <c r="BQ170" s="381"/>
      <c r="BR170" s="381"/>
      <c r="BS170" s="381"/>
      <c r="BT170" s="381"/>
      <c r="BU170" s="381"/>
      <c r="BV170" s="381"/>
      <c r="BW170" s="381"/>
      <c r="BX170" s="381"/>
      <c r="BY170" s="381"/>
      <c r="BZ170" s="381"/>
      <c r="CA170" s="381"/>
      <c r="CB170" s="381"/>
      <c r="CC170" s="381"/>
      <c r="CD170" s="381"/>
      <c r="CE170" s="381"/>
      <c r="CF170" s="381"/>
      <c r="CG170" s="381"/>
      <c r="CH170" s="381"/>
      <c r="CI170" s="381"/>
      <c r="CJ170" s="381"/>
      <c r="CK170" s="381"/>
      <c r="CL170" s="381"/>
      <c r="CM170" s="381"/>
      <c r="CN170" s="381"/>
      <c r="CO170" s="381"/>
      <c r="CP170" s="381"/>
      <c r="CQ170" s="381"/>
      <c r="CR170" s="381"/>
      <c r="CS170" s="381"/>
      <c r="CT170" s="381"/>
      <c r="CU170" s="381"/>
      <c r="CV170" s="381"/>
      <c r="CW170" s="381"/>
      <c r="CX170" s="381"/>
      <c r="CY170" s="381"/>
      <c r="CZ170" s="381"/>
      <c r="DA170" s="381"/>
      <c r="DB170" s="381"/>
      <c r="DC170" s="381"/>
      <c r="DD170" s="381"/>
      <c r="DE170" s="381"/>
      <c r="DF170" s="381"/>
      <c r="DG170" s="381"/>
      <c r="DH170" s="381"/>
      <c r="DI170" s="381"/>
      <c r="DJ170" s="381"/>
      <c r="DK170" s="381"/>
      <c r="DL170" s="381"/>
      <c r="DM170" s="381"/>
      <c r="DN170" s="381"/>
      <c r="DO170" s="381"/>
      <c r="DP170" s="381"/>
      <c r="DQ170" s="381"/>
      <c r="DR170" s="381"/>
      <c r="DS170" s="381"/>
      <c r="DT170" s="381"/>
      <c r="DU170" s="381"/>
      <c r="DV170" s="381"/>
      <c r="DW170" s="381"/>
      <c r="DX170" s="381"/>
      <c r="DY170" s="381"/>
      <c r="DZ170" s="381"/>
      <c r="EA170" s="381"/>
      <c r="EB170" s="381"/>
      <c r="EC170" s="381"/>
      <c r="ED170" s="381"/>
      <c r="EE170" s="381"/>
      <c r="EF170" s="381"/>
      <c r="EG170" s="381"/>
      <c r="EH170" s="381"/>
      <c r="EI170" s="381"/>
      <c r="EJ170" s="381"/>
      <c r="EK170" s="381"/>
      <c r="EL170" s="381"/>
      <c r="EM170" s="381"/>
      <c r="EN170" s="381"/>
      <c r="EO170" s="381"/>
      <c r="EP170" s="24"/>
      <c r="EQ170" s="24"/>
      <c r="ER170" s="24"/>
      <c r="ES170" s="24"/>
      <c r="ET170" s="24"/>
      <c r="EU170" s="33"/>
      <c r="EV170" s="24"/>
      <c r="EW170" s="24"/>
      <c r="EX170" s="24"/>
      <c r="EY170" s="24"/>
      <c r="EZ170" s="24"/>
      <c r="FA170" s="24"/>
      <c r="FB170" s="24"/>
      <c r="FC170" s="24"/>
      <c r="FD170" s="24"/>
      <c r="FE170" s="24"/>
      <c r="FF170" s="24"/>
      <c r="FG170" s="24"/>
      <c r="FH170" s="24"/>
      <c r="FI170" s="24"/>
      <c r="FJ170" s="24"/>
      <c r="FK170" s="24"/>
      <c r="FL170" s="24"/>
      <c r="FM170" s="24"/>
      <c r="FN170" s="24"/>
      <c r="FO170" s="24"/>
      <c r="FP170" s="24"/>
      <c r="FQ170" s="24"/>
      <c r="FR170" s="24"/>
      <c r="FS170" s="24"/>
      <c r="FT170" s="24"/>
      <c r="FU170" s="24"/>
      <c r="FV170" s="24"/>
      <c r="FW170" s="24"/>
      <c r="FX170" s="24"/>
      <c r="FY170" s="24"/>
      <c r="FZ170" s="24"/>
      <c r="GA170" s="24"/>
      <c r="GB170" s="24"/>
      <c r="GC170" s="24"/>
      <c r="GD170" s="24"/>
      <c r="GE170" s="24"/>
      <c r="GF170" s="24"/>
      <c r="GG170" s="24"/>
      <c r="GH170" s="24"/>
      <c r="GI170" s="24"/>
      <c r="GJ170" s="24"/>
      <c r="GK170" s="24"/>
      <c r="GL170" s="24"/>
      <c r="GM170" s="24"/>
      <c r="GN170" s="24"/>
      <c r="GO170" s="24"/>
      <c r="GP170" s="24"/>
      <c r="GQ170" s="24"/>
      <c r="GR170" s="24"/>
      <c r="GS170" s="24"/>
      <c r="GT170" s="24"/>
      <c r="GU170" s="24"/>
      <c r="GV170" s="24"/>
      <c r="GW170" s="24"/>
      <c r="GX170" s="24"/>
      <c r="GY170" s="24"/>
      <c r="GZ170" s="24"/>
      <c r="HA170" s="24"/>
      <c r="HB170" s="24"/>
      <c r="HC170" s="24"/>
      <c r="HD170" s="24"/>
      <c r="HE170" s="24"/>
      <c r="HF170" s="24"/>
      <c r="HG170" s="24"/>
      <c r="HH170" s="24"/>
      <c r="HI170" s="24"/>
      <c r="HJ170" s="24"/>
      <c r="HK170" s="24"/>
      <c r="HL170" s="24"/>
      <c r="HM170" s="24"/>
      <c r="HN170" s="24"/>
      <c r="HO170" s="24"/>
      <c r="HP170" s="24"/>
      <c r="HQ170" s="24"/>
      <c r="HR170" s="24"/>
      <c r="HS170" s="24"/>
      <c r="HT170" s="24"/>
      <c r="HU170" s="24"/>
      <c r="HV170" s="24"/>
      <c r="HW170" s="24"/>
      <c r="HX170" s="24"/>
      <c r="HY170" s="24"/>
      <c r="HZ170" s="24"/>
      <c r="IA170" s="24"/>
      <c r="IB170" s="24"/>
      <c r="IC170" s="24"/>
      <c r="ID170" s="24"/>
      <c r="IE170" s="24"/>
      <c r="IF170" s="24"/>
      <c r="IG170" s="24"/>
      <c r="IH170" s="24"/>
      <c r="II170" s="24"/>
      <c r="IJ170" s="24"/>
      <c r="IK170" s="24"/>
      <c r="IL170" s="24"/>
      <c r="IM170" s="24"/>
      <c r="IN170" s="24"/>
      <c r="IO170" s="24"/>
      <c r="IP170" s="24"/>
      <c r="IQ170" s="24"/>
      <c r="IR170" s="24"/>
      <c r="IS170" s="24"/>
      <c r="IT170" s="24"/>
      <c r="IU170" s="24"/>
      <c r="IV170" s="24"/>
      <c r="IW170" s="24"/>
      <c r="IX170" s="24"/>
      <c r="IY170" s="24"/>
      <c r="IZ170" s="24"/>
      <c r="JA170" s="24"/>
      <c r="JB170" s="24"/>
      <c r="JC170" s="24"/>
      <c r="JD170" s="24"/>
      <c r="JE170" s="24"/>
      <c r="JF170" s="24"/>
      <c r="JG170" s="24"/>
      <c r="JH170" s="24"/>
      <c r="JI170" s="24"/>
      <c r="JJ170" s="24"/>
      <c r="JK170" s="24"/>
      <c r="JL170" s="24"/>
      <c r="JM170" s="24"/>
      <c r="JN170" s="24"/>
      <c r="JO170" s="24"/>
      <c r="JP170" s="24"/>
      <c r="JQ170" s="24"/>
      <c r="JR170" s="24"/>
      <c r="JS170" s="24"/>
      <c r="JT170" s="24"/>
      <c r="JU170" s="24"/>
      <c r="JV170" s="24"/>
      <c r="JW170" s="24"/>
      <c r="JX170" s="24"/>
    </row>
    <row r="171" spans="1:284" s="7" customFormat="1" x14ac:dyDescent="0.2">
      <c r="A171" s="406"/>
      <c r="B171" s="147" t="str">
        <f t="shared" si="636"/>
        <v>Contract Services</v>
      </c>
      <c r="C171" s="120"/>
      <c r="D171" s="120"/>
      <c r="E171" s="179"/>
      <c r="F171" s="179"/>
      <c r="G171" s="123">
        <f t="shared" si="637"/>
        <v>105000</v>
      </c>
      <c r="H171" s="123">
        <f t="shared" ca="1" si="638"/>
        <v>108690.75</v>
      </c>
      <c r="I171" s="124">
        <f t="shared" ca="1" si="639"/>
        <v>111951.4725</v>
      </c>
      <c r="J171" s="381"/>
      <c r="K171" s="381"/>
      <c r="L171" s="381"/>
      <c r="M171" s="381"/>
      <c r="N171" s="381"/>
      <c r="O171" s="381"/>
      <c r="P171" s="381"/>
      <c r="Q171" s="381"/>
      <c r="R171" s="381"/>
      <c r="S171" s="381"/>
      <c r="T171" s="381"/>
      <c r="U171" s="381"/>
      <c r="V171" s="381"/>
      <c r="W171" s="381"/>
      <c r="X171" s="381"/>
      <c r="Y171" s="381"/>
      <c r="Z171" s="381"/>
      <c r="AA171" s="381"/>
      <c r="AB171" s="381"/>
      <c r="AC171" s="381"/>
      <c r="AD171" s="381"/>
      <c r="AE171" s="381"/>
      <c r="AF171" s="381"/>
      <c r="AG171" s="381"/>
      <c r="AH171" s="381"/>
      <c r="AI171" s="381"/>
      <c r="AJ171" s="381"/>
      <c r="AK171" s="381"/>
      <c r="AL171" s="381"/>
      <c r="AM171" s="381"/>
      <c r="AN171" s="381"/>
      <c r="AO171" s="381"/>
      <c r="AP171" s="381"/>
      <c r="AQ171" s="381"/>
      <c r="AR171" s="381"/>
      <c r="AS171" s="381"/>
      <c r="AT171" s="381"/>
      <c r="AU171" s="381"/>
      <c r="AV171" s="381"/>
      <c r="AW171" s="381"/>
      <c r="AX171" s="381"/>
      <c r="AY171" s="381"/>
      <c r="AZ171" s="381"/>
      <c r="BA171" s="381"/>
      <c r="BB171" s="381"/>
      <c r="BC171" s="381"/>
      <c r="BD171" s="381"/>
      <c r="BE171" s="381"/>
      <c r="BF171" s="381"/>
      <c r="BG171" s="381"/>
      <c r="BH171" s="381"/>
      <c r="BI171" s="381"/>
      <c r="BJ171" s="381"/>
      <c r="BK171" s="381"/>
      <c r="BL171" s="381"/>
      <c r="BM171" s="381"/>
      <c r="BN171" s="381"/>
      <c r="BO171" s="381"/>
      <c r="BP171" s="381"/>
      <c r="BQ171" s="381"/>
      <c r="BR171" s="381"/>
      <c r="BS171" s="381"/>
      <c r="BT171" s="381"/>
      <c r="BU171" s="381"/>
      <c r="BV171" s="381"/>
      <c r="BW171" s="381"/>
      <c r="BX171" s="381"/>
      <c r="BY171" s="381"/>
      <c r="BZ171" s="381"/>
      <c r="CA171" s="381"/>
      <c r="CB171" s="381"/>
      <c r="CC171" s="381"/>
      <c r="CD171" s="381"/>
      <c r="CE171" s="381"/>
      <c r="CF171" s="381"/>
      <c r="CG171" s="381"/>
      <c r="CH171" s="381"/>
      <c r="CI171" s="381"/>
      <c r="CJ171" s="381"/>
      <c r="CK171" s="381"/>
      <c r="CL171" s="381"/>
      <c r="CM171" s="381"/>
      <c r="CN171" s="381"/>
      <c r="CO171" s="381"/>
      <c r="CP171" s="381"/>
      <c r="CQ171" s="381"/>
      <c r="CR171" s="381"/>
      <c r="CS171" s="381"/>
      <c r="CT171" s="381"/>
      <c r="CU171" s="381"/>
      <c r="CV171" s="381"/>
      <c r="CW171" s="381"/>
      <c r="CX171" s="381"/>
      <c r="CY171" s="381"/>
      <c r="CZ171" s="381"/>
      <c r="DA171" s="381"/>
      <c r="DB171" s="381"/>
      <c r="DC171" s="381"/>
      <c r="DD171" s="381"/>
      <c r="DE171" s="381"/>
      <c r="DF171" s="381"/>
      <c r="DG171" s="381"/>
      <c r="DH171" s="381"/>
      <c r="DI171" s="381"/>
      <c r="DJ171" s="381"/>
      <c r="DK171" s="381"/>
      <c r="DL171" s="381"/>
      <c r="DM171" s="381"/>
      <c r="DN171" s="381"/>
      <c r="DO171" s="381"/>
      <c r="DP171" s="381"/>
      <c r="DQ171" s="381"/>
      <c r="DR171" s="381"/>
      <c r="DS171" s="381"/>
      <c r="DT171" s="381"/>
      <c r="DU171" s="381"/>
      <c r="DV171" s="381"/>
      <c r="DW171" s="381"/>
      <c r="DX171" s="381"/>
      <c r="DY171" s="381"/>
      <c r="DZ171" s="381"/>
      <c r="EA171" s="381"/>
      <c r="EB171" s="381"/>
      <c r="EC171" s="381"/>
      <c r="ED171" s="381"/>
      <c r="EE171" s="381"/>
      <c r="EF171" s="381"/>
      <c r="EG171" s="381"/>
      <c r="EH171" s="381"/>
      <c r="EI171" s="381"/>
      <c r="EJ171" s="381"/>
      <c r="EK171" s="381"/>
      <c r="EL171" s="381"/>
      <c r="EM171" s="381"/>
      <c r="EN171" s="381"/>
      <c r="EO171" s="381"/>
      <c r="EP171" s="24"/>
      <c r="EQ171" s="24"/>
      <c r="ER171" s="24"/>
      <c r="ES171" s="24"/>
      <c r="ET171" s="24"/>
      <c r="EU171" s="33"/>
      <c r="EV171" s="24"/>
      <c r="EW171" s="24"/>
      <c r="EX171" s="24"/>
      <c r="EY171" s="24"/>
      <c r="EZ171" s="24"/>
      <c r="FA171" s="24"/>
      <c r="FB171" s="24"/>
      <c r="FC171" s="24"/>
      <c r="FD171" s="24"/>
      <c r="FE171" s="24"/>
      <c r="FF171" s="24"/>
      <c r="FG171" s="24"/>
      <c r="FH171" s="24"/>
      <c r="FI171" s="24"/>
      <c r="FJ171" s="24"/>
      <c r="FK171" s="24"/>
      <c r="FL171" s="24"/>
      <c r="FM171" s="24"/>
      <c r="FN171" s="24"/>
      <c r="FO171" s="24"/>
      <c r="FP171" s="24"/>
      <c r="FQ171" s="24"/>
      <c r="FR171" s="24"/>
      <c r="FS171" s="24"/>
      <c r="FT171" s="24"/>
      <c r="FU171" s="24"/>
      <c r="FV171" s="24"/>
      <c r="FW171" s="24"/>
      <c r="FX171" s="24"/>
      <c r="FY171" s="24"/>
      <c r="FZ171" s="24"/>
      <c r="GA171" s="24"/>
      <c r="GB171" s="24"/>
      <c r="GC171" s="24"/>
      <c r="GD171" s="24"/>
      <c r="GE171" s="24"/>
      <c r="GF171" s="24"/>
      <c r="GG171" s="24"/>
      <c r="GH171" s="24"/>
      <c r="GI171" s="24"/>
      <c r="GJ171" s="24"/>
      <c r="GK171" s="24"/>
      <c r="GL171" s="24"/>
      <c r="GM171" s="24"/>
      <c r="GN171" s="24"/>
      <c r="GO171" s="24"/>
      <c r="GP171" s="24"/>
      <c r="GQ171" s="24"/>
      <c r="GR171" s="24"/>
      <c r="GS171" s="24"/>
      <c r="GT171" s="24"/>
      <c r="GU171" s="24"/>
      <c r="GV171" s="24"/>
      <c r="GW171" s="24"/>
      <c r="GX171" s="24"/>
      <c r="GY171" s="24"/>
      <c r="GZ171" s="24"/>
      <c r="HA171" s="24"/>
      <c r="HB171" s="24"/>
      <c r="HC171" s="24"/>
      <c r="HD171" s="24"/>
      <c r="HE171" s="24"/>
      <c r="HF171" s="24"/>
      <c r="HG171" s="24"/>
      <c r="HH171" s="24"/>
      <c r="HI171" s="24"/>
      <c r="HJ171" s="24"/>
      <c r="HK171" s="24"/>
      <c r="HL171" s="24"/>
      <c r="HM171" s="24"/>
      <c r="HN171" s="24"/>
      <c r="HO171" s="24"/>
      <c r="HP171" s="24"/>
      <c r="HQ171" s="24"/>
      <c r="HR171" s="24"/>
      <c r="HS171" s="24"/>
      <c r="HT171" s="24"/>
      <c r="HU171" s="24"/>
      <c r="HV171" s="24"/>
      <c r="HW171" s="24"/>
      <c r="HX171" s="24"/>
      <c r="HY171" s="24"/>
      <c r="HZ171" s="24"/>
      <c r="IA171" s="24"/>
      <c r="IB171" s="24"/>
      <c r="IC171" s="24"/>
      <c r="ID171" s="24"/>
      <c r="IE171" s="24"/>
      <c r="IF171" s="24"/>
      <c r="IG171" s="24"/>
      <c r="IH171" s="24"/>
      <c r="II171" s="24"/>
      <c r="IJ171" s="24"/>
      <c r="IK171" s="24"/>
      <c r="IL171" s="24"/>
      <c r="IM171" s="24"/>
      <c r="IN171" s="24"/>
      <c r="IO171" s="24"/>
      <c r="IP171" s="24"/>
      <c r="IQ171" s="24"/>
      <c r="IR171" s="24"/>
      <c r="IS171" s="24"/>
      <c r="IT171" s="24"/>
      <c r="IU171" s="24"/>
      <c r="IV171" s="24"/>
      <c r="IW171" s="24"/>
      <c r="IX171" s="24"/>
      <c r="IY171" s="24"/>
      <c r="IZ171" s="24"/>
      <c r="JA171" s="24"/>
      <c r="JB171" s="24"/>
      <c r="JC171" s="24"/>
      <c r="JD171" s="24"/>
      <c r="JE171" s="24"/>
      <c r="JF171" s="24"/>
      <c r="JG171" s="24"/>
      <c r="JH171" s="24"/>
      <c r="JI171" s="24"/>
      <c r="JJ171" s="24"/>
      <c r="JK171" s="24"/>
      <c r="JL171" s="24"/>
      <c r="JM171" s="24"/>
      <c r="JN171" s="24"/>
      <c r="JO171" s="24"/>
      <c r="JP171" s="24"/>
      <c r="JQ171" s="24"/>
      <c r="JR171" s="24"/>
      <c r="JS171" s="24"/>
      <c r="JT171" s="24"/>
      <c r="JU171" s="24"/>
      <c r="JV171" s="24"/>
      <c r="JW171" s="24"/>
      <c r="JX171" s="24"/>
    </row>
    <row r="172" spans="1:284" s="7" customFormat="1" x14ac:dyDescent="0.2">
      <c r="A172" s="406"/>
      <c r="B172" s="147" t="str">
        <f t="shared" si="636"/>
        <v>Make Ready Cost</v>
      </c>
      <c r="C172" s="120"/>
      <c r="D172" s="120"/>
      <c r="E172" s="179"/>
      <c r="F172" s="179"/>
      <c r="G172" s="123">
        <f t="shared" si="637"/>
        <v>45000</v>
      </c>
      <c r="H172" s="123">
        <f t="shared" ca="1" si="638"/>
        <v>46581.75</v>
      </c>
      <c r="I172" s="124">
        <f t="shared" ca="1" si="639"/>
        <v>47979.202499999999</v>
      </c>
      <c r="J172" s="381"/>
      <c r="K172" s="381"/>
      <c r="L172" s="381"/>
      <c r="M172" s="381"/>
      <c r="N172" s="381"/>
      <c r="O172" s="381"/>
      <c r="P172" s="381"/>
      <c r="Q172" s="381"/>
      <c r="R172" s="381"/>
      <c r="S172" s="381"/>
      <c r="T172" s="381"/>
      <c r="U172" s="381"/>
      <c r="V172" s="381"/>
      <c r="W172" s="381"/>
      <c r="X172" s="381"/>
      <c r="Y172" s="381"/>
      <c r="Z172" s="381"/>
      <c r="AA172" s="381"/>
      <c r="AB172" s="381"/>
      <c r="AC172" s="381"/>
      <c r="AD172" s="381"/>
      <c r="AE172" s="381"/>
      <c r="AF172" s="381"/>
      <c r="AG172" s="381"/>
      <c r="AH172" s="381"/>
      <c r="AI172" s="381"/>
      <c r="AJ172" s="381"/>
      <c r="AK172" s="381"/>
      <c r="AL172" s="381"/>
      <c r="AM172" s="381"/>
      <c r="AN172" s="381"/>
      <c r="AO172" s="381"/>
      <c r="AP172" s="381"/>
      <c r="AQ172" s="381"/>
      <c r="AR172" s="381"/>
      <c r="AS172" s="381"/>
      <c r="AT172" s="381"/>
      <c r="AU172" s="381"/>
      <c r="AV172" s="381"/>
      <c r="AW172" s="381"/>
      <c r="AX172" s="381"/>
      <c r="AY172" s="381"/>
      <c r="AZ172" s="381"/>
      <c r="BA172" s="381"/>
      <c r="BB172" s="381"/>
      <c r="BC172" s="381"/>
      <c r="BD172" s="381"/>
      <c r="BE172" s="381"/>
      <c r="BF172" s="381"/>
      <c r="BG172" s="381"/>
      <c r="BH172" s="381"/>
      <c r="BI172" s="381"/>
      <c r="BJ172" s="381"/>
      <c r="BK172" s="381"/>
      <c r="BL172" s="381"/>
      <c r="BM172" s="381"/>
      <c r="BN172" s="381"/>
      <c r="BO172" s="381"/>
      <c r="BP172" s="381"/>
      <c r="BQ172" s="381"/>
      <c r="BR172" s="381"/>
      <c r="BS172" s="381"/>
      <c r="BT172" s="381"/>
      <c r="BU172" s="381"/>
      <c r="BV172" s="381"/>
      <c r="BW172" s="381"/>
      <c r="BX172" s="381"/>
      <c r="BY172" s="381"/>
      <c r="BZ172" s="381"/>
      <c r="CA172" s="381"/>
      <c r="CB172" s="381"/>
      <c r="CC172" s="381"/>
      <c r="CD172" s="381"/>
      <c r="CE172" s="381"/>
      <c r="CF172" s="381"/>
      <c r="CG172" s="381"/>
      <c r="CH172" s="381"/>
      <c r="CI172" s="381"/>
      <c r="CJ172" s="381"/>
      <c r="CK172" s="381"/>
      <c r="CL172" s="381"/>
      <c r="CM172" s="381"/>
      <c r="CN172" s="381"/>
      <c r="CO172" s="381"/>
      <c r="CP172" s="381"/>
      <c r="CQ172" s="381"/>
      <c r="CR172" s="381"/>
      <c r="CS172" s="381"/>
      <c r="CT172" s="381"/>
      <c r="CU172" s="381"/>
      <c r="CV172" s="381"/>
      <c r="CW172" s="381"/>
      <c r="CX172" s="381"/>
      <c r="CY172" s="381"/>
      <c r="CZ172" s="381"/>
      <c r="DA172" s="381"/>
      <c r="DB172" s="381"/>
      <c r="DC172" s="381"/>
      <c r="DD172" s="381"/>
      <c r="DE172" s="381"/>
      <c r="DF172" s="381"/>
      <c r="DG172" s="381"/>
      <c r="DH172" s="381"/>
      <c r="DI172" s="381"/>
      <c r="DJ172" s="381"/>
      <c r="DK172" s="381"/>
      <c r="DL172" s="381"/>
      <c r="DM172" s="381"/>
      <c r="DN172" s="381"/>
      <c r="DO172" s="381"/>
      <c r="DP172" s="381"/>
      <c r="DQ172" s="381"/>
      <c r="DR172" s="381"/>
      <c r="DS172" s="381"/>
      <c r="DT172" s="381"/>
      <c r="DU172" s="381"/>
      <c r="DV172" s="381"/>
      <c r="DW172" s="381"/>
      <c r="DX172" s="381"/>
      <c r="DY172" s="381"/>
      <c r="DZ172" s="381"/>
      <c r="EA172" s="381"/>
      <c r="EB172" s="381"/>
      <c r="EC172" s="381"/>
      <c r="ED172" s="381"/>
      <c r="EE172" s="381"/>
      <c r="EF172" s="381"/>
      <c r="EG172" s="381"/>
      <c r="EH172" s="381"/>
      <c r="EI172" s="381"/>
      <c r="EJ172" s="381"/>
      <c r="EK172" s="381"/>
      <c r="EL172" s="381"/>
      <c r="EM172" s="381"/>
      <c r="EN172" s="381"/>
      <c r="EO172" s="381"/>
      <c r="EP172" s="24"/>
      <c r="EQ172" s="24"/>
      <c r="ER172" s="24"/>
      <c r="ES172" s="24"/>
      <c r="ET172" s="24"/>
      <c r="EU172" s="33"/>
      <c r="EV172" s="24"/>
      <c r="EW172" s="24"/>
      <c r="EX172" s="24"/>
      <c r="EY172" s="24"/>
      <c r="EZ172" s="24"/>
      <c r="FA172" s="24"/>
      <c r="FB172" s="24"/>
      <c r="FC172" s="24"/>
      <c r="FD172" s="24"/>
      <c r="FE172" s="24"/>
      <c r="FF172" s="24"/>
      <c r="FG172" s="24"/>
      <c r="FH172" s="24"/>
      <c r="FI172" s="24"/>
      <c r="FJ172" s="24"/>
      <c r="FK172" s="24"/>
      <c r="FL172" s="24"/>
      <c r="FM172" s="24"/>
      <c r="FN172" s="24"/>
      <c r="FO172" s="24"/>
      <c r="FP172" s="24"/>
      <c r="FQ172" s="24"/>
      <c r="FR172" s="24"/>
      <c r="FS172" s="24"/>
      <c r="FT172" s="24"/>
      <c r="FU172" s="24"/>
      <c r="FV172" s="24"/>
      <c r="FW172" s="24"/>
      <c r="FX172" s="24"/>
      <c r="FY172" s="24"/>
      <c r="FZ172" s="24"/>
      <c r="GA172" s="24"/>
      <c r="GB172" s="24"/>
      <c r="GC172" s="24"/>
      <c r="GD172" s="24"/>
      <c r="GE172" s="24"/>
      <c r="GF172" s="24"/>
      <c r="GG172" s="24"/>
      <c r="GH172" s="24"/>
      <c r="GI172" s="24"/>
      <c r="GJ172" s="24"/>
      <c r="GK172" s="24"/>
      <c r="GL172" s="24"/>
      <c r="GM172" s="24"/>
      <c r="GN172" s="24"/>
      <c r="GO172" s="24"/>
      <c r="GP172" s="24"/>
      <c r="GQ172" s="24"/>
      <c r="GR172" s="24"/>
      <c r="GS172" s="24"/>
      <c r="GT172" s="24"/>
      <c r="GU172" s="24"/>
      <c r="GV172" s="24"/>
      <c r="GW172" s="24"/>
      <c r="GX172" s="24"/>
      <c r="GY172" s="24"/>
      <c r="GZ172" s="24"/>
      <c r="HA172" s="24"/>
      <c r="HB172" s="24"/>
      <c r="HC172" s="24"/>
      <c r="HD172" s="24"/>
      <c r="HE172" s="24"/>
      <c r="HF172" s="24"/>
      <c r="HG172" s="24"/>
      <c r="HH172" s="24"/>
      <c r="HI172" s="24"/>
      <c r="HJ172" s="24"/>
      <c r="HK172" s="24"/>
      <c r="HL172" s="24"/>
      <c r="HM172" s="24"/>
      <c r="HN172" s="24"/>
      <c r="HO172" s="24"/>
      <c r="HP172" s="24"/>
      <c r="HQ172" s="24"/>
      <c r="HR172" s="24"/>
      <c r="HS172" s="24"/>
      <c r="HT172" s="24"/>
      <c r="HU172" s="24"/>
      <c r="HV172" s="24"/>
      <c r="HW172" s="24"/>
      <c r="HX172" s="24"/>
      <c r="HY172" s="24"/>
      <c r="HZ172" s="24"/>
      <c r="IA172" s="24"/>
      <c r="IB172" s="24"/>
      <c r="IC172" s="24"/>
      <c r="ID172" s="24"/>
      <c r="IE172" s="24"/>
      <c r="IF172" s="24"/>
      <c r="IG172" s="24"/>
      <c r="IH172" s="24"/>
      <c r="II172" s="24"/>
      <c r="IJ172" s="24"/>
      <c r="IK172" s="24"/>
      <c r="IL172" s="24"/>
      <c r="IM172" s="24"/>
      <c r="IN172" s="24"/>
      <c r="IO172" s="24"/>
      <c r="IP172" s="24"/>
      <c r="IQ172" s="24"/>
      <c r="IR172" s="24"/>
      <c r="IS172" s="24"/>
      <c r="IT172" s="24"/>
      <c r="IU172" s="24"/>
      <c r="IV172" s="24"/>
      <c r="IW172" s="24"/>
      <c r="IX172" s="24"/>
      <c r="IY172" s="24"/>
      <c r="IZ172" s="24"/>
      <c r="JA172" s="24"/>
      <c r="JB172" s="24"/>
      <c r="JC172" s="24"/>
      <c r="JD172" s="24"/>
      <c r="JE172" s="24"/>
      <c r="JF172" s="24"/>
      <c r="JG172" s="24"/>
      <c r="JH172" s="24"/>
      <c r="JI172" s="24"/>
      <c r="JJ172" s="24"/>
      <c r="JK172" s="24"/>
      <c r="JL172" s="24"/>
      <c r="JM172" s="24"/>
      <c r="JN172" s="24"/>
      <c r="JO172" s="24"/>
      <c r="JP172" s="24"/>
      <c r="JQ172" s="24"/>
      <c r="JR172" s="24"/>
      <c r="JS172" s="24"/>
      <c r="JT172" s="24"/>
      <c r="JU172" s="24"/>
      <c r="JV172" s="24"/>
      <c r="JW172" s="24"/>
      <c r="JX172" s="24"/>
    </row>
    <row r="173" spans="1:284" s="7" customFormat="1" x14ac:dyDescent="0.2">
      <c r="A173" s="406"/>
      <c r="B173" s="147" t="str">
        <f t="shared" si="636"/>
        <v>Management Fee</v>
      </c>
      <c r="C173" s="120"/>
      <c r="D173" s="120"/>
      <c r="E173" s="179"/>
      <c r="F173" s="179"/>
      <c r="G173" s="123">
        <f t="shared" si="637"/>
        <v>183257.77247999999</v>
      </c>
      <c r="H173" s="123">
        <f t="shared" ca="1" si="638"/>
        <v>187431.17744392194</v>
      </c>
      <c r="I173" s="124">
        <f t="shared" ca="1" si="639"/>
        <v>193054.11276723963</v>
      </c>
      <c r="J173" s="381"/>
      <c r="K173" s="381"/>
      <c r="L173" s="381"/>
      <c r="M173" s="381"/>
      <c r="N173" s="381"/>
      <c r="O173" s="381"/>
      <c r="P173" s="381"/>
      <c r="Q173" s="381"/>
      <c r="R173" s="381"/>
      <c r="S173" s="381"/>
      <c r="T173" s="381"/>
      <c r="U173" s="381"/>
      <c r="V173" s="381"/>
      <c r="W173" s="381"/>
      <c r="X173" s="381"/>
      <c r="Y173" s="381"/>
      <c r="Z173" s="381"/>
      <c r="AA173" s="381"/>
      <c r="AB173" s="381"/>
      <c r="AC173" s="381"/>
      <c r="AD173" s="381"/>
      <c r="AE173" s="381"/>
      <c r="AF173" s="381"/>
      <c r="AG173" s="381"/>
      <c r="AH173" s="381"/>
      <c r="AI173" s="381"/>
      <c r="AJ173" s="381"/>
      <c r="AK173" s="381"/>
      <c r="AL173" s="381"/>
      <c r="AM173" s="381"/>
      <c r="AN173" s="381"/>
      <c r="AO173" s="381"/>
      <c r="AP173" s="381"/>
      <c r="AQ173" s="381"/>
      <c r="AR173" s="381"/>
      <c r="AS173" s="381"/>
      <c r="AT173" s="381"/>
      <c r="AU173" s="381"/>
      <c r="AV173" s="381"/>
      <c r="AW173" s="381"/>
      <c r="AX173" s="381"/>
      <c r="AY173" s="381"/>
      <c r="AZ173" s="381"/>
      <c r="BA173" s="381"/>
      <c r="BB173" s="381"/>
      <c r="BC173" s="381"/>
      <c r="BD173" s="381"/>
      <c r="BE173" s="381"/>
      <c r="BF173" s="381"/>
      <c r="BG173" s="381"/>
      <c r="BH173" s="381"/>
      <c r="BI173" s="381"/>
      <c r="BJ173" s="381"/>
      <c r="BK173" s="381"/>
      <c r="BL173" s="381"/>
      <c r="BM173" s="381"/>
      <c r="BN173" s="381"/>
      <c r="BO173" s="381"/>
      <c r="BP173" s="381"/>
      <c r="BQ173" s="381"/>
      <c r="BR173" s="381"/>
      <c r="BS173" s="381"/>
      <c r="BT173" s="381"/>
      <c r="BU173" s="381"/>
      <c r="BV173" s="381"/>
      <c r="BW173" s="381"/>
      <c r="BX173" s="381"/>
      <c r="BY173" s="381"/>
      <c r="BZ173" s="381"/>
      <c r="CA173" s="381"/>
      <c r="CB173" s="381"/>
      <c r="CC173" s="381"/>
      <c r="CD173" s="381"/>
      <c r="CE173" s="381"/>
      <c r="CF173" s="381"/>
      <c r="CG173" s="381"/>
      <c r="CH173" s="381"/>
      <c r="CI173" s="381"/>
      <c r="CJ173" s="381"/>
      <c r="CK173" s="381"/>
      <c r="CL173" s="381"/>
      <c r="CM173" s="381"/>
      <c r="CN173" s="381"/>
      <c r="CO173" s="381"/>
      <c r="CP173" s="381"/>
      <c r="CQ173" s="381"/>
      <c r="CR173" s="381"/>
      <c r="CS173" s="381"/>
      <c r="CT173" s="381"/>
      <c r="CU173" s="381"/>
      <c r="CV173" s="381"/>
      <c r="CW173" s="381"/>
      <c r="CX173" s="381"/>
      <c r="CY173" s="381"/>
      <c r="CZ173" s="381"/>
      <c r="DA173" s="381"/>
      <c r="DB173" s="381"/>
      <c r="DC173" s="381"/>
      <c r="DD173" s="381"/>
      <c r="DE173" s="381"/>
      <c r="DF173" s="381"/>
      <c r="DG173" s="381"/>
      <c r="DH173" s="381"/>
      <c r="DI173" s="381"/>
      <c r="DJ173" s="381"/>
      <c r="DK173" s="381"/>
      <c r="DL173" s="381"/>
      <c r="DM173" s="381"/>
      <c r="DN173" s="381"/>
      <c r="DO173" s="381"/>
      <c r="DP173" s="381"/>
      <c r="DQ173" s="381"/>
      <c r="DR173" s="381"/>
      <c r="DS173" s="381"/>
      <c r="DT173" s="381"/>
      <c r="DU173" s="381"/>
      <c r="DV173" s="381"/>
      <c r="DW173" s="381"/>
      <c r="DX173" s="381"/>
      <c r="DY173" s="381"/>
      <c r="DZ173" s="381"/>
      <c r="EA173" s="381"/>
      <c r="EB173" s="381"/>
      <c r="EC173" s="381"/>
      <c r="ED173" s="381"/>
      <c r="EE173" s="381"/>
      <c r="EF173" s="381"/>
      <c r="EG173" s="381"/>
      <c r="EH173" s="381"/>
      <c r="EI173" s="381"/>
      <c r="EJ173" s="381"/>
      <c r="EK173" s="381"/>
      <c r="EL173" s="381"/>
      <c r="EM173" s="381"/>
      <c r="EN173" s="381"/>
      <c r="EO173" s="381"/>
      <c r="EP173" s="24"/>
      <c r="EQ173" s="24"/>
      <c r="ER173" s="24"/>
      <c r="ES173" s="24"/>
      <c r="ET173" s="24"/>
      <c r="EU173" s="33"/>
      <c r="EV173" s="24"/>
      <c r="EW173" s="24"/>
      <c r="EX173" s="24"/>
      <c r="EY173" s="24"/>
      <c r="EZ173" s="24"/>
      <c r="FA173" s="24"/>
      <c r="FB173" s="24"/>
      <c r="FC173" s="24"/>
      <c r="FD173" s="24"/>
      <c r="FE173" s="24"/>
      <c r="FF173" s="24"/>
      <c r="FG173" s="24"/>
      <c r="FH173" s="24"/>
      <c r="FI173" s="24"/>
      <c r="FJ173" s="24"/>
      <c r="FK173" s="24"/>
      <c r="FL173" s="24"/>
      <c r="FM173" s="24"/>
      <c r="FN173" s="24"/>
      <c r="FO173" s="24"/>
      <c r="FP173" s="24"/>
      <c r="FQ173" s="24"/>
      <c r="FR173" s="24"/>
      <c r="FS173" s="24"/>
      <c r="FT173" s="24"/>
      <c r="FU173" s="24"/>
      <c r="FV173" s="24"/>
      <c r="FW173" s="24"/>
      <c r="FX173" s="24"/>
      <c r="FY173" s="24"/>
      <c r="FZ173" s="24"/>
      <c r="GA173" s="24"/>
      <c r="GB173" s="24"/>
      <c r="GC173" s="24"/>
      <c r="GD173" s="24"/>
      <c r="GE173" s="24"/>
      <c r="GF173" s="24"/>
      <c r="GG173" s="24"/>
      <c r="GH173" s="24"/>
      <c r="GI173" s="24"/>
      <c r="GJ173" s="24"/>
      <c r="GK173" s="24"/>
      <c r="GL173" s="24"/>
      <c r="GM173" s="24"/>
      <c r="GN173" s="24"/>
      <c r="GO173" s="24"/>
      <c r="GP173" s="24"/>
      <c r="GQ173" s="24"/>
      <c r="GR173" s="24"/>
      <c r="GS173" s="24"/>
      <c r="GT173" s="24"/>
      <c r="GU173" s="24"/>
      <c r="GV173" s="24"/>
      <c r="GW173" s="24"/>
      <c r="GX173" s="24"/>
      <c r="GY173" s="24"/>
      <c r="GZ173" s="24"/>
      <c r="HA173" s="24"/>
      <c r="HB173" s="24"/>
      <c r="HC173" s="24"/>
      <c r="HD173" s="24"/>
      <c r="HE173" s="24"/>
      <c r="HF173" s="24"/>
      <c r="HG173" s="24"/>
      <c r="HH173" s="24"/>
      <c r="HI173" s="24"/>
      <c r="HJ173" s="24"/>
      <c r="HK173" s="24"/>
      <c r="HL173" s="24"/>
      <c r="HM173" s="24"/>
      <c r="HN173" s="24"/>
      <c r="HO173" s="24"/>
      <c r="HP173" s="24"/>
      <c r="HQ173" s="24"/>
      <c r="HR173" s="24"/>
      <c r="HS173" s="24"/>
      <c r="HT173" s="24"/>
      <c r="HU173" s="24"/>
      <c r="HV173" s="24"/>
      <c r="HW173" s="24"/>
      <c r="HX173" s="24"/>
      <c r="HY173" s="24"/>
      <c r="HZ173" s="24"/>
      <c r="IA173" s="24"/>
      <c r="IB173" s="24"/>
      <c r="IC173" s="24"/>
      <c r="ID173" s="24"/>
      <c r="IE173" s="24"/>
      <c r="IF173" s="24"/>
      <c r="IG173" s="24"/>
      <c r="IH173" s="24"/>
      <c r="II173" s="24"/>
      <c r="IJ173" s="24"/>
      <c r="IK173" s="24"/>
      <c r="IL173" s="24"/>
      <c r="IM173" s="24"/>
      <c r="IN173" s="24"/>
      <c r="IO173" s="24"/>
      <c r="IP173" s="24"/>
      <c r="IQ173" s="24"/>
      <c r="IR173" s="24"/>
      <c r="IS173" s="24"/>
      <c r="IT173" s="24"/>
      <c r="IU173" s="24"/>
      <c r="IV173" s="24"/>
      <c r="IW173" s="24"/>
      <c r="IX173" s="24"/>
      <c r="IY173" s="24"/>
      <c r="IZ173" s="24"/>
      <c r="JA173" s="24"/>
      <c r="JB173" s="24"/>
      <c r="JC173" s="24"/>
      <c r="JD173" s="24"/>
      <c r="JE173" s="24"/>
      <c r="JF173" s="24"/>
      <c r="JG173" s="24"/>
      <c r="JH173" s="24"/>
      <c r="JI173" s="24"/>
      <c r="JJ173" s="24"/>
      <c r="JK173" s="24"/>
      <c r="JL173" s="24"/>
      <c r="JM173" s="24"/>
      <c r="JN173" s="24"/>
      <c r="JO173" s="24"/>
      <c r="JP173" s="24"/>
      <c r="JQ173" s="24"/>
      <c r="JR173" s="24"/>
      <c r="JS173" s="24"/>
      <c r="JT173" s="24"/>
      <c r="JU173" s="24"/>
      <c r="JV173" s="24"/>
      <c r="JW173" s="24"/>
      <c r="JX173" s="24"/>
    </row>
    <row r="174" spans="1:284" s="7" customFormat="1" x14ac:dyDescent="0.2">
      <c r="A174" s="406"/>
      <c r="B174" s="147" t="str">
        <f t="shared" si="636"/>
        <v>Insurance</v>
      </c>
      <c r="C174" s="120"/>
      <c r="D174" s="555" t="str">
        <f>+G148</f>
        <v>UNTRENDED</v>
      </c>
      <c r="E174" s="555" t="str">
        <f t="shared" ref="E174:F174" si="640">+H148</f>
        <v>TRENDED</v>
      </c>
      <c r="F174" s="555" t="str">
        <f t="shared" si="640"/>
        <v>SALE</v>
      </c>
      <c r="G174" s="123">
        <f t="shared" si="637"/>
        <v>105000</v>
      </c>
      <c r="H174" s="123">
        <f t="shared" ca="1" si="638"/>
        <v>108690.75</v>
      </c>
      <c r="I174" s="124">
        <f t="shared" ca="1" si="639"/>
        <v>111951.4725</v>
      </c>
      <c r="J174" s="381"/>
      <c r="K174" s="381"/>
      <c r="L174" s="381"/>
      <c r="M174" s="381"/>
      <c r="N174" s="381"/>
      <c r="O174" s="381"/>
      <c r="P174" s="381"/>
      <c r="Q174" s="381"/>
      <c r="R174" s="381"/>
      <c r="S174" s="381"/>
      <c r="T174" s="381"/>
      <c r="U174" s="381"/>
      <c r="V174" s="381"/>
      <c r="W174" s="381"/>
      <c r="X174" s="381"/>
      <c r="Y174" s="381"/>
      <c r="Z174" s="381"/>
      <c r="AA174" s="381"/>
      <c r="AB174" s="381"/>
      <c r="AC174" s="381"/>
      <c r="AD174" s="381"/>
      <c r="AE174" s="381"/>
      <c r="AF174" s="381"/>
      <c r="AG174" s="381"/>
      <c r="AH174" s="381"/>
      <c r="AI174" s="381"/>
      <c r="AJ174" s="381"/>
      <c r="AK174" s="381"/>
      <c r="AL174" s="381"/>
      <c r="AM174" s="381"/>
      <c r="AN174" s="381"/>
      <c r="AO174" s="381"/>
      <c r="AP174" s="381"/>
      <c r="AQ174" s="381"/>
      <c r="AR174" s="381"/>
      <c r="AS174" s="381"/>
      <c r="AT174" s="381"/>
      <c r="AU174" s="381"/>
      <c r="AV174" s="381"/>
      <c r="AW174" s="381"/>
      <c r="AX174" s="381"/>
      <c r="AY174" s="381"/>
      <c r="AZ174" s="381"/>
      <c r="BA174" s="381"/>
      <c r="BB174" s="381"/>
      <c r="BC174" s="381"/>
      <c r="BD174" s="381"/>
      <c r="BE174" s="381"/>
      <c r="BF174" s="381"/>
      <c r="BG174" s="381"/>
      <c r="BH174" s="381"/>
      <c r="BI174" s="381"/>
      <c r="BJ174" s="381"/>
      <c r="BK174" s="381"/>
      <c r="BL174" s="381"/>
      <c r="BM174" s="381"/>
      <c r="BN174" s="381"/>
      <c r="BO174" s="381"/>
      <c r="BP174" s="381"/>
      <c r="BQ174" s="381"/>
      <c r="BR174" s="381"/>
      <c r="BS174" s="381"/>
      <c r="BT174" s="381"/>
      <c r="BU174" s="381"/>
      <c r="BV174" s="381"/>
      <c r="BW174" s="381"/>
      <c r="BX174" s="381"/>
      <c r="BY174" s="381"/>
      <c r="BZ174" s="381"/>
      <c r="CA174" s="381"/>
      <c r="CB174" s="381"/>
      <c r="CC174" s="381"/>
      <c r="CD174" s="381"/>
      <c r="CE174" s="381"/>
      <c r="CF174" s="381"/>
      <c r="CG174" s="381"/>
      <c r="CH174" s="381"/>
      <c r="CI174" s="381"/>
      <c r="CJ174" s="381"/>
      <c r="CK174" s="381"/>
      <c r="CL174" s="381"/>
      <c r="CM174" s="381"/>
      <c r="CN174" s="381"/>
      <c r="CO174" s="381"/>
      <c r="CP174" s="381"/>
      <c r="CQ174" s="381"/>
      <c r="CR174" s="381"/>
      <c r="CS174" s="381"/>
      <c r="CT174" s="381"/>
      <c r="CU174" s="381"/>
      <c r="CV174" s="381"/>
      <c r="CW174" s="381"/>
      <c r="CX174" s="381"/>
      <c r="CY174" s="381"/>
      <c r="CZ174" s="381"/>
      <c r="DA174" s="381"/>
      <c r="DB174" s="381"/>
      <c r="DC174" s="381"/>
      <c r="DD174" s="381"/>
      <c r="DE174" s="381"/>
      <c r="DF174" s="381"/>
      <c r="DG174" s="381"/>
      <c r="DH174" s="381"/>
      <c r="DI174" s="381"/>
      <c r="DJ174" s="381"/>
      <c r="DK174" s="381"/>
      <c r="DL174" s="381"/>
      <c r="DM174" s="381"/>
      <c r="DN174" s="381"/>
      <c r="DO174" s="381"/>
      <c r="DP174" s="381"/>
      <c r="DQ174" s="381"/>
      <c r="DR174" s="381"/>
      <c r="DS174" s="381"/>
      <c r="DT174" s="381"/>
      <c r="DU174" s="381"/>
      <c r="DV174" s="381"/>
      <c r="DW174" s="381"/>
      <c r="DX174" s="381"/>
      <c r="DY174" s="381"/>
      <c r="DZ174" s="381"/>
      <c r="EA174" s="381"/>
      <c r="EB174" s="381"/>
      <c r="EC174" s="381"/>
      <c r="ED174" s="381"/>
      <c r="EE174" s="381"/>
      <c r="EF174" s="381"/>
      <c r="EG174" s="381"/>
      <c r="EH174" s="381"/>
      <c r="EI174" s="381"/>
      <c r="EJ174" s="381"/>
      <c r="EK174" s="381"/>
      <c r="EL174" s="381"/>
      <c r="EM174" s="381"/>
      <c r="EN174" s="381"/>
      <c r="EO174" s="381"/>
      <c r="EP174" s="24"/>
      <c r="EQ174" s="24"/>
      <c r="ER174" s="24"/>
      <c r="ES174" s="24"/>
      <c r="ET174" s="24"/>
      <c r="EU174" s="33"/>
      <c r="EV174" s="24"/>
      <c r="EW174" s="24"/>
      <c r="EX174" s="24"/>
      <c r="EY174" s="24"/>
      <c r="EZ174" s="24"/>
      <c r="FA174" s="24"/>
      <c r="FB174" s="24"/>
      <c r="FC174" s="24"/>
      <c r="FD174" s="24"/>
      <c r="FE174" s="24"/>
      <c r="FF174" s="24"/>
      <c r="FG174" s="24"/>
      <c r="FH174" s="24"/>
      <c r="FI174" s="24"/>
      <c r="FJ174" s="24"/>
      <c r="FK174" s="24"/>
      <c r="FL174" s="24"/>
      <c r="FM174" s="24"/>
      <c r="FN174" s="24"/>
      <c r="FO174" s="24"/>
      <c r="FP174" s="24"/>
      <c r="FQ174" s="24"/>
      <c r="FR174" s="24"/>
      <c r="FS174" s="24"/>
      <c r="FT174" s="24"/>
      <c r="FU174" s="24"/>
      <c r="FV174" s="24"/>
      <c r="FW174" s="24"/>
      <c r="FX174" s="24"/>
      <c r="FY174" s="24"/>
      <c r="FZ174" s="24"/>
      <c r="GA174" s="24"/>
      <c r="GB174" s="24"/>
      <c r="GC174" s="24"/>
      <c r="GD174" s="24"/>
      <c r="GE174" s="24"/>
      <c r="GF174" s="24"/>
      <c r="GG174" s="24"/>
      <c r="GH174" s="24"/>
      <c r="GI174" s="24"/>
      <c r="GJ174" s="24"/>
      <c r="GK174" s="24"/>
      <c r="GL174" s="24"/>
      <c r="GM174" s="24"/>
      <c r="GN174" s="24"/>
      <c r="GO174" s="24"/>
      <c r="GP174" s="24"/>
      <c r="GQ174" s="24"/>
      <c r="GR174" s="24"/>
      <c r="GS174" s="24"/>
      <c r="GT174" s="24"/>
      <c r="GU174" s="24"/>
      <c r="GV174" s="24"/>
      <c r="GW174" s="24"/>
      <c r="GX174" s="24"/>
      <c r="GY174" s="24"/>
      <c r="GZ174" s="24"/>
      <c r="HA174" s="24"/>
      <c r="HB174" s="24"/>
      <c r="HC174" s="24"/>
      <c r="HD174" s="24"/>
      <c r="HE174" s="24"/>
      <c r="HF174" s="24"/>
      <c r="HG174" s="24"/>
      <c r="HH174" s="24"/>
      <c r="HI174" s="24"/>
      <c r="HJ174" s="24"/>
      <c r="HK174" s="24"/>
      <c r="HL174" s="24"/>
      <c r="HM174" s="24"/>
      <c r="HN174" s="24"/>
      <c r="HO174" s="24"/>
      <c r="HP174" s="24"/>
      <c r="HQ174" s="24"/>
      <c r="HR174" s="24"/>
      <c r="HS174" s="24"/>
      <c r="HT174" s="24"/>
      <c r="HU174" s="24"/>
      <c r="HV174" s="24"/>
      <c r="HW174" s="24"/>
      <c r="HX174" s="24"/>
      <c r="HY174" s="24"/>
      <c r="HZ174" s="24"/>
      <c r="IA174" s="24"/>
      <c r="IB174" s="24"/>
      <c r="IC174" s="24"/>
      <c r="ID174" s="24"/>
      <c r="IE174" s="24"/>
      <c r="IF174" s="24"/>
      <c r="IG174" s="24"/>
      <c r="IH174" s="24"/>
      <c r="II174" s="24"/>
      <c r="IJ174" s="24"/>
      <c r="IK174" s="24"/>
      <c r="IL174" s="24"/>
      <c r="IM174" s="24"/>
      <c r="IN174" s="24"/>
      <c r="IO174" s="24"/>
      <c r="IP174" s="24"/>
      <c r="IQ174" s="24"/>
      <c r="IR174" s="24"/>
      <c r="IS174" s="24"/>
      <c r="IT174" s="24"/>
      <c r="IU174" s="24"/>
      <c r="IV174" s="24"/>
      <c r="IW174" s="24"/>
      <c r="IX174" s="24"/>
      <c r="IY174" s="24"/>
      <c r="IZ174" s="24"/>
      <c r="JA174" s="24"/>
      <c r="JB174" s="24"/>
      <c r="JC174" s="24"/>
      <c r="JD174" s="24"/>
      <c r="JE174" s="24"/>
      <c r="JF174" s="24"/>
      <c r="JG174" s="24"/>
      <c r="JH174" s="24"/>
      <c r="JI174" s="24"/>
      <c r="JJ174" s="24"/>
      <c r="JK174" s="24"/>
      <c r="JL174" s="24"/>
      <c r="JM174" s="24"/>
      <c r="JN174" s="24"/>
      <c r="JO174" s="24"/>
      <c r="JP174" s="24"/>
      <c r="JQ174" s="24"/>
      <c r="JR174" s="24"/>
      <c r="JS174" s="24"/>
      <c r="JT174" s="24"/>
      <c r="JU174" s="24"/>
      <c r="JV174" s="24"/>
      <c r="JW174" s="24"/>
      <c r="JX174" s="24"/>
    </row>
    <row r="175" spans="1:284" s="7" customFormat="1" ht="16.5" x14ac:dyDescent="0.35">
      <c r="A175" s="406"/>
      <c r="B175" s="147" t="str">
        <f t="shared" si="636"/>
        <v>Property Taxes</v>
      </c>
      <c r="C175" s="120" t="s">
        <v>588</v>
      </c>
      <c r="D175" s="556">
        <f>+G175/G191</f>
        <v>1.457153659737187E-2</v>
      </c>
      <c r="E175" s="556">
        <f ca="1">+H175/H191</f>
        <v>1.6032915165814537E-2</v>
      </c>
      <c r="F175" s="556">
        <f ca="1">+I175/I191</f>
        <v>1.6450711000754334E-2</v>
      </c>
      <c r="G175" s="131">
        <f t="shared" si="637"/>
        <v>1035319.875</v>
      </c>
      <c r="H175" s="131">
        <f ca="1">I127*(H149/G149)</f>
        <v>1071711.3686062498</v>
      </c>
      <c r="I175" s="177">
        <f t="shared" ca="1" si="639"/>
        <v>1103862.7096644377</v>
      </c>
      <c r="J175" s="381"/>
      <c r="K175" s="381"/>
      <c r="L175" s="381"/>
      <c r="M175" s="381"/>
      <c r="N175" s="381"/>
      <c r="O175" s="381"/>
      <c r="P175" s="381"/>
      <c r="Q175" s="381"/>
      <c r="R175" s="381"/>
      <c r="S175" s="381"/>
      <c r="T175" s="381"/>
      <c r="U175" s="381"/>
      <c r="V175" s="381"/>
      <c r="W175" s="381"/>
      <c r="X175" s="381"/>
      <c r="Y175" s="381"/>
      <c r="Z175" s="381"/>
      <c r="AA175" s="381"/>
      <c r="AB175" s="381"/>
      <c r="AC175" s="381"/>
      <c r="AD175" s="381"/>
      <c r="AE175" s="381"/>
      <c r="AF175" s="381"/>
      <c r="AG175" s="381"/>
      <c r="AH175" s="381"/>
      <c r="AI175" s="381"/>
      <c r="AJ175" s="381"/>
      <c r="AK175" s="381"/>
      <c r="AL175" s="381"/>
      <c r="AM175" s="381"/>
      <c r="AN175" s="381"/>
      <c r="AO175" s="381"/>
      <c r="AP175" s="381"/>
      <c r="AQ175" s="381"/>
      <c r="AR175" s="381"/>
      <c r="AS175" s="381"/>
      <c r="AT175" s="381"/>
      <c r="AU175" s="381"/>
      <c r="AV175" s="381"/>
      <c r="AW175" s="381"/>
      <c r="AX175" s="381"/>
      <c r="AY175" s="381"/>
      <c r="AZ175" s="381"/>
      <c r="BA175" s="381"/>
      <c r="BB175" s="381"/>
      <c r="BC175" s="381"/>
      <c r="BD175" s="381"/>
      <c r="BE175" s="381"/>
      <c r="BF175" s="381"/>
      <c r="BG175" s="381"/>
      <c r="BH175" s="381"/>
      <c r="BI175" s="381"/>
      <c r="BJ175" s="381"/>
      <c r="BK175" s="381"/>
      <c r="BL175" s="381"/>
      <c r="BM175" s="381"/>
      <c r="BN175" s="381"/>
      <c r="BO175" s="381"/>
      <c r="BP175" s="381"/>
      <c r="BQ175" s="381"/>
      <c r="BR175" s="381"/>
      <c r="BS175" s="381"/>
      <c r="BT175" s="381"/>
      <c r="BU175" s="381"/>
      <c r="BV175" s="381"/>
      <c r="BW175" s="381"/>
      <c r="BX175" s="381"/>
      <c r="BY175" s="381"/>
      <c r="BZ175" s="381"/>
      <c r="CA175" s="381"/>
      <c r="CB175" s="381"/>
      <c r="CC175" s="381"/>
      <c r="CD175" s="381"/>
      <c r="CE175" s="381"/>
      <c r="CF175" s="381"/>
      <c r="CG175" s="381"/>
      <c r="CH175" s="381"/>
      <c r="CI175" s="381"/>
      <c r="CJ175" s="381"/>
      <c r="CK175" s="381"/>
      <c r="CL175" s="381"/>
      <c r="CM175" s="381"/>
      <c r="CN175" s="381"/>
      <c r="CO175" s="381"/>
      <c r="CP175" s="381"/>
      <c r="CQ175" s="381"/>
      <c r="CR175" s="381"/>
      <c r="CS175" s="381"/>
      <c r="CT175" s="381"/>
      <c r="CU175" s="381"/>
      <c r="CV175" s="381"/>
      <c r="CW175" s="381"/>
      <c r="CX175" s="381"/>
      <c r="CY175" s="381"/>
      <c r="CZ175" s="381"/>
      <c r="DA175" s="381"/>
      <c r="DB175" s="381"/>
      <c r="DC175" s="381"/>
      <c r="DD175" s="381"/>
      <c r="DE175" s="381"/>
      <c r="DF175" s="381"/>
      <c r="DG175" s="381"/>
      <c r="DH175" s="381"/>
      <c r="DI175" s="381"/>
      <c r="DJ175" s="381"/>
      <c r="DK175" s="381"/>
      <c r="DL175" s="381"/>
      <c r="DM175" s="381"/>
      <c r="DN175" s="381"/>
      <c r="DO175" s="381"/>
      <c r="DP175" s="381"/>
      <c r="DQ175" s="381"/>
      <c r="DR175" s="381"/>
      <c r="DS175" s="381"/>
      <c r="DT175" s="381"/>
      <c r="DU175" s="381"/>
      <c r="DV175" s="381"/>
      <c r="DW175" s="381"/>
      <c r="DX175" s="381"/>
      <c r="DY175" s="381"/>
      <c r="DZ175" s="381"/>
      <c r="EA175" s="381"/>
      <c r="EB175" s="381"/>
      <c r="EC175" s="381"/>
      <c r="ED175" s="381"/>
      <c r="EE175" s="381"/>
      <c r="EF175" s="381"/>
      <c r="EG175" s="381"/>
      <c r="EH175" s="381"/>
      <c r="EI175" s="381"/>
      <c r="EJ175" s="381"/>
      <c r="EK175" s="381"/>
      <c r="EL175" s="381"/>
      <c r="EM175" s="381"/>
      <c r="EN175" s="381"/>
      <c r="EO175" s="381"/>
      <c r="EP175" s="24"/>
      <c r="EQ175" s="24"/>
      <c r="ER175" s="24"/>
      <c r="ES175" s="24"/>
      <c r="ET175" s="24"/>
      <c r="EU175" s="33"/>
      <c r="EV175" s="24"/>
      <c r="EW175" s="24"/>
      <c r="EX175" s="24"/>
      <c r="EY175" s="24"/>
      <c r="EZ175" s="24"/>
      <c r="FA175" s="24"/>
      <c r="FB175" s="24"/>
      <c r="FC175" s="24"/>
      <c r="FD175" s="24"/>
      <c r="FE175" s="24"/>
      <c r="FF175" s="24"/>
      <c r="FG175" s="24"/>
      <c r="FH175" s="24"/>
      <c r="FI175" s="24"/>
      <c r="FJ175" s="24"/>
      <c r="FK175" s="24"/>
      <c r="FL175" s="24"/>
      <c r="FM175" s="24"/>
      <c r="FN175" s="24"/>
      <c r="FO175" s="24"/>
      <c r="FP175" s="24"/>
      <c r="FQ175" s="24"/>
      <c r="FR175" s="24"/>
      <c r="FS175" s="24"/>
      <c r="FT175" s="24"/>
      <c r="FU175" s="24"/>
      <c r="FV175" s="24"/>
      <c r="FW175" s="24"/>
      <c r="FX175" s="24"/>
      <c r="FY175" s="24"/>
      <c r="FZ175" s="24"/>
      <c r="GA175" s="24"/>
      <c r="GB175" s="24"/>
      <c r="GC175" s="24"/>
      <c r="GD175" s="24"/>
      <c r="GE175" s="24"/>
      <c r="GF175" s="24"/>
      <c r="GG175" s="24"/>
      <c r="GH175" s="24"/>
      <c r="GI175" s="24"/>
      <c r="GJ175" s="24"/>
      <c r="GK175" s="24"/>
      <c r="GL175" s="24"/>
      <c r="GM175" s="24"/>
      <c r="GN175" s="24"/>
      <c r="GO175" s="24"/>
      <c r="GP175" s="24"/>
      <c r="GQ175" s="24"/>
      <c r="GR175" s="24"/>
      <c r="GS175" s="24"/>
      <c r="GT175" s="24"/>
      <c r="GU175" s="24"/>
      <c r="GV175" s="24"/>
      <c r="GW175" s="24"/>
      <c r="GX175" s="24"/>
      <c r="GY175" s="24"/>
      <c r="GZ175" s="24"/>
      <c r="HA175" s="24"/>
      <c r="HB175" s="24"/>
      <c r="HC175" s="24"/>
      <c r="HD175" s="24"/>
      <c r="HE175" s="24"/>
      <c r="HF175" s="24"/>
      <c r="HG175" s="24"/>
      <c r="HH175" s="24"/>
      <c r="HI175" s="24"/>
      <c r="HJ175" s="24"/>
      <c r="HK175" s="24"/>
      <c r="HL175" s="24"/>
      <c r="HM175" s="24"/>
      <c r="HN175" s="24"/>
      <c r="HO175" s="24"/>
      <c r="HP175" s="24"/>
      <c r="HQ175" s="24"/>
      <c r="HR175" s="24"/>
      <c r="HS175" s="24"/>
      <c r="HT175" s="24"/>
      <c r="HU175" s="24"/>
      <c r="HV175" s="24"/>
      <c r="HW175" s="24"/>
      <c r="HX175" s="24"/>
      <c r="HY175" s="24"/>
      <c r="HZ175" s="24"/>
      <c r="IA175" s="24"/>
      <c r="IB175" s="24"/>
      <c r="IC175" s="24"/>
      <c r="ID175" s="24"/>
      <c r="IE175" s="24"/>
      <c r="IF175" s="24"/>
      <c r="IG175" s="24"/>
      <c r="IH175" s="24"/>
      <c r="II175" s="24"/>
      <c r="IJ175" s="24"/>
      <c r="IK175" s="24"/>
      <c r="IL175" s="24"/>
      <c r="IM175" s="24"/>
      <c r="IN175" s="24"/>
      <c r="IO175" s="24"/>
      <c r="IP175" s="24"/>
      <c r="IQ175" s="24"/>
      <c r="IR175" s="24"/>
      <c r="IS175" s="24"/>
      <c r="IT175" s="24"/>
      <c r="IU175" s="24"/>
      <c r="IV175" s="24"/>
      <c r="IW175" s="24"/>
      <c r="IX175" s="24"/>
      <c r="IY175" s="24"/>
      <c r="IZ175" s="24"/>
      <c r="JA175" s="24"/>
      <c r="JB175" s="24"/>
      <c r="JC175" s="24"/>
      <c r="JD175" s="24"/>
      <c r="JE175" s="24"/>
      <c r="JF175" s="24"/>
      <c r="JG175" s="24"/>
      <c r="JH175" s="24"/>
      <c r="JI175" s="24"/>
      <c r="JJ175" s="24"/>
      <c r="JK175" s="24"/>
      <c r="JL175" s="24"/>
      <c r="JM175" s="24"/>
      <c r="JN175" s="24"/>
      <c r="JO175" s="24"/>
      <c r="JP175" s="24"/>
      <c r="JQ175" s="24"/>
      <c r="JR175" s="24"/>
      <c r="JS175" s="24"/>
      <c r="JT175" s="24"/>
      <c r="JU175" s="24"/>
      <c r="JV175" s="24"/>
      <c r="JW175" s="24"/>
      <c r="JX175" s="24"/>
    </row>
    <row r="176" spans="1:284" s="7" customFormat="1" x14ac:dyDescent="0.2">
      <c r="A176" s="406"/>
      <c r="B176" s="92" t="str">
        <f t="shared" si="636"/>
        <v>TOTAL OPERATING EXPENSES</v>
      </c>
      <c r="C176" s="120"/>
      <c r="D176" s="120"/>
      <c r="E176" s="179"/>
      <c r="F176" s="179"/>
      <c r="G176" s="123">
        <f>SUM(G166:G175)</f>
        <v>2733677.6474799998</v>
      </c>
      <c r="H176" s="123">
        <f ca="1">SUM(H166:H175)</f>
        <v>2827498.311050172</v>
      </c>
      <c r="I176" s="123">
        <f ca="1">SUM(I166:I175)</f>
        <v>2912323.2603816772</v>
      </c>
      <c r="J176" s="381"/>
      <c r="K176" s="381"/>
      <c r="L176" s="381"/>
      <c r="M176" s="381"/>
      <c r="N176" s="381"/>
      <c r="O176" s="381"/>
      <c r="P176" s="381"/>
      <c r="Q176" s="381"/>
      <c r="R176" s="381"/>
      <c r="S176" s="381"/>
      <c r="T176" s="381"/>
      <c r="U176" s="381"/>
      <c r="V176" s="381"/>
      <c r="W176" s="381"/>
      <c r="X176" s="381"/>
      <c r="Y176" s="381"/>
      <c r="Z176" s="381"/>
      <c r="AA176" s="381"/>
      <c r="AB176" s="381"/>
      <c r="AC176" s="381"/>
      <c r="AD176" s="381"/>
      <c r="AE176" s="381"/>
      <c r="AF176" s="381"/>
      <c r="AG176" s="381"/>
      <c r="AH176" s="381"/>
      <c r="AI176" s="381"/>
      <c r="AJ176" s="381"/>
      <c r="AK176" s="381"/>
      <c r="AL176" s="381"/>
      <c r="AM176" s="381"/>
      <c r="AN176" s="381"/>
      <c r="AO176" s="381"/>
      <c r="AP176" s="381"/>
      <c r="AQ176" s="381"/>
      <c r="AR176" s="381"/>
      <c r="AS176" s="381"/>
      <c r="AT176" s="381"/>
      <c r="AU176" s="381"/>
      <c r="AV176" s="381"/>
      <c r="AW176" s="381"/>
      <c r="AX176" s="381"/>
      <c r="AY176" s="381"/>
      <c r="AZ176" s="381"/>
      <c r="BA176" s="381"/>
      <c r="BB176" s="381"/>
      <c r="BC176" s="381"/>
      <c r="BD176" s="381"/>
      <c r="BE176" s="381"/>
      <c r="BF176" s="381"/>
      <c r="BG176" s="381"/>
      <c r="BH176" s="381"/>
      <c r="BI176" s="381"/>
      <c r="BJ176" s="381"/>
      <c r="BK176" s="381"/>
      <c r="BL176" s="381"/>
      <c r="BM176" s="381"/>
      <c r="BN176" s="381"/>
      <c r="BO176" s="381"/>
      <c r="BP176" s="381"/>
      <c r="BQ176" s="381"/>
      <c r="BR176" s="381"/>
      <c r="BS176" s="381"/>
      <c r="BT176" s="381"/>
      <c r="BU176" s="381"/>
      <c r="BV176" s="381"/>
      <c r="BW176" s="381"/>
      <c r="BX176" s="381"/>
      <c r="BY176" s="381"/>
      <c r="BZ176" s="381"/>
      <c r="CA176" s="381"/>
      <c r="CB176" s="381"/>
      <c r="CC176" s="381"/>
      <c r="CD176" s="381"/>
      <c r="CE176" s="381"/>
      <c r="CF176" s="381"/>
      <c r="CG176" s="381"/>
      <c r="CH176" s="381"/>
      <c r="CI176" s="381"/>
      <c r="CJ176" s="381"/>
      <c r="CK176" s="381"/>
      <c r="CL176" s="381"/>
      <c r="CM176" s="381"/>
      <c r="CN176" s="381"/>
      <c r="CO176" s="381"/>
      <c r="CP176" s="381"/>
      <c r="CQ176" s="381"/>
      <c r="CR176" s="381"/>
      <c r="CS176" s="381"/>
      <c r="CT176" s="381"/>
      <c r="CU176" s="381"/>
      <c r="CV176" s="381"/>
      <c r="CW176" s="381"/>
      <c r="CX176" s="381"/>
      <c r="CY176" s="381"/>
      <c r="CZ176" s="381"/>
      <c r="DA176" s="381"/>
      <c r="DB176" s="381"/>
      <c r="DC176" s="381"/>
      <c r="DD176" s="381"/>
      <c r="DE176" s="381"/>
      <c r="DF176" s="381"/>
      <c r="DG176" s="381"/>
      <c r="DH176" s="381"/>
      <c r="DI176" s="381"/>
      <c r="DJ176" s="381"/>
      <c r="DK176" s="381"/>
      <c r="DL176" s="381"/>
      <c r="DM176" s="381"/>
      <c r="DN176" s="381"/>
      <c r="DO176" s="381"/>
      <c r="DP176" s="381"/>
      <c r="DQ176" s="381"/>
      <c r="DR176" s="381"/>
      <c r="DS176" s="381"/>
      <c r="DT176" s="381"/>
      <c r="DU176" s="381"/>
      <c r="DV176" s="381"/>
      <c r="DW176" s="381"/>
      <c r="DX176" s="381"/>
      <c r="DY176" s="381"/>
      <c r="DZ176" s="381"/>
      <c r="EA176" s="381"/>
      <c r="EB176" s="381"/>
      <c r="EC176" s="381"/>
      <c r="ED176" s="381"/>
      <c r="EE176" s="381"/>
      <c r="EF176" s="381"/>
      <c r="EG176" s="381"/>
      <c r="EH176" s="381"/>
      <c r="EI176" s="381"/>
      <c r="EJ176" s="381"/>
      <c r="EK176" s="381"/>
      <c r="EL176" s="381"/>
      <c r="EM176" s="381"/>
      <c r="EN176" s="381"/>
      <c r="EO176" s="381"/>
      <c r="EP176" s="24"/>
      <c r="EQ176" s="24"/>
      <c r="ER176" s="24"/>
      <c r="ES176" s="24"/>
      <c r="ET176" s="24"/>
      <c r="EU176" s="33"/>
      <c r="EV176" s="24"/>
      <c r="EW176" s="24"/>
      <c r="EX176" s="24"/>
      <c r="EY176" s="24"/>
      <c r="EZ176" s="24"/>
      <c r="FA176" s="24"/>
      <c r="FB176" s="24"/>
      <c r="FC176" s="24"/>
      <c r="FD176" s="24"/>
      <c r="FE176" s="24"/>
      <c r="FF176" s="24"/>
      <c r="FG176" s="24"/>
      <c r="FH176" s="24"/>
      <c r="FI176" s="24"/>
      <c r="FJ176" s="24"/>
      <c r="FK176" s="24"/>
      <c r="FL176" s="24"/>
      <c r="FM176" s="24"/>
      <c r="FN176" s="24"/>
      <c r="FO176" s="24"/>
      <c r="FP176" s="24"/>
      <c r="FQ176" s="24"/>
      <c r="FR176" s="24"/>
      <c r="FS176" s="24"/>
      <c r="FT176" s="24"/>
      <c r="FU176" s="24"/>
      <c r="FV176" s="24"/>
      <c r="FW176" s="24"/>
      <c r="FX176" s="24"/>
      <c r="FY176" s="24"/>
      <c r="FZ176" s="24"/>
      <c r="GA176" s="24"/>
      <c r="GB176" s="24"/>
      <c r="GC176" s="24"/>
      <c r="GD176" s="24"/>
      <c r="GE176" s="24"/>
      <c r="GF176" s="24"/>
      <c r="GG176" s="24"/>
      <c r="GH176" s="24"/>
      <c r="GI176" s="24"/>
      <c r="GJ176" s="24"/>
      <c r="GK176" s="24"/>
      <c r="GL176" s="24"/>
      <c r="GM176" s="24"/>
      <c r="GN176" s="24"/>
      <c r="GO176" s="24"/>
      <c r="GP176" s="24"/>
      <c r="GQ176" s="24"/>
      <c r="GR176" s="24"/>
      <c r="GS176" s="24"/>
      <c r="GT176" s="24"/>
      <c r="GU176" s="24"/>
      <c r="GV176" s="24"/>
      <c r="GW176" s="24"/>
      <c r="GX176" s="24"/>
      <c r="GY176" s="24"/>
      <c r="GZ176" s="24"/>
      <c r="HA176" s="24"/>
      <c r="HB176" s="24"/>
      <c r="HC176" s="24"/>
      <c r="HD176" s="24"/>
      <c r="HE176" s="24"/>
      <c r="HF176" s="24"/>
      <c r="HG176" s="24"/>
      <c r="HH176" s="24"/>
      <c r="HI176" s="24"/>
      <c r="HJ176" s="24"/>
      <c r="HK176" s="24"/>
      <c r="HL176" s="24"/>
      <c r="HM176" s="24"/>
      <c r="HN176" s="24"/>
      <c r="HO176" s="24"/>
      <c r="HP176" s="24"/>
      <c r="HQ176" s="24"/>
      <c r="HR176" s="24"/>
      <c r="HS176" s="24"/>
      <c r="HT176" s="24"/>
      <c r="HU176" s="24"/>
      <c r="HV176" s="24"/>
      <c r="HW176" s="24"/>
      <c r="HX176" s="24"/>
      <c r="HY176" s="24"/>
      <c r="HZ176" s="24"/>
      <c r="IA176" s="24"/>
      <c r="IB176" s="24"/>
      <c r="IC176" s="24"/>
      <c r="ID176" s="24"/>
      <c r="IE176" s="24"/>
      <c r="IF176" s="24"/>
      <c r="IG176" s="24"/>
      <c r="IH176" s="24"/>
      <c r="II176" s="24"/>
      <c r="IJ176" s="24"/>
      <c r="IK176" s="24"/>
      <c r="IL176" s="24"/>
      <c r="IM176" s="24"/>
      <c r="IN176" s="24"/>
      <c r="IO176" s="24"/>
      <c r="IP176" s="24"/>
      <c r="IQ176" s="24"/>
      <c r="IR176" s="24"/>
      <c r="IS176" s="24"/>
      <c r="IT176" s="24"/>
      <c r="IU176" s="24"/>
      <c r="IV176" s="24"/>
      <c r="IW176" s="24"/>
      <c r="IX176" s="24"/>
      <c r="IY176" s="24"/>
      <c r="IZ176" s="24"/>
      <c r="JA176" s="24"/>
      <c r="JB176" s="24"/>
      <c r="JC176" s="24"/>
      <c r="JD176" s="24"/>
      <c r="JE176" s="24"/>
      <c r="JF176" s="24"/>
      <c r="JG176" s="24"/>
      <c r="JH176" s="24"/>
      <c r="JI176" s="24"/>
      <c r="JJ176" s="24"/>
      <c r="JK176" s="24"/>
      <c r="JL176" s="24"/>
      <c r="JM176" s="24"/>
      <c r="JN176" s="24"/>
      <c r="JO176" s="24"/>
      <c r="JP176" s="24"/>
      <c r="JQ176" s="24"/>
      <c r="JR176" s="24"/>
      <c r="JS176" s="24"/>
      <c r="JT176" s="24"/>
      <c r="JU176" s="24"/>
      <c r="JV176" s="24"/>
      <c r="JW176" s="24"/>
      <c r="JX176" s="24"/>
    </row>
    <row r="177" spans="1:284" s="7" customFormat="1" ht="4.9000000000000004" customHeight="1" x14ac:dyDescent="0.2">
      <c r="A177" s="406"/>
      <c r="B177" s="92"/>
      <c r="C177" s="120"/>
      <c r="D177" s="120"/>
      <c r="E177" s="179"/>
      <c r="F177" s="179"/>
      <c r="G177" s="123"/>
      <c r="H177" s="123"/>
      <c r="I177" s="123"/>
      <c r="J177" s="381"/>
      <c r="K177" s="381"/>
      <c r="L177" s="381"/>
      <c r="M177" s="381"/>
      <c r="N177" s="381"/>
      <c r="O177" s="381"/>
      <c r="P177" s="381"/>
      <c r="Q177" s="381"/>
      <c r="R177" s="381"/>
      <c r="S177" s="381"/>
      <c r="T177" s="381"/>
      <c r="U177" s="381"/>
      <c r="V177" s="381"/>
      <c r="W177" s="381"/>
      <c r="X177" s="381"/>
      <c r="Y177" s="381"/>
      <c r="Z177" s="381"/>
      <c r="AA177" s="381"/>
      <c r="AB177" s="381"/>
      <c r="AC177" s="381"/>
      <c r="AD177" s="381"/>
      <c r="AE177" s="381"/>
      <c r="AF177" s="381"/>
      <c r="AG177" s="381"/>
      <c r="AH177" s="381"/>
      <c r="AI177" s="381"/>
      <c r="AJ177" s="381"/>
      <c r="AK177" s="381"/>
      <c r="AL177" s="381"/>
      <c r="AM177" s="381"/>
      <c r="AN177" s="381"/>
      <c r="AO177" s="381"/>
      <c r="AP177" s="381"/>
      <c r="AQ177" s="381"/>
      <c r="AR177" s="381"/>
      <c r="AS177" s="381"/>
      <c r="AT177" s="381"/>
      <c r="AU177" s="381"/>
      <c r="AV177" s="381"/>
      <c r="AW177" s="381"/>
      <c r="AX177" s="381"/>
      <c r="AY177" s="381"/>
      <c r="AZ177" s="381"/>
      <c r="BA177" s="381"/>
      <c r="BB177" s="381"/>
      <c r="BC177" s="381"/>
      <c r="BD177" s="381"/>
      <c r="BE177" s="381"/>
      <c r="BF177" s="381"/>
      <c r="BG177" s="381"/>
      <c r="BH177" s="381"/>
      <c r="BI177" s="381"/>
      <c r="BJ177" s="381"/>
      <c r="BK177" s="381"/>
      <c r="BL177" s="381"/>
      <c r="BM177" s="381"/>
      <c r="BN177" s="381"/>
      <c r="BO177" s="381"/>
      <c r="BP177" s="381"/>
      <c r="BQ177" s="381"/>
      <c r="BR177" s="381"/>
      <c r="BS177" s="381"/>
      <c r="BT177" s="381"/>
      <c r="BU177" s="381"/>
      <c r="BV177" s="381"/>
      <c r="BW177" s="381"/>
      <c r="BX177" s="381"/>
      <c r="BY177" s="381"/>
      <c r="BZ177" s="381"/>
      <c r="CA177" s="381"/>
      <c r="CB177" s="381"/>
      <c r="CC177" s="381"/>
      <c r="CD177" s="381"/>
      <c r="CE177" s="381"/>
      <c r="CF177" s="381"/>
      <c r="CG177" s="381"/>
      <c r="CH177" s="381"/>
      <c r="CI177" s="381"/>
      <c r="CJ177" s="381"/>
      <c r="CK177" s="381"/>
      <c r="CL177" s="381"/>
      <c r="CM177" s="381"/>
      <c r="CN177" s="381"/>
      <c r="CO177" s="381"/>
      <c r="CP177" s="381"/>
      <c r="CQ177" s="381"/>
      <c r="CR177" s="381"/>
      <c r="CS177" s="381"/>
      <c r="CT177" s="381"/>
      <c r="CU177" s="381"/>
      <c r="CV177" s="381"/>
      <c r="CW177" s="381"/>
      <c r="CX177" s="381"/>
      <c r="CY177" s="381"/>
      <c r="CZ177" s="381"/>
      <c r="DA177" s="381"/>
      <c r="DB177" s="381"/>
      <c r="DC177" s="381"/>
      <c r="DD177" s="381"/>
      <c r="DE177" s="381"/>
      <c r="DF177" s="381"/>
      <c r="DG177" s="381"/>
      <c r="DH177" s="381"/>
      <c r="DI177" s="381"/>
      <c r="DJ177" s="381"/>
      <c r="DK177" s="381"/>
      <c r="DL177" s="381"/>
      <c r="DM177" s="381"/>
      <c r="DN177" s="381"/>
      <c r="DO177" s="381"/>
      <c r="DP177" s="381"/>
      <c r="DQ177" s="381"/>
      <c r="DR177" s="381"/>
      <c r="DS177" s="381"/>
      <c r="DT177" s="381"/>
      <c r="DU177" s="381"/>
      <c r="DV177" s="381"/>
      <c r="DW177" s="381"/>
      <c r="DX177" s="381"/>
      <c r="DY177" s="381"/>
      <c r="DZ177" s="381"/>
      <c r="EA177" s="381"/>
      <c r="EB177" s="381"/>
      <c r="EC177" s="381"/>
      <c r="ED177" s="381"/>
      <c r="EE177" s="381"/>
      <c r="EF177" s="381"/>
      <c r="EG177" s="381"/>
      <c r="EH177" s="381"/>
      <c r="EI177" s="381"/>
      <c r="EJ177" s="381"/>
      <c r="EK177" s="381"/>
      <c r="EL177" s="381"/>
      <c r="EM177" s="381"/>
      <c r="EN177" s="381"/>
      <c r="EO177" s="381"/>
      <c r="EP177" s="24"/>
      <c r="EQ177" s="24"/>
      <c r="ER177" s="24"/>
      <c r="ES177" s="24"/>
      <c r="ET177" s="24"/>
      <c r="EU177" s="33"/>
      <c r="EV177" s="24"/>
      <c r="EW177" s="24"/>
      <c r="EX177" s="24"/>
      <c r="EY177" s="24"/>
      <c r="EZ177" s="24"/>
      <c r="FA177" s="24"/>
      <c r="FB177" s="24"/>
      <c r="FC177" s="24"/>
      <c r="FD177" s="24"/>
      <c r="FE177" s="24"/>
      <c r="FF177" s="24"/>
      <c r="FG177" s="24"/>
      <c r="FH177" s="24"/>
      <c r="FI177" s="24"/>
      <c r="FJ177" s="24"/>
      <c r="FK177" s="24"/>
      <c r="FL177" s="24"/>
      <c r="FM177" s="24"/>
      <c r="FN177" s="24"/>
      <c r="FO177" s="24"/>
      <c r="FP177" s="24"/>
      <c r="FQ177" s="24"/>
      <c r="FR177" s="24"/>
      <c r="FS177" s="24"/>
      <c r="FT177" s="24"/>
      <c r="FU177" s="24"/>
      <c r="FV177" s="24"/>
      <c r="FW177" s="24"/>
      <c r="FX177" s="24"/>
      <c r="FY177" s="24"/>
      <c r="FZ177" s="24"/>
      <c r="GA177" s="24"/>
      <c r="GB177" s="24"/>
      <c r="GC177" s="24"/>
      <c r="GD177" s="24"/>
      <c r="GE177" s="24"/>
      <c r="GF177" s="24"/>
      <c r="GG177" s="24"/>
      <c r="GH177" s="24"/>
      <c r="GI177" s="24"/>
      <c r="GJ177" s="24"/>
      <c r="GK177" s="24"/>
      <c r="GL177" s="24"/>
      <c r="GM177" s="24"/>
      <c r="GN177" s="24"/>
      <c r="GO177" s="24"/>
      <c r="GP177" s="24"/>
      <c r="GQ177" s="24"/>
      <c r="GR177" s="24"/>
      <c r="GS177" s="24"/>
      <c r="GT177" s="24"/>
      <c r="GU177" s="24"/>
      <c r="GV177" s="24"/>
      <c r="GW177" s="24"/>
      <c r="GX177" s="24"/>
      <c r="GY177" s="24"/>
      <c r="GZ177" s="24"/>
      <c r="HA177" s="24"/>
      <c r="HB177" s="24"/>
      <c r="HC177" s="24"/>
      <c r="HD177" s="24"/>
      <c r="HE177" s="24"/>
      <c r="HF177" s="24"/>
      <c r="HG177" s="24"/>
      <c r="HH177" s="24"/>
      <c r="HI177" s="24"/>
      <c r="HJ177" s="24"/>
      <c r="HK177" s="24"/>
      <c r="HL177" s="24"/>
      <c r="HM177" s="24"/>
      <c r="HN177" s="24"/>
      <c r="HO177" s="24"/>
      <c r="HP177" s="24"/>
      <c r="HQ177" s="24"/>
      <c r="HR177" s="24"/>
      <c r="HS177" s="24"/>
      <c r="HT177" s="24"/>
      <c r="HU177" s="24"/>
      <c r="HV177" s="24"/>
      <c r="HW177" s="24"/>
      <c r="HX177" s="24"/>
      <c r="HY177" s="24"/>
      <c r="HZ177" s="24"/>
      <c r="IA177" s="24"/>
      <c r="IB177" s="24"/>
      <c r="IC177" s="24"/>
      <c r="ID177" s="24"/>
      <c r="IE177" s="24"/>
      <c r="IF177" s="24"/>
      <c r="IG177" s="24"/>
      <c r="IH177" s="24"/>
      <c r="II177" s="24"/>
      <c r="IJ177" s="24"/>
      <c r="IK177" s="24"/>
      <c r="IL177" s="24"/>
      <c r="IM177" s="24"/>
      <c r="IN177" s="24"/>
      <c r="IO177" s="24"/>
      <c r="IP177" s="24"/>
      <c r="IQ177" s="24"/>
      <c r="IR177" s="24"/>
      <c r="IS177" s="24"/>
      <c r="IT177" s="24"/>
      <c r="IU177" s="24"/>
      <c r="IV177" s="24"/>
      <c r="IW177" s="24"/>
      <c r="IX177" s="24"/>
      <c r="IY177" s="24"/>
      <c r="IZ177" s="24"/>
      <c r="JA177" s="24"/>
      <c r="JB177" s="24"/>
      <c r="JC177" s="24"/>
      <c r="JD177" s="24"/>
      <c r="JE177" s="24"/>
      <c r="JF177" s="24"/>
      <c r="JG177" s="24"/>
      <c r="JH177" s="24"/>
      <c r="JI177" s="24"/>
      <c r="JJ177" s="24"/>
      <c r="JK177" s="24"/>
      <c r="JL177" s="24"/>
      <c r="JM177" s="24"/>
      <c r="JN177" s="24"/>
      <c r="JO177" s="24"/>
      <c r="JP177" s="24"/>
      <c r="JQ177" s="24"/>
      <c r="JR177" s="24"/>
      <c r="JS177" s="24"/>
      <c r="JT177" s="24"/>
      <c r="JU177" s="24"/>
      <c r="JV177" s="24"/>
      <c r="JW177" s="24"/>
      <c r="JX177" s="24"/>
    </row>
    <row r="178" spans="1:284" s="7" customFormat="1" x14ac:dyDescent="0.2">
      <c r="A178" s="406"/>
      <c r="B178" s="92" t="str">
        <f>B130</f>
        <v>NET OPERATING INCOME</v>
      </c>
      <c r="C178" s="120"/>
      <c r="D178" s="120"/>
      <c r="E178" s="179"/>
      <c r="F178" s="179"/>
      <c r="G178" s="123">
        <f>+G163-G176</f>
        <v>3374914.7685200004</v>
      </c>
      <c r="H178" s="123">
        <f ca="1">+H163-H176</f>
        <v>3420207.6037472272</v>
      </c>
      <c r="I178" s="123">
        <f ca="1">+I163-I176</f>
        <v>3522813.8318596445</v>
      </c>
      <c r="J178" s="381"/>
      <c r="K178" s="381"/>
      <c r="L178" s="381"/>
      <c r="M178" s="381"/>
      <c r="N178" s="381"/>
      <c r="O178" s="381"/>
      <c r="P178" s="381"/>
      <c r="Q178" s="381"/>
      <c r="R178" s="381"/>
      <c r="S178" s="381"/>
      <c r="T178" s="381"/>
      <c r="U178" s="381"/>
      <c r="V178" s="381"/>
      <c r="W178" s="381"/>
      <c r="X178" s="381"/>
      <c r="Y178" s="381"/>
      <c r="Z178" s="381"/>
      <c r="AA178" s="381"/>
      <c r="AB178" s="381"/>
      <c r="AC178" s="381"/>
      <c r="AD178" s="381"/>
      <c r="AE178" s="381"/>
      <c r="AF178" s="381"/>
      <c r="AG178" s="381"/>
      <c r="AH178" s="381"/>
      <c r="AI178" s="381"/>
      <c r="AJ178" s="381"/>
      <c r="AK178" s="381"/>
      <c r="AL178" s="381"/>
      <c r="AM178" s="381"/>
      <c r="AN178" s="381"/>
      <c r="AO178" s="381"/>
      <c r="AP178" s="381"/>
      <c r="AQ178" s="381"/>
      <c r="AR178" s="381"/>
      <c r="AS178" s="381"/>
      <c r="AT178" s="381"/>
      <c r="AU178" s="381"/>
      <c r="AV178" s="381"/>
      <c r="AW178" s="381"/>
      <c r="AX178" s="381"/>
      <c r="AY178" s="381"/>
      <c r="AZ178" s="381"/>
      <c r="BA178" s="381"/>
      <c r="BB178" s="381"/>
      <c r="BC178" s="381"/>
      <c r="BD178" s="381"/>
      <c r="BE178" s="381"/>
      <c r="BF178" s="381"/>
      <c r="BG178" s="381"/>
      <c r="BH178" s="381"/>
      <c r="BI178" s="381"/>
      <c r="BJ178" s="381"/>
      <c r="BK178" s="381"/>
      <c r="BL178" s="381"/>
      <c r="BM178" s="381"/>
      <c r="BN178" s="381"/>
      <c r="BO178" s="381"/>
      <c r="BP178" s="381"/>
      <c r="BQ178" s="381"/>
      <c r="BR178" s="381"/>
      <c r="BS178" s="381"/>
      <c r="BT178" s="381"/>
      <c r="BU178" s="381"/>
      <c r="BV178" s="381"/>
      <c r="BW178" s="381"/>
      <c r="BX178" s="381"/>
      <c r="BY178" s="381"/>
      <c r="BZ178" s="381"/>
      <c r="CA178" s="381"/>
      <c r="CB178" s="381"/>
      <c r="CC178" s="381"/>
      <c r="CD178" s="381"/>
      <c r="CE178" s="381"/>
      <c r="CF178" s="381"/>
      <c r="CG178" s="381"/>
      <c r="CH178" s="381"/>
      <c r="CI178" s="381"/>
      <c r="CJ178" s="381"/>
      <c r="CK178" s="381"/>
      <c r="CL178" s="381"/>
      <c r="CM178" s="381"/>
      <c r="CN178" s="381"/>
      <c r="CO178" s="381"/>
      <c r="CP178" s="381"/>
      <c r="CQ178" s="381"/>
      <c r="CR178" s="381"/>
      <c r="CS178" s="381"/>
      <c r="CT178" s="381"/>
      <c r="CU178" s="381"/>
      <c r="CV178" s="381"/>
      <c r="CW178" s="381"/>
      <c r="CX178" s="381"/>
      <c r="CY178" s="381"/>
      <c r="CZ178" s="381"/>
      <c r="DA178" s="381"/>
      <c r="DB178" s="381"/>
      <c r="DC178" s="381"/>
      <c r="DD178" s="381"/>
      <c r="DE178" s="381"/>
      <c r="DF178" s="381"/>
      <c r="DG178" s="381"/>
      <c r="DH178" s="381"/>
      <c r="DI178" s="381"/>
      <c r="DJ178" s="381"/>
      <c r="DK178" s="381"/>
      <c r="DL178" s="381"/>
      <c r="DM178" s="381"/>
      <c r="DN178" s="381"/>
      <c r="DO178" s="381"/>
      <c r="DP178" s="381"/>
      <c r="DQ178" s="381"/>
      <c r="DR178" s="381"/>
      <c r="DS178" s="381"/>
      <c r="DT178" s="381"/>
      <c r="DU178" s="381"/>
      <c r="DV178" s="381"/>
      <c r="DW178" s="381"/>
      <c r="DX178" s="381"/>
      <c r="DY178" s="381"/>
      <c r="DZ178" s="381"/>
      <c r="EA178" s="381"/>
      <c r="EB178" s="381"/>
      <c r="EC178" s="381"/>
      <c r="ED178" s="381"/>
      <c r="EE178" s="381"/>
      <c r="EF178" s="381"/>
      <c r="EG178" s="381"/>
      <c r="EH178" s="381"/>
      <c r="EI178" s="381"/>
      <c r="EJ178" s="381"/>
      <c r="EK178" s="381"/>
      <c r="EL178" s="381"/>
      <c r="EM178" s="381"/>
      <c r="EN178" s="381"/>
      <c r="EO178" s="381"/>
      <c r="EP178" s="24"/>
      <c r="EQ178" s="24"/>
      <c r="ER178" s="24"/>
      <c r="ES178" s="24"/>
      <c r="ET178" s="24"/>
      <c r="EU178" s="33"/>
      <c r="EV178" s="24"/>
      <c r="EW178" s="24"/>
      <c r="EX178" s="24"/>
      <c r="EY178" s="24"/>
      <c r="EZ178" s="24"/>
      <c r="FA178" s="24"/>
      <c r="FB178" s="24"/>
      <c r="FC178" s="24"/>
      <c r="FD178" s="24"/>
      <c r="FE178" s="24"/>
      <c r="FF178" s="24"/>
      <c r="FG178" s="24"/>
      <c r="FH178" s="24"/>
      <c r="FI178" s="24"/>
      <c r="FJ178" s="24"/>
      <c r="FK178" s="24"/>
      <c r="FL178" s="24"/>
      <c r="FM178" s="24"/>
      <c r="FN178" s="24"/>
      <c r="FO178" s="24"/>
      <c r="FP178" s="24"/>
      <c r="FQ178" s="24"/>
      <c r="FR178" s="24"/>
      <c r="FS178" s="24"/>
      <c r="FT178" s="24"/>
      <c r="FU178" s="24"/>
      <c r="FV178" s="24"/>
      <c r="FW178" s="24"/>
      <c r="FX178" s="24"/>
      <c r="FY178" s="24"/>
      <c r="FZ178" s="24"/>
      <c r="GA178" s="24"/>
      <c r="GB178" s="24"/>
      <c r="GC178" s="24"/>
      <c r="GD178" s="24"/>
      <c r="GE178" s="24"/>
      <c r="GF178" s="24"/>
      <c r="GG178" s="24"/>
      <c r="GH178" s="24"/>
      <c r="GI178" s="24"/>
      <c r="GJ178" s="24"/>
      <c r="GK178" s="24"/>
      <c r="GL178" s="24"/>
      <c r="GM178" s="24"/>
      <c r="GN178" s="24"/>
      <c r="GO178" s="24"/>
      <c r="GP178" s="24"/>
      <c r="GQ178" s="24"/>
      <c r="GR178" s="24"/>
      <c r="GS178" s="24"/>
      <c r="GT178" s="24"/>
      <c r="GU178" s="24"/>
      <c r="GV178" s="24"/>
      <c r="GW178" s="24"/>
      <c r="GX178" s="24"/>
      <c r="GY178" s="24"/>
      <c r="GZ178" s="24"/>
      <c r="HA178" s="24"/>
      <c r="HB178" s="24"/>
      <c r="HC178" s="24"/>
      <c r="HD178" s="24"/>
      <c r="HE178" s="24"/>
      <c r="HF178" s="24"/>
      <c r="HG178" s="24"/>
      <c r="HH178" s="24"/>
      <c r="HI178" s="24"/>
      <c r="HJ178" s="24"/>
      <c r="HK178" s="24"/>
      <c r="HL178" s="24"/>
      <c r="HM178" s="24"/>
      <c r="HN178" s="24"/>
      <c r="HO178" s="24"/>
      <c r="HP178" s="24"/>
      <c r="HQ178" s="24"/>
      <c r="HR178" s="24"/>
      <c r="HS178" s="24"/>
      <c r="HT178" s="24"/>
      <c r="HU178" s="24"/>
      <c r="HV178" s="24"/>
      <c r="HW178" s="24"/>
      <c r="HX178" s="24"/>
      <c r="HY178" s="24"/>
      <c r="HZ178" s="24"/>
      <c r="IA178" s="24"/>
      <c r="IB178" s="24"/>
      <c r="IC178" s="24"/>
      <c r="ID178" s="24"/>
      <c r="IE178" s="24"/>
      <c r="IF178" s="24"/>
      <c r="IG178" s="24"/>
      <c r="IH178" s="24"/>
      <c r="II178" s="24"/>
      <c r="IJ178" s="24"/>
      <c r="IK178" s="24"/>
      <c r="IL178" s="24"/>
      <c r="IM178" s="24"/>
      <c r="IN178" s="24"/>
      <c r="IO178" s="24"/>
      <c r="IP178" s="24"/>
      <c r="IQ178" s="24"/>
      <c r="IR178" s="24"/>
      <c r="IS178" s="24"/>
      <c r="IT178" s="24"/>
      <c r="IU178" s="24"/>
      <c r="IV178" s="24"/>
      <c r="IW178" s="24"/>
      <c r="IX178" s="24"/>
      <c r="IY178" s="24"/>
      <c r="IZ178" s="24"/>
      <c r="JA178" s="24"/>
      <c r="JB178" s="24"/>
      <c r="JC178" s="24"/>
      <c r="JD178" s="24"/>
      <c r="JE178" s="24"/>
      <c r="JF178" s="24"/>
      <c r="JG178" s="24"/>
      <c r="JH178" s="24"/>
      <c r="JI178" s="24"/>
      <c r="JJ178" s="24"/>
      <c r="JK178" s="24"/>
      <c r="JL178" s="24"/>
      <c r="JM178" s="24"/>
      <c r="JN178" s="24"/>
      <c r="JO178" s="24"/>
      <c r="JP178" s="24"/>
      <c r="JQ178" s="24"/>
      <c r="JR178" s="24"/>
      <c r="JS178" s="24"/>
      <c r="JT178" s="24"/>
      <c r="JU178" s="24"/>
      <c r="JV178" s="24"/>
      <c r="JW178" s="24"/>
      <c r="JX178" s="24"/>
    </row>
    <row r="179" spans="1:284" s="7" customFormat="1" ht="4.9000000000000004" customHeight="1" x14ac:dyDescent="0.2">
      <c r="A179" s="406"/>
      <c r="B179" s="92"/>
      <c r="C179" s="120"/>
      <c r="D179" s="120"/>
      <c r="E179" s="179"/>
      <c r="F179" s="179"/>
      <c r="G179" s="123"/>
      <c r="H179" s="123"/>
      <c r="I179" s="123"/>
      <c r="J179" s="381"/>
      <c r="K179" s="381"/>
      <c r="L179" s="381"/>
      <c r="M179" s="381"/>
      <c r="N179" s="381"/>
      <c r="O179" s="381"/>
      <c r="P179" s="381"/>
      <c r="Q179" s="381"/>
      <c r="R179" s="381"/>
      <c r="S179" s="381"/>
      <c r="T179" s="381"/>
      <c r="U179" s="381"/>
      <c r="V179" s="381"/>
      <c r="W179" s="381"/>
      <c r="X179" s="381"/>
      <c r="Y179" s="381"/>
      <c r="Z179" s="381"/>
      <c r="AA179" s="381"/>
      <c r="AB179" s="381"/>
      <c r="AC179" s="381"/>
      <c r="AD179" s="381"/>
      <c r="AE179" s="381"/>
      <c r="AF179" s="381"/>
      <c r="AG179" s="381"/>
      <c r="AH179" s="381"/>
      <c r="AI179" s="381"/>
      <c r="AJ179" s="381"/>
      <c r="AK179" s="381"/>
      <c r="AL179" s="381"/>
      <c r="AM179" s="381"/>
      <c r="AN179" s="381"/>
      <c r="AO179" s="381"/>
      <c r="AP179" s="381"/>
      <c r="AQ179" s="381"/>
      <c r="AR179" s="381"/>
      <c r="AS179" s="381"/>
      <c r="AT179" s="381"/>
      <c r="AU179" s="381"/>
      <c r="AV179" s="381"/>
      <c r="AW179" s="381"/>
      <c r="AX179" s="381"/>
      <c r="AY179" s="381"/>
      <c r="AZ179" s="381"/>
      <c r="BA179" s="381"/>
      <c r="BB179" s="381"/>
      <c r="BC179" s="381"/>
      <c r="BD179" s="381"/>
      <c r="BE179" s="381"/>
      <c r="BF179" s="381"/>
      <c r="BG179" s="381"/>
      <c r="BH179" s="381"/>
      <c r="BI179" s="381"/>
      <c r="BJ179" s="381"/>
      <c r="BK179" s="381"/>
      <c r="BL179" s="381"/>
      <c r="BM179" s="381"/>
      <c r="BN179" s="381"/>
      <c r="BO179" s="381"/>
      <c r="BP179" s="381"/>
      <c r="BQ179" s="381"/>
      <c r="BR179" s="381"/>
      <c r="BS179" s="381"/>
      <c r="BT179" s="381"/>
      <c r="BU179" s="381"/>
      <c r="BV179" s="381"/>
      <c r="BW179" s="381"/>
      <c r="BX179" s="381"/>
      <c r="BY179" s="381"/>
      <c r="BZ179" s="381"/>
      <c r="CA179" s="381"/>
      <c r="CB179" s="381"/>
      <c r="CC179" s="381"/>
      <c r="CD179" s="381"/>
      <c r="CE179" s="381"/>
      <c r="CF179" s="381"/>
      <c r="CG179" s="381"/>
      <c r="CH179" s="381"/>
      <c r="CI179" s="381"/>
      <c r="CJ179" s="381"/>
      <c r="CK179" s="381"/>
      <c r="CL179" s="381"/>
      <c r="CM179" s="381"/>
      <c r="CN179" s="381"/>
      <c r="CO179" s="381"/>
      <c r="CP179" s="381"/>
      <c r="CQ179" s="381"/>
      <c r="CR179" s="381"/>
      <c r="CS179" s="381"/>
      <c r="CT179" s="381"/>
      <c r="CU179" s="381"/>
      <c r="CV179" s="381"/>
      <c r="CW179" s="381"/>
      <c r="CX179" s="381"/>
      <c r="CY179" s="381"/>
      <c r="CZ179" s="381"/>
      <c r="DA179" s="381"/>
      <c r="DB179" s="381"/>
      <c r="DC179" s="381"/>
      <c r="DD179" s="381"/>
      <c r="DE179" s="381"/>
      <c r="DF179" s="381"/>
      <c r="DG179" s="381"/>
      <c r="DH179" s="381"/>
      <c r="DI179" s="381"/>
      <c r="DJ179" s="381"/>
      <c r="DK179" s="381"/>
      <c r="DL179" s="381"/>
      <c r="DM179" s="381"/>
      <c r="DN179" s="381"/>
      <c r="DO179" s="381"/>
      <c r="DP179" s="381"/>
      <c r="DQ179" s="381"/>
      <c r="DR179" s="381"/>
      <c r="DS179" s="381"/>
      <c r="DT179" s="381"/>
      <c r="DU179" s="381"/>
      <c r="DV179" s="381"/>
      <c r="DW179" s="381"/>
      <c r="DX179" s="381"/>
      <c r="DY179" s="381"/>
      <c r="DZ179" s="381"/>
      <c r="EA179" s="381"/>
      <c r="EB179" s="381"/>
      <c r="EC179" s="381"/>
      <c r="ED179" s="381"/>
      <c r="EE179" s="381"/>
      <c r="EF179" s="381"/>
      <c r="EG179" s="381"/>
      <c r="EH179" s="381"/>
      <c r="EI179" s="381"/>
      <c r="EJ179" s="381"/>
      <c r="EK179" s="381"/>
      <c r="EL179" s="381"/>
      <c r="EM179" s="381"/>
      <c r="EN179" s="381"/>
      <c r="EO179" s="381"/>
      <c r="EP179" s="24"/>
      <c r="EQ179" s="24"/>
      <c r="ER179" s="24"/>
      <c r="ES179" s="24"/>
      <c r="ET179" s="24"/>
      <c r="EU179" s="33"/>
      <c r="EV179" s="24"/>
      <c r="EW179" s="24"/>
      <c r="EX179" s="24"/>
      <c r="EY179" s="24"/>
      <c r="EZ179" s="24"/>
      <c r="FA179" s="24"/>
      <c r="FB179" s="24"/>
      <c r="FC179" s="24"/>
      <c r="FD179" s="24"/>
      <c r="FE179" s="24"/>
      <c r="FF179" s="24"/>
      <c r="FG179" s="24"/>
      <c r="FH179" s="24"/>
      <c r="FI179" s="24"/>
      <c r="FJ179" s="24"/>
      <c r="FK179" s="24"/>
      <c r="FL179" s="24"/>
      <c r="FM179" s="24"/>
      <c r="FN179" s="24"/>
      <c r="FO179" s="24"/>
      <c r="FP179" s="24"/>
      <c r="FQ179" s="24"/>
      <c r="FR179" s="24"/>
      <c r="FS179" s="24"/>
      <c r="FT179" s="24"/>
      <c r="FU179" s="24"/>
      <c r="FV179" s="24"/>
      <c r="FW179" s="24"/>
      <c r="FX179" s="24"/>
      <c r="FY179" s="24"/>
      <c r="FZ179" s="24"/>
      <c r="GA179" s="24"/>
      <c r="GB179" s="24"/>
      <c r="GC179" s="24"/>
      <c r="GD179" s="24"/>
      <c r="GE179" s="24"/>
      <c r="GF179" s="24"/>
      <c r="GG179" s="24"/>
      <c r="GH179" s="24"/>
      <c r="GI179" s="24"/>
      <c r="GJ179" s="24"/>
      <c r="GK179" s="24"/>
      <c r="GL179" s="24"/>
      <c r="GM179" s="24"/>
      <c r="GN179" s="24"/>
      <c r="GO179" s="24"/>
      <c r="GP179" s="24"/>
      <c r="GQ179" s="24"/>
      <c r="GR179" s="24"/>
      <c r="GS179" s="24"/>
      <c r="GT179" s="24"/>
      <c r="GU179" s="24"/>
      <c r="GV179" s="24"/>
      <c r="GW179" s="24"/>
      <c r="GX179" s="24"/>
      <c r="GY179" s="24"/>
      <c r="GZ179" s="24"/>
      <c r="HA179" s="24"/>
      <c r="HB179" s="24"/>
      <c r="HC179" s="24"/>
      <c r="HD179" s="24"/>
      <c r="HE179" s="24"/>
      <c r="HF179" s="24"/>
      <c r="HG179" s="24"/>
      <c r="HH179" s="24"/>
      <c r="HI179" s="24"/>
      <c r="HJ179" s="24"/>
      <c r="HK179" s="24"/>
      <c r="HL179" s="24"/>
      <c r="HM179" s="24"/>
      <c r="HN179" s="24"/>
      <c r="HO179" s="24"/>
      <c r="HP179" s="24"/>
      <c r="HQ179" s="24"/>
      <c r="HR179" s="24"/>
      <c r="HS179" s="24"/>
      <c r="HT179" s="24"/>
      <c r="HU179" s="24"/>
      <c r="HV179" s="24"/>
      <c r="HW179" s="24"/>
      <c r="HX179" s="24"/>
      <c r="HY179" s="24"/>
      <c r="HZ179" s="24"/>
      <c r="IA179" s="24"/>
      <c r="IB179" s="24"/>
      <c r="IC179" s="24"/>
      <c r="ID179" s="24"/>
      <c r="IE179" s="24"/>
      <c r="IF179" s="24"/>
      <c r="IG179" s="24"/>
      <c r="IH179" s="24"/>
      <c r="II179" s="24"/>
      <c r="IJ179" s="24"/>
      <c r="IK179" s="24"/>
      <c r="IL179" s="24"/>
      <c r="IM179" s="24"/>
      <c r="IN179" s="24"/>
      <c r="IO179" s="24"/>
      <c r="IP179" s="24"/>
      <c r="IQ179" s="24"/>
      <c r="IR179" s="24"/>
      <c r="IS179" s="24"/>
      <c r="IT179" s="24"/>
      <c r="IU179" s="24"/>
      <c r="IV179" s="24"/>
      <c r="IW179" s="24"/>
      <c r="IX179" s="24"/>
      <c r="IY179" s="24"/>
      <c r="IZ179" s="24"/>
      <c r="JA179" s="24"/>
      <c r="JB179" s="24"/>
      <c r="JC179" s="24"/>
      <c r="JD179" s="24"/>
      <c r="JE179" s="24"/>
      <c r="JF179" s="24"/>
      <c r="JG179" s="24"/>
      <c r="JH179" s="24"/>
      <c r="JI179" s="24"/>
      <c r="JJ179" s="24"/>
      <c r="JK179" s="24"/>
      <c r="JL179" s="24"/>
      <c r="JM179" s="24"/>
      <c r="JN179" s="24"/>
      <c r="JO179" s="24"/>
      <c r="JP179" s="24"/>
      <c r="JQ179" s="24"/>
      <c r="JR179" s="24"/>
      <c r="JS179" s="24"/>
      <c r="JT179" s="24"/>
      <c r="JU179" s="24"/>
      <c r="JV179" s="24"/>
      <c r="JW179" s="24"/>
      <c r="JX179" s="24"/>
    </row>
    <row r="180" spans="1:284" s="7" customFormat="1" x14ac:dyDescent="0.2">
      <c r="A180" s="406"/>
      <c r="B180" s="92" t="str">
        <f>B132</f>
        <v>CAPITAL EXPENDITURES</v>
      </c>
      <c r="C180" s="120"/>
      <c r="D180" s="120"/>
      <c r="E180" s="179"/>
      <c r="F180" s="179"/>
      <c r="G180" s="123"/>
      <c r="H180" s="123"/>
      <c r="I180" s="123"/>
      <c r="J180" s="381"/>
      <c r="K180" s="381"/>
      <c r="L180" s="381"/>
      <c r="M180" s="381"/>
      <c r="N180" s="381"/>
      <c r="O180" s="381"/>
      <c r="P180" s="381"/>
      <c r="Q180" s="381"/>
      <c r="R180" s="381"/>
      <c r="S180" s="381"/>
      <c r="T180" s="381"/>
      <c r="U180" s="381"/>
      <c r="V180" s="381"/>
      <c r="W180" s="381"/>
      <c r="X180" s="381"/>
      <c r="Y180" s="381"/>
      <c r="Z180" s="381"/>
      <c r="AA180" s="381"/>
      <c r="AB180" s="381"/>
      <c r="AC180" s="381"/>
      <c r="AD180" s="381"/>
      <c r="AE180" s="381"/>
      <c r="AF180" s="381"/>
      <c r="AG180" s="381"/>
      <c r="AH180" s="381"/>
      <c r="AI180" s="381"/>
      <c r="AJ180" s="381"/>
      <c r="AK180" s="381"/>
      <c r="AL180" s="381"/>
      <c r="AM180" s="381"/>
      <c r="AN180" s="381"/>
      <c r="AO180" s="381"/>
      <c r="AP180" s="381"/>
      <c r="AQ180" s="381"/>
      <c r="AR180" s="381"/>
      <c r="AS180" s="381"/>
      <c r="AT180" s="381"/>
      <c r="AU180" s="381"/>
      <c r="AV180" s="381"/>
      <c r="AW180" s="381"/>
      <c r="AX180" s="381"/>
      <c r="AY180" s="381"/>
      <c r="AZ180" s="381"/>
      <c r="BA180" s="381"/>
      <c r="BB180" s="381"/>
      <c r="BC180" s="381"/>
      <c r="BD180" s="381"/>
      <c r="BE180" s="381"/>
      <c r="BF180" s="381"/>
      <c r="BG180" s="381"/>
      <c r="BH180" s="381"/>
      <c r="BI180" s="381"/>
      <c r="BJ180" s="381"/>
      <c r="BK180" s="381"/>
      <c r="BL180" s="381"/>
      <c r="BM180" s="381"/>
      <c r="BN180" s="381"/>
      <c r="BO180" s="381"/>
      <c r="BP180" s="381"/>
      <c r="BQ180" s="381"/>
      <c r="BR180" s="381"/>
      <c r="BS180" s="381"/>
      <c r="BT180" s="381"/>
      <c r="BU180" s="381"/>
      <c r="BV180" s="381"/>
      <c r="BW180" s="381"/>
      <c r="BX180" s="381"/>
      <c r="BY180" s="381"/>
      <c r="BZ180" s="381"/>
      <c r="CA180" s="381"/>
      <c r="CB180" s="381"/>
      <c r="CC180" s="381"/>
      <c r="CD180" s="381"/>
      <c r="CE180" s="381"/>
      <c r="CF180" s="381"/>
      <c r="CG180" s="381"/>
      <c r="CH180" s="381"/>
      <c r="CI180" s="381"/>
      <c r="CJ180" s="381"/>
      <c r="CK180" s="381"/>
      <c r="CL180" s="381"/>
      <c r="CM180" s="381"/>
      <c r="CN180" s="381"/>
      <c r="CO180" s="381"/>
      <c r="CP180" s="381"/>
      <c r="CQ180" s="381"/>
      <c r="CR180" s="381"/>
      <c r="CS180" s="381"/>
      <c r="CT180" s="381"/>
      <c r="CU180" s="381"/>
      <c r="CV180" s="381"/>
      <c r="CW180" s="381"/>
      <c r="CX180" s="381"/>
      <c r="CY180" s="381"/>
      <c r="CZ180" s="381"/>
      <c r="DA180" s="381"/>
      <c r="DB180" s="381"/>
      <c r="DC180" s="381"/>
      <c r="DD180" s="381"/>
      <c r="DE180" s="381"/>
      <c r="DF180" s="381"/>
      <c r="DG180" s="381"/>
      <c r="DH180" s="381"/>
      <c r="DI180" s="381"/>
      <c r="DJ180" s="381"/>
      <c r="DK180" s="381"/>
      <c r="DL180" s="381"/>
      <c r="DM180" s="381"/>
      <c r="DN180" s="381"/>
      <c r="DO180" s="381"/>
      <c r="DP180" s="381"/>
      <c r="DQ180" s="381"/>
      <c r="DR180" s="381"/>
      <c r="DS180" s="381"/>
      <c r="DT180" s="381"/>
      <c r="DU180" s="381"/>
      <c r="DV180" s="381"/>
      <c r="DW180" s="381"/>
      <c r="DX180" s="381"/>
      <c r="DY180" s="381"/>
      <c r="DZ180" s="381"/>
      <c r="EA180" s="381"/>
      <c r="EB180" s="381"/>
      <c r="EC180" s="381"/>
      <c r="ED180" s="381"/>
      <c r="EE180" s="381"/>
      <c r="EF180" s="381"/>
      <c r="EG180" s="381"/>
      <c r="EH180" s="381"/>
      <c r="EI180" s="381"/>
      <c r="EJ180" s="381"/>
      <c r="EK180" s="381"/>
      <c r="EL180" s="381"/>
      <c r="EM180" s="381"/>
      <c r="EN180" s="381"/>
      <c r="EO180" s="381"/>
      <c r="EP180" s="24"/>
      <c r="EQ180" s="24"/>
      <c r="ER180" s="24"/>
      <c r="ES180" s="24"/>
      <c r="ET180" s="24"/>
      <c r="EU180" s="33"/>
      <c r="EV180" s="24"/>
      <c r="EW180" s="24"/>
      <c r="EX180" s="24"/>
      <c r="EY180" s="24"/>
      <c r="EZ180" s="24"/>
      <c r="FA180" s="24"/>
      <c r="FB180" s="24"/>
      <c r="FC180" s="24"/>
      <c r="FD180" s="24"/>
      <c r="FE180" s="24"/>
      <c r="FF180" s="24"/>
      <c r="FG180" s="24"/>
      <c r="FH180" s="24"/>
      <c r="FI180" s="24"/>
      <c r="FJ180" s="24"/>
      <c r="FK180" s="24"/>
      <c r="FL180" s="24"/>
      <c r="FM180" s="24"/>
      <c r="FN180" s="24"/>
      <c r="FO180" s="24"/>
      <c r="FP180" s="24"/>
      <c r="FQ180" s="24"/>
      <c r="FR180" s="24"/>
      <c r="FS180" s="24"/>
      <c r="FT180" s="24"/>
      <c r="FU180" s="24"/>
      <c r="FV180" s="24"/>
      <c r="FW180" s="24"/>
      <c r="FX180" s="24"/>
      <c r="FY180" s="24"/>
      <c r="FZ180" s="24"/>
      <c r="GA180" s="24"/>
      <c r="GB180" s="24"/>
      <c r="GC180" s="24"/>
      <c r="GD180" s="24"/>
      <c r="GE180" s="24"/>
      <c r="GF180" s="24"/>
      <c r="GG180" s="24"/>
      <c r="GH180" s="24"/>
      <c r="GI180" s="24"/>
      <c r="GJ180" s="24"/>
      <c r="GK180" s="24"/>
      <c r="GL180" s="24"/>
      <c r="GM180" s="24"/>
      <c r="GN180" s="24"/>
      <c r="GO180" s="24"/>
      <c r="GP180" s="24"/>
      <c r="GQ180" s="24"/>
      <c r="GR180" s="24"/>
      <c r="GS180" s="24"/>
      <c r="GT180" s="24"/>
      <c r="GU180" s="24"/>
      <c r="GV180" s="24"/>
      <c r="GW180" s="24"/>
      <c r="GX180" s="24"/>
      <c r="GY180" s="24"/>
      <c r="GZ180" s="24"/>
      <c r="HA180" s="24"/>
      <c r="HB180" s="24"/>
      <c r="HC180" s="24"/>
      <c r="HD180" s="24"/>
      <c r="HE180" s="24"/>
      <c r="HF180" s="24"/>
      <c r="HG180" s="24"/>
      <c r="HH180" s="24"/>
      <c r="HI180" s="24"/>
      <c r="HJ180" s="24"/>
      <c r="HK180" s="24"/>
      <c r="HL180" s="24"/>
      <c r="HM180" s="24"/>
      <c r="HN180" s="24"/>
      <c r="HO180" s="24"/>
      <c r="HP180" s="24"/>
      <c r="HQ180" s="24"/>
      <c r="HR180" s="24"/>
      <c r="HS180" s="24"/>
      <c r="HT180" s="24"/>
      <c r="HU180" s="24"/>
      <c r="HV180" s="24"/>
      <c r="HW180" s="24"/>
      <c r="HX180" s="24"/>
      <c r="HY180" s="24"/>
      <c r="HZ180" s="24"/>
      <c r="IA180" s="24"/>
      <c r="IB180" s="24"/>
      <c r="IC180" s="24"/>
      <c r="ID180" s="24"/>
      <c r="IE180" s="24"/>
      <c r="IF180" s="24"/>
      <c r="IG180" s="24"/>
      <c r="IH180" s="24"/>
      <c r="II180" s="24"/>
      <c r="IJ180" s="24"/>
      <c r="IK180" s="24"/>
      <c r="IL180" s="24"/>
      <c r="IM180" s="24"/>
      <c r="IN180" s="24"/>
      <c r="IO180" s="24"/>
      <c r="IP180" s="24"/>
      <c r="IQ180" s="24"/>
      <c r="IR180" s="24"/>
      <c r="IS180" s="24"/>
      <c r="IT180" s="24"/>
      <c r="IU180" s="24"/>
      <c r="IV180" s="24"/>
      <c r="IW180" s="24"/>
      <c r="IX180" s="24"/>
      <c r="IY180" s="24"/>
      <c r="IZ180" s="24"/>
      <c r="JA180" s="24"/>
      <c r="JB180" s="24"/>
      <c r="JC180" s="24"/>
      <c r="JD180" s="24"/>
      <c r="JE180" s="24"/>
      <c r="JF180" s="24"/>
      <c r="JG180" s="24"/>
      <c r="JH180" s="24"/>
      <c r="JI180" s="24"/>
      <c r="JJ180" s="24"/>
      <c r="JK180" s="24"/>
      <c r="JL180" s="24"/>
      <c r="JM180" s="24"/>
      <c r="JN180" s="24"/>
      <c r="JO180" s="24"/>
      <c r="JP180" s="24"/>
      <c r="JQ180" s="24"/>
      <c r="JR180" s="24"/>
      <c r="JS180" s="24"/>
      <c r="JT180" s="24"/>
      <c r="JU180" s="24"/>
      <c r="JV180" s="24"/>
      <c r="JW180" s="24"/>
      <c r="JX180" s="24"/>
    </row>
    <row r="181" spans="1:284" s="7" customFormat="1" x14ac:dyDescent="0.2">
      <c r="A181" s="406"/>
      <c r="B181" s="147" t="str">
        <f>B133</f>
        <v>Capital Reserves</v>
      </c>
      <c r="C181" s="120"/>
      <c r="D181" s="120"/>
      <c r="E181" s="179"/>
      <c r="F181" s="179"/>
      <c r="G181" s="123">
        <f>I133</f>
        <v>60000</v>
      </c>
      <c r="H181" s="123">
        <f ca="1">SUM(OFFSET($L133,0,Stabilization_1st_Month,1,12))</f>
        <v>62109</v>
      </c>
      <c r="I181" s="124">
        <f ca="1">MAX(SUM(OFFSET($L133,0,Timing_Reversion_Month,1,12)),H181)</f>
        <v>63972.270000000004</v>
      </c>
      <c r="J181" s="381"/>
      <c r="K181" s="381"/>
      <c r="L181" s="381"/>
      <c r="M181" s="381"/>
      <c r="N181" s="381"/>
      <c r="O181" s="381"/>
      <c r="P181" s="381"/>
      <c r="Q181" s="381"/>
      <c r="R181" s="381"/>
      <c r="S181" s="381"/>
      <c r="T181" s="381"/>
      <c r="U181" s="381"/>
      <c r="V181" s="381"/>
      <c r="W181" s="381"/>
      <c r="X181" s="381"/>
      <c r="Y181" s="381"/>
      <c r="Z181" s="381"/>
      <c r="AA181" s="381"/>
      <c r="AB181" s="381"/>
      <c r="AC181" s="381"/>
      <c r="AD181" s="381"/>
      <c r="AE181" s="381"/>
      <c r="AF181" s="381"/>
      <c r="AG181" s="381"/>
      <c r="AH181" s="381"/>
      <c r="AI181" s="381"/>
      <c r="AJ181" s="381"/>
      <c r="AK181" s="381"/>
      <c r="AL181" s="381"/>
      <c r="AM181" s="381"/>
      <c r="AN181" s="381"/>
      <c r="AO181" s="381"/>
      <c r="AP181" s="381"/>
      <c r="AQ181" s="381"/>
      <c r="AR181" s="381"/>
      <c r="AS181" s="381"/>
      <c r="AT181" s="381"/>
      <c r="AU181" s="381"/>
      <c r="AV181" s="381"/>
      <c r="AW181" s="381"/>
      <c r="AX181" s="381"/>
      <c r="AY181" s="381"/>
      <c r="AZ181" s="381"/>
      <c r="BA181" s="381"/>
      <c r="BB181" s="381"/>
      <c r="BC181" s="381"/>
      <c r="BD181" s="381"/>
      <c r="BE181" s="381"/>
      <c r="BF181" s="381"/>
      <c r="BG181" s="381"/>
      <c r="BH181" s="381"/>
      <c r="BI181" s="381"/>
      <c r="BJ181" s="381"/>
      <c r="BK181" s="381"/>
      <c r="BL181" s="381"/>
      <c r="BM181" s="381"/>
      <c r="BN181" s="381"/>
      <c r="BO181" s="381"/>
      <c r="BP181" s="381"/>
      <c r="BQ181" s="381"/>
      <c r="BR181" s="381"/>
      <c r="BS181" s="381"/>
      <c r="BT181" s="381"/>
      <c r="BU181" s="381"/>
      <c r="BV181" s="381"/>
      <c r="BW181" s="381"/>
      <c r="BX181" s="381"/>
      <c r="BY181" s="381"/>
      <c r="BZ181" s="381"/>
      <c r="CA181" s="381"/>
      <c r="CB181" s="381"/>
      <c r="CC181" s="381"/>
      <c r="CD181" s="381"/>
      <c r="CE181" s="381"/>
      <c r="CF181" s="381"/>
      <c r="CG181" s="381"/>
      <c r="CH181" s="381"/>
      <c r="CI181" s="381"/>
      <c r="CJ181" s="381"/>
      <c r="CK181" s="381"/>
      <c r="CL181" s="381"/>
      <c r="CM181" s="381"/>
      <c r="CN181" s="381"/>
      <c r="CO181" s="381"/>
      <c r="CP181" s="381"/>
      <c r="CQ181" s="381"/>
      <c r="CR181" s="381"/>
      <c r="CS181" s="381"/>
      <c r="CT181" s="381"/>
      <c r="CU181" s="381"/>
      <c r="CV181" s="381"/>
      <c r="CW181" s="381"/>
      <c r="CX181" s="381"/>
      <c r="CY181" s="381"/>
      <c r="CZ181" s="381"/>
      <c r="DA181" s="381"/>
      <c r="DB181" s="381"/>
      <c r="DC181" s="381"/>
      <c r="DD181" s="381"/>
      <c r="DE181" s="381"/>
      <c r="DF181" s="381"/>
      <c r="DG181" s="381"/>
      <c r="DH181" s="381"/>
      <c r="DI181" s="381"/>
      <c r="DJ181" s="381"/>
      <c r="DK181" s="381"/>
      <c r="DL181" s="381"/>
      <c r="DM181" s="381"/>
      <c r="DN181" s="381"/>
      <c r="DO181" s="381"/>
      <c r="DP181" s="381"/>
      <c r="DQ181" s="381"/>
      <c r="DR181" s="381"/>
      <c r="DS181" s="381"/>
      <c r="DT181" s="381"/>
      <c r="DU181" s="381"/>
      <c r="DV181" s="381"/>
      <c r="DW181" s="381"/>
      <c r="DX181" s="381"/>
      <c r="DY181" s="381"/>
      <c r="DZ181" s="381"/>
      <c r="EA181" s="381"/>
      <c r="EB181" s="381"/>
      <c r="EC181" s="381"/>
      <c r="ED181" s="381"/>
      <c r="EE181" s="381"/>
      <c r="EF181" s="381"/>
      <c r="EG181" s="381"/>
      <c r="EH181" s="381"/>
      <c r="EI181" s="381"/>
      <c r="EJ181" s="381"/>
      <c r="EK181" s="381"/>
      <c r="EL181" s="381"/>
      <c r="EM181" s="381"/>
      <c r="EN181" s="381"/>
      <c r="EO181" s="381"/>
      <c r="EP181" s="24"/>
      <c r="EQ181" s="24"/>
      <c r="ER181" s="24"/>
      <c r="ES181" s="24"/>
      <c r="ET181" s="24"/>
      <c r="EU181" s="33"/>
      <c r="EV181" s="24"/>
      <c r="EW181" s="24"/>
      <c r="EX181" s="24"/>
      <c r="EY181" s="24"/>
      <c r="EZ181" s="24"/>
      <c r="FA181" s="24"/>
      <c r="FB181" s="24"/>
      <c r="FC181" s="24"/>
      <c r="FD181" s="24"/>
      <c r="FE181" s="24"/>
      <c r="FF181" s="24"/>
      <c r="FG181" s="24"/>
      <c r="FH181" s="24"/>
      <c r="FI181" s="24"/>
      <c r="FJ181" s="24"/>
      <c r="FK181" s="24"/>
      <c r="FL181" s="24"/>
      <c r="FM181" s="24"/>
      <c r="FN181" s="24"/>
      <c r="FO181" s="24"/>
      <c r="FP181" s="24"/>
      <c r="FQ181" s="24"/>
      <c r="FR181" s="24"/>
      <c r="FS181" s="24"/>
      <c r="FT181" s="24"/>
      <c r="FU181" s="24"/>
      <c r="FV181" s="24"/>
      <c r="FW181" s="24"/>
      <c r="FX181" s="24"/>
      <c r="FY181" s="24"/>
      <c r="FZ181" s="24"/>
      <c r="GA181" s="24"/>
      <c r="GB181" s="24"/>
      <c r="GC181" s="24"/>
      <c r="GD181" s="24"/>
      <c r="GE181" s="24"/>
      <c r="GF181" s="24"/>
      <c r="GG181" s="24"/>
      <c r="GH181" s="24"/>
      <c r="GI181" s="24"/>
      <c r="GJ181" s="24"/>
      <c r="GK181" s="24"/>
      <c r="GL181" s="24"/>
      <c r="GM181" s="24"/>
      <c r="GN181" s="24"/>
      <c r="GO181" s="24"/>
      <c r="GP181" s="24"/>
      <c r="GQ181" s="24"/>
      <c r="GR181" s="24"/>
      <c r="GS181" s="24"/>
      <c r="GT181" s="24"/>
      <c r="GU181" s="24"/>
      <c r="GV181" s="24"/>
      <c r="GW181" s="24"/>
      <c r="GX181" s="24"/>
      <c r="GY181" s="24"/>
      <c r="GZ181" s="24"/>
      <c r="HA181" s="24"/>
      <c r="HB181" s="24"/>
      <c r="HC181" s="24"/>
      <c r="HD181" s="24"/>
      <c r="HE181" s="24"/>
      <c r="HF181" s="24"/>
      <c r="HG181" s="24"/>
      <c r="HH181" s="24"/>
      <c r="HI181" s="24"/>
      <c r="HJ181" s="24"/>
      <c r="HK181" s="24"/>
      <c r="HL181" s="24"/>
      <c r="HM181" s="24"/>
      <c r="HN181" s="24"/>
      <c r="HO181" s="24"/>
      <c r="HP181" s="24"/>
      <c r="HQ181" s="24"/>
      <c r="HR181" s="24"/>
      <c r="HS181" s="24"/>
      <c r="HT181" s="24"/>
      <c r="HU181" s="24"/>
      <c r="HV181" s="24"/>
      <c r="HW181" s="24"/>
      <c r="HX181" s="24"/>
      <c r="HY181" s="24"/>
      <c r="HZ181" s="24"/>
      <c r="IA181" s="24"/>
      <c r="IB181" s="24"/>
      <c r="IC181" s="24"/>
      <c r="ID181" s="24"/>
      <c r="IE181" s="24"/>
      <c r="IF181" s="24"/>
      <c r="IG181" s="24"/>
      <c r="IH181" s="24"/>
      <c r="II181" s="24"/>
      <c r="IJ181" s="24"/>
      <c r="IK181" s="24"/>
      <c r="IL181" s="24"/>
      <c r="IM181" s="24"/>
      <c r="IN181" s="24"/>
      <c r="IO181" s="24"/>
      <c r="IP181" s="24"/>
      <c r="IQ181" s="24"/>
      <c r="IR181" s="24"/>
      <c r="IS181" s="24"/>
      <c r="IT181" s="24"/>
      <c r="IU181" s="24"/>
      <c r="IV181" s="24"/>
      <c r="IW181" s="24"/>
      <c r="IX181" s="24"/>
      <c r="IY181" s="24"/>
      <c r="IZ181" s="24"/>
      <c r="JA181" s="24"/>
      <c r="JB181" s="24"/>
      <c r="JC181" s="24"/>
      <c r="JD181" s="24"/>
      <c r="JE181" s="24"/>
      <c r="JF181" s="24"/>
      <c r="JG181" s="24"/>
      <c r="JH181" s="24"/>
      <c r="JI181" s="24"/>
      <c r="JJ181" s="24"/>
      <c r="JK181" s="24"/>
      <c r="JL181" s="24"/>
      <c r="JM181" s="24"/>
      <c r="JN181" s="24"/>
      <c r="JO181" s="24"/>
      <c r="JP181" s="24"/>
      <c r="JQ181" s="24"/>
      <c r="JR181" s="24"/>
      <c r="JS181" s="24"/>
      <c r="JT181" s="24"/>
      <c r="JU181" s="24"/>
      <c r="JV181" s="24"/>
      <c r="JW181" s="24"/>
      <c r="JX181" s="24"/>
    </row>
    <row r="182" spans="1:284" s="7" customFormat="1" x14ac:dyDescent="0.2">
      <c r="A182" s="406"/>
      <c r="B182" s="147" t="str">
        <f>B134</f>
        <v>Other Capital Expenditures</v>
      </c>
      <c r="C182" s="120"/>
      <c r="D182" s="120"/>
      <c r="E182" s="179"/>
      <c r="F182" s="179"/>
      <c r="G182" s="123">
        <f>I134</f>
        <v>0</v>
      </c>
      <c r="H182" s="123">
        <f ca="1">SUM(OFFSET($L134,0,Stabilization_1st_Month,1,12))</f>
        <v>0</v>
      </c>
      <c r="I182" s="124">
        <f ca="1">MAX(SUM(OFFSET($L134,0,Timing_Reversion_Month,1,12)),H182)</f>
        <v>0</v>
      </c>
      <c r="J182" s="381"/>
      <c r="K182" s="381"/>
      <c r="L182" s="381"/>
      <c r="M182" s="381"/>
      <c r="N182" s="381"/>
      <c r="O182" s="381"/>
      <c r="P182" s="381"/>
      <c r="Q182" s="381"/>
      <c r="R182" s="381"/>
      <c r="S182" s="381"/>
      <c r="T182" s="381"/>
      <c r="U182" s="381"/>
      <c r="V182" s="381"/>
      <c r="W182" s="381"/>
      <c r="X182" s="381"/>
      <c r="Y182" s="381"/>
      <c r="Z182" s="381"/>
      <c r="AA182" s="381"/>
      <c r="AB182" s="381"/>
      <c r="AC182" s="381"/>
      <c r="AD182" s="381"/>
      <c r="AE182" s="381"/>
      <c r="AF182" s="381"/>
      <c r="AG182" s="381"/>
      <c r="AH182" s="381"/>
      <c r="AI182" s="381"/>
      <c r="AJ182" s="381"/>
      <c r="AK182" s="381"/>
      <c r="AL182" s="381"/>
      <c r="AM182" s="381"/>
      <c r="AN182" s="381"/>
      <c r="AO182" s="381"/>
      <c r="AP182" s="381"/>
      <c r="AQ182" s="381"/>
      <c r="AR182" s="381"/>
      <c r="AS182" s="381"/>
      <c r="AT182" s="381"/>
      <c r="AU182" s="381"/>
      <c r="AV182" s="381"/>
      <c r="AW182" s="381"/>
      <c r="AX182" s="381"/>
      <c r="AY182" s="381"/>
      <c r="AZ182" s="381"/>
      <c r="BA182" s="381"/>
      <c r="BB182" s="381"/>
      <c r="BC182" s="381"/>
      <c r="BD182" s="381"/>
      <c r="BE182" s="381"/>
      <c r="BF182" s="381"/>
      <c r="BG182" s="381"/>
      <c r="BH182" s="381"/>
      <c r="BI182" s="381"/>
      <c r="BJ182" s="381"/>
      <c r="BK182" s="381"/>
      <c r="BL182" s="381"/>
      <c r="BM182" s="381"/>
      <c r="BN182" s="381"/>
      <c r="BO182" s="381"/>
      <c r="BP182" s="381"/>
      <c r="BQ182" s="381"/>
      <c r="BR182" s="381"/>
      <c r="BS182" s="381"/>
      <c r="BT182" s="381"/>
      <c r="BU182" s="381"/>
      <c r="BV182" s="381"/>
      <c r="BW182" s="381"/>
      <c r="BX182" s="381"/>
      <c r="BY182" s="381"/>
      <c r="BZ182" s="381"/>
      <c r="CA182" s="381"/>
      <c r="CB182" s="381"/>
      <c r="CC182" s="381"/>
      <c r="CD182" s="381"/>
      <c r="CE182" s="381"/>
      <c r="CF182" s="381"/>
      <c r="CG182" s="381"/>
      <c r="CH182" s="381"/>
      <c r="CI182" s="381"/>
      <c r="CJ182" s="381"/>
      <c r="CK182" s="381"/>
      <c r="CL182" s="381"/>
      <c r="CM182" s="381"/>
      <c r="CN182" s="381"/>
      <c r="CO182" s="381"/>
      <c r="CP182" s="381"/>
      <c r="CQ182" s="381"/>
      <c r="CR182" s="381"/>
      <c r="CS182" s="381"/>
      <c r="CT182" s="381"/>
      <c r="CU182" s="381"/>
      <c r="CV182" s="381"/>
      <c r="CW182" s="381"/>
      <c r="CX182" s="381"/>
      <c r="CY182" s="381"/>
      <c r="CZ182" s="381"/>
      <c r="DA182" s="381"/>
      <c r="DB182" s="381"/>
      <c r="DC182" s="381"/>
      <c r="DD182" s="381"/>
      <c r="DE182" s="381"/>
      <c r="DF182" s="381"/>
      <c r="DG182" s="381"/>
      <c r="DH182" s="381"/>
      <c r="DI182" s="381"/>
      <c r="DJ182" s="381"/>
      <c r="DK182" s="381"/>
      <c r="DL182" s="381"/>
      <c r="DM182" s="381"/>
      <c r="DN182" s="381"/>
      <c r="DO182" s="381"/>
      <c r="DP182" s="381"/>
      <c r="DQ182" s="381"/>
      <c r="DR182" s="381"/>
      <c r="DS182" s="381"/>
      <c r="DT182" s="381"/>
      <c r="DU182" s="381"/>
      <c r="DV182" s="381"/>
      <c r="DW182" s="381"/>
      <c r="DX182" s="381"/>
      <c r="DY182" s="381"/>
      <c r="DZ182" s="381"/>
      <c r="EA182" s="381"/>
      <c r="EB182" s="381"/>
      <c r="EC182" s="381"/>
      <c r="ED182" s="381"/>
      <c r="EE182" s="381"/>
      <c r="EF182" s="381"/>
      <c r="EG182" s="381"/>
      <c r="EH182" s="381"/>
      <c r="EI182" s="381"/>
      <c r="EJ182" s="381"/>
      <c r="EK182" s="381"/>
      <c r="EL182" s="381"/>
      <c r="EM182" s="381"/>
      <c r="EN182" s="381"/>
      <c r="EO182" s="381"/>
      <c r="EP182" s="24"/>
      <c r="EQ182" s="24"/>
      <c r="ER182" s="24"/>
      <c r="ES182" s="24"/>
      <c r="ET182" s="24"/>
      <c r="EU182" s="33"/>
      <c r="EV182" s="24"/>
      <c r="EW182" s="24"/>
      <c r="EX182" s="24"/>
      <c r="EY182" s="24"/>
      <c r="EZ182" s="24"/>
      <c r="FA182" s="24"/>
      <c r="FB182" s="24"/>
      <c r="FC182" s="24"/>
      <c r="FD182" s="24"/>
      <c r="FE182" s="24"/>
      <c r="FF182" s="24"/>
      <c r="FG182" s="24"/>
      <c r="FH182" s="24"/>
      <c r="FI182" s="24"/>
      <c r="FJ182" s="24"/>
      <c r="FK182" s="24"/>
      <c r="FL182" s="24"/>
      <c r="FM182" s="24"/>
      <c r="FN182" s="24"/>
      <c r="FO182" s="24"/>
      <c r="FP182" s="24"/>
      <c r="FQ182" s="24"/>
      <c r="FR182" s="24"/>
      <c r="FS182" s="24"/>
      <c r="FT182" s="24"/>
      <c r="FU182" s="24"/>
      <c r="FV182" s="24"/>
      <c r="FW182" s="24"/>
      <c r="FX182" s="24"/>
      <c r="FY182" s="24"/>
      <c r="FZ182" s="24"/>
      <c r="GA182" s="24"/>
      <c r="GB182" s="24"/>
      <c r="GC182" s="24"/>
      <c r="GD182" s="24"/>
      <c r="GE182" s="24"/>
      <c r="GF182" s="24"/>
      <c r="GG182" s="24"/>
      <c r="GH182" s="24"/>
      <c r="GI182" s="24"/>
      <c r="GJ182" s="24"/>
      <c r="GK182" s="24"/>
      <c r="GL182" s="24"/>
      <c r="GM182" s="24"/>
      <c r="GN182" s="24"/>
      <c r="GO182" s="24"/>
      <c r="GP182" s="24"/>
      <c r="GQ182" s="24"/>
      <c r="GR182" s="24"/>
      <c r="GS182" s="24"/>
      <c r="GT182" s="24"/>
      <c r="GU182" s="24"/>
      <c r="GV182" s="24"/>
      <c r="GW182" s="24"/>
      <c r="GX182" s="24"/>
      <c r="GY182" s="24"/>
      <c r="GZ182" s="24"/>
      <c r="HA182" s="24"/>
      <c r="HB182" s="24"/>
      <c r="HC182" s="24"/>
      <c r="HD182" s="24"/>
      <c r="HE182" s="24"/>
      <c r="HF182" s="24"/>
      <c r="HG182" s="24"/>
      <c r="HH182" s="24"/>
      <c r="HI182" s="24"/>
      <c r="HJ182" s="24"/>
      <c r="HK182" s="24"/>
      <c r="HL182" s="24"/>
      <c r="HM182" s="24"/>
      <c r="HN182" s="24"/>
      <c r="HO182" s="24"/>
      <c r="HP182" s="24"/>
      <c r="HQ182" s="24"/>
      <c r="HR182" s="24"/>
      <c r="HS182" s="24"/>
      <c r="HT182" s="24"/>
      <c r="HU182" s="24"/>
      <c r="HV182" s="24"/>
      <c r="HW182" s="24"/>
      <c r="HX182" s="24"/>
      <c r="HY182" s="24"/>
      <c r="HZ182" s="24"/>
      <c r="IA182" s="24"/>
      <c r="IB182" s="24"/>
      <c r="IC182" s="24"/>
      <c r="ID182" s="24"/>
      <c r="IE182" s="24"/>
      <c r="IF182" s="24"/>
      <c r="IG182" s="24"/>
      <c r="IH182" s="24"/>
      <c r="II182" s="24"/>
      <c r="IJ182" s="24"/>
      <c r="IK182" s="24"/>
      <c r="IL182" s="24"/>
      <c r="IM182" s="24"/>
      <c r="IN182" s="24"/>
      <c r="IO182" s="24"/>
      <c r="IP182" s="24"/>
      <c r="IQ182" s="24"/>
      <c r="IR182" s="24"/>
      <c r="IS182" s="24"/>
      <c r="IT182" s="24"/>
      <c r="IU182" s="24"/>
      <c r="IV182" s="24"/>
      <c r="IW182" s="24"/>
      <c r="IX182" s="24"/>
      <c r="IY182" s="24"/>
      <c r="IZ182" s="24"/>
      <c r="JA182" s="24"/>
      <c r="JB182" s="24"/>
      <c r="JC182" s="24"/>
      <c r="JD182" s="24"/>
      <c r="JE182" s="24"/>
      <c r="JF182" s="24"/>
      <c r="JG182" s="24"/>
      <c r="JH182" s="24"/>
      <c r="JI182" s="24"/>
      <c r="JJ182" s="24"/>
      <c r="JK182" s="24"/>
      <c r="JL182" s="24"/>
      <c r="JM182" s="24"/>
      <c r="JN182" s="24"/>
      <c r="JO182" s="24"/>
      <c r="JP182" s="24"/>
      <c r="JQ182" s="24"/>
      <c r="JR182" s="24"/>
      <c r="JS182" s="24"/>
      <c r="JT182" s="24"/>
      <c r="JU182" s="24"/>
      <c r="JV182" s="24"/>
      <c r="JW182" s="24"/>
      <c r="JX182" s="24"/>
    </row>
    <row r="183" spans="1:284" s="7" customFormat="1" ht="0.6" customHeight="1" x14ac:dyDescent="0.35">
      <c r="A183" s="406"/>
      <c r="B183" s="147" t="str">
        <f>B135</f>
        <v>Retail Leasing Cost Reserves</v>
      </c>
      <c r="C183" s="120"/>
      <c r="D183" s="120"/>
      <c r="E183" s="179"/>
      <c r="F183" s="179"/>
      <c r="G183" s="131">
        <f>I135</f>
        <v>0</v>
      </c>
      <c r="H183" s="131">
        <f ca="1">SUM(OFFSET($L135,0,Stabilization_1st_Month,1,12))</f>
        <v>0</v>
      </c>
      <c r="I183" s="177">
        <f ca="1">MAX(SUM(OFFSET($L135,0,Timing_Reversion_Month,1,12)),H183)</f>
        <v>0</v>
      </c>
      <c r="J183" s="381"/>
      <c r="K183" s="381"/>
      <c r="L183" s="381"/>
      <c r="M183" s="381"/>
      <c r="N183" s="381"/>
      <c r="O183" s="381"/>
      <c r="P183" s="381"/>
      <c r="Q183" s="381"/>
      <c r="R183" s="381"/>
      <c r="S183" s="381"/>
      <c r="T183" s="381"/>
      <c r="U183" s="381"/>
      <c r="V183" s="381"/>
      <c r="W183" s="381"/>
      <c r="X183" s="381"/>
      <c r="Y183" s="381"/>
      <c r="Z183" s="381"/>
      <c r="AA183" s="381"/>
      <c r="AB183" s="381"/>
      <c r="AC183" s="381"/>
      <c r="AD183" s="381"/>
      <c r="AE183" s="381"/>
      <c r="AF183" s="381"/>
      <c r="AG183" s="381"/>
      <c r="AH183" s="381"/>
      <c r="AI183" s="381"/>
      <c r="AJ183" s="381"/>
      <c r="AK183" s="381"/>
      <c r="AL183" s="381"/>
      <c r="AM183" s="381"/>
      <c r="AN183" s="381"/>
      <c r="AO183" s="381"/>
      <c r="AP183" s="381"/>
      <c r="AQ183" s="381"/>
      <c r="AR183" s="381"/>
      <c r="AS183" s="381"/>
      <c r="AT183" s="381"/>
      <c r="AU183" s="381"/>
      <c r="AV183" s="381"/>
      <c r="AW183" s="381"/>
      <c r="AX183" s="381"/>
      <c r="AY183" s="381"/>
      <c r="AZ183" s="381"/>
      <c r="BA183" s="381"/>
      <c r="BB183" s="381"/>
      <c r="BC183" s="381"/>
      <c r="BD183" s="381"/>
      <c r="BE183" s="381"/>
      <c r="BF183" s="381"/>
      <c r="BG183" s="381"/>
      <c r="BH183" s="381"/>
      <c r="BI183" s="381"/>
      <c r="BJ183" s="381"/>
      <c r="BK183" s="381"/>
      <c r="BL183" s="381"/>
      <c r="BM183" s="381"/>
      <c r="BN183" s="381"/>
      <c r="BO183" s="381"/>
      <c r="BP183" s="381"/>
      <c r="BQ183" s="381"/>
      <c r="BR183" s="381"/>
      <c r="BS183" s="381"/>
      <c r="BT183" s="381"/>
      <c r="BU183" s="381"/>
      <c r="BV183" s="381"/>
      <c r="BW183" s="381"/>
      <c r="BX183" s="381"/>
      <c r="BY183" s="381"/>
      <c r="BZ183" s="381"/>
      <c r="CA183" s="381"/>
      <c r="CB183" s="381"/>
      <c r="CC183" s="381"/>
      <c r="CD183" s="381"/>
      <c r="CE183" s="381"/>
      <c r="CF183" s="381"/>
      <c r="CG183" s="381"/>
      <c r="CH183" s="381"/>
      <c r="CI183" s="381"/>
      <c r="CJ183" s="381"/>
      <c r="CK183" s="381"/>
      <c r="CL183" s="381"/>
      <c r="CM183" s="381"/>
      <c r="CN183" s="381"/>
      <c r="CO183" s="381"/>
      <c r="CP183" s="381"/>
      <c r="CQ183" s="381"/>
      <c r="CR183" s="381"/>
      <c r="CS183" s="381"/>
      <c r="CT183" s="381"/>
      <c r="CU183" s="381"/>
      <c r="CV183" s="381"/>
      <c r="CW183" s="381"/>
      <c r="CX183" s="381"/>
      <c r="CY183" s="381"/>
      <c r="CZ183" s="381"/>
      <c r="DA183" s="381"/>
      <c r="DB183" s="381"/>
      <c r="DC183" s="381"/>
      <c r="DD183" s="381"/>
      <c r="DE183" s="381"/>
      <c r="DF183" s="381"/>
      <c r="DG183" s="381"/>
      <c r="DH183" s="381"/>
      <c r="DI183" s="381"/>
      <c r="DJ183" s="381"/>
      <c r="DK183" s="381"/>
      <c r="DL183" s="381"/>
      <c r="DM183" s="381"/>
      <c r="DN183" s="381"/>
      <c r="DO183" s="381"/>
      <c r="DP183" s="381"/>
      <c r="DQ183" s="381"/>
      <c r="DR183" s="381"/>
      <c r="DS183" s="381"/>
      <c r="DT183" s="381"/>
      <c r="DU183" s="381"/>
      <c r="DV183" s="381"/>
      <c r="DW183" s="381"/>
      <c r="DX183" s="381"/>
      <c r="DY183" s="381"/>
      <c r="DZ183" s="381"/>
      <c r="EA183" s="381"/>
      <c r="EB183" s="381"/>
      <c r="EC183" s="381"/>
      <c r="ED183" s="381"/>
      <c r="EE183" s="381"/>
      <c r="EF183" s="381"/>
      <c r="EG183" s="381"/>
      <c r="EH183" s="381"/>
      <c r="EI183" s="381"/>
      <c r="EJ183" s="381"/>
      <c r="EK183" s="381"/>
      <c r="EL183" s="381"/>
      <c r="EM183" s="381"/>
      <c r="EN183" s="381"/>
      <c r="EO183" s="381"/>
      <c r="EP183" s="24"/>
      <c r="EQ183" s="24"/>
      <c r="ER183" s="24"/>
      <c r="ES183" s="24"/>
      <c r="ET183" s="24"/>
      <c r="EU183" s="33"/>
      <c r="EV183" s="24"/>
      <c r="EW183" s="24"/>
      <c r="EX183" s="24"/>
      <c r="EY183" s="24"/>
      <c r="EZ183" s="24"/>
      <c r="FA183" s="24"/>
      <c r="FB183" s="24"/>
      <c r="FC183" s="24"/>
      <c r="FD183" s="24"/>
      <c r="FE183" s="24"/>
      <c r="FF183" s="24"/>
      <c r="FG183" s="24"/>
      <c r="FH183" s="24"/>
      <c r="FI183" s="24"/>
      <c r="FJ183" s="24"/>
      <c r="FK183" s="24"/>
      <c r="FL183" s="24"/>
      <c r="FM183" s="24"/>
      <c r="FN183" s="24"/>
      <c r="FO183" s="24"/>
      <c r="FP183" s="24"/>
      <c r="FQ183" s="24"/>
      <c r="FR183" s="24"/>
      <c r="FS183" s="24"/>
      <c r="FT183" s="24"/>
      <c r="FU183" s="24"/>
      <c r="FV183" s="24"/>
      <c r="FW183" s="24"/>
      <c r="FX183" s="24"/>
      <c r="FY183" s="24"/>
      <c r="FZ183" s="24"/>
      <c r="GA183" s="24"/>
      <c r="GB183" s="24"/>
      <c r="GC183" s="24"/>
      <c r="GD183" s="24"/>
      <c r="GE183" s="24"/>
      <c r="GF183" s="24"/>
      <c r="GG183" s="24"/>
      <c r="GH183" s="24"/>
      <c r="GI183" s="24"/>
      <c r="GJ183" s="24"/>
      <c r="GK183" s="24"/>
      <c r="GL183" s="24"/>
      <c r="GM183" s="24"/>
      <c r="GN183" s="24"/>
      <c r="GO183" s="24"/>
      <c r="GP183" s="24"/>
      <c r="GQ183" s="24"/>
      <c r="GR183" s="24"/>
      <c r="GS183" s="24"/>
      <c r="GT183" s="24"/>
      <c r="GU183" s="24"/>
      <c r="GV183" s="24"/>
      <c r="GW183" s="24"/>
      <c r="GX183" s="24"/>
      <c r="GY183" s="24"/>
      <c r="GZ183" s="24"/>
      <c r="HA183" s="24"/>
      <c r="HB183" s="24"/>
      <c r="HC183" s="24"/>
      <c r="HD183" s="24"/>
      <c r="HE183" s="24"/>
      <c r="HF183" s="24"/>
      <c r="HG183" s="24"/>
      <c r="HH183" s="24"/>
      <c r="HI183" s="24"/>
      <c r="HJ183" s="24"/>
      <c r="HK183" s="24"/>
      <c r="HL183" s="24"/>
      <c r="HM183" s="24"/>
      <c r="HN183" s="24"/>
      <c r="HO183" s="24"/>
      <c r="HP183" s="24"/>
      <c r="HQ183" s="24"/>
      <c r="HR183" s="24"/>
      <c r="HS183" s="24"/>
      <c r="HT183" s="24"/>
      <c r="HU183" s="24"/>
      <c r="HV183" s="24"/>
      <c r="HW183" s="24"/>
      <c r="HX183" s="24"/>
      <c r="HY183" s="24"/>
      <c r="HZ183" s="24"/>
      <c r="IA183" s="24"/>
      <c r="IB183" s="24"/>
      <c r="IC183" s="24"/>
      <c r="ID183" s="24"/>
      <c r="IE183" s="24"/>
      <c r="IF183" s="24"/>
      <c r="IG183" s="24"/>
      <c r="IH183" s="24"/>
      <c r="II183" s="24"/>
      <c r="IJ183" s="24"/>
      <c r="IK183" s="24"/>
      <c r="IL183" s="24"/>
      <c r="IM183" s="24"/>
      <c r="IN183" s="24"/>
      <c r="IO183" s="24"/>
      <c r="IP183" s="24"/>
      <c r="IQ183" s="24"/>
      <c r="IR183" s="24"/>
      <c r="IS183" s="24"/>
      <c r="IT183" s="24"/>
      <c r="IU183" s="24"/>
      <c r="IV183" s="24"/>
      <c r="IW183" s="24"/>
      <c r="IX183" s="24"/>
      <c r="IY183" s="24"/>
      <c r="IZ183" s="24"/>
      <c r="JA183" s="24"/>
      <c r="JB183" s="24"/>
      <c r="JC183" s="24"/>
      <c r="JD183" s="24"/>
      <c r="JE183" s="24"/>
      <c r="JF183" s="24"/>
      <c r="JG183" s="24"/>
      <c r="JH183" s="24"/>
      <c r="JI183" s="24"/>
      <c r="JJ183" s="24"/>
      <c r="JK183" s="24"/>
      <c r="JL183" s="24"/>
      <c r="JM183" s="24"/>
      <c r="JN183" s="24"/>
      <c r="JO183" s="24"/>
      <c r="JP183" s="24"/>
      <c r="JQ183" s="24"/>
      <c r="JR183" s="24"/>
      <c r="JS183" s="24"/>
      <c r="JT183" s="24"/>
      <c r="JU183" s="24"/>
      <c r="JV183" s="24"/>
      <c r="JW183" s="24"/>
      <c r="JX183" s="24"/>
    </row>
    <row r="184" spans="1:284" s="7" customFormat="1" x14ac:dyDescent="0.2">
      <c r="A184" s="406"/>
      <c r="B184" s="92" t="str">
        <f>B136</f>
        <v>TOTAL CAPITAL EXPENDITURES</v>
      </c>
      <c r="C184" s="120"/>
      <c r="D184" s="120"/>
      <c r="E184" s="179"/>
      <c r="F184" s="179"/>
      <c r="G184" s="123">
        <f>SUM(G181:G183)</f>
        <v>60000</v>
      </c>
      <c r="H184" s="123">
        <f ca="1">SUM(H181:H183)</f>
        <v>62109</v>
      </c>
      <c r="I184" s="123">
        <f ca="1">SUM(I181:I183)</f>
        <v>63972.270000000004</v>
      </c>
      <c r="J184" s="381"/>
      <c r="K184" s="381"/>
      <c r="L184" s="381"/>
      <c r="M184" s="381"/>
      <c r="N184" s="381"/>
      <c r="O184" s="381"/>
      <c r="P184" s="381"/>
      <c r="Q184" s="381"/>
      <c r="R184" s="381"/>
      <c r="S184" s="381"/>
      <c r="T184" s="381"/>
      <c r="U184" s="381"/>
      <c r="V184" s="381"/>
      <c r="W184" s="381"/>
      <c r="X184" s="381"/>
      <c r="Y184" s="381"/>
      <c r="Z184" s="381"/>
      <c r="AA184" s="381"/>
      <c r="AB184" s="381"/>
      <c r="AC184" s="381"/>
      <c r="AD184" s="381"/>
      <c r="AE184" s="381"/>
      <c r="AF184" s="381"/>
      <c r="AG184" s="381"/>
      <c r="AH184" s="381"/>
      <c r="AI184" s="381"/>
      <c r="AJ184" s="381"/>
      <c r="AK184" s="381"/>
      <c r="AL184" s="381"/>
      <c r="AM184" s="381"/>
      <c r="AN184" s="381"/>
      <c r="AO184" s="381"/>
      <c r="AP184" s="381"/>
      <c r="AQ184" s="381"/>
      <c r="AR184" s="381"/>
      <c r="AS184" s="381"/>
      <c r="AT184" s="381"/>
      <c r="AU184" s="381"/>
      <c r="AV184" s="381"/>
      <c r="AW184" s="381"/>
      <c r="AX184" s="381"/>
      <c r="AY184" s="381"/>
      <c r="AZ184" s="381"/>
      <c r="BA184" s="381"/>
      <c r="BB184" s="381"/>
      <c r="BC184" s="381"/>
      <c r="BD184" s="381"/>
      <c r="BE184" s="381"/>
      <c r="BF184" s="381"/>
      <c r="BG184" s="381"/>
      <c r="BH184" s="381"/>
      <c r="BI184" s="381"/>
      <c r="BJ184" s="381"/>
      <c r="BK184" s="381"/>
      <c r="BL184" s="381"/>
      <c r="BM184" s="381"/>
      <c r="BN184" s="381"/>
      <c r="BO184" s="381"/>
      <c r="BP184" s="381"/>
      <c r="BQ184" s="381"/>
      <c r="BR184" s="381"/>
      <c r="BS184" s="381"/>
      <c r="BT184" s="381"/>
      <c r="BU184" s="381"/>
      <c r="BV184" s="381"/>
      <c r="BW184" s="381"/>
      <c r="BX184" s="381"/>
      <c r="BY184" s="381"/>
      <c r="BZ184" s="381"/>
      <c r="CA184" s="381"/>
      <c r="CB184" s="381"/>
      <c r="CC184" s="381"/>
      <c r="CD184" s="381"/>
      <c r="CE184" s="381"/>
      <c r="CF184" s="381"/>
      <c r="CG184" s="381"/>
      <c r="CH184" s="381"/>
      <c r="CI184" s="381"/>
      <c r="CJ184" s="381"/>
      <c r="CK184" s="381"/>
      <c r="CL184" s="381"/>
      <c r="CM184" s="381"/>
      <c r="CN184" s="381"/>
      <c r="CO184" s="381"/>
      <c r="CP184" s="381"/>
      <c r="CQ184" s="381"/>
      <c r="CR184" s="381"/>
      <c r="CS184" s="381"/>
      <c r="CT184" s="381"/>
      <c r="CU184" s="381"/>
      <c r="CV184" s="381"/>
      <c r="CW184" s="381"/>
      <c r="CX184" s="381"/>
      <c r="CY184" s="381"/>
      <c r="CZ184" s="381"/>
      <c r="DA184" s="381"/>
      <c r="DB184" s="381"/>
      <c r="DC184" s="381"/>
      <c r="DD184" s="381"/>
      <c r="DE184" s="381"/>
      <c r="DF184" s="381"/>
      <c r="DG184" s="381"/>
      <c r="DH184" s="381"/>
      <c r="DI184" s="381"/>
      <c r="DJ184" s="381"/>
      <c r="DK184" s="381"/>
      <c r="DL184" s="381"/>
      <c r="DM184" s="381"/>
      <c r="DN184" s="381"/>
      <c r="DO184" s="381"/>
      <c r="DP184" s="381"/>
      <c r="DQ184" s="381"/>
      <c r="DR184" s="381"/>
      <c r="DS184" s="381"/>
      <c r="DT184" s="381"/>
      <c r="DU184" s="381"/>
      <c r="DV184" s="381"/>
      <c r="DW184" s="381"/>
      <c r="DX184" s="381"/>
      <c r="DY184" s="381"/>
      <c r="DZ184" s="381"/>
      <c r="EA184" s="381"/>
      <c r="EB184" s="381"/>
      <c r="EC184" s="381"/>
      <c r="ED184" s="381"/>
      <c r="EE184" s="381"/>
      <c r="EF184" s="381"/>
      <c r="EG184" s="381"/>
      <c r="EH184" s="381"/>
      <c r="EI184" s="381"/>
      <c r="EJ184" s="381"/>
      <c r="EK184" s="381"/>
      <c r="EL184" s="381"/>
      <c r="EM184" s="381"/>
      <c r="EN184" s="381"/>
      <c r="EO184" s="381"/>
      <c r="EP184" s="24"/>
      <c r="EQ184" s="24"/>
      <c r="ER184" s="24"/>
      <c r="ES184" s="24"/>
      <c r="ET184" s="24"/>
      <c r="EU184" s="33"/>
      <c r="EV184" s="24"/>
      <c r="EW184" s="24"/>
      <c r="EX184" s="24"/>
      <c r="EY184" s="24"/>
      <c r="EZ184" s="24"/>
      <c r="FA184" s="24"/>
      <c r="FB184" s="24"/>
      <c r="FC184" s="24"/>
      <c r="FD184" s="24"/>
      <c r="FE184" s="24"/>
      <c r="FF184" s="24"/>
      <c r="FG184" s="24"/>
      <c r="FH184" s="24"/>
      <c r="FI184" s="24"/>
      <c r="FJ184" s="24"/>
      <c r="FK184" s="24"/>
      <c r="FL184" s="24"/>
      <c r="FM184" s="24"/>
      <c r="FN184" s="24"/>
      <c r="FO184" s="24"/>
      <c r="FP184" s="24"/>
      <c r="FQ184" s="24"/>
      <c r="FR184" s="24"/>
      <c r="FS184" s="24"/>
      <c r="FT184" s="24"/>
      <c r="FU184" s="24"/>
      <c r="FV184" s="24"/>
      <c r="FW184" s="24"/>
      <c r="FX184" s="24"/>
      <c r="FY184" s="24"/>
      <c r="FZ184" s="24"/>
      <c r="GA184" s="24"/>
      <c r="GB184" s="24"/>
      <c r="GC184" s="24"/>
      <c r="GD184" s="24"/>
      <c r="GE184" s="24"/>
      <c r="GF184" s="24"/>
      <c r="GG184" s="24"/>
      <c r="GH184" s="24"/>
      <c r="GI184" s="24"/>
      <c r="GJ184" s="24"/>
      <c r="GK184" s="24"/>
      <c r="GL184" s="24"/>
      <c r="GM184" s="24"/>
      <c r="GN184" s="24"/>
      <c r="GO184" s="24"/>
      <c r="GP184" s="24"/>
      <c r="GQ184" s="24"/>
      <c r="GR184" s="24"/>
      <c r="GS184" s="24"/>
      <c r="GT184" s="24"/>
      <c r="GU184" s="24"/>
      <c r="GV184" s="24"/>
      <c r="GW184" s="24"/>
      <c r="GX184" s="24"/>
      <c r="GY184" s="24"/>
      <c r="GZ184" s="24"/>
      <c r="HA184" s="24"/>
      <c r="HB184" s="24"/>
      <c r="HC184" s="24"/>
      <c r="HD184" s="24"/>
      <c r="HE184" s="24"/>
      <c r="HF184" s="24"/>
      <c r="HG184" s="24"/>
      <c r="HH184" s="24"/>
      <c r="HI184" s="24"/>
      <c r="HJ184" s="24"/>
      <c r="HK184" s="24"/>
      <c r="HL184" s="24"/>
      <c r="HM184" s="24"/>
      <c r="HN184" s="24"/>
      <c r="HO184" s="24"/>
      <c r="HP184" s="24"/>
      <c r="HQ184" s="24"/>
      <c r="HR184" s="24"/>
      <c r="HS184" s="24"/>
      <c r="HT184" s="24"/>
      <c r="HU184" s="24"/>
      <c r="HV184" s="24"/>
      <c r="HW184" s="24"/>
      <c r="HX184" s="24"/>
      <c r="HY184" s="24"/>
      <c r="HZ184" s="24"/>
      <c r="IA184" s="24"/>
      <c r="IB184" s="24"/>
      <c r="IC184" s="24"/>
      <c r="ID184" s="24"/>
      <c r="IE184" s="24"/>
      <c r="IF184" s="24"/>
      <c r="IG184" s="24"/>
      <c r="IH184" s="24"/>
      <c r="II184" s="24"/>
      <c r="IJ184" s="24"/>
      <c r="IK184" s="24"/>
      <c r="IL184" s="24"/>
      <c r="IM184" s="24"/>
      <c r="IN184" s="24"/>
      <c r="IO184" s="24"/>
      <c r="IP184" s="24"/>
      <c r="IQ184" s="24"/>
      <c r="IR184" s="24"/>
      <c r="IS184" s="24"/>
      <c r="IT184" s="24"/>
      <c r="IU184" s="24"/>
      <c r="IV184" s="24"/>
      <c r="IW184" s="24"/>
      <c r="IX184" s="24"/>
      <c r="IY184" s="24"/>
      <c r="IZ184" s="24"/>
      <c r="JA184" s="24"/>
      <c r="JB184" s="24"/>
      <c r="JC184" s="24"/>
      <c r="JD184" s="24"/>
      <c r="JE184" s="24"/>
      <c r="JF184" s="24"/>
      <c r="JG184" s="24"/>
      <c r="JH184" s="24"/>
      <c r="JI184" s="24"/>
      <c r="JJ184" s="24"/>
      <c r="JK184" s="24"/>
      <c r="JL184" s="24"/>
      <c r="JM184" s="24"/>
      <c r="JN184" s="24"/>
      <c r="JO184" s="24"/>
      <c r="JP184" s="24"/>
      <c r="JQ184" s="24"/>
      <c r="JR184" s="24"/>
      <c r="JS184" s="24"/>
      <c r="JT184" s="24"/>
      <c r="JU184" s="24"/>
      <c r="JV184" s="24"/>
      <c r="JW184" s="24"/>
      <c r="JX184" s="24"/>
    </row>
    <row r="185" spans="1:284" s="7" customFormat="1" ht="4.9000000000000004" customHeight="1" x14ac:dyDescent="0.2">
      <c r="A185" s="406"/>
      <c r="B185" s="92"/>
      <c r="C185" s="120"/>
      <c r="D185" s="120"/>
      <c r="E185" s="179"/>
      <c r="F185" s="179"/>
      <c r="G185" s="123">
        <f>I137</f>
        <v>0</v>
      </c>
      <c r="H185" s="123">
        <f>L137</f>
        <v>0</v>
      </c>
      <c r="I185" s="123">
        <f>M137</f>
        <v>0</v>
      </c>
      <c r="J185" s="381"/>
      <c r="K185" s="381"/>
      <c r="L185" s="381"/>
      <c r="M185" s="381"/>
      <c r="N185" s="381"/>
      <c r="O185" s="381"/>
      <c r="P185" s="381"/>
      <c r="Q185" s="381"/>
      <c r="R185" s="381"/>
      <c r="S185" s="381"/>
      <c r="T185" s="381"/>
      <c r="U185" s="381"/>
      <c r="V185" s="381"/>
      <c r="W185" s="381"/>
      <c r="X185" s="381"/>
      <c r="Y185" s="381"/>
      <c r="Z185" s="381"/>
      <c r="AA185" s="381"/>
      <c r="AB185" s="381"/>
      <c r="AC185" s="381"/>
      <c r="AD185" s="381"/>
      <c r="AE185" s="381"/>
      <c r="AF185" s="381"/>
      <c r="AG185" s="381"/>
      <c r="AH185" s="381"/>
      <c r="AI185" s="381"/>
      <c r="AJ185" s="381"/>
      <c r="AK185" s="381"/>
      <c r="AL185" s="381"/>
      <c r="AM185" s="381"/>
      <c r="AN185" s="381"/>
      <c r="AO185" s="381"/>
      <c r="AP185" s="381"/>
      <c r="AQ185" s="381"/>
      <c r="AR185" s="381"/>
      <c r="AS185" s="381"/>
      <c r="AT185" s="381"/>
      <c r="AU185" s="381"/>
      <c r="AV185" s="381"/>
      <c r="AW185" s="381"/>
      <c r="AX185" s="381"/>
      <c r="AY185" s="381"/>
      <c r="AZ185" s="381"/>
      <c r="BA185" s="381"/>
      <c r="BB185" s="381"/>
      <c r="BC185" s="381"/>
      <c r="BD185" s="381"/>
      <c r="BE185" s="381"/>
      <c r="BF185" s="381"/>
      <c r="BG185" s="381"/>
      <c r="BH185" s="381"/>
      <c r="BI185" s="381"/>
      <c r="BJ185" s="381"/>
      <c r="BK185" s="381"/>
      <c r="BL185" s="381"/>
      <c r="BM185" s="381"/>
      <c r="BN185" s="381"/>
      <c r="BO185" s="381"/>
      <c r="BP185" s="381"/>
      <c r="BQ185" s="381"/>
      <c r="BR185" s="381"/>
      <c r="BS185" s="381"/>
      <c r="BT185" s="381"/>
      <c r="BU185" s="381"/>
      <c r="BV185" s="381"/>
      <c r="BW185" s="381"/>
      <c r="BX185" s="381"/>
      <c r="BY185" s="381"/>
      <c r="BZ185" s="381"/>
      <c r="CA185" s="381"/>
      <c r="CB185" s="381"/>
      <c r="CC185" s="381"/>
      <c r="CD185" s="381"/>
      <c r="CE185" s="381"/>
      <c r="CF185" s="381"/>
      <c r="CG185" s="381"/>
      <c r="CH185" s="381"/>
      <c r="CI185" s="381"/>
      <c r="CJ185" s="381"/>
      <c r="CK185" s="381"/>
      <c r="CL185" s="381"/>
      <c r="CM185" s="381"/>
      <c r="CN185" s="381"/>
      <c r="CO185" s="381"/>
      <c r="CP185" s="381"/>
      <c r="CQ185" s="381"/>
      <c r="CR185" s="381"/>
      <c r="CS185" s="381"/>
      <c r="CT185" s="381"/>
      <c r="CU185" s="381"/>
      <c r="CV185" s="381"/>
      <c r="CW185" s="381"/>
      <c r="CX185" s="381"/>
      <c r="CY185" s="381"/>
      <c r="CZ185" s="381"/>
      <c r="DA185" s="381"/>
      <c r="DB185" s="381"/>
      <c r="DC185" s="381"/>
      <c r="DD185" s="381"/>
      <c r="DE185" s="381"/>
      <c r="DF185" s="381"/>
      <c r="DG185" s="381"/>
      <c r="DH185" s="381"/>
      <c r="DI185" s="381"/>
      <c r="DJ185" s="381"/>
      <c r="DK185" s="381"/>
      <c r="DL185" s="381"/>
      <c r="DM185" s="381"/>
      <c r="DN185" s="381"/>
      <c r="DO185" s="381"/>
      <c r="DP185" s="381"/>
      <c r="DQ185" s="381"/>
      <c r="DR185" s="381"/>
      <c r="DS185" s="381"/>
      <c r="DT185" s="381"/>
      <c r="DU185" s="381"/>
      <c r="DV185" s="381"/>
      <c r="DW185" s="381"/>
      <c r="DX185" s="381"/>
      <c r="DY185" s="381"/>
      <c r="DZ185" s="381"/>
      <c r="EA185" s="381"/>
      <c r="EB185" s="381"/>
      <c r="EC185" s="381"/>
      <c r="ED185" s="381"/>
      <c r="EE185" s="381"/>
      <c r="EF185" s="381"/>
      <c r="EG185" s="381"/>
      <c r="EH185" s="381"/>
      <c r="EI185" s="381"/>
      <c r="EJ185" s="381"/>
      <c r="EK185" s="381"/>
      <c r="EL185" s="381"/>
      <c r="EM185" s="381"/>
      <c r="EN185" s="381"/>
      <c r="EO185" s="381"/>
      <c r="EP185" s="24"/>
      <c r="EQ185" s="24"/>
      <c r="ER185" s="24"/>
      <c r="ES185" s="24"/>
      <c r="ET185" s="24"/>
      <c r="EU185" s="33"/>
      <c r="EV185" s="24"/>
      <c r="EW185" s="24"/>
      <c r="EX185" s="24"/>
      <c r="EY185" s="24"/>
      <c r="EZ185" s="24"/>
      <c r="FA185" s="24"/>
      <c r="FB185" s="24"/>
      <c r="FC185" s="24"/>
      <c r="FD185" s="24"/>
      <c r="FE185" s="24"/>
      <c r="FF185" s="24"/>
      <c r="FG185" s="24"/>
      <c r="FH185" s="24"/>
      <c r="FI185" s="24"/>
      <c r="FJ185" s="24"/>
      <c r="FK185" s="24"/>
      <c r="FL185" s="24"/>
      <c r="FM185" s="24"/>
      <c r="FN185" s="24"/>
      <c r="FO185" s="24"/>
      <c r="FP185" s="24"/>
      <c r="FQ185" s="24"/>
      <c r="FR185" s="24"/>
      <c r="FS185" s="24"/>
      <c r="FT185" s="24"/>
      <c r="FU185" s="24"/>
      <c r="FV185" s="24"/>
      <c r="FW185" s="24"/>
      <c r="FX185" s="24"/>
      <c r="FY185" s="24"/>
      <c r="FZ185" s="24"/>
      <c r="GA185" s="24"/>
      <c r="GB185" s="24"/>
      <c r="GC185" s="24"/>
      <c r="GD185" s="24"/>
      <c r="GE185" s="24"/>
      <c r="GF185" s="24"/>
      <c r="GG185" s="24"/>
      <c r="GH185" s="24"/>
      <c r="GI185" s="24"/>
      <c r="GJ185" s="24"/>
      <c r="GK185" s="24"/>
      <c r="GL185" s="24"/>
      <c r="GM185" s="24"/>
      <c r="GN185" s="24"/>
      <c r="GO185" s="24"/>
      <c r="GP185" s="24"/>
      <c r="GQ185" s="24"/>
      <c r="GR185" s="24"/>
      <c r="GS185" s="24"/>
      <c r="GT185" s="24"/>
      <c r="GU185" s="24"/>
      <c r="GV185" s="24"/>
      <c r="GW185" s="24"/>
      <c r="GX185" s="24"/>
      <c r="GY185" s="24"/>
      <c r="GZ185" s="24"/>
      <c r="HA185" s="24"/>
      <c r="HB185" s="24"/>
      <c r="HC185" s="24"/>
      <c r="HD185" s="24"/>
      <c r="HE185" s="24"/>
      <c r="HF185" s="24"/>
      <c r="HG185" s="24"/>
      <c r="HH185" s="24"/>
      <c r="HI185" s="24"/>
      <c r="HJ185" s="24"/>
      <c r="HK185" s="24"/>
      <c r="HL185" s="24"/>
      <c r="HM185" s="24"/>
      <c r="HN185" s="24"/>
      <c r="HO185" s="24"/>
      <c r="HP185" s="24"/>
      <c r="HQ185" s="24"/>
      <c r="HR185" s="24"/>
      <c r="HS185" s="24"/>
      <c r="HT185" s="24"/>
      <c r="HU185" s="24"/>
      <c r="HV185" s="24"/>
      <c r="HW185" s="24"/>
      <c r="HX185" s="24"/>
      <c r="HY185" s="24"/>
      <c r="HZ185" s="24"/>
      <c r="IA185" s="24"/>
      <c r="IB185" s="24"/>
      <c r="IC185" s="24"/>
      <c r="ID185" s="24"/>
      <c r="IE185" s="24"/>
      <c r="IF185" s="24"/>
      <c r="IG185" s="24"/>
      <c r="IH185" s="24"/>
      <c r="II185" s="24"/>
      <c r="IJ185" s="24"/>
      <c r="IK185" s="24"/>
      <c r="IL185" s="24"/>
      <c r="IM185" s="24"/>
      <c r="IN185" s="24"/>
      <c r="IO185" s="24"/>
      <c r="IP185" s="24"/>
      <c r="IQ185" s="24"/>
      <c r="IR185" s="24"/>
      <c r="IS185" s="24"/>
      <c r="IT185" s="24"/>
      <c r="IU185" s="24"/>
      <c r="IV185" s="24"/>
      <c r="IW185" s="24"/>
      <c r="IX185" s="24"/>
      <c r="IY185" s="24"/>
      <c r="IZ185" s="24"/>
      <c r="JA185" s="24"/>
      <c r="JB185" s="24"/>
      <c r="JC185" s="24"/>
      <c r="JD185" s="24"/>
      <c r="JE185" s="24"/>
      <c r="JF185" s="24"/>
      <c r="JG185" s="24"/>
      <c r="JH185" s="24"/>
      <c r="JI185" s="24"/>
      <c r="JJ185" s="24"/>
      <c r="JK185" s="24"/>
      <c r="JL185" s="24"/>
      <c r="JM185" s="24"/>
      <c r="JN185" s="24"/>
      <c r="JO185" s="24"/>
      <c r="JP185" s="24"/>
      <c r="JQ185" s="24"/>
      <c r="JR185" s="24"/>
      <c r="JS185" s="24"/>
      <c r="JT185" s="24"/>
      <c r="JU185" s="24"/>
      <c r="JV185" s="24"/>
      <c r="JW185" s="24"/>
      <c r="JX185" s="24"/>
    </row>
    <row r="186" spans="1:284" s="7" customFormat="1" x14ac:dyDescent="0.2">
      <c r="A186" s="406"/>
      <c r="B186" s="92" t="str">
        <f>B138</f>
        <v>CASH FLOW FROM OPERATIONS</v>
      </c>
      <c r="C186" s="120"/>
      <c r="D186" s="120"/>
      <c r="E186" s="179"/>
      <c r="F186" s="179"/>
      <c r="G186" s="123">
        <f>+G178-G184</f>
        <v>3314914.7685200004</v>
      </c>
      <c r="H186" s="123">
        <f ca="1">+H178-H184</f>
        <v>3358098.6037472272</v>
      </c>
      <c r="I186" s="123">
        <f ca="1">+I178-I184</f>
        <v>3458841.5618596445</v>
      </c>
      <c r="J186" s="381"/>
      <c r="K186" s="381"/>
      <c r="L186" s="381"/>
      <c r="M186" s="381"/>
      <c r="N186" s="381"/>
      <c r="O186" s="381"/>
      <c r="P186" s="381"/>
      <c r="Q186" s="381"/>
      <c r="R186" s="381"/>
      <c r="S186" s="381"/>
      <c r="T186" s="381"/>
      <c r="U186" s="381"/>
      <c r="V186" s="381"/>
      <c r="W186" s="381"/>
      <c r="X186" s="381"/>
      <c r="Y186" s="381"/>
      <c r="Z186" s="381"/>
      <c r="AA186" s="381"/>
      <c r="AB186" s="381"/>
      <c r="AC186" s="381"/>
      <c r="AD186" s="381"/>
      <c r="AE186" s="381"/>
      <c r="AF186" s="381"/>
      <c r="AG186" s="381"/>
      <c r="AH186" s="381"/>
      <c r="AI186" s="381"/>
      <c r="AJ186" s="381"/>
      <c r="AK186" s="381"/>
      <c r="AL186" s="381"/>
      <c r="AM186" s="381"/>
      <c r="AN186" s="381"/>
      <c r="AO186" s="381"/>
      <c r="AP186" s="381"/>
      <c r="AQ186" s="381"/>
      <c r="AR186" s="381"/>
      <c r="AS186" s="381"/>
      <c r="AT186" s="381"/>
      <c r="AU186" s="381"/>
      <c r="AV186" s="381"/>
      <c r="AW186" s="381"/>
      <c r="AX186" s="381"/>
      <c r="AY186" s="381"/>
      <c r="AZ186" s="381"/>
      <c r="BA186" s="381"/>
      <c r="BB186" s="381"/>
      <c r="BC186" s="381"/>
      <c r="BD186" s="381"/>
      <c r="BE186" s="381"/>
      <c r="BF186" s="381"/>
      <c r="BG186" s="381"/>
      <c r="BH186" s="381"/>
      <c r="BI186" s="381"/>
      <c r="BJ186" s="381"/>
      <c r="BK186" s="381"/>
      <c r="BL186" s="381"/>
      <c r="BM186" s="381"/>
      <c r="BN186" s="381"/>
      <c r="BO186" s="381"/>
      <c r="BP186" s="381"/>
      <c r="BQ186" s="381"/>
      <c r="BR186" s="381"/>
      <c r="BS186" s="381"/>
      <c r="BT186" s="381"/>
      <c r="BU186" s="381"/>
      <c r="BV186" s="381"/>
      <c r="BW186" s="381"/>
      <c r="BX186" s="381"/>
      <c r="BY186" s="381"/>
      <c r="BZ186" s="381"/>
      <c r="CA186" s="381"/>
      <c r="CB186" s="381"/>
      <c r="CC186" s="381"/>
      <c r="CD186" s="381"/>
      <c r="CE186" s="381"/>
      <c r="CF186" s="381"/>
      <c r="CG186" s="381"/>
      <c r="CH186" s="381"/>
      <c r="CI186" s="381"/>
      <c r="CJ186" s="381"/>
      <c r="CK186" s="381"/>
      <c r="CL186" s="381"/>
      <c r="CM186" s="381"/>
      <c r="CN186" s="381"/>
      <c r="CO186" s="381"/>
      <c r="CP186" s="381"/>
      <c r="CQ186" s="381"/>
      <c r="CR186" s="381"/>
      <c r="CS186" s="381"/>
      <c r="CT186" s="381"/>
      <c r="CU186" s="381"/>
      <c r="CV186" s="381"/>
      <c r="CW186" s="381"/>
      <c r="CX186" s="381"/>
      <c r="CY186" s="381"/>
      <c r="CZ186" s="381"/>
      <c r="DA186" s="381"/>
      <c r="DB186" s="381"/>
      <c r="DC186" s="381"/>
      <c r="DD186" s="381"/>
      <c r="DE186" s="381"/>
      <c r="DF186" s="381"/>
      <c r="DG186" s="381"/>
      <c r="DH186" s="381"/>
      <c r="DI186" s="381"/>
      <c r="DJ186" s="381"/>
      <c r="DK186" s="381"/>
      <c r="DL186" s="381"/>
      <c r="DM186" s="381"/>
      <c r="DN186" s="381"/>
      <c r="DO186" s="381"/>
      <c r="DP186" s="381"/>
      <c r="DQ186" s="381"/>
      <c r="DR186" s="381"/>
      <c r="DS186" s="381"/>
      <c r="DT186" s="381"/>
      <c r="DU186" s="381"/>
      <c r="DV186" s="381"/>
      <c r="DW186" s="381"/>
      <c r="DX186" s="381"/>
      <c r="DY186" s="381"/>
      <c r="DZ186" s="381"/>
      <c r="EA186" s="381"/>
      <c r="EB186" s="381"/>
      <c r="EC186" s="381"/>
      <c r="ED186" s="381"/>
      <c r="EE186" s="381"/>
      <c r="EF186" s="381"/>
      <c r="EG186" s="381"/>
      <c r="EH186" s="381"/>
      <c r="EI186" s="381"/>
      <c r="EJ186" s="381"/>
      <c r="EK186" s="381"/>
      <c r="EL186" s="381"/>
      <c r="EM186" s="381"/>
      <c r="EN186" s="381"/>
      <c r="EO186" s="381"/>
      <c r="EP186" s="24"/>
      <c r="EQ186" s="24"/>
      <c r="ER186" s="24"/>
      <c r="ES186" s="24"/>
      <c r="ET186" s="24"/>
      <c r="EU186" s="33"/>
      <c r="EV186" s="24"/>
      <c r="EW186" s="24"/>
      <c r="EX186" s="24"/>
      <c r="EY186" s="24"/>
      <c r="EZ186" s="24"/>
      <c r="FA186" s="24"/>
      <c r="FB186" s="24"/>
      <c r="FC186" s="24"/>
      <c r="FD186" s="24"/>
      <c r="FE186" s="24"/>
      <c r="FF186" s="24"/>
      <c r="FG186" s="24"/>
      <c r="FH186" s="24"/>
      <c r="FI186" s="24"/>
      <c r="FJ186" s="24"/>
      <c r="FK186" s="24"/>
      <c r="FL186" s="24"/>
      <c r="FM186" s="24"/>
      <c r="FN186" s="24"/>
      <c r="FO186" s="24"/>
      <c r="FP186" s="24"/>
      <c r="FQ186" s="24"/>
      <c r="FR186" s="24"/>
      <c r="FS186" s="24"/>
      <c r="FT186" s="24"/>
      <c r="FU186" s="24"/>
      <c r="FV186" s="24"/>
      <c r="FW186" s="24"/>
      <c r="FX186" s="24"/>
      <c r="FY186" s="24"/>
      <c r="FZ186" s="24"/>
      <c r="GA186" s="24"/>
      <c r="GB186" s="24"/>
      <c r="GC186" s="24"/>
      <c r="GD186" s="24"/>
      <c r="GE186" s="24"/>
      <c r="GF186" s="24"/>
      <c r="GG186" s="24"/>
      <c r="GH186" s="24"/>
      <c r="GI186" s="24"/>
      <c r="GJ186" s="24"/>
      <c r="GK186" s="24"/>
      <c r="GL186" s="24"/>
      <c r="GM186" s="24"/>
      <c r="GN186" s="24"/>
      <c r="GO186" s="24"/>
      <c r="GP186" s="24"/>
      <c r="GQ186" s="24"/>
      <c r="GR186" s="24"/>
      <c r="GS186" s="24"/>
      <c r="GT186" s="24"/>
      <c r="GU186" s="24"/>
      <c r="GV186" s="24"/>
      <c r="GW186" s="24"/>
      <c r="GX186" s="24"/>
      <c r="GY186" s="24"/>
      <c r="GZ186" s="24"/>
      <c r="HA186" s="24"/>
      <c r="HB186" s="24"/>
      <c r="HC186" s="24"/>
      <c r="HD186" s="24"/>
      <c r="HE186" s="24"/>
      <c r="HF186" s="24"/>
      <c r="HG186" s="24"/>
      <c r="HH186" s="24"/>
      <c r="HI186" s="24"/>
      <c r="HJ186" s="24"/>
      <c r="HK186" s="24"/>
      <c r="HL186" s="24"/>
      <c r="HM186" s="24"/>
      <c r="HN186" s="24"/>
      <c r="HO186" s="24"/>
      <c r="HP186" s="24"/>
      <c r="HQ186" s="24"/>
      <c r="HR186" s="24"/>
      <c r="HS186" s="24"/>
      <c r="HT186" s="24"/>
      <c r="HU186" s="24"/>
      <c r="HV186" s="24"/>
      <c r="HW186" s="24"/>
      <c r="HX186" s="24"/>
      <c r="HY186" s="24"/>
      <c r="HZ186" s="24"/>
      <c r="IA186" s="24"/>
      <c r="IB186" s="24"/>
      <c r="IC186" s="24"/>
      <c r="ID186" s="24"/>
      <c r="IE186" s="24"/>
      <c r="IF186" s="24"/>
      <c r="IG186" s="24"/>
      <c r="IH186" s="24"/>
      <c r="II186" s="24"/>
      <c r="IJ186" s="24"/>
      <c r="IK186" s="24"/>
      <c r="IL186" s="24"/>
      <c r="IM186" s="24"/>
      <c r="IN186" s="24"/>
      <c r="IO186" s="24"/>
      <c r="IP186" s="24"/>
      <c r="IQ186" s="24"/>
      <c r="IR186" s="24"/>
      <c r="IS186" s="24"/>
      <c r="IT186" s="24"/>
      <c r="IU186" s="24"/>
      <c r="IV186" s="24"/>
      <c r="IW186" s="24"/>
      <c r="IX186" s="24"/>
      <c r="IY186" s="24"/>
      <c r="IZ186" s="24"/>
      <c r="JA186" s="24"/>
      <c r="JB186" s="24"/>
      <c r="JC186" s="24"/>
      <c r="JD186" s="24"/>
      <c r="JE186" s="24"/>
      <c r="JF186" s="24"/>
      <c r="JG186" s="24"/>
      <c r="JH186" s="24"/>
      <c r="JI186" s="24"/>
      <c r="JJ186" s="24"/>
      <c r="JK186" s="24"/>
      <c r="JL186" s="24"/>
      <c r="JM186" s="24"/>
      <c r="JN186" s="24"/>
      <c r="JO186" s="24"/>
      <c r="JP186" s="24"/>
      <c r="JQ186" s="24"/>
      <c r="JR186" s="24"/>
      <c r="JS186" s="24"/>
      <c r="JT186" s="24"/>
      <c r="JU186" s="24"/>
      <c r="JV186" s="24"/>
      <c r="JW186" s="24"/>
      <c r="JX186" s="24"/>
    </row>
    <row r="187" spans="1:284" s="7" customFormat="1" x14ac:dyDescent="0.2">
      <c r="A187" s="406"/>
      <c r="B187" s="72" t="s">
        <v>185</v>
      </c>
      <c r="C187" s="72"/>
      <c r="D187" s="549" t="s">
        <v>452</v>
      </c>
      <c r="E187" s="74" t="s">
        <v>46</v>
      </c>
      <c r="F187" s="567" t="s">
        <v>184</v>
      </c>
      <c r="G187" s="75"/>
      <c r="H187" s="74"/>
      <c r="I187" s="74"/>
      <c r="J187" s="381"/>
      <c r="K187" s="381"/>
      <c r="L187" s="381"/>
      <c r="M187" s="381"/>
      <c r="N187" s="381"/>
      <c r="O187" s="381"/>
      <c r="P187" s="381"/>
      <c r="Q187" s="381"/>
      <c r="R187" s="381"/>
      <c r="S187" s="381"/>
      <c r="T187" s="381"/>
      <c r="U187" s="381"/>
      <c r="V187" s="381"/>
      <c r="W187" s="381"/>
      <c r="X187" s="381"/>
      <c r="Y187" s="381"/>
      <c r="Z187" s="381"/>
      <c r="AA187" s="381"/>
      <c r="AB187" s="381"/>
      <c r="AC187" s="381"/>
      <c r="AD187" s="381"/>
      <c r="AE187" s="381"/>
      <c r="AF187" s="381"/>
      <c r="AG187" s="381"/>
      <c r="AH187" s="381"/>
      <c r="AI187" s="381"/>
      <c r="AJ187" s="381"/>
      <c r="AK187" s="381"/>
      <c r="AL187" s="381"/>
      <c r="AM187" s="381"/>
      <c r="AN187" s="381"/>
      <c r="AO187" s="381"/>
      <c r="AP187" s="381"/>
      <c r="AQ187" s="381"/>
      <c r="AR187" s="381"/>
      <c r="AS187" s="381"/>
      <c r="AT187" s="381"/>
      <c r="AU187" s="381"/>
      <c r="AV187" s="381"/>
      <c r="AW187" s="381"/>
      <c r="AX187" s="381"/>
      <c r="AY187" s="381"/>
      <c r="AZ187" s="381"/>
      <c r="BA187" s="381"/>
      <c r="BB187" s="381"/>
      <c r="BC187" s="381"/>
      <c r="BD187" s="381"/>
      <c r="BE187" s="381"/>
      <c r="BF187" s="381"/>
      <c r="BG187" s="381"/>
      <c r="BH187" s="381"/>
      <c r="BI187" s="381"/>
      <c r="BJ187" s="381"/>
      <c r="BK187" s="381"/>
      <c r="BL187" s="381"/>
      <c r="BM187" s="381"/>
      <c r="BN187" s="381"/>
      <c r="BO187" s="381"/>
      <c r="BP187" s="381"/>
      <c r="BQ187" s="381"/>
      <c r="BR187" s="381"/>
      <c r="BS187" s="381"/>
      <c r="BT187" s="381"/>
      <c r="BU187" s="381"/>
      <c r="BV187" s="381"/>
      <c r="BW187" s="381"/>
      <c r="BX187" s="381"/>
      <c r="BY187" s="381"/>
      <c r="BZ187" s="381"/>
      <c r="CA187" s="381"/>
      <c r="CB187" s="381"/>
      <c r="CC187" s="381"/>
      <c r="CD187" s="381"/>
      <c r="CE187" s="381"/>
      <c r="CF187" s="381"/>
      <c r="CG187" s="381"/>
      <c r="CH187" s="381"/>
      <c r="CI187" s="381"/>
      <c r="CJ187" s="381"/>
      <c r="CK187" s="381"/>
      <c r="CL187" s="381"/>
      <c r="CM187" s="381"/>
      <c r="CN187" s="381"/>
      <c r="CO187" s="381"/>
      <c r="CP187" s="381"/>
      <c r="CQ187" s="381"/>
      <c r="CR187" s="381"/>
      <c r="CS187" s="381"/>
      <c r="CT187" s="381"/>
      <c r="CU187" s="381"/>
      <c r="CV187" s="381"/>
      <c r="CW187" s="381"/>
      <c r="CX187" s="381"/>
      <c r="CY187" s="381"/>
      <c r="CZ187" s="381"/>
      <c r="DA187" s="381"/>
      <c r="DB187" s="381"/>
      <c r="DC187" s="381"/>
      <c r="DD187" s="381"/>
      <c r="DE187" s="381"/>
      <c r="DF187" s="381"/>
      <c r="DG187" s="381"/>
      <c r="DH187" s="381"/>
      <c r="DI187" s="381"/>
      <c r="DJ187" s="381"/>
      <c r="DK187" s="381"/>
      <c r="DL187" s="381"/>
      <c r="DM187" s="381"/>
      <c r="DN187" s="381"/>
      <c r="DO187" s="381"/>
      <c r="DP187" s="381"/>
      <c r="DQ187" s="381"/>
      <c r="DR187" s="381"/>
      <c r="DS187" s="381"/>
      <c r="DT187" s="381"/>
      <c r="DU187" s="381"/>
      <c r="DV187" s="381"/>
      <c r="DW187" s="381"/>
      <c r="DX187" s="381"/>
      <c r="DY187" s="381"/>
      <c r="DZ187" s="381"/>
      <c r="EA187" s="381"/>
      <c r="EB187" s="381"/>
      <c r="EC187" s="381"/>
      <c r="ED187" s="381"/>
      <c r="EE187" s="381"/>
      <c r="EF187" s="381"/>
      <c r="EG187" s="381"/>
      <c r="EH187" s="381"/>
      <c r="EI187" s="381"/>
      <c r="EJ187" s="381"/>
      <c r="EK187" s="381"/>
      <c r="EL187" s="381"/>
      <c r="EM187" s="381"/>
      <c r="EN187" s="381"/>
      <c r="EO187" s="381"/>
      <c r="EP187" s="24"/>
      <c r="EQ187" s="24"/>
      <c r="ER187" s="24"/>
      <c r="ES187" s="24"/>
      <c r="ET187" s="24"/>
      <c r="EU187" s="33"/>
      <c r="EV187" s="24"/>
      <c r="EW187" s="24"/>
      <c r="EX187" s="24"/>
      <c r="EY187" s="24"/>
      <c r="EZ187" s="24"/>
      <c r="FA187" s="24"/>
      <c r="FB187" s="24"/>
      <c r="FC187" s="24"/>
      <c r="FD187" s="24"/>
      <c r="FE187" s="24"/>
      <c r="FF187" s="24"/>
      <c r="FG187" s="24"/>
      <c r="FH187" s="24"/>
      <c r="FI187" s="24"/>
      <c r="FJ187" s="24"/>
      <c r="FK187" s="24"/>
      <c r="FL187" s="24"/>
      <c r="FM187" s="24"/>
      <c r="FN187" s="24"/>
      <c r="FO187" s="24"/>
      <c r="FP187" s="24"/>
      <c r="FQ187" s="24"/>
      <c r="FR187" s="24"/>
      <c r="FS187" s="24"/>
      <c r="FT187" s="24"/>
      <c r="FU187" s="24"/>
      <c r="FV187" s="24"/>
      <c r="FW187" s="24"/>
      <c r="FX187" s="24"/>
      <c r="FY187" s="24"/>
      <c r="FZ187" s="24"/>
      <c r="GA187" s="24"/>
      <c r="GB187" s="24"/>
      <c r="GC187" s="24"/>
      <c r="GD187" s="24"/>
      <c r="GE187" s="24"/>
      <c r="GF187" s="24"/>
      <c r="GG187" s="24"/>
      <c r="GH187" s="24"/>
      <c r="GI187" s="24"/>
      <c r="GJ187" s="24"/>
      <c r="GK187" s="24"/>
      <c r="GL187" s="24"/>
      <c r="GM187" s="24"/>
      <c r="GN187" s="24"/>
      <c r="GO187" s="24"/>
      <c r="GP187" s="24"/>
      <c r="GQ187" s="24"/>
      <c r="GR187" s="24"/>
      <c r="GS187" s="24"/>
      <c r="GT187" s="24"/>
      <c r="GU187" s="24"/>
      <c r="GV187" s="24"/>
      <c r="GW187" s="24"/>
      <c r="GX187" s="24"/>
      <c r="GY187" s="24"/>
      <c r="GZ187" s="24"/>
      <c r="HA187" s="24"/>
      <c r="HB187" s="24"/>
      <c r="HC187" s="24"/>
      <c r="HD187" s="24"/>
      <c r="HE187" s="24"/>
      <c r="HF187" s="24"/>
      <c r="HG187" s="24"/>
      <c r="HH187" s="24"/>
      <c r="HI187" s="24"/>
      <c r="HJ187" s="24"/>
      <c r="HK187" s="24"/>
      <c r="HL187" s="24"/>
      <c r="HM187" s="24"/>
      <c r="HN187" s="24"/>
      <c r="HO187" s="24"/>
      <c r="HP187" s="24"/>
      <c r="HQ187" s="24"/>
      <c r="HR187" s="24"/>
      <c r="HS187" s="24"/>
      <c r="HT187" s="24"/>
      <c r="HU187" s="24"/>
      <c r="HV187" s="24"/>
      <c r="HW187" s="24"/>
      <c r="HX187" s="24"/>
      <c r="HY187" s="24"/>
      <c r="HZ187" s="24"/>
      <c r="IA187" s="24"/>
      <c r="IB187" s="24"/>
      <c r="IC187" s="24"/>
      <c r="ID187" s="24"/>
      <c r="IE187" s="24"/>
      <c r="IF187" s="24"/>
      <c r="IG187" s="24"/>
      <c r="IH187" s="24"/>
      <c r="II187" s="24"/>
      <c r="IJ187" s="24"/>
      <c r="IK187" s="24"/>
      <c r="IL187" s="24"/>
      <c r="IM187" s="24"/>
      <c r="IN187" s="24"/>
      <c r="IO187" s="24"/>
      <c r="IP187" s="24"/>
      <c r="IQ187" s="24"/>
      <c r="IR187" s="24"/>
      <c r="IS187" s="24"/>
      <c r="IT187" s="24"/>
      <c r="IU187" s="24"/>
      <c r="IV187" s="24"/>
      <c r="IW187" s="24"/>
      <c r="IX187" s="24"/>
      <c r="IY187" s="24"/>
      <c r="IZ187" s="24"/>
      <c r="JA187" s="24"/>
      <c r="JB187" s="24"/>
      <c r="JC187" s="24"/>
      <c r="JD187" s="24"/>
      <c r="JE187" s="24"/>
      <c r="JF187" s="24"/>
      <c r="JG187" s="24"/>
      <c r="JH187" s="24"/>
      <c r="JI187" s="24"/>
      <c r="JJ187" s="24"/>
      <c r="JK187" s="24"/>
      <c r="JL187" s="24"/>
      <c r="JM187" s="24"/>
      <c r="JN187" s="24"/>
      <c r="JO187" s="24"/>
      <c r="JP187" s="24"/>
      <c r="JQ187" s="24"/>
      <c r="JR187" s="24"/>
      <c r="JS187" s="24"/>
      <c r="JT187" s="24"/>
      <c r="JU187" s="24"/>
      <c r="JV187" s="24"/>
      <c r="JW187" s="24"/>
      <c r="JX187" s="24"/>
    </row>
    <row r="188" spans="1:284" s="7" customFormat="1" ht="16.5" x14ac:dyDescent="0.35">
      <c r="A188" s="406"/>
      <c r="B188" s="92" t="s">
        <v>585</v>
      </c>
      <c r="C188" s="120"/>
      <c r="D188" s="123">
        <f ca="1">+E188/Units</f>
        <v>223670.71948315203</v>
      </c>
      <c r="E188" s="123">
        <f ca="1">Valuation_Reversion</f>
        <v>67101215.84494561</v>
      </c>
      <c r="F188" s="568"/>
      <c r="G188" s="131" t="str">
        <f>G148</f>
        <v>UNTRENDED</v>
      </c>
      <c r="H188" s="131" t="str">
        <f>H148</f>
        <v>TRENDED</v>
      </c>
      <c r="I188" s="131" t="str">
        <f>I148</f>
        <v>SALE</v>
      </c>
      <c r="J188" s="381"/>
      <c r="K188" s="381"/>
      <c r="L188" s="381"/>
      <c r="M188" s="381"/>
      <c r="N188" s="381"/>
      <c r="O188" s="381"/>
      <c r="P188" s="381"/>
      <c r="Q188" s="381"/>
      <c r="R188" s="381"/>
      <c r="S188" s="381"/>
      <c r="T188" s="381"/>
      <c r="U188" s="381"/>
      <c r="V188" s="381"/>
      <c r="W188" s="381"/>
      <c r="X188" s="381"/>
      <c r="Y188" s="381"/>
      <c r="Z188" s="381"/>
      <c r="AA188" s="381"/>
      <c r="AB188" s="381"/>
      <c r="AC188" s="381"/>
      <c r="AD188" s="381"/>
      <c r="AE188" s="381"/>
      <c r="AF188" s="381"/>
      <c r="AG188" s="381"/>
      <c r="AH188" s="381"/>
      <c r="AI188" s="381"/>
      <c r="AJ188" s="381"/>
      <c r="AK188" s="381"/>
      <c r="AL188" s="381"/>
      <c r="AM188" s="381"/>
      <c r="AN188" s="381"/>
      <c r="AO188" s="381"/>
      <c r="AP188" s="381"/>
      <c r="AQ188" s="381"/>
      <c r="AR188" s="381"/>
      <c r="AS188" s="381"/>
      <c r="AT188" s="381"/>
      <c r="AU188" s="381"/>
      <c r="AV188" s="381"/>
      <c r="AW188" s="381"/>
      <c r="AX188" s="381"/>
      <c r="AY188" s="381"/>
      <c r="AZ188" s="381"/>
      <c r="BA188" s="381"/>
      <c r="BB188" s="381"/>
      <c r="BC188" s="381"/>
      <c r="BD188" s="381"/>
      <c r="BE188" s="381"/>
      <c r="BF188" s="381"/>
      <c r="BG188" s="381"/>
      <c r="BH188" s="381"/>
      <c r="BI188" s="381"/>
      <c r="BJ188" s="381"/>
      <c r="BK188" s="381"/>
      <c r="BL188" s="381"/>
      <c r="BM188" s="381"/>
      <c r="BN188" s="381"/>
      <c r="BO188" s="381"/>
      <c r="BP188" s="381"/>
      <c r="BQ188" s="381"/>
      <c r="BR188" s="381"/>
      <c r="BS188" s="381"/>
      <c r="BT188" s="381"/>
      <c r="BU188" s="381"/>
      <c r="BV188" s="381"/>
      <c r="BW188" s="381"/>
      <c r="BX188" s="381"/>
      <c r="BY188" s="381"/>
      <c r="BZ188" s="381"/>
      <c r="CA188" s="381"/>
      <c r="CB188" s="381"/>
      <c r="CC188" s="381"/>
      <c r="CD188" s="381"/>
      <c r="CE188" s="381"/>
      <c r="CF188" s="381"/>
      <c r="CG188" s="381"/>
      <c r="CH188" s="381"/>
      <c r="CI188" s="381"/>
      <c r="CJ188" s="381"/>
      <c r="CK188" s="381"/>
      <c r="CL188" s="381"/>
      <c r="CM188" s="381"/>
      <c r="CN188" s="381"/>
      <c r="CO188" s="381"/>
      <c r="CP188" s="381"/>
      <c r="CQ188" s="381"/>
      <c r="CR188" s="381"/>
      <c r="CS188" s="381"/>
      <c r="CT188" s="381"/>
      <c r="CU188" s="381"/>
      <c r="CV188" s="381"/>
      <c r="CW188" s="381"/>
      <c r="CX188" s="381"/>
      <c r="CY188" s="381"/>
      <c r="CZ188" s="381"/>
      <c r="DA188" s="381"/>
      <c r="DB188" s="381"/>
      <c r="DC188" s="381"/>
      <c r="DD188" s="381"/>
      <c r="DE188" s="381"/>
      <c r="DF188" s="381"/>
      <c r="DG188" s="381"/>
      <c r="DH188" s="381"/>
      <c r="DI188" s="381"/>
      <c r="DJ188" s="381"/>
      <c r="DK188" s="381"/>
      <c r="DL188" s="381"/>
      <c r="DM188" s="381"/>
      <c r="DN188" s="381"/>
      <c r="DO188" s="381"/>
      <c r="DP188" s="381"/>
      <c r="DQ188" s="381"/>
      <c r="DR188" s="381"/>
      <c r="DS188" s="381"/>
      <c r="DT188" s="381"/>
      <c r="DU188" s="381"/>
      <c r="DV188" s="381"/>
      <c r="DW188" s="381"/>
      <c r="DX188" s="381"/>
      <c r="DY188" s="381"/>
      <c r="DZ188" s="381"/>
      <c r="EA188" s="381"/>
      <c r="EB188" s="381"/>
      <c r="EC188" s="381"/>
      <c r="ED188" s="381"/>
      <c r="EE188" s="381"/>
      <c r="EF188" s="381"/>
      <c r="EG188" s="381"/>
      <c r="EH188" s="381"/>
      <c r="EI188" s="381"/>
      <c r="EJ188" s="381"/>
      <c r="EK188" s="381"/>
      <c r="EL188" s="381"/>
      <c r="EM188" s="381"/>
      <c r="EN188" s="381"/>
      <c r="EO188" s="381"/>
      <c r="EP188" s="24"/>
      <c r="EQ188" s="24"/>
      <c r="ER188" s="24"/>
      <c r="ES188" s="24"/>
      <c r="ET188" s="24"/>
      <c r="EU188" s="33"/>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c r="GA188" s="26"/>
      <c r="GB188" s="26"/>
      <c r="GC188" s="26"/>
      <c r="GD188" s="26"/>
      <c r="GE188" s="26"/>
      <c r="GF188" s="26"/>
      <c r="GG188" s="26"/>
      <c r="GH188" s="26"/>
      <c r="GI188" s="26"/>
      <c r="GJ188" s="26"/>
      <c r="GK188" s="26"/>
      <c r="GL188" s="26"/>
      <c r="GM188" s="26"/>
      <c r="GN188" s="26"/>
      <c r="GO188" s="26"/>
      <c r="GP188" s="26"/>
      <c r="GQ188" s="26"/>
      <c r="GR188" s="26"/>
      <c r="GS188" s="26"/>
      <c r="GT188" s="26"/>
      <c r="GU188" s="26"/>
      <c r="GV188" s="26"/>
      <c r="GW188" s="26"/>
      <c r="GX188" s="26"/>
      <c r="GY188" s="26"/>
      <c r="GZ188" s="26"/>
      <c r="HA188" s="26"/>
      <c r="HB188" s="26"/>
      <c r="HC188" s="26"/>
      <c r="HD188" s="26"/>
      <c r="HE188" s="26"/>
      <c r="HF188" s="26"/>
      <c r="HG188" s="26"/>
      <c r="HH188" s="26"/>
      <c r="HI188" s="26"/>
      <c r="HJ188" s="26"/>
      <c r="HK188" s="26"/>
      <c r="HL188" s="26"/>
      <c r="HM188" s="26"/>
      <c r="HN188" s="26"/>
      <c r="HO188" s="26"/>
      <c r="HP188" s="26"/>
      <c r="HQ188" s="26"/>
      <c r="HR188" s="26"/>
      <c r="HS188" s="26"/>
      <c r="HT188" s="26"/>
      <c r="HU188" s="26"/>
      <c r="HV188" s="26"/>
      <c r="HW188" s="26"/>
      <c r="HX188" s="26"/>
      <c r="HY188" s="26"/>
      <c r="HZ188" s="26"/>
      <c r="IA188" s="26"/>
      <c r="IB188" s="26"/>
      <c r="IC188" s="26"/>
      <c r="ID188" s="26"/>
      <c r="IE188" s="26"/>
      <c r="IF188" s="26"/>
      <c r="IG188" s="26"/>
      <c r="IH188" s="26"/>
      <c r="II188" s="26"/>
      <c r="IJ188" s="26"/>
      <c r="IK188" s="26"/>
      <c r="IL188" s="26"/>
      <c r="IM188" s="26"/>
      <c r="IN188" s="26"/>
      <c r="IO188" s="26"/>
      <c r="IP188" s="26"/>
      <c r="IQ188" s="26"/>
      <c r="IR188" s="26"/>
      <c r="IS188" s="26"/>
      <c r="IT188" s="26"/>
      <c r="IU188" s="26"/>
      <c r="IV188" s="26"/>
      <c r="IW188" s="26"/>
      <c r="IX188" s="26"/>
      <c r="IY188" s="26"/>
      <c r="IZ188" s="26"/>
      <c r="JA188" s="26"/>
      <c r="JB188" s="26"/>
      <c r="JC188" s="26"/>
      <c r="JD188" s="26"/>
      <c r="JE188" s="26"/>
      <c r="JF188" s="26"/>
      <c r="JG188" s="26"/>
      <c r="JH188" s="26"/>
      <c r="JI188" s="26"/>
      <c r="JJ188" s="26"/>
      <c r="JK188" s="26"/>
      <c r="JL188" s="26"/>
      <c r="JM188" s="26"/>
      <c r="JN188" s="26"/>
      <c r="JO188" s="26"/>
      <c r="JP188" s="26"/>
      <c r="JQ188" s="26"/>
      <c r="JR188" s="26"/>
      <c r="JS188" s="26"/>
      <c r="JT188" s="26"/>
      <c r="JU188" s="26"/>
      <c r="JV188" s="26"/>
      <c r="JW188" s="26"/>
      <c r="JX188" s="26"/>
    </row>
    <row r="189" spans="1:284" s="7" customFormat="1" ht="16.5" x14ac:dyDescent="0.35">
      <c r="A189" s="406"/>
      <c r="B189" s="147" t="str">
        <f>"- Selling Costs @ "&amp;TEXT($I$146,"0.00%")</f>
        <v>- Selling Costs @ 1.50%</v>
      </c>
      <c r="C189" s="120"/>
      <c r="D189" s="131">
        <f ca="1">+E189/Units</f>
        <v>-3355.0607922472805</v>
      </c>
      <c r="E189" s="131">
        <f ca="1">-E188*I146</f>
        <v>-1006518.2376741841</v>
      </c>
      <c r="F189" s="569" t="s">
        <v>186</v>
      </c>
      <c r="G189" s="122">
        <f>$I$144</f>
        <v>4.7500000000000001E-2</v>
      </c>
      <c r="H189" s="122">
        <f>((Stabilization_1st_Month/Timing_Reversion_Month)*(I145-I144))+I144</f>
        <v>5.1166666666666666E-2</v>
      </c>
      <c r="I189" s="122">
        <f>$I$145</f>
        <v>5.2499999999999998E-2</v>
      </c>
      <c r="J189" s="381"/>
      <c r="K189" s="381"/>
      <c r="L189" s="381"/>
      <c r="M189" s="381"/>
      <c r="N189" s="381"/>
      <c r="O189" s="381"/>
      <c r="P189" s="381"/>
      <c r="Q189" s="381"/>
      <c r="R189" s="381"/>
      <c r="S189" s="381"/>
      <c r="T189" s="381"/>
      <c r="U189" s="381"/>
      <c r="V189" s="381"/>
      <c r="W189" s="381"/>
      <c r="X189" s="381"/>
      <c r="Y189" s="381"/>
      <c r="Z189" s="381"/>
      <c r="AA189" s="381"/>
      <c r="AB189" s="381"/>
      <c r="AC189" s="381"/>
      <c r="AD189" s="381"/>
      <c r="AE189" s="381"/>
      <c r="AF189" s="381"/>
      <c r="AG189" s="381"/>
      <c r="AH189" s="381"/>
      <c r="AI189" s="381"/>
      <c r="AJ189" s="381"/>
      <c r="AK189" s="381"/>
      <c r="AL189" s="381"/>
      <c r="AM189" s="381"/>
      <c r="AN189" s="381"/>
      <c r="AO189" s="381"/>
      <c r="AP189" s="381"/>
      <c r="AQ189" s="381"/>
      <c r="AR189" s="381"/>
      <c r="AS189" s="381"/>
      <c r="AT189" s="381"/>
      <c r="AU189" s="381"/>
      <c r="AV189" s="381"/>
      <c r="AW189" s="381"/>
      <c r="AX189" s="381"/>
      <c r="AY189" s="381"/>
      <c r="AZ189" s="381"/>
      <c r="BA189" s="381"/>
      <c r="BB189" s="381"/>
      <c r="BC189" s="381"/>
      <c r="BD189" s="381"/>
      <c r="BE189" s="381"/>
      <c r="BF189" s="381"/>
      <c r="BG189" s="381"/>
      <c r="BH189" s="381"/>
      <c r="BI189" s="381"/>
      <c r="BJ189" s="381"/>
      <c r="BK189" s="381"/>
      <c r="BL189" s="381"/>
      <c r="BM189" s="381"/>
      <c r="BN189" s="381"/>
      <c r="BO189" s="381"/>
      <c r="BP189" s="381"/>
      <c r="BQ189" s="381"/>
      <c r="BR189" s="381"/>
      <c r="BS189" s="381"/>
      <c r="BT189" s="381"/>
      <c r="BU189" s="381"/>
      <c r="BV189" s="381"/>
      <c r="BW189" s="381"/>
      <c r="BX189" s="381"/>
      <c r="BY189" s="381"/>
      <c r="BZ189" s="381"/>
      <c r="CA189" s="381"/>
      <c r="CB189" s="381"/>
      <c r="CC189" s="381"/>
      <c r="CD189" s="381"/>
      <c r="CE189" s="381"/>
      <c r="CF189" s="381"/>
      <c r="CG189" s="381"/>
      <c r="CH189" s="381"/>
      <c r="CI189" s="381"/>
      <c r="CJ189" s="381"/>
      <c r="CK189" s="381"/>
      <c r="CL189" s="381"/>
      <c r="CM189" s="381"/>
      <c r="CN189" s="381"/>
      <c r="CO189" s="381"/>
      <c r="CP189" s="381"/>
      <c r="CQ189" s="381"/>
      <c r="CR189" s="381"/>
      <c r="CS189" s="381"/>
      <c r="CT189" s="381"/>
      <c r="CU189" s="381"/>
      <c r="CV189" s="381"/>
      <c r="CW189" s="381"/>
      <c r="CX189" s="381"/>
      <c r="CY189" s="381"/>
      <c r="CZ189" s="381"/>
      <c r="DA189" s="381"/>
      <c r="DB189" s="381"/>
      <c r="DC189" s="381"/>
      <c r="DD189" s="381"/>
      <c r="DE189" s="381"/>
      <c r="DF189" s="381"/>
      <c r="DG189" s="381"/>
      <c r="DH189" s="381"/>
      <c r="DI189" s="381"/>
      <c r="DJ189" s="381"/>
      <c r="DK189" s="381"/>
      <c r="DL189" s="381"/>
      <c r="DM189" s="381"/>
      <c r="DN189" s="381"/>
      <c r="DO189" s="381"/>
      <c r="DP189" s="381"/>
      <c r="DQ189" s="381"/>
      <c r="DR189" s="381"/>
      <c r="DS189" s="381"/>
      <c r="DT189" s="381"/>
      <c r="DU189" s="381"/>
      <c r="DV189" s="381"/>
      <c r="DW189" s="381"/>
      <c r="DX189" s="381"/>
      <c r="DY189" s="381"/>
      <c r="DZ189" s="381"/>
      <c r="EA189" s="381"/>
      <c r="EB189" s="381"/>
      <c r="EC189" s="381"/>
      <c r="ED189" s="381"/>
      <c r="EE189" s="381"/>
      <c r="EF189" s="381"/>
      <c r="EG189" s="381"/>
      <c r="EH189" s="381"/>
      <c r="EI189" s="381"/>
      <c r="EJ189" s="381"/>
      <c r="EK189" s="381"/>
      <c r="EL189" s="381"/>
      <c r="EM189" s="381"/>
      <c r="EN189" s="381"/>
      <c r="EO189" s="381"/>
      <c r="EP189" s="24"/>
      <c r="EQ189" s="24"/>
      <c r="ER189" s="24"/>
      <c r="ES189" s="24"/>
      <c r="ET189" s="33"/>
      <c r="EU189" s="33"/>
      <c r="EV189" s="222"/>
      <c r="EW189" s="222"/>
      <c r="EX189" s="222"/>
      <c r="EY189" s="222"/>
      <c r="EZ189" s="222"/>
      <c r="FA189" s="222"/>
      <c r="FB189" s="222"/>
      <c r="FC189" s="222"/>
      <c r="FD189" s="222"/>
      <c r="FE189" s="222"/>
      <c r="FF189" s="222"/>
      <c r="FG189" s="222"/>
      <c r="FH189" s="222"/>
      <c r="FI189" s="222"/>
      <c r="FJ189" s="222"/>
      <c r="FK189" s="222"/>
      <c r="FL189" s="222"/>
      <c r="FM189" s="222"/>
      <c r="FN189" s="222"/>
      <c r="FO189" s="222"/>
      <c r="FP189" s="222"/>
      <c r="FQ189" s="222"/>
      <c r="FR189" s="222"/>
      <c r="FS189" s="222"/>
      <c r="FT189" s="222"/>
      <c r="FU189" s="222"/>
      <c r="FV189" s="222"/>
      <c r="FW189" s="222"/>
      <c r="FX189" s="222"/>
      <c r="FY189" s="222"/>
      <c r="FZ189" s="222"/>
      <c r="GA189" s="222"/>
      <c r="GB189" s="222"/>
      <c r="GC189" s="222"/>
      <c r="GD189" s="222"/>
      <c r="GE189" s="222"/>
      <c r="GF189" s="222"/>
      <c r="GG189" s="222"/>
      <c r="GH189" s="222"/>
      <c r="GI189" s="222"/>
      <c r="GJ189" s="222"/>
      <c r="GK189" s="222"/>
      <c r="GL189" s="222"/>
      <c r="GM189" s="222"/>
      <c r="GN189" s="222"/>
      <c r="GO189" s="222"/>
      <c r="GP189" s="222"/>
      <c r="GQ189" s="222"/>
      <c r="GR189" s="222"/>
      <c r="GS189" s="222"/>
      <c r="GT189" s="222"/>
      <c r="GU189" s="222"/>
      <c r="GV189" s="222"/>
      <c r="GW189" s="222"/>
      <c r="GX189" s="222"/>
      <c r="GY189" s="222"/>
      <c r="GZ189" s="222"/>
      <c r="HA189" s="222"/>
      <c r="HB189" s="222"/>
      <c r="HC189" s="222"/>
      <c r="HD189" s="222"/>
      <c r="HE189" s="222"/>
      <c r="HF189" s="222"/>
      <c r="HG189" s="222"/>
      <c r="HH189" s="222"/>
      <c r="HI189" s="222"/>
      <c r="HJ189" s="222"/>
      <c r="HK189" s="222"/>
      <c r="HL189" s="222"/>
      <c r="HM189" s="222"/>
      <c r="HN189" s="222"/>
      <c r="HO189" s="222"/>
      <c r="HP189" s="222"/>
      <c r="HQ189" s="222"/>
      <c r="HR189" s="222"/>
      <c r="HS189" s="222"/>
      <c r="HT189" s="222"/>
      <c r="HU189" s="222"/>
      <c r="HV189" s="222"/>
      <c r="HW189" s="222"/>
      <c r="HX189" s="222"/>
      <c r="HY189" s="222"/>
      <c r="HZ189" s="222"/>
      <c r="IA189" s="222"/>
      <c r="IB189" s="222"/>
      <c r="IC189" s="222"/>
      <c r="ID189" s="222"/>
      <c r="IE189" s="222"/>
      <c r="IF189" s="222"/>
      <c r="IG189" s="222"/>
      <c r="IH189" s="222"/>
      <c r="II189" s="222"/>
      <c r="IJ189" s="222"/>
      <c r="IK189" s="222"/>
      <c r="IL189" s="222"/>
      <c r="IM189" s="222"/>
      <c r="IN189" s="222"/>
      <c r="IO189" s="222"/>
      <c r="IP189" s="222"/>
      <c r="IQ189" s="222"/>
      <c r="IR189" s="222"/>
      <c r="IS189" s="222"/>
      <c r="IT189" s="222"/>
      <c r="IU189" s="222"/>
      <c r="IV189" s="222"/>
      <c r="IW189" s="222"/>
      <c r="IX189" s="222"/>
      <c r="IY189" s="222"/>
      <c r="IZ189" s="222"/>
      <c r="JA189" s="222"/>
      <c r="JB189" s="222"/>
      <c r="JC189" s="222"/>
      <c r="JD189" s="222"/>
      <c r="JE189" s="222"/>
      <c r="JF189" s="222"/>
      <c r="JG189" s="222"/>
      <c r="JH189" s="222"/>
      <c r="JI189" s="222"/>
      <c r="JJ189" s="222"/>
      <c r="JK189" s="222"/>
      <c r="JL189" s="222"/>
      <c r="JM189" s="222"/>
      <c r="JN189" s="222"/>
      <c r="JO189" s="222"/>
      <c r="JP189" s="222"/>
      <c r="JQ189" s="222"/>
      <c r="JR189" s="222"/>
      <c r="JS189" s="222"/>
      <c r="JT189" s="222"/>
      <c r="JU189" s="222"/>
      <c r="JV189" s="222"/>
      <c r="JW189" s="222"/>
      <c r="JX189" s="222"/>
    </row>
    <row r="190" spans="1:284" s="7" customFormat="1" x14ac:dyDescent="0.2">
      <c r="A190" s="406"/>
      <c r="B190" s="92" t="s">
        <v>197</v>
      </c>
      <c r="C190" s="120"/>
      <c r="D190" s="123">
        <f ca="1">SUM(D188:D189)</f>
        <v>220315.65869090476</v>
      </c>
      <c r="E190" s="123">
        <f ca="1">SUM(E188:E189)</f>
        <v>66094697.607271425</v>
      </c>
      <c r="F190" s="569" t="s">
        <v>169</v>
      </c>
      <c r="G190" s="123">
        <f>G178</f>
        <v>3374914.7685200004</v>
      </c>
      <c r="H190" s="123">
        <f ca="1">H178</f>
        <v>3420207.6037472272</v>
      </c>
      <c r="I190" s="123">
        <f ca="1">I178</f>
        <v>3522813.8318596445</v>
      </c>
      <c r="J190" s="381"/>
      <c r="K190" s="381"/>
      <c r="L190" s="381"/>
      <c r="M190" s="381"/>
      <c r="N190" s="381"/>
      <c r="O190" s="381"/>
      <c r="P190" s="381"/>
      <c r="Q190" s="381"/>
      <c r="R190" s="381"/>
      <c r="S190" s="381"/>
      <c r="T190" s="381"/>
      <c r="U190" s="381"/>
      <c r="V190" s="381"/>
      <c r="W190" s="381"/>
      <c r="X190" s="381"/>
      <c r="Y190" s="381"/>
      <c r="Z190" s="381"/>
      <c r="AA190" s="381"/>
      <c r="AB190" s="381"/>
      <c r="AC190" s="381"/>
      <c r="AD190" s="381"/>
      <c r="AE190" s="381"/>
      <c r="AF190" s="381"/>
      <c r="AG190" s="381"/>
      <c r="AH190" s="381"/>
      <c r="AI190" s="381"/>
      <c r="AJ190" s="381"/>
      <c r="AK190" s="381"/>
      <c r="AL190" s="381"/>
      <c r="AM190" s="381"/>
      <c r="AN190" s="381"/>
      <c r="AO190" s="381"/>
      <c r="AP190" s="381"/>
      <c r="AQ190" s="381"/>
      <c r="AR190" s="381"/>
      <c r="AS190" s="381"/>
      <c r="AT190" s="381"/>
      <c r="AU190" s="381"/>
      <c r="AV190" s="381"/>
      <c r="AW190" s="381"/>
      <c r="AX190" s="381"/>
      <c r="AY190" s="381"/>
      <c r="AZ190" s="381"/>
      <c r="BA190" s="381"/>
      <c r="BB190" s="381"/>
      <c r="BC190" s="381"/>
      <c r="BD190" s="381"/>
      <c r="BE190" s="381"/>
      <c r="BF190" s="381"/>
      <c r="BG190" s="381"/>
      <c r="BH190" s="381"/>
      <c r="BI190" s="381"/>
      <c r="BJ190" s="381"/>
      <c r="BK190" s="381"/>
      <c r="BL190" s="381"/>
      <c r="BM190" s="381"/>
      <c r="BN190" s="381"/>
      <c r="BO190" s="381"/>
      <c r="BP190" s="381"/>
      <c r="BQ190" s="381"/>
      <c r="BR190" s="381"/>
      <c r="BS190" s="381"/>
      <c r="BT190" s="381"/>
      <c r="BU190" s="381"/>
      <c r="BV190" s="381"/>
      <c r="BW190" s="381"/>
      <c r="BX190" s="381"/>
      <c r="BY190" s="381"/>
      <c r="BZ190" s="381"/>
      <c r="CA190" s="381"/>
      <c r="CB190" s="381"/>
      <c r="CC190" s="381"/>
      <c r="CD190" s="381"/>
      <c r="CE190" s="381"/>
      <c r="CF190" s="381"/>
      <c r="CG190" s="381"/>
      <c r="CH190" s="381"/>
      <c r="CI190" s="381"/>
      <c r="CJ190" s="381"/>
      <c r="CK190" s="381"/>
      <c r="CL190" s="381"/>
      <c r="CM190" s="381"/>
      <c r="CN190" s="381"/>
      <c r="CO190" s="381"/>
      <c r="CP190" s="381"/>
      <c r="CQ190" s="381"/>
      <c r="CR190" s="381"/>
      <c r="CS190" s="381"/>
      <c r="CT190" s="381"/>
      <c r="CU190" s="381"/>
      <c r="CV190" s="381"/>
      <c r="CW190" s="381"/>
      <c r="CX190" s="381"/>
      <c r="CY190" s="381"/>
      <c r="CZ190" s="381"/>
      <c r="DA190" s="381"/>
      <c r="DB190" s="381"/>
      <c r="DC190" s="381"/>
      <c r="DD190" s="381"/>
      <c r="DE190" s="381"/>
      <c r="DF190" s="381"/>
      <c r="DG190" s="381"/>
      <c r="DH190" s="381"/>
      <c r="DI190" s="381"/>
      <c r="DJ190" s="381"/>
      <c r="DK190" s="381"/>
      <c r="DL190" s="381"/>
      <c r="DM190" s="381"/>
      <c r="DN190" s="381"/>
      <c r="DO190" s="381"/>
      <c r="DP190" s="381"/>
      <c r="DQ190" s="381"/>
      <c r="DR190" s="381"/>
      <c r="DS190" s="381"/>
      <c r="DT190" s="381"/>
      <c r="DU190" s="381"/>
      <c r="DV190" s="381"/>
      <c r="DW190" s="381"/>
      <c r="DX190" s="381"/>
      <c r="DY190" s="381"/>
      <c r="DZ190" s="381"/>
      <c r="EA190" s="381"/>
      <c r="EB190" s="381"/>
      <c r="EC190" s="381"/>
      <c r="ED190" s="381"/>
      <c r="EE190" s="381"/>
      <c r="EF190" s="381"/>
      <c r="EG190" s="381"/>
      <c r="EH190" s="381"/>
      <c r="EI190" s="381"/>
      <c r="EJ190" s="381"/>
      <c r="EK190" s="381"/>
      <c r="EL190" s="381"/>
      <c r="EM190" s="381"/>
      <c r="EN190" s="381"/>
      <c r="EO190" s="381"/>
      <c r="EP190" s="24"/>
      <c r="EQ190" s="24"/>
      <c r="ER190" s="24"/>
      <c r="ES190" s="24"/>
      <c r="ET190" s="33"/>
      <c r="EU190" s="33"/>
      <c r="EV190" s="222"/>
      <c r="EW190" s="222"/>
      <c r="EX190" s="222"/>
      <c r="EY190" s="222"/>
      <c r="EZ190" s="222"/>
      <c r="FA190" s="222"/>
      <c r="FB190" s="222"/>
      <c r="FC190" s="222"/>
      <c r="FD190" s="222"/>
      <c r="FE190" s="222"/>
      <c r="FF190" s="222"/>
      <c r="FG190" s="222"/>
      <c r="FH190" s="222"/>
      <c r="FI190" s="222"/>
      <c r="FJ190" s="222"/>
      <c r="FK190" s="222"/>
      <c r="FL190" s="222"/>
      <c r="FM190" s="222"/>
      <c r="FN190" s="222"/>
      <c r="FO190" s="222"/>
      <c r="FP190" s="222"/>
      <c r="FQ190" s="222"/>
      <c r="FR190" s="222"/>
      <c r="FS190" s="222"/>
      <c r="FT190" s="222"/>
      <c r="FU190" s="222"/>
      <c r="FV190" s="222"/>
      <c r="FW190" s="222"/>
      <c r="FX190" s="222"/>
      <c r="FY190" s="222"/>
      <c r="FZ190" s="222"/>
      <c r="GA190" s="222"/>
      <c r="GB190" s="222"/>
      <c r="GC190" s="222"/>
      <c r="GD190" s="222"/>
      <c r="GE190" s="222"/>
      <c r="GF190" s="222"/>
      <c r="GG190" s="222"/>
      <c r="GH190" s="222"/>
      <c r="GI190" s="222"/>
      <c r="GJ190" s="222"/>
      <c r="GK190" s="222"/>
      <c r="GL190" s="222"/>
      <c r="GM190" s="222"/>
      <c r="GN190" s="222"/>
      <c r="GO190" s="222"/>
      <c r="GP190" s="222"/>
      <c r="GQ190" s="222"/>
      <c r="GR190" s="222"/>
      <c r="GS190" s="222"/>
      <c r="GT190" s="222"/>
      <c r="GU190" s="222"/>
      <c r="GV190" s="222"/>
      <c r="GW190" s="222"/>
      <c r="GX190" s="222"/>
      <c r="GY190" s="222"/>
      <c r="GZ190" s="222"/>
      <c r="HA190" s="222"/>
      <c r="HB190" s="222"/>
      <c r="HC190" s="222"/>
      <c r="HD190" s="222"/>
      <c r="HE190" s="222"/>
      <c r="HF190" s="222"/>
      <c r="HG190" s="222"/>
      <c r="HH190" s="222"/>
      <c r="HI190" s="222"/>
      <c r="HJ190" s="222"/>
      <c r="HK190" s="222"/>
      <c r="HL190" s="222"/>
      <c r="HM190" s="222"/>
      <c r="HN190" s="222"/>
      <c r="HO190" s="222"/>
      <c r="HP190" s="222"/>
      <c r="HQ190" s="222"/>
      <c r="HR190" s="222"/>
      <c r="HS190" s="222"/>
      <c r="HT190" s="222"/>
      <c r="HU190" s="222"/>
      <c r="HV190" s="222"/>
      <c r="HW190" s="222"/>
      <c r="HX190" s="222"/>
      <c r="HY190" s="222"/>
      <c r="HZ190" s="222"/>
      <c r="IA190" s="222"/>
      <c r="IB190" s="222"/>
      <c r="IC190" s="222"/>
      <c r="ID190" s="222"/>
      <c r="IE190" s="222"/>
      <c r="IF190" s="222"/>
      <c r="IG190" s="222"/>
      <c r="IH190" s="222"/>
      <c r="II190" s="222"/>
      <c r="IJ190" s="222"/>
      <c r="IK190" s="222"/>
      <c r="IL190" s="222"/>
      <c r="IM190" s="222"/>
      <c r="IN190" s="222"/>
      <c r="IO190" s="222"/>
      <c r="IP190" s="222"/>
      <c r="IQ190" s="222"/>
      <c r="IR190" s="222"/>
      <c r="IS190" s="222"/>
      <c r="IT190" s="222"/>
      <c r="IU190" s="222"/>
      <c r="IV190" s="222"/>
      <c r="IW190" s="222"/>
      <c r="IX190" s="222"/>
      <c r="IY190" s="222"/>
      <c r="IZ190" s="222"/>
      <c r="JA190" s="222"/>
      <c r="JB190" s="222"/>
      <c r="JC190" s="222"/>
      <c r="JD190" s="222"/>
      <c r="JE190" s="222"/>
      <c r="JF190" s="222"/>
      <c r="JG190" s="222"/>
      <c r="JH190" s="222"/>
      <c r="JI190" s="222"/>
      <c r="JJ190" s="222"/>
      <c r="JK190" s="222"/>
      <c r="JL190" s="222"/>
      <c r="JM190" s="222"/>
      <c r="JN190" s="222"/>
      <c r="JO190" s="222"/>
      <c r="JP190" s="222"/>
      <c r="JQ190" s="222"/>
      <c r="JR190" s="222"/>
      <c r="JS190" s="222"/>
      <c r="JT190" s="222"/>
      <c r="JU190" s="222"/>
      <c r="JV190" s="222"/>
      <c r="JW190" s="222"/>
      <c r="JX190" s="222"/>
    </row>
    <row r="191" spans="1:284" s="7" customFormat="1" ht="16.5" x14ac:dyDescent="0.35">
      <c r="A191" s="406"/>
      <c r="B191" s="112" t="str">
        <f>Summary!B26</f>
        <v>Construction Loan Payoff</v>
      </c>
      <c r="C191" s="120"/>
      <c r="D191" s="131">
        <f>+E191/Units</f>
        <v>-146372.1595768379</v>
      </c>
      <c r="E191" s="131">
        <f>Summary!F26</f>
        <v>-43911647.873051375</v>
      </c>
      <c r="F191" s="570" t="s">
        <v>187</v>
      </c>
      <c r="G191" s="182">
        <f>G190/G189</f>
        <v>71050837.232000008</v>
      </c>
      <c r="H191" s="182">
        <f ca="1">H190/H189</f>
        <v>66844448.281704769</v>
      </c>
      <c r="I191" s="182">
        <f ca="1">I190/I189</f>
        <v>67101215.84494561</v>
      </c>
      <c r="J191" s="381"/>
      <c r="K191" s="381"/>
      <c r="L191" s="381"/>
      <c r="M191" s="381"/>
      <c r="N191" s="381"/>
      <c r="O191" s="381"/>
      <c r="P191" s="381"/>
      <c r="Q191" s="381"/>
      <c r="R191" s="381"/>
      <c r="S191" s="381"/>
      <c r="T191" s="381"/>
      <c r="U191" s="381"/>
      <c r="V191" s="381"/>
      <c r="W191" s="381"/>
      <c r="X191" s="381"/>
      <c r="Y191" s="381"/>
      <c r="Z191" s="381"/>
      <c r="AA191" s="381"/>
      <c r="AB191" s="381"/>
      <c r="AC191" s="381"/>
      <c r="AD191" s="381"/>
      <c r="AE191" s="381"/>
      <c r="AF191" s="381"/>
      <c r="AG191" s="381"/>
      <c r="AH191" s="381"/>
      <c r="AI191" s="381"/>
      <c r="AJ191" s="381"/>
      <c r="AK191" s="381"/>
      <c r="AL191" s="381"/>
      <c r="AM191" s="381"/>
      <c r="AN191" s="381"/>
      <c r="AO191" s="381"/>
      <c r="AP191" s="381"/>
      <c r="AQ191" s="381"/>
      <c r="AR191" s="381"/>
      <c r="AS191" s="381"/>
      <c r="AT191" s="381"/>
      <c r="AU191" s="381"/>
      <c r="AV191" s="381"/>
      <c r="AW191" s="381"/>
      <c r="AX191" s="381"/>
      <c r="AY191" s="381"/>
      <c r="AZ191" s="381"/>
      <c r="BA191" s="381"/>
      <c r="BB191" s="381"/>
      <c r="BC191" s="381"/>
      <c r="BD191" s="381"/>
      <c r="BE191" s="381"/>
      <c r="BF191" s="381"/>
      <c r="BG191" s="381"/>
      <c r="BH191" s="381"/>
      <c r="BI191" s="381"/>
      <c r="BJ191" s="381"/>
      <c r="BK191" s="381"/>
      <c r="BL191" s="381"/>
      <c r="BM191" s="381"/>
      <c r="BN191" s="381"/>
      <c r="BO191" s="381"/>
      <c r="BP191" s="381"/>
      <c r="BQ191" s="381"/>
      <c r="BR191" s="381"/>
      <c r="BS191" s="381"/>
      <c r="BT191" s="381"/>
      <c r="BU191" s="381"/>
      <c r="BV191" s="381"/>
      <c r="BW191" s="381"/>
      <c r="BX191" s="381"/>
      <c r="BY191" s="381"/>
      <c r="BZ191" s="381"/>
      <c r="CA191" s="381"/>
      <c r="CB191" s="381"/>
      <c r="CC191" s="381"/>
      <c r="CD191" s="381"/>
      <c r="CE191" s="381"/>
      <c r="CF191" s="381"/>
      <c r="CG191" s="381"/>
      <c r="CH191" s="381"/>
      <c r="CI191" s="381"/>
      <c r="CJ191" s="381"/>
      <c r="CK191" s="381"/>
      <c r="CL191" s="381"/>
      <c r="CM191" s="381"/>
      <c r="CN191" s="381"/>
      <c r="CO191" s="381"/>
      <c r="CP191" s="381"/>
      <c r="CQ191" s="381"/>
      <c r="CR191" s="381"/>
      <c r="CS191" s="381"/>
      <c r="CT191" s="381"/>
      <c r="CU191" s="381"/>
      <c r="CV191" s="381"/>
      <c r="CW191" s="381"/>
      <c r="CX191" s="381"/>
      <c r="CY191" s="381"/>
      <c r="CZ191" s="381"/>
      <c r="DA191" s="381"/>
      <c r="DB191" s="381"/>
      <c r="DC191" s="381"/>
      <c r="DD191" s="381"/>
      <c r="DE191" s="381"/>
      <c r="DF191" s="381"/>
      <c r="DG191" s="381"/>
      <c r="DH191" s="381"/>
      <c r="DI191" s="381"/>
      <c r="DJ191" s="381"/>
      <c r="DK191" s="381"/>
      <c r="DL191" s="381"/>
      <c r="DM191" s="381"/>
      <c r="DN191" s="381"/>
      <c r="DO191" s="381"/>
      <c r="DP191" s="381"/>
      <c r="DQ191" s="381"/>
      <c r="DR191" s="381"/>
      <c r="DS191" s="381"/>
      <c r="DT191" s="381"/>
      <c r="DU191" s="381"/>
      <c r="DV191" s="381"/>
      <c r="DW191" s="381"/>
      <c r="DX191" s="381"/>
      <c r="DY191" s="381"/>
      <c r="DZ191" s="381"/>
      <c r="EA191" s="381"/>
      <c r="EB191" s="381"/>
      <c r="EC191" s="381"/>
      <c r="ED191" s="381"/>
      <c r="EE191" s="381"/>
      <c r="EF191" s="381"/>
      <c r="EG191" s="381"/>
      <c r="EH191" s="381"/>
      <c r="EI191" s="381"/>
      <c r="EJ191" s="381"/>
      <c r="EK191" s="381"/>
      <c r="EL191" s="381"/>
      <c r="EM191" s="381"/>
      <c r="EN191" s="381"/>
      <c r="EO191" s="381"/>
      <c r="EP191" s="24"/>
      <c r="EQ191" s="24"/>
      <c r="ER191" s="24"/>
      <c r="ES191" s="24"/>
      <c r="ET191" s="24"/>
      <c r="EU191" s="33"/>
      <c r="EV191" s="24"/>
      <c r="EW191" s="24"/>
      <c r="EX191" s="24"/>
      <c r="EY191" s="24"/>
      <c r="EZ191" s="24"/>
      <c r="FA191" s="24"/>
      <c r="FB191" s="24"/>
      <c r="FC191" s="24"/>
      <c r="FD191" s="24"/>
      <c r="FE191" s="24"/>
      <c r="FF191" s="24"/>
      <c r="FG191" s="24"/>
      <c r="FH191" s="24"/>
      <c r="FI191" s="24"/>
      <c r="FJ191" s="24"/>
      <c r="FK191" s="24"/>
      <c r="FL191" s="24"/>
      <c r="FM191" s="24"/>
      <c r="FN191" s="24"/>
      <c r="FO191" s="24"/>
      <c r="FP191" s="24"/>
      <c r="FQ191" s="24"/>
      <c r="FR191" s="24"/>
      <c r="FS191" s="24"/>
      <c r="FT191" s="24"/>
      <c r="FU191" s="24"/>
      <c r="FV191" s="24"/>
      <c r="FW191" s="24"/>
      <c r="FX191" s="24"/>
      <c r="FY191" s="24"/>
      <c r="FZ191" s="24"/>
      <c r="GA191" s="24"/>
      <c r="GB191" s="24"/>
      <c r="GC191" s="24"/>
      <c r="GD191" s="24"/>
      <c r="GE191" s="24"/>
      <c r="GF191" s="24"/>
      <c r="GG191" s="24"/>
      <c r="GH191" s="24"/>
      <c r="GI191" s="24"/>
      <c r="GJ191" s="24"/>
      <c r="GK191" s="24"/>
      <c r="GL191" s="24"/>
      <c r="GM191" s="24"/>
      <c r="GN191" s="24"/>
      <c r="GO191" s="24"/>
      <c r="GP191" s="24"/>
      <c r="GQ191" s="24"/>
      <c r="GR191" s="24"/>
      <c r="GS191" s="24"/>
      <c r="GT191" s="24"/>
      <c r="GU191" s="24"/>
      <c r="GV191" s="24"/>
      <c r="GW191" s="24"/>
      <c r="GX191" s="24"/>
      <c r="GY191" s="24"/>
      <c r="GZ191" s="24"/>
      <c r="HA191" s="24"/>
      <c r="HB191" s="24"/>
      <c r="HC191" s="24"/>
      <c r="HD191" s="24"/>
      <c r="HE191" s="24"/>
      <c r="HF191" s="24"/>
      <c r="HG191" s="24"/>
      <c r="HH191" s="24"/>
      <c r="HI191" s="24"/>
      <c r="HJ191" s="24"/>
      <c r="HK191" s="24"/>
      <c r="HL191" s="24"/>
      <c r="HM191" s="24"/>
      <c r="HN191" s="24"/>
      <c r="HO191" s="24"/>
      <c r="HP191" s="24"/>
      <c r="HQ191" s="24"/>
      <c r="HR191" s="24"/>
      <c r="HS191" s="24"/>
      <c r="HT191" s="24"/>
      <c r="HU191" s="24"/>
      <c r="HV191" s="24"/>
      <c r="HW191" s="24"/>
      <c r="HX191" s="24"/>
      <c r="HY191" s="24"/>
      <c r="HZ191" s="24"/>
      <c r="IA191" s="24"/>
      <c r="IB191" s="24"/>
      <c r="IC191" s="24"/>
      <c r="ID191" s="24"/>
      <c r="IE191" s="24"/>
      <c r="IF191" s="24"/>
      <c r="IG191" s="24"/>
      <c r="IH191" s="24"/>
      <c r="II191" s="24"/>
      <c r="IJ191" s="24"/>
      <c r="IK191" s="24"/>
      <c r="IL191" s="24"/>
      <c r="IM191" s="24"/>
      <c r="IN191" s="24"/>
      <c r="IO191" s="24"/>
      <c r="IP191" s="24"/>
      <c r="IQ191" s="24"/>
      <c r="IR191" s="24"/>
      <c r="IS191" s="24"/>
      <c r="IT191" s="24"/>
      <c r="IU191" s="24"/>
      <c r="IV191" s="24"/>
      <c r="IW191" s="24"/>
      <c r="IX191" s="24"/>
      <c r="IY191" s="24"/>
      <c r="IZ191" s="24"/>
      <c r="JA191" s="24"/>
      <c r="JB191" s="24"/>
      <c r="JC191" s="24"/>
      <c r="JD191" s="24"/>
      <c r="JE191" s="24"/>
      <c r="JF191" s="24"/>
      <c r="JG191" s="24"/>
      <c r="JH191" s="24"/>
      <c r="JI191" s="24"/>
      <c r="JJ191" s="24"/>
      <c r="JK191" s="24"/>
      <c r="JL191" s="24"/>
      <c r="JM191" s="24"/>
      <c r="JN191" s="24"/>
      <c r="JO191" s="24"/>
      <c r="JP191" s="24"/>
      <c r="JQ191" s="24"/>
      <c r="JR191" s="24"/>
      <c r="JS191" s="24"/>
      <c r="JT191" s="24"/>
      <c r="JU191" s="24"/>
      <c r="JV191" s="24"/>
      <c r="JW191" s="24"/>
      <c r="JX191" s="24"/>
    </row>
    <row r="192" spans="1:284" s="58" customFormat="1" x14ac:dyDescent="0.2">
      <c r="A192" s="409"/>
      <c r="B192" s="158" t="s">
        <v>196</v>
      </c>
      <c r="C192" s="159"/>
      <c r="D192" s="182">
        <f ca="1">SUM(D190:D191)</f>
        <v>73943.499114066857</v>
      </c>
      <c r="E192" s="182">
        <f ca="1">SUM(E190:E191)</f>
        <v>22183049.73422005</v>
      </c>
      <c r="F192" s="571" t="s">
        <v>452</v>
      </c>
      <c r="G192" s="123">
        <f>Valuation_Untrended/Units</f>
        <v>236836.12410666668</v>
      </c>
      <c r="H192" s="123">
        <f ca="1">+Valuation_Trended/Units</f>
        <v>222814.82760568257</v>
      </c>
      <c r="I192" s="123">
        <f ca="1">+Valuation_Reversion/Units</f>
        <v>223670.71948315203</v>
      </c>
      <c r="J192" s="382"/>
      <c r="K192" s="382"/>
      <c r="L192" s="382"/>
      <c r="M192" s="382"/>
      <c r="N192" s="382"/>
      <c r="O192" s="382"/>
      <c r="P192" s="382"/>
      <c r="Q192" s="382"/>
      <c r="R192" s="382"/>
      <c r="S192" s="382"/>
      <c r="T192" s="382"/>
      <c r="U192" s="382"/>
      <c r="V192" s="382"/>
      <c r="W192" s="382"/>
      <c r="X192" s="382"/>
      <c r="Y192" s="382"/>
      <c r="Z192" s="382"/>
      <c r="AA192" s="382"/>
      <c r="AB192" s="382"/>
      <c r="AC192" s="382"/>
      <c r="AD192" s="382"/>
      <c r="AE192" s="382"/>
      <c r="AF192" s="382"/>
      <c r="AG192" s="382"/>
      <c r="AH192" s="382"/>
      <c r="AI192" s="382"/>
      <c r="AJ192" s="382"/>
      <c r="AK192" s="382"/>
      <c r="AL192" s="382"/>
      <c r="AM192" s="382"/>
      <c r="AN192" s="382"/>
      <c r="AO192" s="382"/>
      <c r="AP192" s="382"/>
      <c r="AQ192" s="382"/>
      <c r="AR192" s="382"/>
      <c r="AS192" s="382"/>
      <c r="AT192" s="382"/>
      <c r="AU192" s="382"/>
      <c r="AV192" s="382"/>
      <c r="AW192" s="382"/>
      <c r="AX192" s="382"/>
      <c r="AY192" s="382"/>
      <c r="AZ192" s="382"/>
      <c r="BA192" s="382"/>
      <c r="BB192" s="382"/>
      <c r="BC192" s="382"/>
      <c r="BD192" s="382"/>
      <c r="BE192" s="382"/>
      <c r="BF192" s="382"/>
      <c r="BG192" s="382"/>
      <c r="BH192" s="382"/>
      <c r="BI192" s="382"/>
      <c r="BJ192" s="382"/>
      <c r="BK192" s="382"/>
      <c r="BL192" s="382"/>
      <c r="BM192" s="382"/>
      <c r="BN192" s="382"/>
      <c r="BO192" s="382"/>
      <c r="BP192" s="382"/>
      <c r="BQ192" s="382"/>
      <c r="BR192" s="382"/>
      <c r="BS192" s="382"/>
      <c r="BT192" s="382"/>
      <c r="BU192" s="382"/>
      <c r="BV192" s="382"/>
      <c r="BW192" s="382"/>
      <c r="BX192" s="382"/>
      <c r="BY192" s="382"/>
      <c r="BZ192" s="382"/>
      <c r="CA192" s="382"/>
      <c r="CB192" s="382"/>
      <c r="CC192" s="382"/>
      <c r="CD192" s="382"/>
      <c r="CE192" s="382"/>
      <c r="CF192" s="382"/>
      <c r="CG192" s="382"/>
      <c r="CH192" s="382"/>
      <c r="CI192" s="382"/>
      <c r="CJ192" s="382"/>
      <c r="CK192" s="382"/>
      <c r="CL192" s="382"/>
      <c r="CM192" s="382"/>
      <c r="CN192" s="382"/>
      <c r="CO192" s="382"/>
      <c r="CP192" s="382"/>
      <c r="CQ192" s="382"/>
      <c r="CR192" s="382"/>
      <c r="CS192" s="382"/>
      <c r="CT192" s="382"/>
      <c r="CU192" s="382"/>
      <c r="CV192" s="382"/>
      <c r="CW192" s="382"/>
      <c r="CX192" s="382"/>
      <c r="CY192" s="382"/>
      <c r="CZ192" s="382"/>
      <c r="DA192" s="382"/>
      <c r="DB192" s="382"/>
      <c r="DC192" s="382"/>
      <c r="DD192" s="382"/>
      <c r="DE192" s="382"/>
      <c r="DF192" s="382"/>
      <c r="DG192" s="382"/>
      <c r="DH192" s="382"/>
      <c r="DI192" s="382"/>
      <c r="DJ192" s="382"/>
      <c r="DK192" s="382"/>
      <c r="DL192" s="382"/>
      <c r="DM192" s="382"/>
      <c r="DN192" s="382"/>
      <c r="DO192" s="382"/>
      <c r="DP192" s="382"/>
      <c r="DQ192" s="382"/>
      <c r="DR192" s="382"/>
      <c r="DS192" s="382"/>
      <c r="DT192" s="382"/>
      <c r="DU192" s="382"/>
      <c r="DV192" s="382"/>
      <c r="DW192" s="382"/>
      <c r="DX192" s="382"/>
      <c r="DY192" s="382"/>
      <c r="DZ192" s="382"/>
      <c r="EA192" s="382"/>
      <c r="EB192" s="382"/>
      <c r="EC192" s="382"/>
      <c r="ED192" s="382"/>
      <c r="EE192" s="382"/>
      <c r="EF192" s="382"/>
      <c r="EG192" s="382"/>
      <c r="EH192" s="382"/>
      <c r="EI192" s="382"/>
      <c r="EJ192" s="382"/>
      <c r="EK192" s="382"/>
      <c r="EL192" s="382"/>
      <c r="EM192" s="382"/>
      <c r="EN192" s="382"/>
      <c r="EO192" s="382"/>
      <c r="EP192" s="37"/>
      <c r="EQ192" s="37"/>
      <c r="ER192" s="37"/>
      <c r="ES192" s="37"/>
      <c r="ET192" s="37"/>
      <c r="EU192" s="33"/>
      <c r="EV192" s="37"/>
      <c r="EW192" s="37"/>
      <c r="EX192" s="37"/>
      <c r="EY192" s="37"/>
      <c r="EZ192" s="37"/>
      <c r="FA192" s="37"/>
      <c r="FB192" s="37"/>
      <c r="FC192" s="37"/>
      <c r="FD192" s="37"/>
      <c r="FE192" s="37"/>
      <c r="FF192" s="37"/>
      <c r="FG192" s="37"/>
      <c r="FH192" s="37"/>
      <c r="FI192" s="37"/>
      <c r="FJ192" s="37"/>
      <c r="FK192" s="37"/>
      <c r="FL192" s="37"/>
      <c r="FM192" s="37"/>
      <c r="FN192" s="37"/>
      <c r="FO192" s="37"/>
      <c r="FP192" s="37"/>
      <c r="FQ192" s="37"/>
      <c r="FR192" s="37"/>
      <c r="FS192" s="37"/>
      <c r="FT192" s="37"/>
      <c r="FU192" s="37"/>
      <c r="FV192" s="37"/>
      <c r="FW192" s="37"/>
      <c r="FX192" s="37"/>
      <c r="FY192" s="37"/>
      <c r="FZ192" s="37"/>
      <c r="GA192" s="37"/>
      <c r="GB192" s="37"/>
      <c r="GC192" s="37"/>
      <c r="GD192" s="37"/>
      <c r="GE192" s="37"/>
      <c r="GF192" s="37"/>
      <c r="GG192" s="37"/>
      <c r="GH192" s="37"/>
      <c r="GI192" s="37"/>
      <c r="GJ192" s="37"/>
      <c r="GK192" s="37"/>
      <c r="GL192" s="37"/>
      <c r="GM192" s="37"/>
      <c r="GN192" s="37"/>
      <c r="GO192" s="37"/>
      <c r="GP192" s="37"/>
      <c r="GQ192" s="37"/>
      <c r="GR192" s="37"/>
      <c r="GS192" s="37"/>
      <c r="GT192" s="37"/>
      <c r="GU192" s="37"/>
      <c r="GV192" s="37"/>
      <c r="GW192" s="37"/>
      <c r="GX192" s="37"/>
      <c r="GY192" s="37"/>
      <c r="GZ192" s="37"/>
      <c r="HA192" s="37"/>
      <c r="HB192" s="37"/>
      <c r="HC192" s="37"/>
      <c r="HD192" s="37"/>
      <c r="HE192" s="37"/>
      <c r="HF192" s="37"/>
      <c r="HG192" s="37"/>
      <c r="HH192" s="37"/>
      <c r="HI192" s="37"/>
      <c r="HJ192" s="37"/>
      <c r="HK192" s="37"/>
      <c r="HL192" s="37"/>
      <c r="HM192" s="37"/>
      <c r="HN192" s="37"/>
      <c r="HO192" s="37"/>
      <c r="HP192" s="37"/>
      <c r="HQ192" s="37"/>
      <c r="HR192" s="37"/>
      <c r="HS192" s="37"/>
      <c r="HT192" s="37"/>
      <c r="HU192" s="37"/>
      <c r="HV192" s="37"/>
      <c r="HW192" s="37"/>
      <c r="HX192" s="37"/>
      <c r="HY192" s="37"/>
      <c r="HZ192" s="37"/>
      <c r="IA192" s="37"/>
      <c r="IB192" s="37"/>
      <c r="IC192" s="37"/>
      <c r="ID192" s="37"/>
      <c r="IE192" s="37"/>
      <c r="IF192" s="37"/>
      <c r="IG192" s="37"/>
      <c r="IH192" s="37"/>
      <c r="II192" s="37"/>
      <c r="IJ192" s="37"/>
      <c r="IK192" s="37"/>
      <c r="IL192" s="37"/>
      <c r="IM192" s="37"/>
      <c r="IN192" s="37"/>
      <c r="IO192" s="37"/>
      <c r="IP192" s="37"/>
      <c r="IQ192" s="37"/>
      <c r="IR192" s="37"/>
      <c r="IS192" s="37"/>
      <c r="IT192" s="37"/>
      <c r="IU192" s="37"/>
      <c r="IV192" s="37"/>
      <c r="IW192" s="37"/>
      <c r="IX192" s="37"/>
      <c r="IY192" s="37"/>
      <c r="IZ192" s="37"/>
      <c r="JA192" s="37"/>
      <c r="JB192" s="37"/>
      <c r="JC192" s="37"/>
      <c r="JD192" s="37"/>
      <c r="JE192" s="37"/>
      <c r="JF192" s="37"/>
      <c r="JG192" s="37"/>
      <c r="JH192" s="37"/>
      <c r="JI192" s="37"/>
      <c r="JJ192" s="37"/>
      <c r="JK192" s="37"/>
      <c r="JL192" s="37"/>
      <c r="JM192" s="37"/>
      <c r="JN192" s="37"/>
      <c r="JO192" s="37"/>
      <c r="JP192" s="37"/>
      <c r="JQ192" s="37"/>
      <c r="JR192" s="37"/>
      <c r="JS192" s="37"/>
      <c r="JT192" s="37"/>
      <c r="JU192" s="37"/>
      <c r="JV192" s="37"/>
      <c r="JW192" s="37"/>
      <c r="JX192" s="37"/>
    </row>
    <row r="193" spans="1:284" s="58" customFormat="1" x14ac:dyDescent="0.2">
      <c r="A193" s="409"/>
      <c r="B193" s="158"/>
      <c r="C193" s="159"/>
      <c r="D193" s="182"/>
      <c r="E193" s="159"/>
      <c r="F193" s="571" t="str">
        <f>"/"&amp;Unit_Type</f>
        <v>/SF</v>
      </c>
      <c r="G193" s="538">
        <f>+G192/$D$96</f>
        <v>278.63073424313728</v>
      </c>
      <c r="H193" s="538">
        <f t="shared" ref="H193:I193" ca="1" si="641">+H192/$D$96</f>
        <v>262.13509130080303</v>
      </c>
      <c r="I193" s="538">
        <f t="shared" ca="1" si="641"/>
        <v>263.14202292135531</v>
      </c>
      <c r="J193" s="382"/>
      <c r="K193" s="382"/>
      <c r="L193" s="382"/>
      <c r="M193" s="382"/>
      <c r="N193" s="382"/>
      <c r="O193" s="382"/>
      <c r="P193" s="382"/>
      <c r="Q193" s="382"/>
      <c r="R193" s="382"/>
      <c r="S193" s="382"/>
      <c r="T193" s="382"/>
      <c r="U193" s="382"/>
      <c r="V193" s="382"/>
      <c r="W193" s="382"/>
      <c r="X193" s="382"/>
      <c r="Y193" s="382"/>
      <c r="Z193" s="382"/>
      <c r="AA193" s="382"/>
      <c r="AB193" s="382"/>
      <c r="AC193" s="382"/>
      <c r="AD193" s="382"/>
      <c r="AE193" s="382"/>
      <c r="AF193" s="382"/>
      <c r="AG193" s="382"/>
      <c r="AH193" s="382"/>
      <c r="AI193" s="382"/>
      <c r="AJ193" s="382"/>
      <c r="AK193" s="382"/>
      <c r="AL193" s="382"/>
      <c r="AM193" s="382"/>
      <c r="AN193" s="382"/>
      <c r="AO193" s="382"/>
      <c r="AP193" s="382"/>
      <c r="AQ193" s="382"/>
      <c r="AR193" s="382"/>
      <c r="AS193" s="382"/>
      <c r="AT193" s="382"/>
      <c r="AU193" s="382"/>
      <c r="AV193" s="382"/>
      <c r="AW193" s="382"/>
      <c r="AX193" s="382"/>
      <c r="AY193" s="382"/>
      <c r="AZ193" s="382"/>
      <c r="BA193" s="382"/>
      <c r="BB193" s="382"/>
      <c r="BC193" s="382"/>
      <c r="BD193" s="382"/>
      <c r="BE193" s="382"/>
      <c r="BF193" s="382"/>
      <c r="BG193" s="382"/>
      <c r="BH193" s="382"/>
      <c r="BI193" s="382"/>
      <c r="BJ193" s="382"/>
      <c r="BK193" s="382"/>
      <c r="BL193" s="382"/>
      <c r="BM193" s="382"/>
      <c r="BN193" s="382"/>
      <c r="BO193" s="382"/>
      <c r="BP193" s="382"/>
      <c r="BQ193" s="382"/>
      <c r="BR193" s="382"/>
      <c r="BS193" s="382"/>
      <c r="BT193" s="382"/>
      <c r="BU193" s="382"/>
      <c r="BV193" s="382"/>
      <c r="BW193" s="382"/>
      <c r="BX193" s="382"/>
      <c r="BY193" s="382"/>
      <c r="BZ193" s="382"/>
      <c r="CA193" s="382"/>
      <c r="CB193" s="382"/>
      <c r="CC193" s="382"/>
      <c r="CD193" s="382"/>
      <c r="CE193" s="382"/>
      <c r="CF193" s="382"/>
      <c r="CG193" s="382"/>
      <c r="CH193" s="382"/>
      <c r="CI193" s="382"/>
      <c r="CJ193" s="382"/>
      <c r="CK193" s="382"/>
      <c r="CL193" s="382"/>
      <c r="CM193" s="382"/>
      <c r="CN193" s="382"/>
      <c r="CO193" s="382"/>
      <c r="CP193" s="382"/>
      <c r="CQ193" s="382"/>
      <c r="CR193" s="382"/>
      <c r="CS193" s="382"/>
      <c r="CT193" s="382"/>
      <c r="CU193" s="382"/>
      <c r="CV193" s="382"/>
      <c r="CW193" s="382"/>
      <c r="CX193" s="382"/>
      <c r="CY193" s="382"/>
      <c r="CZ193" s="382"/>
      <c r="DA193" s="382"/>
      <c r="DB193" s="382"/>
      <c r="DC193" s="382"/>
      <c r="DD193" s="382"/>
      <c r="DE193" s="382"/>
      <c r="DF193" s="382"/>
      <c r="DG193" s="382"/>
      <c r="DH193" s="382"/>
      <c r="DI193" s="382"/>
      <c r="DJ193" s="382"/>
      <c r="DK193" s="382"/>
      <c r="DL193" s="382"/>
      <c r="DM193" s="382"/>
      <c r="DN193" s="382"/>
      <c r="DO193" s="382"/>
      <c r="DP193" s="382"/>
      <c r="DQ193" s="382"/>
      <c r="DR193" s="382"/>
      <c r="DS193" s="382"/>
      <c r="DT193" s="382"/>
      <c r="DU193" s="382"/>
      <c r="DV193" s="382"/>
      <c r="DW193" s="382"/>
      <c r="DX193" s="382"/>
      <c r="DY193" s="382"/>
      <c r="DZ193" s="382"/>
      <c r="EA193" s="382"/>
      <c r="EB193" s="382"/>
      <c r="EC193" s="382"/>
      <c r="ED193" s="382"/>
      <c r="EE193" s="382"/>
      <c r="EF193" s="382"/>
      <c r="EG193" s="382"/>
      <c r="EH193" s="382"/>
      <c r="EI193" s="382"/>
      <c r="EJ193" s="382"/>
      <c r="EK193" s="382"/>
      <c r="EL193" s="382"/>
      <c r="EM193" s="382"/>
      <c r="EN193" s="382"/>
      <c r="EO193" s="382"/>
      <c r="EP193" s="37"/>
      <c r="EQ193" s="37"/>
      <c r="ER193" s="37"/>
      <c r="ES193" s="37"/>
      <c r="ET193" s="37"/>
      <c r="EU193" s="33"/>
      <c r="EV193" s="37"/>
      <c r="EW193" s="37"/>
      <c r="EX193" s="37"/>
      <c r="EY193" s="37"/>
      <c r="EZ193" s="37"/>
      <c r="FA193" s="37"/>
      <c r="FB193" s="37"/>
      <c r="FC193" s="37"/>
      <c r="FD193" s="37"/>
      <c r="FE193" s="37"/>
      <c r="FF193" s="37"/>
      <c r="FG193" s="37"/>
      <c r="FH193" s="37"/>
      <c r="FI193" s="37"/>
      <c r="FJ193" s="37"/>
      <c r="FK193" s="37"/>
      <c r="FL193" s="37"/>
      <c r="FM193" s="37"/>
      <c r="FN193" s="37"/>
      <c r="FO193" s="37"/>
      <c r="FP193" s="37"/>
      <c r="FQ193" s="37"/>
      <c r="FR193" s="37"/>
      <c r="FS193" s="37"/>
      <c r="FT193" s="37"/>
      <c r="FU193" s="37"/>
      <c r="FV193" s="37"/>
      <c r="FW193" s="37"/>
      <c r="FX193" s="37"/>
      <c r="FY193" s="37"/>
      <c r="FZ193" s="37"/>
      <c r="GA193" s="37"/>
      <c r="GB193" s="37"/>
      <c r="GC193" s="37"/>
      <c r="GD193" s="37"/>
      <c r="GE193" s="37"/>
      <c r="GF193" s="37"/>
      <c r="GG193" s="37"/>
      <c r="GH193" s="37"/>
      <c r="GI193" s="37"/>
      <c r="GJ193" s="37"/>
      <c r="GK193" s="37"/>
      <c r="GL193" s="37"/>
      <c r="GM193" s="37"/>
      <c r="GN193" s="37"/>
      <c r="GO193" s="37"/>
      <c r="GP193" s="37"/>
      <c r="GQ193" s="37"/>
      <c r="GR193" s="37"/>
      <c r="GS193" s="37"/>
      <c r="GT193" s="37"/>
      <c r="GU193" s="37"/>
      <c r="GV193" s="37"/>
      <c r="GW193" s="37"/>
      <c r="GX193" s="37"/>
      <c r="GY193" s="37"/>
      <c r="GZ193" s="37"/>
      <c r="HA193" s="37"/>
      <c r="HB193" s="37"/>
      <c r="HC193" s="37"/>
      <c r="HD193" s="37"/>
      <c r="HE193" s="37"/>
      <c r="HF193" s="37"/>
      <c r="HG193" s="37"/>
      <c r="HH193" s="37"/>
      <c r="HI193" s="37"/>
      <c r="HJ193" s="37"/>
      <c r="HK193" s="37"/>
      <c r="HL193" s="37"/>
      <c r="HM193" s="37"/>
      <c r="HN193" s="37"/>
      <c r="HO193" s="37"/>
      <c r="HP193" s="37"/>
      <c r="HQ193" s="37"/>
      <c r="HR193" s="37"/>
      <c r="HS193" s="37"/>
      <c r="HT193" s="37"/>
      <c r="HU193" s="37"/>
      <c r="HV193" s="37"/>
      <c r="HW193" s="37"/>
      <c r="HX193" s="37"/>
      <c r="HY193" s="37"/>
      <c r="HZ193" s="37"/>
      <c r="IA193" s="37"/>
      <c r="IB193" s="37"/>
      <c r="IC193" s="37"/>
      <c r="ID193" s="37"/>
      <c r="IE193" s="37"/>
      <c r="IF193" s="37"/>
      <c r="IG193" s="37"/>
      <c r="IH193" s="37"/>
      <c r="II193" s="37"/>
      <c r="IJ193" s="37"/>
      <c r="IK193" s="37"/>
      <c r="IL193" s="37"/>
      <c r="IM193" s="37"/>
      <c r="IN193" s="37"/>
      <c r="IO193" s="37"/>
      <c r="IP193" s="37"/>
      <c r="IQ193" s="37"/>
      <c r="IR193" s="37"/>
      <c r="IS193" s="37"/>
      <c r="IT193" s="37"/>
      <c r="IU193" s="37"/>
      <c r="IV193" s="37"/>
      <c r="IW193" s="37"/>
      <c r="IX193" s="37"/>
      <c r="IY193" s="37"/>
      <c r="IZ193" s="37"/>
      <c r="JA193" s="37"/>
      <c r="JB193" s="37"/>
      <c r="JC193" s="37"/>
      <c r="JD193" s="37"/>
      <c r="JE193" s="37"/>
      <c r="JF193" s="37"/>
      <c r="JG193" s="37"/>
      <c r="JH193" s="37"/>
      <c r="JI193" s="37"/>
      <c r="JJ193" s="37"/>
      <c r="JK193" s="37"/>
      <c r="JL193" s="37"/>
      <c r="JM193" s="37"/>
      <c r="JN193" s="37"/>
      <c r="JO193" s="37"/>
      <c r="JP193" s="37"/>
      <c r="JQ193" s="37"/>
      <c r="JR193" s="37"/>
      <c r="JS193" s="37"/>
      <c r="JT193" s="37"/>
      <c r="JU193" s="37"/>
      <c r="JV193" s="37"/>
      <c r="JW193" s="37"/>
      <c r="JX193" s="37"/>
    </row>
    <row r="194" spans="1:284" s="7" customFormat="1" ht="5.0999999999999996" customHeight="1" x14ac:dyDescent="0.2">
      <c r="A194" s="406"/>
      <c r="B194" s="11"/>
      <c r="C194" s="67"/>
      <c r="D194" s="67"/>
      <c r="E194" s="67"/>
      <c r="F194" s="67">
        <v>1</v>
      </c>
      <c r="G194" s="67"/>
      <c r="H194" s="67"/>
      <c r="I194" s="67"/>
      <c r="J194" s="41"/>
      <c r="K194" s="41"/>
      <c r="L194" s="41"/>
      <c r="M194" s="41"/>
      <c r="N194" s="41"/>
      <c r="O194" s="41"/>
      <c r="P194" s="41"/>
      <c r="Q194" s="41"/>
      <c r="R194" s="41"/>
      <c r="S194" s="41"/>
      <c r="T194" s="41"/>
      <c r="U194" s="41"/>
      <c r="V194" s="41"/>
      <c r="W194" s="41"/>
      <c r="X194" s="41"/>
      <c r="Y194" s="41"/>
      <c r="Z194" s="41"/>
      <c r="AA194" s="41"/>
      <c r="AB194" s="41"/>
      <c r="AC194" s="41"/>
      <c r="AD194" s="41"/>
      <c r="AE194" s="41"/>
      <c r="AF194" s="41"/>
      <c r="AG194" s="41"/>
      <c r="AH194" s="41"/>
      <c r="AI194" s="41"/>
      <c r="AJ194" s="41"/>
      <c r="AK194" s="41"/>
      <c r="AL194" s="41"/>
      <c r="AM194" s="41"/>
      <c r="AN194" s="41"/>
      <c r="AO194" s="41"/>
      <c r="AP194" s="41"/>
      <c r="AQ194" s="41"/>
      <c r="AR194" s="41"/>
      <c r="AS194" s="41"/>
      <c r="AT194" s="41"/>
      <c r="AU194" s="41"/>
      <c r="AV194" s="41"/>
      <c r="AW194" s="41"/>
      <c r="AX194" s="41"/>
      <c r="AY194" s="41"/>
      <c r="AZ194" s="41"/>
      <c r="BA194" s="41"/>
      <c r="BB194" s="41"/>
      <c r="BC194" s="41"/>
      <c r="BD194" s="41"/>
      <c r="BE194" s="41"/>
      <c r="BF194" s="41"/>
      <c r="BG194" s="41"/>
      <c r="BH194" s="41"/>
      <c r="BI194" s="41"/>
      <c r="BJ194" s="41"/>
      <c r="BK194" s="41"/>
      <c r="BL194" s="41"/>
      <c r="BM194" s="41"/>
      <c r="BN194" s="41"/>
      <c r="BO194" s="41"/>
      <c r="BP194" s="41"/>
      <c r="BQ194" s="41"/>
      <c r="BR194" s="41"/>
      <c r="BS194" s="41"/>
      <c r="BT194" s="41"/>
      <c r="BU194" s="41"/>
      <c r="BV194" s="41"/>
      <c r="BW194" s="41"/>
      <c r="BX194" s="41"/>
      <c r="BY194" s="41"/>
      <c r="BZ194" s="41"/>
      <c r="CA194" s="41"/>
      <c r="CB194" s="41"/>
      <c r="CC194" s="41"/>
      <c r="CD194" s="41"/>
      <c r="CE194" s="41"/>
      <c r="CF194" s="41"/>
      <c r="CG194" s="41"/>
      <c r="CH194" s="41"/>
      <c r="CI194" s="41"/>
      <c r="CJ194" s="41"/>
      <c r="CK194" s="41"/>
      <c r="CL194" s="41"/>
      <c r="CM194" s="41"/>
      <c r="CN194" s="41"/>
      <c r="CO194" s="41"/>
      <c r="CP194" s="41"/>
      <c r="CQ194" s="41"/>
      <c r="CR194" s="41"/>
      <c r="CS194" s="41"/>
      <c r="CT194" s="41"/>
      <c r="CU194" s="41"/>
      <c r="CV194" s="41"/>
      <c r="CW194" s="41"/>
      <c r="CX194" s="41"/>
      <c r="CY194" s="41"/>
      <c r="CZ194" s="41"/>
      <c r="DA194" s="41"/>
      <c r="DB194" s="41"/>
      <c r="DC194" s="41"/>
      <c r="DD194" s="41"/>
      <c r="DE194" s="41"/>
      <c r="DF194" s="41"/>
      <c r="DG194" s="41"/>
      <c r="DH194" s="41"/>
      <c r="DI194" s="41"/>
      <c r="DJ194" s="41"/>
      <c r="DK194" s="41"/>
      <c r="DL194" s="41"/>
      <c r="DM194" s="41"/>
      <c r="DN194" s="41"/>
      <c r="DO194" s="41"/>
      <c r="DP194" s="41"/>
      <c r="DQ194" s="41"/>
      <c r="DR194" s="41"/>
      <c r="DS194" s="41"/>
      <c r="DT194" s="41"/>
      <c r="DU194" s="41"/>
      <c r="DV194" s="41"/>
      <c r="DW194" s="41"/>
      <c r="DX194" s="41"/>
      <c r="DY194" s="41"/>
      <c r="DZ194" s="41"/>
      <c r="EA194" s="41"/>
      <c r="EB194" s="41"/>
      <c r="EC194" s="41"/>
      <c r="ED194" s="41"/>
      <c r="EE194" s="41"/>
      <c r="EF194" s="41"/>
      <c r="EG194" s="41"/>
      <c r="EH194" s="41"/>
      <c r="EI194" s="41"/>
      <c r="EJ194" s="41"/>
      <c r="EK194" s="41"/>
      <c r="EL194" s="41"/>
      <c r="EM194" s="41"/>
      <c r="EN194" s="41"/>
      <c r="EO194" s="41"/>
      <c r="EP194" s="42"/>
      <c r="EQ194" s="42"/>
      <c r="ER194" s="42"/>
      <c r="ES194" s="42"/>
      <c r="ET194" s="42"/>
      <c r="EU194" s="216"/>
      <c r="EV194" s="42"/>
      <c r="EW194" s="42"/>
      <c r="EX194" s="42"/>
      <c r="EY194" s="42"/>
      <c r="EZ194" s="42"/>
      <c r="FA194" s="42"/>
      <c r="FB194" s="42"/>
      <c r="FC194" s="42"/>
      <c r="FD194" s="42"/>
      <c r="FE194" s="42"/>
      <c r="FF194" s="42"/>
      <c r="FG194" s="42"/>
      <c r="FH194" s="42"/>
      <c r="FI194" s="42"/>
      <c r="FJ194" s="42"/>
      <c r="FK194" s="42"/>
      <c r="FL194" s="42"/>
      <c r="FM194" s="42"/>
      <c r="FN194" s="42"/>
      <c r="FO194" s="42"/>
      <c r="FP194" s="42"/>
      <c r="FQ194" s="42"/>
      <c r="FR194" s="42"/>
      <c r="FS194" s="42"/>
      <c r="FT194" s="42"/>
      <c r="FU194" s="42"/>
      <c r="FV194" s="42"/>
      <c r="FW194" s="42"/>
      <c r="FX194" s="42"/>
      <c r="FY194" s="42"/>
      <c r="FZ194" s="42"/>
      <c r="GA194" s="42"/>
      <c r="GB194" s="42"/>
      <c r="GC194" s="42"/>
      <c r="GD194" s="42"/>
      <c r="GE194" s="42"/>
      <c r="GF194" s="42"/>
      <c r="GG194" s="42"/>
      <c r="GH194" s="42"/>
      <c r="GI194" s="42"/>
      <c r="GJ194" s="42"/>
      <c r="GK194" s="42"/>
      <c r="GL194" s="42"/>
      <c r="GM194" s="42"/>
      <c r="GN194" s="42"/>
      <c r="GO194" s="42"/>
      <c r="GP194" s="42"/>
      <c r="GQ194" s="42"/>
      <c r="GR194" s="42"/>
      <c r="GS194" s="42"/>
      <c r="GT194" s="42"/>
      <c r="GU194" s="42"/>
      <c r="GV194" s="42"/>
      <c r="GW194" s="42"/>
      <c r="GX194" s="42"/>
      <c r="GY194" s="42"/>
      <c r="GZ194" s="42"/>
      <c r="HA194" s="42"/>
      <c r="HB194" s="42"/>
      <c r="HC194" s="42"/>
      <c r="HD194" s="42"/>
      <c r="HE194" s="42"/>
      <c r="HF194" s="42"/>
      <c r="HG194" s="42"/>
      <c r="HH194" s="42"/>
      <c r="HI194" s="42"/>
      <c r="HJ194" s="42"/>
      <c r="HK194" s="42"/>
      <c r="HL194" s="42"/>
      <c r="HM194" s="42"/>
      <c r="HN194" s="42"/>
      <c r="HO194" s="42"/>
      <c r="HP194" s="42"/>
      <c r="HQ194" s="42"/>
      <c r="HR194" s="42"/>
      <c r="HS194" s="42"/>
      <c r="HT194" s="42"/>
      <c r="HU194" s="42"/>
      <c r="HV194" s="42"/>
      <c r="HW194" s="42"/>
      <c r="HX194" s="42"/>
      <c r="HY194" s="42"/>
      <c r="HZ194" s="42"/>
      <c r="IA194" s="42"/>
      <c r="IB194" s="42"/>
      <c r="IC194" s="42"/>
      <c r="ID194" s="42"/>
      <c r="IE194" s="42"/>
      <c r="IF194" s="42"/>
      <c r="IG194" s="42"/>
      <c r="IH194" s="42"/>
      <c r="II194" s="42"/>
      <c r="IJ194" s="42"/>
      <c r="IK194" s="42"/>
      <c r="IL194" s="42"/>
      <c r="IM194" s="42"/>
      <c r="IN194" s="42"/>
      <c r="IO194" s="42"/>
      <c r="IP194" s="42"/>
      <c r="IQ194" s="42"/>
      <c r="IR194" s="42"/>
      <c r="IS194" s="42"/>
      <c r="IT194" s="42"/>
      <c r="IU194" s="42"/>
      <c r="IV194" s="42"/>
      <c r="IW194" s="42"/>
      <c r="IX194" s="42"/>
      <c r="IY194" s="42"/>
      <c r="IZ194" s="42"/>
      <c r="JA194" s="42"/>
      <c r="JB194" s="42"/>
      <c r="JC194" s="42"/>
      <c r="JD194" s="42"/>
      <c r="JE194" s="42"/>
      <c r="JF194" s="42"/>
      <c r="JG194" s="42"/>
      <c r="JH194" s="42"/>
      <c r="JI194" s="42"/>
      <c r="JJ194" s="42"/>
      <c r="JK194" s="42"/>
      <c r="JL194" s="42"/>
      <c r="JM194" s="42"/>
      <c r="JN194" s="42"/>
      <c r="JO194" s="42"/>
      <c r="JP194" s="42"/>
      <c r="JQ194" s="42"/>
      <c r="JR194" s="42"/>
      <c r="JS194" s="42"/>
      <c r="JT194" s="42"/>
      <c r="JU194" s="42"/>
      <c r="JV194" s="42"/>
      <c r="JW194" s="42"/>
      <c r="JX194" s="42"/>
    </row>
    <row r="195" spans="1:284" s="7" customFormat="1" x14ac:dyDescent="0.2">
      <c r="A195" s="406"/>
      <c r="B195" s="2" t="s">
        <v>178</v>
      </c>
      <c r="C195" s="67"/>
      <c r="D195" s="67"/>
      <c r="E195" s="67"/>
      <c r="F195" s="67"/>
      <c r="G195" s="67"/>
      <c r="H195" s="67"/>
      <c r="I195" s="67"/>
      <c r="J195" s="464"/>
      <c r="K195" s="464" t="s">
        <v>504</v>
      </c>
      <c r="L195" s="8">
        <f t="shared" ref="L195:AQ195" si="642">IF(L3&gt;Timing_Analysis_End_Month,"",L3)</f>
        <v>0</v>
      </c>
      <c r="M195" s="8">
        <f t="shared" si="642"/>
        <v>1</v>
      </c>
      <c r="N195" s="8">
        <f t="shared" si="642"/>
        <v>2</v>
      </c>
      <c r="O195" s="8">
        <f t="shared" si="642"/>
        <v>3</v>
      </c>
      <c r="P195" s="8">
        <f t="shared" si="642"/>
        <v>4</v>
      </c>
      <c r="Q195" s="8">
        <f t="shared" si="642"/>
        <v>5</v>
      </c>
      <c r="R195" s="8">
        <f t="shared" si="642"/>
        <v>6</v>
      </c>
      <c r="S195" s="8">
        <f t="shared" si="642"/>
        <v>7</v>
      </c>
      <c r="T195" s="8">
        <f t="shared" si="642"/>
        <v>8</v>
      </c>
      <c r="U195" s="8">
        <f t="shared" si="642"/>
        <v>9</v>
      </c>
      <c r="V195" s="8">
        <f t="shared" si="642"/>
        <v>10</v>
      </c>
      <c r="W195" s="8">
        <f t="shared" si="642"/>
        <v>11</v>
      </c>
      <c r="X195" s="8">
        <f t="shared" si="642"/>
        <v>12</v>
      </c>
      <c r="Y195" s="8">
        <f t="shared" si="642"/>
        <v>13</v>
      </c>
      <c r="Z195" s="8">
        <f t="shared" si="642"/>
        <v>14</v>
      </c>
      <c r="AA195" s="8">
        <f t="shared" si="642"/>
        <v>15</v>
      </c>
      <c r="AB195" s="8">
        <f t="shared" si="642"/>
        <v>16</v>
      </c>
      <c r="AC195" s="8">
        <f t="shared" si="642"/>
        <v>17</v>
      </c>
      <c r="AD195" s="8">
        <f t="shared" si="642"/>
        <v>18</v>
      </c>
      <c r="AE195" s="8">
        <f t="shared" si="642"/>
        <v>19</v>
      </c>
      <c r="AF195" s="8">
        <f t="shared" si="642"/>
        <v>20</v>
      </c>
      <c r="AG195" s="8">
        <f t="shared" si="642"/>
        <v>21</v>
      </c>
      <c r="AH195" s="8">
        <f t="shared" si="642"/>
        <v>22</v>
      </c>
      <c r="AI195" s="8">
        <f t="shared" si="642"/>
        <v>23</v>
      </c>
      <c r="AJ195" s="8">
        <f t="shared" si="642"/>
        <v>24</v>
      </c>
      <c r="AK195" s="8">
        <f t="shared" si="642"/>
        <v>25</v>
      </c>
      <c r="AL195" s="8">
        <f t="shared" si="642"/>
        <v>26</v>
      </c>
      <c r="AM195" s="8">
        <f t="shared" si="642"/>
        <v>27</v>
      </c>
      <c r="AN195" s="8">
        <f t="shared" si="642"/>
        <v>28</v>
      </c>
      <c r="AO195" s="8">
        <f t="shared" si="642"/>
        <v>29</v>
      </c>
      <c r="AP195" s="8">
        <f t="shared" si="642"/>
        <v>30</v>
      </c>
      <c r="AQ195" s="8">
        <f t="shared" si="642"/>
        <v>31</v>
      </c>
      <c r="AR195" s="8">
        <f t="shared" ref="AR195:BW195" si="643">IF(AR3&gt;Timing_Analysis_End_Month,"",AR3)</f>
        <v>32</v>
      </c>
      <c r="AS195" s="8">
        <f t="shared" si="643"/>
        <v>33</v>
      </c>
      <c r="AT195" s="8">
        <f t="shared" si="643"/>
        <v>34</v>
      </c>
      <c r="AU195" s="8">
        <f t="shared" si="643"/>
        <v>35</v>
      </c>
      <c r="AV195" s="8">
        <f t="shared" si="643"/>
        <v>36</v>
      </c>
      <c r="AW195" s="8">
        <f t="shared" si="643"/>
        <v>37</v>
      </c>
      <c r="AX195" s="8">
        <f t="shared" si="643"/>
        <v>38</v>
      </c>
      <c r="AY195" s="8">
        <f t="shared" si="643"/>
        <v>39</v>
      </c>
      <c r="AZ195" s="8">
        <f t="shared" si="643"/>
        <v>40</v>
      </c>
      <c r="BA195" s="8">
        <f t="shared" si="643"/>
        <v>41</v>
      </c>
      <c r="BB195" s="8">
        <f t="shared" si="643"/>
        <v>42</v>
      </c>
      <c r="BC195" s="8">
        <f t="shared" si="643"/>
        <v>43</v>
      </c>
      <c r="BD195" s="8">
        <f t="shared" si="643"/>
        <v>44</v>
      </c>
      <c r="BE195" s="8">
        <f t="shared" si="643"/>
        <v>45</v>
      </c>
      <c r="BF195" s="8" t="str">
        <f t="shared" si="643"/>
        <v/>
      </c>
      <c r="BG195" s="8" t="str">
        <f t="shared" si="643"/>
        <v/>
      </c>
      <c r="BH195" s="8" t="str">
        <f t="shared" si="643"/>
        <v/>
      </c>
      <c r="BI195" s="8" t="str">
        <f t="shared" si="643"/>
        <v/>
      </c>
      <c r="BJ195" s="8" t="str">
        <f t="shared" si="643"/>
        <v/>
      </c>
      <c r="BK195" s="8" t="str">
        <f t="shared" si="643"/>
        <v/>
      </c>
      <c r="BL195" s="8" t="str">
        <f t="shared" si="643"/>
        <v/>
      </c>
      <c r="BM195" s="8" t="str">
        <f t="shared" si="643"/>
        <v/>
      </c>
      <c r="BN195" s="8" t="str">
        <f t="shared" si="643"/>
        <v/>
      </c>
      <c r="BO195" s="8" t="str">
        <f t="shared" si="643"/>
        <v/>
      </c>
      <c r="BP195" s="8" t="str">
        <f t="shared" si="643"/>
        <v/>
      </c>
      <c r="BQ195" s="8" t="str">
        <f t="shared" si="643"/>
        <v/>
      </c>
      <c r="BR195" s="8" t="str">
        <f t="shared" si="643"/>
        <v/>
      </c>
      <c r="BS195" s="8" t="str">
        <f t="shared" si="643"/>
        <v/>
      </c>
      <c r="BT195" s="8" t="str">
        <f t="shared" si="643"/>
        <v/>
      </c>
      <c r="BU195" s="8" t="str">
        <f t="shared" si="643"/>
        <v/>
      </c>
      <c r="BV195" s="8" t="str">
        <f t="shared" si="643"/>
        <v/>
      </c>
      <c r="BW195" s="8" t="str">
        <f t="shared" si="643"/>
        <v/>
      </c>
      <c r="BX195" s="8" t="str">
        <f t="shared" ref="BX195:DC195" si="644">IF(BX3&gt;Timing_Analysis_End_Month,"",BX3)</f>
        <v/>
      </c>
      <c r="BY195" s="8" t="str">
        <f t="shared" si="644"/>
        <v/>
      </c>
      <c r="BZ195" s="8" t="str">
        <f t="shared" si="644"/>
        <v/>
      </c>
      <c r="CA195" s="8" t="str">
        <f t="shared" si="644"/>
        <v/>
      </c>
      <c r="CB195" s="8" t="str">
        <f t="shared" si="644"/>
        <v/>
      </c>
      <c r="CC195" s="8" t="str">
        <f t="shared" si="644"/>
        <v/>
      </c>
      <c r="CD195" s="8" t="str">
        <f t="shared" si="644"/>
        <v/>
      </c>
      <c r="CE195" s="8" t="str">
        <f t="shared" si="644"/>
        <v/>
      </c>
      <c r="CF195" s="8" t="str">
        <f t="shared" si="644"/>
        <v/>
      </c>
      <c r="CG195" s="8" t="str">
        <f t="shared" si="644"/>
        <v/>
      </c>
      <c r="CH195" s="8" t="str">
        <f t="shared" si="644"/>
        <v/>
      </c>
      <c r="CI195" s="8" t="str">
        <f t="shared" si="644"/>
        <v/>
      </c>
      <c r="CJ195" s="8" t="str">
        <f t="shared" si="644"/>
        <v/>
      </c>
      <c r="CK195" s="8" t="str">
        <f t="shared" si="644"/>
        <v/>
      </c>
      <c r="CL195" s="8" t="str">
        <f t="shared" si="644"/>
        <v/>
      </c>
      <c r="CM195" s="8" t="str">
        <f t="shared" si="644"/>
        <v/>
      </c>
      <c r="CN195" s="8" t="str">
        <f t="shared" si="644"/>
        <v/>
      </c>
      <c r="CO195" s="8" t="str">
        <f t="shared" si="644"/>
        <v/>
      </c>
      <c r="CP195" s="8" t="str">
        <f t="shared" si="644"/>
        <v/>
      </c>
      <c r="CQ195" s="8" t="str">
        <f t="shared" si="644"/>
        <v/>
      </c>
      <c r="CR195" s="8" t="str">
        <f t="shared" si="644"/>
        <v/>
      </c>
      <c r="CS195" s="8" t="str">
        <f t="shared" si="644"/>
        <v/>
      </c>
      <c r="CT195" s="8" t="str">
        <f t="shared" si="644"/>
        <v/>
      </c>
      <c r="CU195" s="8" t="str">
        <f t="shared" si="644"/>
        <v/>
      </c>
      <c r="CV195" s="8" t="str">
        <f t="shared" si="644"/>
        <v/>
      </c>
      <c r="CW195" s="8" t="str">
        <f t="shared" si="644"/>
        <v/>
      </c>
      <c r="CX195" s="8" t="str">
        <f t="shared" si="644"/>
        <v/>
      </c>
      <c r="CY195" s="8" t="str">
        <f t="shared" si="644"/>
        <v/>
      </c>
      <c r="CZ195" s="8" t="str">
        <f t="shared" si="644"/>
        <v/>
      </c>
      <c r="DA195" s="8" t="str">
        <f t="shared" si="644"/>
        <v/>
      </c>
      <c r="DB195" s="8" t="str">
        <f t="shared" si="644"/>
        <v/>
      </c>
      <c r="DC195" s="8" t="str">
        <f t="shared" si="644"/>
        <v/>
      </c>
      <c r="DD195" s="8" t="str">
        <f t="shared" ref="DD195:EN195" si="645">IF(DD3&gt;Timing_Analysis_End_Month,"",DD3)</f>
        <v/>
      </c>
      <c r="DE195" s="8" t="str">
        <f t="shared" si="645"/>
        <v/>
      </c>
      <c r="DF195" s="8" t="str">
        <f t="shared" si="645"/>
        <v/>
      </c>
      <c r="DG195" s="8" t="str">
        <f t="shared" si="645"/>
        <v/>
      </c>
      <c r="DH195" s="8" t="str">
        <f t="shared" si="645"/>
        <v/>
      </c>
      <c r="DI195" s="8" t="str">
        <f t="shared" si="645"/>
        <v/>
      </c>
      <c r="DJ195" s="8" t="str">
        <f t="shared" si="645"/>
        <v/>
      </c>
      <c r="DK195" s="8" t="str">
        <f t="shared" si="645"/>
        <v/>
      </c>
      <c r="DL195" s="8" t="str">
        <f t="shared" si="645"/>
        <v/>
      </c>
      <c r="DM195" s="8" t="str">
        <f t="shared" si="645"/>
        <v/>
      </c>
      <c r="DN195" s="8" t="str">
        <f t="shared" si="645"/>
        <v/>
      </c>
      <c r="DO195" s="8" t="str">
        <f t="shared" si="645"/>
        <v/>
      </c>
      <c r="DP195" s="8" t="str">
        <f t="shared" si="645"/>
        <v/>
      </c>
      <c r="DQ195" s="8" t="str">
        <f t="shared" si="645"/>
        <v/>
      </c>
      <c r="DR195" s="8" t="str">
        <f t="shared" si="645"/>
        <v/>
      </c>
      <c r="DS195" s="8" t="str">
        <f t="shared" si="645"/>
        <v/>
      </c>
      <c r="DT195" s="8" t="str">
        <f t="shared" si="645"/>
        <v/>
      </c>
      <c r="DU195" s="8" t="str">
        <f t="shared" si="645"/>
        <v/>
      </c>
      <c r="DV195" s="8" t="str">
        <f t="shared" si="645"/>
        <v/>
      </c>
      <c r="DW195" s="8" t="str">
        <f t="shared" si="645"/>
        <v/>
      </c>
      <c r="DX195" s="8" t="str">
        <f t="shared" si="645"/>
        <v/>
      </c>
      <c r="DY195" s="8" t="str">
        <f t="shared" si="645"/>
        <v/>
      </c>
      <c r="DZ195" s="8" t="str">
        <f t="shared" si="645"/>
        <v/>
      </c>
      <c r="EA195" s="8" t="str">
        <f t="shared" si="645"/>
        <v/>
      </c>
      <c r="EB195" s="8" t="str">
        <f t="shared" si="645"/>
        <v/>
      </c>
      <c r="EC195" s="8" t="str">
        <f t="shared" si="645"/>
        <v/>
      </c>
      <c r="ED195" s="8" t="str">
        <f t="shared" si="645"/>
        <v/>
      </c>
      <c r="EE195" s="8" t="str">
        <f t="shared" si="645"/>
        <v/>
      </c>
      <c r="EF195" s="8" t="str">
        <f t="shared" si="645"/>
        <v/>
      </c>
      <c r="EG195" s="8" t="str">
        <f t="shared" si="645"/>
        <v/>
      </c>
      <c r="EH195" s="8" t="str">
        <f t="shared" si="645"/>
        <v/>
      </c>
      <c r="EI195" s="8" t="str">
        <f t="shared" si="645"/>
        <v/>
      </c>
      <c r="EJ195" s="8" t="str">
        <f t="shared" si="645"/>
        <v/>
      </c>
      <c r="EK195" s="8" t="str">
        <f t="shared" si="645"/>
        <v/>
      </c>
      <c r="EL195" s="8" t="str">
        <f t="shared" si="645"/>
        <v/>
      </c>
      <c r="EM195" s="8" t="str">
        <f t="shared" si="645"/>
        <v/>
      </c>
      <c r="EN195" s="8" t="str">
        <f t="shared" si="645"/>
        <v/>
      </c>
      <c r="EP195" s="37" t="s">
        <v>414</v>
      </c>
      <c r="EQ195" s="37"/>
      <c r="ER195" s="37"/>
      <c r="ES195" s="37"/>
      <c r="ET195" s="37"/>
      <c r="EU195" s="33"/>
      <c r="EV195" s="26">
        <f t="shared" ref="EV195:GA195" si="646">EV3</f>
        <v>0</v>
      </c>
      <c r="EW195" s="26">
        <f t="shared" si="646"/>
        <v>1</v>
      </c>
      <c r="EX195" s="26">
        <f t="shared" si="646"/>
        <v>2</v>
      </c>
      <c r="EY195" s="26">
        <f t="shared" si="646"/>
        <v>3</v>
      </c>
      <c r="EZ195" s="26">
        <f t="shared" si="646"/>
        <v>4</v>
      </c>
      <c r="FA195" s="26">
        <f t="shared" si="646"/>
        <v>5</v>
      </c>
      <c r="FB195" s="26">
        <f t="shared" si="646"/>
        <v>6</v>
      </c>
      <c r="FC195" s="26">
        <f t="shared" si="646"/>
        <v>7</v>
      </c>
      <c r="FD195" s="26">
        <f t="shared" si="646"/>
        <v>8</v>
      </c>
      <c r="FE195" s="26">
        <f t="shared" si="646"/>
        <v>9</v>
      </c>
      <c r="FF195" s="26">
        <f t="shared" si="646"/>
        <v>10</v>
      </c>
      <c r="FG195" s="26">
        <f t="shared" si="646"/>
        <v>11</v>
      </c>
      <c r="FH195" s="26">
        <f t="shared" si="646"/>
        <v>12</v>
      </c>
      <c r="FI195" s="26">
        <f t="shared" si="646"/>
        <v>13</v>
      </c>
      <c r="FJ195" s="26">
        <f t="shared" si="646"/>
        <v>14</v>
      </c>
      <c r="FK195" s="26">
        <f t="shared" si="646"/>
        <v>15</v>
      </c>
      <c r="FL195" s="26">
        <f t="shared" si="646"/>
        <v>16</v>
      </c>
      <c r="FM195" s="26">
        <f t="shared" si="646"/>
        <v>17</v>
      </c>
      <c r="FN195" s="26">
        <f t="shared" si="646"/>
        <v>18</v>
      </c>
      <c r="FO195" s="26">
        <f t="shared" si="646"/>
        <v>19</v>
      </c>
      <c r="FP195" s="26">
        <f t="shared" si="646"/>
        <v>20</v>
      </c>
      <c r="FQ195" s="26">
        <f t="shared" si="646"/>
        <v>21</v>
      </c>
      <c r="FR195" s="26">
        <f t="shared" si="646"/>
        <v>22</v>
      </c>
      <c r="FS195" s="26">
        <f t="shared" si="646"/>
        <v>23</v>
      </c>
      <c r="FT195" s="26">
        <f t="shared" si="646"/>
        <v>24</v>
      </c>
      <c r="FU195" s="26">
        <f t="shared" si="646"/>
        <v>25</v>
      </c>
      <c r="FV195" s="26">
        <f t="shared" si="646"/>
        <v>26</v>
      </c>
      <c r="FW195" s="26">
        <f t="shared" si="646"/>
        <v>27</v>
      </c>
      <c r="FX195" s="26">
        <f t="shared" si="646"/>
        <v>28</v>
      </c>
      <c r="FY195" s="26">
        <f t="shared" si="646"/>
        <v>29</v>
      </c>
      <c r="FZ195" s="26">
        <f t="shared" si="646"/>
        <v>30</v>
      </c>
      <c r="GA195" s="26">
        <f t="shared" si="646"/>
        <v>31</v>
      </c>
      <c r="GB195" s="26">
        <f t="shared" ref="GB195:HG195" si="647">GB3</f>
        <v>32</v>
      </c>
      <c r="GC195" s="26">
        <f t="shared" si="647"/>
        <v>33</v>
      </c>
      <c r="GD195" s="26">
        <f t="shared" si="647"/>
        <v>34</v>
      </c>
      <c r="GE195" s="26">
        <f t="shared" si="647"/>
        <v>35</v>
      </c>
      <c r="GF195" s="26">
        <f t="shared" si="647"/>
        <v>36</v>
      </c>
      <c r="GG195" s="26">
        <f t="shared" si="647"/>
        <v>37</v>
      </c>
      <c r="GH195" s="26">
        <f t="shared" si="647"/>
        <v>38</v>
      </c>
      <c r="GI195" s="26">
        <f t="shared" si="647"/>
        <v>39</v>
      </c>
      <c r="GJ195" s="26">
        <f t="shared" si="647"/>
        <v>40</v>
      </c>
      <c r="GK195" s="26">
        <f t="shared" si="647"/>
        <v>41</v>
      </c>
      <c r="GL195" s="26">
        <f t="shared" si="647"/>
        <v>42</v>
      </c>
      <c r="GM195" s="26">
        <f t="shared" si="647"/>
        <v>43</v>
      </c>
      <c r="GN195" s="26">
        <f t="shared" si="647"/>
        <v>44</v>
      </c>
      <c r="GO195" s="26">
        <f t="shared" si="647"/>
        <v>45</v>
      </c>
      <c r="GP195" s="26">
        <f t="shared" si="647"/>
        <v>46</v>
      </c>
      <c r="GQ195" s="26">
        <f t="shared" si="647"/>
        <v>47</v>
      </c>
      <c r="GR195" s="26">
        <f t="shared" si="647"/>
        <v>48</v>
      </c>
      <c r="GS195" s="26">
        <f t="shared" si="647"/>
        <v>49</v>
      </c>
      <c r="GT195" s="26">
        <f t="shared" si="647"/>
        <v>50</v>
      </c>
      <c r="GU195" s="26">
        <f t="shared" si="647"/>
        <v>51</v>
      </c>
      <c r="GV195" s="26">
        <f t="shared" si="647"/>
        <v>52</v>
      </c>
      <c r="GW195" s="26">
        <f t="shared" si="647"/>
        <v>53</v>
      </c>
      <c r="GX195" s="26">
        <f t="shared" si="647"/>
        <v>54</v>
      </c>
      <c r="GY195" s="26">
        <f t="shared" si="647"/>
        <v>55</v>
      </c>
      <c r="GZ195" s="26">
        <f t="shared" si="647"/>
        <v>56</v>
      </c>
      <c r="HA195" s="26">
        <f t="shared" si="647"/>
        <v>57</v>
      </c>
      <c r="HB195" s="26">
        <f t="shared" si="647"/>
        <v>58</v>
      </c>
      <c r="HC195" s="26">
        <f t="shared" si="647"/>
        <v>59</v>
      </c>
      <c r="HD195" s="26">
        <f t="shared" si="647"/>
        <v>60</v>
      </c>
      <c r="HE195" s="26">
        <f t="shared" si="647"/>
        <v>61</v>
      </c>
      <c r="HF195" s="26">
        <f t="shared" si="647"/>
        <v>62</v>
      </c>
      <c r="HG195" s="26">
        <f t="shared" si="647"/>
        <v>63</v>
      </c>
      <c r="HH195" s="26">
        <f t="shared" ref="HH195:IM195" si="648">HH3</f>
        <v>64</v>
      </c>
      <c r="HI195" s="26">
        <f t="shared" si="648"/>
        <v>65</v>
      </c>
      <c r="HJ195" s="26">
        <f t="shared" si="648"/>
        <v>66</v>
      </c>
      <c r="HK195" s="26">
        <f t="shared" si="648"/>
        <v>67</v>
      </c>
      <c r="HL195" s="26">
        <f t="shared" si="648"/>
        <v>68</v>
      </c>
      <c r="HM195" s="26">
        <f t="shared" si="648"/>
        <v>69</v>
      </c>
      <c r="HN195" s="26">
        <f t="shared" si="648"/>
        <v>70</v>
      </c>
      <c r="HO195" s="26">
        <f t="shared" si="648"/>
        <v>71</v>
      </c>
      <c r="HP195" s="26">
        <f t="shared" si="648"/>
        <v>72</v>
      </c>
      <c r="HQ195" s="26">
        <f t="shared" si="648"/>
        <v>73</v>
      </c>
      <c r="HR195" s="26">
        <f t="shared" si="648"/>
        <v>74</v>
      </c>
      <c r="HS195" s="26">
        <f t="shared" si="648"/>
        <v>75</v>
      </c>
      <c r="HT195" s="26">
        <f t="shared" si="648"/>
        <v>76</v>
      </c>
      <c r="HU195" s="26">
        <f t="shared" si="648"/>
        <v>77</v>
      </c>
      <c r="HV195" s="26">
        <f t="shared" si="648"/>
        <v>78</v>
      </c>
      <c r="HW195" s="26">
        <f t="shared" si="648"/>
        <v>79</v>
      </c>
      <c r="HX195" s="26">
        <f t="shared" si="648"/>
        <v>80</v>
      </c>
      <c r="HY195" s="26">
        <f t="shared" si="648"/>
        <v>81</v>
      </c>
      <c r="HZ195" s="26">
        <f t="shared" si="648"/>
        <v>82</v>
      </c>
      <c r="IA195" s="26">
        <f t="shared" si="648"/>
        <v>83</v>
      </c>
      <c r="IB195" s="26">
        <f t="shared" si="648"/>
        <v>84</v>
      </c>
      <c r="IC195" s="26">
        <f t="shared" si="648"/>
        <v>85</v>
      </c>
      <c r="ID195" s="26">
        <f t="shared" si="648"/>
        <v>86</v>
      </c>
      <c r="IE195" s="26">
        <f t="shared" si="648"/>
        <v>87</v>
      </c>
      <c r="IF195" s="26">
        <f t="shared" si="648"/>
        <v>88</v>
      </c>
      <c r="IG195" s="26">
        <f t="shared" si="648"/>
        <v>89</v>
      </c>
      <c r="IH195" s="26">
        <f t="shared" si="648"/>
        <v>90</v>
      </c>
      <c r="II195" s="26">
        <f t="shared" si="648"/>
        <v>91</v>
      </c>
      <c r="IJ195" s="26">
        <f t="shared" si="648"/>
        <v>92</v>
      </c>
      <c r="IK195" s="26">
        <f t="shared" si="648"/>
        <v>93</v>
      </c>
      <c r="IL195" s="26">
        <f t="shared" si="648"/>
        <v>94</v>
      </c>
      <c r="IM195" s="26">
        <f t="shared" si="648"/>
        <v>95</v>
      </c>
      <c r="IN195" s="26">
        <f t="shared" ref="IN195:JX195" si="649">IN3</f>
        <v>96</v>
      </c>
      <c r="IO195" s="26">
        <f t="shared" si="649"/>
        <v>97</v>
      </c>
      <c r="IP195" s="26">
        <f t="shared" si="649"/>
        <v>98</v>
      </c>
      <c r="IQ195" s="26">
        <f t="shared" si="649"/>
        <v>99</v>
      </c>
      <c r="IR195" s="26">
        <f t="shared" si="649"/>
        <v>100</v>
      </c>
      <c r="IS195" s="26">
        <f t="shared" si="649"/>
        <v>101</v>
      </c>
      <c r="IT195" s="26">
        <f t="shared" si="649"/>
        <v>102</v>
      </c>
      <c r="IU195" s="26">
        <f t="shared" si="649"/>
        <v>103</v>
      </c>
      <c r="IV195" s="26">
        <f t="shared" si="649"/>
        <v>104</v>
      </c>
      <c r="IW195" s="26">
        <f t="shared" si="649"/>
        <v>105</v>
      </c>
      <c r="IX195" s="26">
        <f t="shared" si="649"/>
        <v>106</v>
      </c>
      <c r="IY195" s="26">
        <f t="shared" si="649"/>
        <v>107</v>
      </c>
      <c r="IZ195" s="26">
        <f t="shared" si="649"/>
        <v>108</v>
      </c>
      <c r="JA195" s="26">
        <f t="shared" si="649"/>
        <v>109</v>
      </c>
      <c r="JB195" s="26">
        <f t="shared" si="649"/>
        <v>110</v>
      </c>
      <c r="JC195" s="26">
        <f t="shared" si="649"/>
        <v>111</v>
      </c>
      <c r="JD195" s="26">
        <f t="shared" si="649"/>
        <v>112</v>
      </c>
      <c r="JE195" s="26">
        <f t="shared" si="649"/>
        <v>113</v>
      </c>
      <c r="JF195" s="26">
        <f t="shared" si="649"/>
        <v>114</v>
      </c>
      <c r="JG195" s="26">
        <f t="shared" si="649"/>
        <v>115</v>
      </c>
      <c r="JH195" s="26">
        <f t="shared" si="649"/>
        <v>116</v>
      </c>
      <c r="JI195" s="26">
        <f t="shared" si="649"/>
        <v>117</v>
      </c>
      <c r="JJ195" s="26">
        <f t="shared" si="649"/>
        <v>118</v>
      </c>
      <c r="JK195" s="26">
        <f t="shared" si="649"/>
        <v>119</v>
      </c>
      <c r="JL195" s="26">
        <f t="shared" si="649"/>
        <v>120</v>
      </c>
      <c r="JM195" s="26">
        <f t="shared" si="649"/>
        <v>121</v>
      </c>
      <c r="JN195" s="26">
        <f t="shared" si="649"/>
        <v>122</v>
      </c>
      <c r="JO195" s="26">
        <f t="shared" si="649"/>
        <v>123</v>
      </c>
      <c r="JP195" s="26">
        <f t="shared" si="649"/>
        <v>124</v>
      </c>
      <c r="JQ195" s="26">
        <f t="shared" si="649"/>
        <v>125</v>
      </c>
      <c r="JR195" s="26">
        <f t="shared" si="649"/>
        <v>126</v>
      </c>
      <c r="JS195" s="26">
        <f t="shared" si="649"/>
        <v>127</v>
      </c>
      <c r="JT195" s="26">
        <f t="shared" si="649"/>
        <v>128</v>
      </c>
      <c r="JU195" s="26">
        <f t="shared" si="649"/>
        <v>129</v>
      </c>
      <c r="JV195" s="26">
        <f t="shared" si="649"/>
        <v>130</v>
      </c>
      <c r="JW195" s="26">
        <f t="shared" si="649"/>
        <v>131</v>
      </c>
      <c r="JX195" s="26">
        <f t="shared" si="649"/>
        <v>132</v>
      </c>
    </row>
    <row r="196" spans="1:284" s="7" customFormat="1" x14ac:dyDescent="0.2">
      <c r="A196" s="406"/>
      <c r="B196" s="72" t="s">
        <v>199</v>
      </c>
      <c r="C196" s="73"/>
      <c r="D196" s="73"/>
      <c r="E196" s="73"/>
      <c r="F196" s="73"/>
      <c r="G196" s="73"/>
      <c r="H196" s="549"/>
      <c r="I196" s="74" t="s">
        <v>46</v>
      </c>
      <c r="J196" s="463"/>
      <c r="K196" s="463" t="s">
        <v>505</v>
      </c>
      <c r="L196" s="36">
        <f t="shared" ref="L196:AQ196" si="650">IF(L195="","",L23)</f>
        <v>44561</v>
      </c>
      <c r="M196" s="36">
        <f t="shared" si="650"/>
        <v>44592</v>
      </c>
      <c r="N196" s="36">
        <f t="shared" si="650"/>
        <v>44620</v>
      </c>
      <c r="O196" s="36">
        <f t="shared" si="650"/>
        <v>44651</v>
      </c>
      <c r="P196" s="36">
        <f t="shared" si="650"/>
        <v>44681</v>
      </c>
      <c r="Q196" s="36">
        <f t="shared" si="650"/>
        <v>44712</v>
      </c>
      <c r="R196" s="36">
        <f t="shared" si="650"/>
        <v>44742</v>
      </c>
      <c r="S196" s="36">
        <f t="shared" si="650"/>
        <v>44773</v>
      </c>
      <c r="T196" s="36">
        <f t="shared" si="650"/>
        <v>44804</v>
      </c>
      <c r="U196" s="36">
        <f t="shared" si="650"/>
        <v>44834</v>
      </c>
      <c r="V196" s="36">
        <f t="shared" si="650"/>
        <v>44865</v>
      </c>
      <c r="W196" s="36">
        <f t="shared" si="650"/>
        <v>44895</v>
      </c>
      <c r="X196" s="36">
        <f t="shared" si="650"/>
        <v>44926</v>
      </c>
      <c r="Y196" s="36">
        <f t="shared" si="650"/>
        <v>44957</v>
      </c>
      <c r="Z196" s="36">
        <f t="shared" si="650"/>
        <v>44985</v>
      </c>
      <c r="AA196" s="36">
        <f t="shared" si="650"/>
        <v>45016</v>
      </c>
      <c r="AB196" s="36">
        <f t="shared" si="650"/>
        <v>45046</v>
      </c>
      <c r="AC196" s="36">
        <f t="shared" si="650"/>
        <v>45077</v>
      </c>
      <c r="AD196" s="36">
        <f t="shared" si="650"/>
        <v>45107</v>
      </c>
      <c r="AE196" s="36">
        <f t="shared" si="650"/>
        <v>45138</v>
      </c>
      <c r="AF196" s="36">
        <f t="shared" si="650"/>
        <v>45169</v>
      </c>
      <c r="AG196" s="36">
        <f t="shared" si="650"/>
        <v>45199</v>
      </c>
      <c r="AH196" s="36">
        <f t="shared" si="650"/>
        <v>45230</v>
      </c>
      <c r="AI196" s="36">
        <f t="shared" si="650"/>
        <v>45260</v>
      </c>
      <c r="AJ196" s="36">
        <f t="shared" si="650"/>
        <v>45291</v>
      </c>
      <c r="AK196" s="36">
        <f t="shared" si="650"/>
        <v>45322</v>
      </c>
      <c r="AL196" s="36">
        <f t="shared" si="650"/>
        <v>45351</v>
      </c>
      <c r="AM196" s="36">
        <f t="shared" si="650"/>
        <v>45382</v>
      </c>
      <c r="AN196" s="36">
        <f t="shared" si="650"/>
        <v>45412</v>
      </c>
      <c r="AO196" s="36">
        <f t="shared" si="650"/>
        <v>45443</v>
      </c>
      <c r="AP196" s="36">
        <f t="shared" si="650"/>
        <v>45473</v>
      </c>
      <c r="AQ196" s="36">
        <f t="shared" si="650"/>
        <v>45504</v>
      </c>
      <c r="AR196" s="36">
        <f t="shared" ref="AR196:BW196" si="651">IF(AR195="","",AR23)</f>
        <v>45535</v>
      </c>
      <c r="AS196" s="36">
        <f t="shared" si="651"/>
        <v>45565</v>
      </c>
      <c r="AT196" s="36">
        <f t="shared" si="651"/>
        <v>45596</v>
      </c>
      <c r="AU196" s="36">
        <f t="shared" si="651"/>
        <v>45626</v>
      </c>
      <c r="AV196" s="36">
        <f t="shared" si="651"/>
        <v>45657</v>
      </c>
      <c r="AW196" s="36">
        <f t="shared" si="651"/>
        <v>45688</v>
      </c>
      <c r="AX196" s="36">
        <f t="shared" si="651"/>
        <v>45716</v>
      </c>
      <c r="AY196" s="36">
        <f t="shared" si="651"/>
        <v>45747</v>
      </c>
      <c r="AZ196" s="36">
        <f t="shared" si="651"/>
        <v>45777</v>
      </c>
      <c r="BA196" s="36">
        <f t="shared" si="651"/>
        <v>45808</v>
      </c>
      <c r="BB196" s="36">
        <f t="shared" si="651"/>
        <v>45838</v>
      </c>
      <c r="BC196" s="36">
        <f t="shared" si="651"/>
        <v>45869</v>
      </c>
      <c r="BD196" s="36">
        <f t="shared" si="651"/>
        <v>45900</v>
      </c>
      <c r="BE196" s="36">
        <f t="shared" si="651"/>
        <v>45930</v>
      </c>
      <c r="BF196" s="36" t="str">
        <f t="shared" si="651"/>
        <v/>
      </c>
      <c r="BG196" s="36" t="str">
        <f t="shared" si="651"/>
        <v/>
      </c>
      <c r="BH196" s="36" t="str">
        <f t="shared" si="651"/>
        <v/>
      </c>
      <c r="BI196" s="36" t="str">
        <f t="shared" si="651"/>
        <v/>
      </c>
      <c r="BJ196" s="36" t="str">
        <f t="shared" si="651"/>
        <v/>
      </c>
      <c r="BK196" s="36" t="str">
        <f t="shared" si="651"/>
        <v/>
      </c>
      <c r="BL196" s="36" t="str">
        <f t="shared" si="651"/>
        <v/>
      </c>
      <c r="BM196" s="36" t="str">
        <f t="shared" si="651"/>
        <v/>
      </c>
      <c r="BN196" s="36" t="str">
        <f t="shared" si="651"/>
        <v/>
      </c>
      <c r="BO196" s="36" t="str">
        <f t="shared" si="651"/>
        <v/>
      </c>
      <c r="BP196" s="36" t="str">
        <f t="shared" si="651"/>
        <v/>
      </c>
      <c r="BQ196" s="36" t="str">
        <f t="shared" si="651"/>
        <v/>
      </c>
      <c r="BR196" s="36" t="str">
        <f t="shared" si="651"/>
        <v/>
      </c>
      <c r="BS196" s="36" t="str">
        <f t="shared" si="651"/>
        <v/>
      </c>
      <c r="BT196" s="36" t="str">
        <f t="shared" si="651"/>
        <v/>
      </c>
      <c r="BU196" s="36" t="str">
        <f t="shared" si="651"/>
        <v/>
      </c>
      <c r="BV196" s="36" t="str">
        <f t="shared" si="651"/>
        <v/>
      </c>
      <c r="BW196" s="36" t="str">
        <f t="shared" si="651"/>
        <v/>
      </c>
      <c r="BX196" s="36" t="str">
        <f t="shared" ref="BX196:DC196" si="652">IF(BX195="","",BX23)</f>
        <v/>
      </c>
      <c r="BY196" s="36" t="str">
        <f t="shared" si="652"/>
        <v/>
      </c>
      <c r="BZ196" s="36" t="str">
        <f t="shared" si="652"/>
        <v/>
      </c>
      <c r="CA196" s="36" t="str">
        <f t="shared" si="652"/>
        <v/>
      </c>
      <c r="CB196" s="36" t="str">
        <f t="shared" si="652"/>
        <v/>
      </c>
      <c r="CC196" s="36" t="str">
        <f t="shared" si="652"/>
        <v/>
      </c>
      <c r="CD196" s="36" t="str">
        <f t="shared" si="652"/>
        <v/>
      </c>
      <c r="CE196" s="36" t="str">
        <f t="shared" si="652"/>
        <v/>
      </c>
      <c r="CF196" s="36" t="str">
        <f t="shared" si="652"/>
        <v/>
      </c>
      <c r="CG196" s="36" t="str">
        <f t="shared" si="652"/>
        <v/>
      </c>
      <c r="CH196" s="36" t="str">
        <f t="shared" si="652"/>
        <v/>
      </c>
      <c r="CI196" s="36" t="str">
        <f t="shared" si="652"/>
        <v/>
      </c>
      <c r="CJ196" s="36" t="str">
        <f t="shared" si="652"/>
        <v/>
      </c>
      <c r="CK196" s="36" t="str">
        <f t="shared" si="652"/>
        <v/>
      </c>
      <c r="CL196" s="36" t="str">
        <f t="shared" si="652"/>
        <v/>
      </c>
      <c r="CM196" s="36" t="str">
        <f t="shared" si="652"/>
        <v/>
      </c>
      <c r="CN196" s="36" t="str">
        <f t="shared" si="652"/>
        <v/>
      </c>
      <c r="CO196" s="36" t="str">
        <f t="shared" si="652"/>
        <v/>
      </c>
      <c r="CP196" s="36" t="str">
        <f t="shared" si="652"/>
        <v/>
      </c>
      <c r="CQ196" s="36" t="str">
        <f t="shared" si="652"/>
        <v/>
      </c>
      <c r="CR196" s="36" t="str">
        <f t="shared" si="652"/>
        <v/>
      </c>
      <c r="CS196" s="36" t="str">
        <f t="shared" si="652"/>
        <v/>
      </c>
      <c r="CT196" s="36" t="str">
        <f t="shared" si="652"/>
        <v/>
      </c>
      <c r="CU196" s="36" t="str">
        <f t="shared" si="652"/>
        <v/>
      </c>
      <c r="CV196" s="36" t="str">
        <f t="shared" si="652"/>
        <v/>
      </c>
      <c r="CW196" s="36" t="str">
        <f t="shared" si="652"/>
        <v/>
      </c>
      <c r="CX196" s="36" t="str">
        <f t="shared" si="652"/>
        <v/>
      </c>
      <c r="CY196" s="36" t="str">
        <f t="shared" si="652"/>
        <v/>
      </c>
      <c r="CZ196" s="36" t="str">
        <f t="shared" si="652"/>
        <v/>
      </c>
      <c r="DA196" s="36" t="str">
        <f t="shared" si="652"/>
        <v/>
      </c>
      <c r="DB196" s="36" t="str">
        <f t="shared" si="652"/>
        <v/>
      </c>
      <c r="DC196" s="36" t="str">
        <f t="shared" si="652"/>
        <v/>
      </c>
      <c r="DD196" s="36" t="str">
        <f t="shared" ref="DD196:EI196" si="653">IF(DD195="","",DD23)</f>
        <v/>
      </c>
      <c r="DE196" s="36" t="str">
        <f t="shared" si="653"/>
        <v/>
      </c>
      <c r="DF196" s="36" t="str">
        <f t="shared" si="653"/>
        <v/>
      </c>
      <c r="DG196" s="36" t="str">
        <f t="shared" si="653"/>
        <v/>
      </c>
      <c r="DH196" s="36" t="str">
        <f t="shared" si="653"/>
        <v/>
      </c>
      <c r="DI196" s="36" t="str">
        <f t="shared" si="653"/>
        <v/>
      </c>
      <c r="DJ196" s="36" t="str">
        <f t="shared" si="653"/>
        <v/>
      </c>
      <c r="DK196" s="36" t="str">
        <f t="shared" si="653"/>
        <v/>
      </c>
      <c r="DL196" s="36" t="str">
        <f t="shared" si="653"/>
        <v/>
      </c>
      <c r="DM196" s="36" t="str">
        <f t="shared" si="653"/>
        <v/>
      </c>
      <c r="DN196" s="36" t="str">
        <f t="shared" si="653"/>
        <v/>
      </c>
      <c r="DO196" s="36" t="str">
        <f t="shared" si="653"/>
        <v/>
      </c>
      <c r="DP196" s="36" t="str">
        <f t="shared" si="653"/>
        <v/>
      </c>
      <c r="DQ196" s="36" t="str">
        <f t="shared" si="653"/>
        <v/>
      </c>
      <c r="DR196" s="36" t="str">
        <f t="shared" si="653"/>
        <v/>
      </c>
      <c r="DS196" s="36" t="str">
        <f t="shared" si="653"/>
        <v/>
      </c>
      <c r="DT196" s="36" t="str">
        <f t="shared" si="653"/>
        <v/>
      </c>
      <c r="DU196" s="36" t="str">
        <f t="shared" si="653"/>
        <v/>
      </c>
      <c r="DV196" s="36" t="str">
        <f t="shared" si="653"/>
        <v/>
      </c>
      <c r="DW196" s="36" t="str">
        <f t="shared" si="653"/>
        <v/>
      </c>
      <c r="DX196" s="36" t="str">
        <f t="shared" si="653"/>
        <v/>
      </c>
      <c r="DY196" s="36" t="str">
        <f t="shared" si="653"/>
        <v/>
      </c>
      <c r="DZ196" s="36" t="str">
        <f t="shared" si="653"/>
        <v/>
      </c>
      <c r="EA196" s="36" t="str">
        <f t="shared" si="653"/>
        <v/>
      </c>
      <c r="EB196" s="36" t="str">
        <f t="shared" si="653"/>
        <v/>
      </c>
      <c r="EC196" s="36" t="str">
        <f t="shared" si="653"/>
        <v/>
      </c>
      <c r="ED196" s="36" t="str">
        <f t="shared" si="653"/>
        <v/>
      </c>
      <c r="EE196" s="36" t="str">
        <f t="shared" si="653"/>
        <v/>
      </c>
      <c r="EF196" s="36" t="str">
        <f t="shared" si="653"/>
        <v/>
      </c>
      <c r="EG196" s="36" t="str">
        <f t="shared" si="653"/>
        <v/>
      </c>
      <c r="EH196" s="36" t="str">
        <f t="shared" si="653"/>
        <v/>
      </c>
      <c r="EI196" s="36" t="str">
        <f t="shared" si="653"/>
        <v/>
      </c>
      <c r="EJ196" s="36" t="str">
        <f t="shared" ref="EJ196:EN196" si="654">IF(EJ195="","",EJ23)</f>
        <v/>
      </c>
      <c r="EK196" s="36" t="str">
        <f t="shared" si="654"/>
        <v/>
      </c>
      <c r="EL196" s="36" t="str">
        <f t="shared" si="654"/>
        <v/>
      </c>
      <c r="EM196" s="36" t="str">
        <f t="shared" si="654"/>
        <v/>
      </c>
      <c r="EN196" s="36" t="str">
        <f t="shared" si="654"/>
        <v/>
      </c>
      <c r="EP196" s="37"/>
      <c r="EQ196" s="37"/>
      <c r="ER196" s="37"/>
      <c r="ES196" s="37"/>
      <c r="ET196" s="33" t="s">
        <v>194</v>
      </c>
      <c r="EU196" s="33"/>
      <c r="EV196" s="222">
        <f t="shared" ref="EV196:GA196" ca="1" si="655">IF(L213="",0,L213)</f>
        <v>-3753159.5276612928</v>
      </c>
      <c r="EW196" s="222">
        <f t="shared" ca="1" si="655"/>
        <v>-434615.43632992054</v>
      </c>
      <c r="EX196" s="222">
        <f t="shared" ca="1" si="655"/>
        <v>-595115.21586161223</v>
      </c>
      <c r="EY196" s="222">
        <f t="shared" ca="1" si="655"/>
        <v>-913409.18359364895</v>
      </c>
      <c r="EZ196" s="222">
        <f t="shared" ca="1" si="655"/>
        <v>-1467820.9038815256</v>
      </c>
      <c r="FA196" s="222">
        <f t="shared" ca="1" si="655"/>
        <v>-2309629.6734741665</v>
      </c>
      <c r="FB196" s="222">
        <f t="shared" ca="1" si="655"/>
        <v>-3409858.2075612606</v>
      </c>
      <c r="FC196" s="222">
        <f t="shared" ca="1" si="655"/>
        <v>-1753606.1237601093</v>
      </c>
      <c r="FD196" s="222">
        <f t="shared" ca="1" si="655"/>
        <v>0</v>
      </c>
      <c r="FE196" s="222">
        <f t="shared" ca="1" si="655"/>
        <v>0</v>
      </c>
      <c r="FF196" s="222">
        <f t="shared" ca="1" si="655"/>
        <v>0</v>
      </c>
      <c r="FG196" s="222">
        <f t="shared" ca="1" si="655"/>
        <v>0</v>
      </c>
      <c r="FH196" s="222">
        <f t="shared" ca="1" si="655"/>
        <v>0</v>
      </c>
      <c r="FI196" s="222">
        <f t="shared" ca="1" si="655"/>
        <v>0</v>
      </c>
      <c r="FJ196" s="222">
        <f t="shared" ca="1" si="655"/>
        <v>0</v>
      </c>
      <c r="FK196" s="222">
        <f t="shared" ca="1" si="655"/>
        <v>0</v>
      </c>
      <c r="FL196" s="222">
        <f t="shared" ca="1" si="655"/>
        <v>0</v>
      </c>
      <c r="FM196" s="222">
        <f t="shared" ca="1" si="655"/>
        <v>0</v>
      </c>
      <c r="FN196" s="222">
        <f t="shared" ca="1" si="655"/>
        <v>0</v>
      </c>
      <c r="FO196" s="222">
        <f t="shared" ca="1" si="655"/>
        <v>0</v>
      </c>
      <c r="FP196" s="222">
        <f t="shared" ca="1" si="655"/>
        <v>1.4551915228366852E-11</v>
      </c>
      <c r="FQ196" s="222">
        <f t="shared" ca="1" si="655"/>
        <v>0</v>
      </c>
      <c r="FR196" s="222">
        <f t="shared" ca="1" si="655"/>
        <v>0</v>
      </c>
      <c r="FS196" s="222">
        <f t="shared" ca="1" si="655"/>
        <v>9.0949470177292824E-12</v>
      </c>
      <c r="FT196" s="222">
        <f t="shared" ca="1" si="655"/>
        <v>-1.0913936421275139E-11</v>
      </c>
      <c r="FU196" s="222">
        <f t="shared" ca="1" si="655"/>
        <v>0</v>
      </c>
      <c r="FV196" s="222">
        <f t="shared" ca="1" si="655"/>
        <v>0</v>
      </c>
      <c r="FW196" s="222">
        <f t="shared" ca="1" si="655"/>
        <v>0</v>
      </c>
      <c r="FX196" s="222">
        <f t="shared" ca="1" si="655"/>
        <v>0</v>
      </c>
      <c r="FY196" s="222">
        <f t="shared" ca="1" si="655"/>
        <v>0</v>
      </c>
      <c r="FZ196" s="222">
        <f t="shared" ca="1" si="655"/>
        <v>2097.4921349482902</v>
      </c>
      <c r="GA196" s="222">
        <f t="shared" ca="1" si="655"/>
        <v>18305.774212324439</v>
      </c>
      <c r="GB196" s="222">
        <f t="shared" ref="GB196:HG196" ca="1" si="656">IF(AR213="",0,AR213)</f>
        <v>50519.739807800041</v>
      </c>
      <c r="GC196" s="222">
        <f t="shared" ca="1" si="656"/>
        <v>89608.383249768522</v>
      </c>
      <c r="GD196" s="222">
        <f t="shared" ca="1" si="656"/>
        <v>90719.021124768537</v>
      </c>
      <c r="GE196" s="222">
        <f t="shared" ca="1" si="656"/>
        <v>91829.658999768551</v>
      </c>
      <c r="GF196" s="222">
        <f t="shared" ca="1" si="656"/>
        <v>92940.296874768566</v>
      </c>
      <c r="GG196" s="222">
        <f t="shared" ca="1" si="656"/>
        <v>94050.934749768523</v>
      </c>
      <c r="GH196" s="222">
        <f t="shared" ca="1" si="656"/>
        <v>95161.57262476848</v>
      </c>
      <c r="GI196" s="222">
        <f t="shared" ca="1" si="656"/>
        <v>96272.210499768553</v>
      </c>
      <c r="GJ196" s="222">
        <f t="shared" ca="1" si="656"/>
        <v>97382.84837476851</v>
      </c>
      <c r="GK196" s="222">
        <f t="shared" ca="1" si="656"/>
        <v>98493.486249768524</v>
      </c>
      <c r="GL196" s="222">
        <f t="shared" ca="1" si="656"/>
        <v>99604.124124768539</v>
      </c>
      <c r="GM196" s="222">
        <f t="shared" ca="1" si="656"/>
        <v>87001.109408082499</v>
      </c>
      <c r="GN196" s="222">
        <f t="shared" ca="1" si="656"/>
        <v>88145.066419332463</v>
      </c>
      <c r="GO196" s="222">
        <f t="shared" ca="1" si="656"/>
        <v>22258611.273515634</v>
      </c>
      <c r="GP196" s="222">
        <f t="shared" si="656"/>
        <v>0</v>
      </c>
      <c r="GQ196" s="222">
        <f t="shared" si="656"/>
        <v>0</v>
      </c>
      <c r="GR196" s="222">
        <f t="shared" si="656"/>
        <v>0</v>
      </c>
      <c r="GS196" s="222">
        <f t="shared" si="656"/>
        <v>0</v>
      </c>
      <c r="GT196" s="222">
        <f t="shared" si="656"/>
        <v>0</v>
      </c>
      <c r="GU196" s="222">
        <f t="shared" si="656"/>
        <v>0</v>
      </c>
      <c r="GV196" s="222">
        <f t="shared" si="656"/>
        <v>0</v>
      </c>
      <c r="GW196" s="222">
        <f t="shared" si="656"/>
        <v>0</v>
      </c>
      <c r="GX196" s="222">
        <f t="shared" si="656"/>
        <v>0</v>
      </c>
      <c r="GY196" s="222">
        <f t="shared" si="656"/>
        <v>0</v>
      </c>
      <c r="GZ196" s="222">
        <f t="shared" si="656"/>
        <v>0</v>
      </c>
      <c r="HA196" s="222">
        <f t="shared" si="656"/>
        <v>0</v>
      </c>
      <c r="HB196" s="222">
        <f t="shared" si="656"/>
        <v>0</v>
      </c>
      <c r="HC196" s="222">
        <f t="shared" si="656"/>
        <v>0</v>
      </c>
      <c r="HD196" s="222">
        <f t="shared" si="656"/>
        <v>0</v>
      </c>
      <c r="HE196" s="222">
        <f t="shared" si="656"/>
        <v>0</v>
      </c>
      <c r="HF196" s="222">
        <f t="shared" si="656"/>
        <v>0</v>
      </c>
      <c r="HG196" s="222">
        <f t="shared" si="656"/>
        <v>0</v>
      </c>
      <c r="HH196" s="222">
        <f t="shared" ref="HH196:IM196" si="657">IF(BX213="",0,BX213)</f>
        <v>0</v>
      </c>
      <c r="HI196" s="222">
        <f t="shared" si="657"/>
        <v>0</v>
      </c>
      <c r="HJ196" s="222">
        <f t="shared" si="657"/>
        <v>0</v>
      </c>
      <c r="HK196" s="222">
        <f t="shared" si="657"/>
        <v>0</v>
      </c>
      <c r="HL196" s="222">
        <f t="shared" si="657"/>
        <v>0</v>
      </c>
      <c r="HM196" s="222">
        <f t="shared" si="657"/>
        <v>0</v>
      </c>
      <c r="HN196" s="222">
        <f t="shared" si="657"/>
        <v>0</v>
      </c>
      <c r="HO196" s="222">
        <f t="shared" si="657"/>
        <v>0</v>
      </c>
      <c r="HP196" s="222">
        <f t="shared" si="657"/>
        <v>0</v>
      </c>
      <c r="HQ196" s="222">
        <f t="shared" si="657"/>
        <v>0</v>
      </c>
      <c r="HR196" s="222">
        <f t="shared" si="657"/>
        <v>0</v>
      </c>
      <c r="HS196" s="222">
        <f t="shared" si="657"/>
        <v>0</v>
      </c>
      <c r="HT196" s="222">
        <f t="shared" si="657"/>
        <v>0</v>
      </c>
      <c r="HU196" s="222">
        <f t="shared" si="657"/>
        <v>0</v>
      </c>
      <c r="HV196" s="222">
        <f t="shared" si="657"/>
        <v>0</v>
      </c>
      <c r="HW196" s="222">
        <f t="shared" si="657"/>
        <v>0</v>
      </c>
      <c r="HX196" s="222">
        <f t="shared" si="657"/>
        <v>0</v>
      </c>
      <c r="HY196" s="222">
        <f t="shared" si="657"/>
        <v>0</v>
      </c>
      <c r="HZ196" s="222">
        <f t="shared" si="657"/>
        <v>0</v>
      </c>
      <c r="IA196" s="222">
        <f t="shared" si="657"/>
        <v>0</v>
      </c>
      <c r="IB196" s="222">
        <f t="shared" si="657"/>
        <v>0</v>
      </c>
      <c r="IC196" s="222">
        <f t="shared" si="657"/>
        <v>0</v>
      </c>
      <c r="ID196" s="222">
        <f t="shared" si="657"/>
        <v>0</v>
      </c>
      <c r="IE196" s="222">
        <f t="shared" si="657"/>
        <v>0</v>
      </c>
      <c r="IF196" s="222">
        <f t="shared" si="657"/>
        <v>0</v>
      </c>
      <c r="IG196" s="222">
        <f t="shared" si="657"/>
        <v>0</v>
      </c>
      <c r="IH196" s="222">
        <f t="shared" si="657"/>
        <v>0</v>
      </c>
      <c r="II196" s="222">
        <f t="shared" si="657"/>
        <v>0</v>
      </c>
      <c r="IJ196" s="222">
        <f t="shared" si="657"/>
        <v>0</v>
      </c>
      <c r="IK196" s="222">
        <f t="shared" si="657"/>
        <v>0</v>
      </c>
      <c r="IL196" s="222">
        <f t="shared" si="657"/>
        <v>0</v>
      </c>
      <c r="IM196" s="222">
        <f t="shared" si="657"/>
        <v>0</v>
      </c>
      <c r="IN196" s="222">
        <f t="shared" ref="IN196:JS196" si="658">IF(DD213="",0,DD213)</f>
        <v>0</v>
      </c>
      <c r="IO196" s="222">
        <f t="shared" si="658"/>
        <v>0</v>
      </c>
      <c r="IP196" s="222">
        <f t="shared" si="658"/>
        <v>0</v>
      </c>
      <c r="IQ196" s="222">
        <f t="shared" si="658"/>
        <v>0</v>
      </c>
      <c r="IR196" s="222">
        <f t="shared" si="658"/>
        <v>0</v>
      </c>
      <c r="IS196" s="222">
        <f t="shared" si="658"/>
        <v>0</v>
      </c>
      <c r="IT196" s="222">
        <f t="shared" si="658"/>
        <v>0</v>
      </c>
      <c r="IU196" s="222">
        <f t="shared" si="658"/>
        <v>0</v>
      </c>
      <c r="IV196" s="222">
        <f t="shared" si="658"/>
        <v>0</v>
      </c>
      <c r="IW196" s="222">
        <f t="shared" si="658"/>
        <v>0</v>
      </c>
      <c r="IX196" s="222">
        <f t="shared" si="658"/>
        <v>0</v>
      </c>
      <c r="IY196" s="222">
        <f t="shared" si="658"/>
        <v>0</v>
      </c>
      <c r="IZ196" s="222">
        <f t="shared" si="658"/>
        <v>0</v>
      </c>
      <c r="JA196" s="222">
        <f t="shared" si="658"/>
        <v>0</v>
      </c>
      <c r="JB196" s="222">
        <f t="shared" si="658"/>
        <v>0</v>
      </c>
      <c r="JC196" s="222">
        <f t="shared" si="658"/>
        <v>0</v>
      </c>
      <c r="JD196" s="222">
        <f t="shared" si="658"/>
        <v>0</v>
      </c>
      <c r="JE196" s="222">
        <f t="shared" si="658"/>
        <v>0</v>
      </c>
      <c r="JF196" s="222">
        <f t="shared" si="658"/>
        <v>0</v>
      </c>
      <c r="JG196" s="222">
        <f t="shared" si="658"/>
        <v>0</v>
      </c>
      <c r="JH196" s="222">
        <f t="shared" si="658"/>
        <v>0</v>
      </c>
      <c r="JI196" s="222">
        <f t="shared" si="658"/>
        <v>0</v>
      </c>
      <c r="JJ196" s="222">
        <f t="shared" si="658"/>
        <v>0</v>
      </c>
      <c r="JK196" s="222">
        <f t="shared" si="658"/>
        <v>0</v>
      </c>
      <c r="JL196" s="222">
        <f t="shared" si="658"/>
        <v>0</v>
      </c>
      <c r="JM196" s="222">
        <f t="shared" si="658"/>
        <v>0</v>
      </c>
      <c r="JN196" s="222">
        <f t="shared" si="658"/>
        <v>0</v>
      </c>
      <c r="JO196" s="222">
        <f t="shared" si="658"/>
        <v>0</v>
      </c>
      <c r="JP196" s="222">
        <f t="shared" si="658"/>
        <v>0</v>
      </c>
      <c r="JQ196" s="222">
        <f t="shared" si="658"/>
        <v>0</v>
      </c>
      <c r="JR196" s="222">
        <f t="shared" si="658"/>
        <v>0</v>
      </c>
      <c r="JS196" s="222">
        <f t="shared" si="658"/>
        <v>0</v>
      </c>
      <c r="JT196" s="222">
        <f>IF(EJ213="",0,EJ213)</f>
        <v>0</v>
      </c>
      <c r="JU196" s="222">
        <f>IF(EK213="",0,EK213)</f>
        <v>0</v>
      </c>
      <c r="JV196" s="222">
        <f>IF(EL213="",0,EL213)</f>
        <v>0</v>
      </c>
      <c r="JW196" s="222">
        <f>IF(EM213="",0,EM213)</f>
        <v>0</v>
      </c>
      <c r="JX196" s="222">
        <f>IF(EN213="",0,EN213)</f>
        <v>0</v>
      </c>
    </row>
    <row r="197" spans="1:284" s="7" customFormat="1" x14ac:dyDescent="0.2">
      <c r="A197" s="406"/>
      <c r="B197" s="92" t="s">
        <v>189</v>
      </c>
      <c r="C197" s="120"/>
      <c r="D197" s="120"/>
      <c r="E197" s="120"/>
      <c r="F197" s="120"/>
      <c r="G197" s="120"/>
      <c r="H197" s="123"/>
      <c r="I197" s="123">
        <f>SUM(L197:EM197)</f>
        <v>54481737.460657418</v>
      </c>
      <c r="L197" s="38">
        <f t="shared" ref="L197:AQ197" si="659">IF(L195="","",L29+L35+L43)</f>
        <v>3028509</v>
      </c>
      <c r="M197" s="38">
        <f t="shared" si="659"/>
        <v>434615.43632992054</v>
      </c>
      <c r="N197" s="38">
        <f t="shared" si="659"/>
        <v>595115.21586161223</v>
      </c>
      <c r="O197" s="38">
        <f t="shared" si="659"/>
        <v>913409.18359364895</v>
      </c>
      <c r="P197" s="38">
        <f t="shared" si="659"/>
        <v>1467820.9038815256</v>
      </c>
      <c r="Q197" s="38">
        <f t="shared" si="659"/>
        <v>2309629.6734741665</v>
      </c>
      <c r="R197" s="38">
        <f t="shared" si="659"/>
        <v>3409858.2075612606</v>
      </c>
      <c r="S197" s="38">
        <f t="shared" si="659"/>
        <v>4618633.3206490651</v>
      </c>
      <c r="T197" s="38">
        <f t="shared" si="659"/>
        <v>5677109.6220104769</v>
      </c>
      <c r="U197" s="38">
        <f t="shared" si="659"/>
        <v>6300422.6669670288</v>
      </c>
      <c r="V197" s="38">
        <f t="shared" si="659"/>
        <v>6300422.6669670306</v>
      </c>
      <c r="W197" s="38">
        <f t="shared" si="659"/>
        <v>5677109.622010475</v>
      </c>
      <c r="X197" s="38">
        <f t="shared" si="659"/>
        <v>4618633.3206490669</v>
      </c>
      <c r="Y197" s="38">
        <f t="shared" si="659"/>
        <v>3409858.2075612592</v>
      </c>
      <c r="Z197" s="38">
        <f t="shared" si="659"/>
        <v>2309629.6734741665</v>
      </c>
      <c r="AA197" s="38">
        <f t="shared" si="659"/>
        <v>1467820.9038815245</v>
      </c>
      <c r="AB197" s="38">
        <f t="shared" si="659"/>
        <v>913409.1835936507</v>
      </c>
      <c r="AC197" s="38">
        <f t="shared" si="659"/>
        <v>595115.21586160944</v>
      </c>
      <c r="AD197" s="38">
        <f t="shared" si="659"/>
        <v>434615.43632992188</v>
      </c>
      <c r="AE197" s="38">
        <f t="shared" si="659"/>
        <v>0</v>
      </c>
      <c r="AF197" s="38">
        <f t="shared" si="659"/>
        <v>0</v>
      </c>
      <c r="AG197" s="38">
        <f t="shared" si="659"/>
        <v>0</v>
      </c>
      <c r="AH197" s="38">
        <f t="shared" si="659"/>
        <v>0</v>
      </c>
      <c r="AI197" s="38">
        <f t="shared" si="659"/>
        <v>0</v>
      </c>
      <c r="AJ197" s="38">
        <f t="shared" si="659"/>
        <v>0</v>
      </c>
      <c r="AK197" s="38">
        <f t="shared" si="659"/>
        <v>0</v>
      </c>
      <c r="AL197" s="38">
        <f t="shared" si="659"/>
        <v>0</v>
      </c>
      <c r="AM197" s="38">
        <f t="shared" si="659"/>
        <v>0</v>
      </c>
      <c r="AN197" s="38">
        <f t="shared" si="659"/>
        <v>0</v>
      </c>
      <c r="AO197" s="38">
        <f t="shared" si="659"/>
        <v>0</v>
      </c>
      <c r="AP197" s="38">
        <f t="shared" si="659"/>
        <v>0</v>
      </c>
      <c r="AQ197" s="38">
        <f t="shared" si="659"/>
        <v>0</v>
      </c>
      <c r="AR197" s="38">
        <f t="shared" ref="AR197:BW197" si="660">IF(AR195="","",AR29+AR35+AR43)</f>
        <v>0</v>
      </c>
      <c r="AS197" s="38">
        <f t="shared" si="660"/>
        <v>0</v>
      </c>
      <c r="AT197" s="38">
        <f t="shared" si="660"/>
        <v>0</v>
      </c>
      <c r="AU197" s="38">
        <f t="shared" si="660"/>
        <v>0</v>
      </c>
      <c r="AV197" s="38">
        <f t="shared" si="660"/>
        <v>0</v>
      </c>
      <c r="AW197" s="38">
        <f t="shared" si="660"/>
        <v>0</v>
      </c>
      <c r="AX197" s="38">
        <f t="shared" si="660"/>
        <v>0</v>
      </c>
      <c r="AY197" s="38">
        <f t="shared" si="660"/>
        <v>0</v>
      </c>
      <c r="AZ197" s="38">
        <f t="shared" si="660"/>
        <v>0</v>
      </c>
      <c r="BA197" s="38">
        <f t="shared" si="660"/>
        <v>0</v>
      </c>
      <c r="BB197" s="38">
        <f t="shared" si="660"/>
        <v>0</v>
      </c>
      <c r="BC197" s="38">
        <f t="shared" si="660"/>
        <v>0</v>
      </c>
      <c r="BD197" s="38">
        <f t="shared" si="660"/>
        <v>0</v>
      </c>
      <c r="BE197" s="38">
        <f t="shared" si="660"/>
        <v>0</v>
      </c>
      <c r="BF197" s="38" t="str">
        <f t="shared" si="660"/>
        <v/>
      </c>
      <c r="BG197" s="38" t="str">
        <f t="shared" si="660"/>
        <v/>
      </c>
      <c r="BH197" s="38" t="str">
        <f t="shared" si="660"/>
        <v/>
      </c>
      <c r="BI197" s="38" t="str">
        <f t="shared" si="660"/>
        <v/>
      </c>
      <c r="BJ197" s="38" t="str">
        <f t="shared" si="660"/>
        <v/>
      </c>
      <c r="BK197" s="38" t="str">
        <f t="shared" si="660"/>
        <v/>
      </c>
      <c r="BL197" s="38" t="str">
        <f t="shared" si="660"/>
        <v/>
      </c>
      <c r="BM197" s="38" t="str">
        <f t="shared" si="660"/>
        <v/>
      </c>
      <c r="BN197" s="38" t="str">
        <f t="shared" si="660"/>
        <v/>
      </c>
      <c r="BO197" s="38" t="str">
        <f t="shared" si="660"/>
        <v/>
      </c>
      <c r="BP197" s="38" t="str">
        <f t="shared" si="660"/>
        <v/>
      </c>
      <c r="BQ197" s="38" t="str">
        <f t="shared" si="660"/>
        <v/>
      </c>
      <c r="BR197" s="38" t="str">
        <f t="shared" si="660"/>
        <v/>
      </c>
      <c r="BS197" s="38" t="str">
        <f t="shared" si="660"/>
        <v/>
      </c>
      <c r="BT197" s="38" t="str">
        <f t="shared" si="660"/>
        <v/>
      </c>
      <c r="BU197" s="38" t="str">
        <f t="shared" si="660"/>
        <v/>
      </c>
      <c r="BV197" s="38" t="str">
        <f t="shared" si="660"/>
        <v/>
      </c>
      <c r="BW197" s="38" t="str">
        <f t="shared" si="660"/>
        <v/>
      </c>
      <c r="BX197" s="38" t="str">
        <f t="shared" ref="BX197:DC197" si="661">IF(BX195="","",BX29+BX35+BX43)</f>
        <v/>
      </c>
      <c r="BY197" s="38" t="str">
        <f t="shared" si="661"/>
        <v/>
      </c>
      <c r="BZ197" s="38" t="str">
        <f t="shared" si="661"/>
        <v/>
      </c>
      <c r="CA197" s="38" t="str">
        <f t="shared" si="661"/>
        <v/>
      </c>
      <c r="CB197" s="38" t="str">
        <f t="shared" si="661"/>
        <v/>
      </c>
      <c r="CC197" s="38" t="str">
        <f t="shared" si="661"/>
        <v/>
      </c>
      <c r="CD197" s="38" t="str">
        <f t="shared" si="661"/>
        <v/>
      </c>
      <c r="CE197" s="38" t="str">
        <f t="shared" si="661"/>
        <v/>
      </c>
      <c r="CF197" s="38" t="str">
        <f t="shared" si="661"/>
        <v/>
      </c>
      <c r="CG197" s="38" t="str">
        <f t="shared" si="661"/>
        <v/>
      </c>
      <c r="CH197" s="38" t="str">
        <f t="shared" si="661"/>
        <v/>
      </c>
      <c r="CI197" s="38" t="str">
        <f t="shared" si="661"/>
        <v/>
      </c>
      <c r="CJ197" s="38" t="str">
        <f t="shared" si="661"/>
        <v/>
      </c>
      <c r="CK197" s="38" t="str">
        <f t="shared" si="661"/>
        <v/>
      </c>
      <c r="CL197" s="38" t="str">
        <f t="shared" si="661"/>
        <v/>
      </c>
      <c r="CM197" s="38" t="str">
        <f t="shared" si="661"/>
        <v/>
      </c>
      <c r="CN197" s="38" t="str">
        <f t="shared" si="661"/>
        <v/>
      </c>
      <c r="CO197" s="38" t="str">
        <f t="shared" si="661"/>
        <v/>
      </c>
      <c r="CP197" s="38" t="str">
        <f t="shared" si="661"/>
        <v/>
      </c>
      <c r="CQ197" s="38" t="str">
        <f t="shared" si="661"/>
        <v/>
      </c>
      <c r="CR197" s="38" t="str">
        <f t="shared" si="661"/>
        <v/>
      </c>
      <c r="CS197" s="38" t="str">
        <f t="shared" si="661"/>
        <v/>
      </c>
      <c r="CT197" s="38" t="str">
        <f t="shared" si="661"/>
        <v/>
      </c>
      <c r="CU197" s="38" t="str">
        <f t="shared" si="661"/>
        <v/>
      </c>
      <c r="CV197" s="38" t="str">
        <f t="shared" si="661"/>
        <v/>
      </c>
      <c r="CW197" s="38" t="str">
        <f t="shared" si="661"/>
        <v/>
      </c>
      <c r="CX197" s="38" t="str">
        <f t="shared" si="661"/>
        <v/>
      </c>
      <c r="CY197" s="38" t="str">
        <f t="shared" si="661"/>
        <v/>
      </c>
      <c r="CZ197" s="38" t="str">
        <f t="shared" si="661"/>
        <v/>
      </c>
      <c r="DA197" s="38" t="str">
        <f t="shared" si="661"/>
        <v/>
      </c>
      <c r="DB197" s="38" t="str">
        <f t="shared" si="661"/>
        <v/>
      </c>
      <c r="DC197" s="38" t="str">
        <f t="shared" si="661"/>
        <v/>
      </c>
      <c r="DD197" s="38" t="str">
        <f t="shared" ref="DD197:EN197" si="662">IF(DD195="","",DD29+DD35+DD43)</f>
        <v/>
      </c>
      <c r="DE197" s="38" t="str">
        <f t="shared" si="662"/>
        <v/>
      </c>
      <c r="DF197" s="38" t="str">
        <f t="shared" si="662"/>
        <v/>
      </c>
      <c r="DG197" s="38" t="str">
        <f t="shared" si="662"/>
        <v/>
      </c>
      <c r="DH197" s="38" t="str">
        <f t="shared" si="662"/>
        <v/>
      </c>
      <c r="DI197" s="38" t="str">
        <f t="shared" si="662"/>
        <v/>
      </c>
      <c r="DJ197" s="38" t="str">
        <f t="shared" si="662"/>
        <v/>
      </c>
      <c r="DK197" s="38" t="str">
        <f t="shared" si="662"/>
        <v/>
      </c>
      <c r="DL197" s="38" t="str">
        <f t="shared" si="662"/>
        <v/>
      </c>
      <c r="DM197" s="38" t="str">
        <f t="shared" si="662"/>
        <v/>
      </c>
      <c r="DN197" s="38" t="str">
        <f t="shared" si="662"/>
        <v/>
      </c>
      <c r="DO197" s="38" t="str">
        <f t="shared" si="662"/>
        <v/>
      </c>
      <c r="DP197" s="38" t="str">
        <f t="shared" si="662"/>
        <v/>
      </c>
      <c r="DQ197" s="38" t="str">
        <f t="shared" si="662"/>
        <v/>
      </c>
      <c r="DR197" s="38" t="str">
        <f t="shared" si="662"/>
        <v/>
      </c>
      <c r="DS197" s="38" t="str">
        <f t="shared" si="662"/>
        <v/>
      </c>
      <c r="DT197" s="38" t="str">
        <f t="shared" si="662"/>
        <v/>
      </c>
      <c r="DU197" s="38" t="str">
        <f t="shared" si="662"/>
        <v/>
      </c>
      <c r="DV197" s="38" t="str">
        <f t="shared" si="662"/>
        <v/>
      </c>
      <c r="DW197" s="38" t="str">
        <f t="shared" si="662"/>
        <v/>
      </c>
      <c r="DX197" s="38" t="str">
        <f t="shared" si="662"/>
        <v/>
      </c>
      <c r="DY197" s="38" t="str">
        <f t="shared" si="662"/>
        <v/>
      </c>
      <c r="DZ197" s="38" t="str">
        <f t="shared" si="662"/>
        <v/>
      </c>
      <c r="EA197" s="38" t="str">
        <f t="shared" si="662"/>
        <v/>
      </c>
      <c r="EB197" s="38" t="str">
        <f t="shared" si="662"/>
        <v/>
      </c>
      <c r="EC197" s="38" t="str">
        <f t="shared" si="662"/>
        <v/>
      </c>
      <c r="ED197" s="38" t="str">
        <f t="shared" si="662"/>
        <v/>
      </c>
      <c r="EE197" s="38" t="str">
        <f t="shared" si="662"/>
        <v/>
      </c>
      <c r="EF197" s="38" t="str">
        <f t="shared" si="662"/>
        <v/>
      </c>
      <c r="EG197" s="38" t="str">
        <f t="shared" si="662"/>
        <v/>
      </c>
      <c r="EH197" s="38" t="str">
        <f t="shared" si="662"/>
        <v/>
      </c>
      <c r="EI197" s="38" t="str">
        <f t="shared" si="662"/>
        <v/>
      </c>
      <c r="EJ197" s="38" t="str">
        <f t="shared" si="662"/>
        <v/>
      </c>
      <c r="EK197" s="38" t="str">
        <f t="shared" si="662"/>
        <v/>
      </c>
      <c r="EL197" s="38" t="str">
        <f t="shared" si="662"/>
        <v/>
      </c>
      <c r="EM197" s="38" t="str">
        <f t="shared" si="662"/>
        <v/>
      </c>
      <c r="EN197" s="38" t="str">
        <f t="shared" si="662"/>
        <v/>
      </c>
      <c r="EP197" s="221" t="s">
        <v>367</v>
      </c>
      <c r="EQ197" s="37"/>
      <c r="ER197" s="37"/>
      <c r="ES197" s="37"/>
      <c r="ET197" s="37"/>
      <c r="EU197" s="224"/>
      <c r="EV197" s="26">
        <f t="shared" ref="EV197:GA197" si="663">EV3</f>
        <v>0</v>
      </c>
      <c r="EW197" s="26">
        <f t="shared" si="663"/>
        <v>1</v>
      </c>
      <c r="EX197" s="26">
        <f t="shared" si="663"/>
        <v>2</v>
      </c>
      <c r="EY197" s="26">
        <f t="shared" si="663"/>
        <v>3</v>
      </c>
      <c r="EZ197" s="26">
        <f t="shared" si="663"/>
        <v>4</v>
      </c>
      <c r="FA197" s="26">
        <f t="shared" si="663"/>
        <v>5</v>
      </c>
      <c r="FB197" s="26">
        <f t="shared" si="663"/>
        <v>6</v>
      </c>
      <c r="FC197" s="26">
        <f t="shared" si="663"/>
        <v>7</v>
      </c>
      <c r="FD197" s="26">
        <f t="shared" si="663"/>
        <v>8</v>
      </c>
      <c r="FE197" s="26">
        <f t="shared" si="663"/>
        <v>9</v>
      </c>
      <c r="FF197" s="26">
        <f t="shared" si="663"/>
        <v>10</v>
      </c>
      <c r="FG197" s="26">
        <f t="shared" si="663"/>
        <v>11</v>
      </c>
      <c r="FH197" s="26">
        <f t="shared" si="663"/>
        <v>12</v>
      </c>
      <c r="FI197" s="26">
        <f t="shared" si="663"/>
        <v>13</v>
      </c>
      <c r="FJ197" s="26">
        <f t="shared" si="663"/>
        <v>14</v>
      </c>
      <c r="FK197" s="26">
        <f t="shared" si="663"/>
        <v>15</v>
      </c>
      <c r="FL197" s="26">
        <f t="shared" si="663"/>
        <v>16</v>
      </c>
      <c r="FM197" s="26">
        <f t="shared" si="663"/>
        <v>17</v>
      </c>
      <c r="FN197" s="26">
        <f t="shared" si="663"/>
        <v>18</v>
      </c>
      <c r="FO197" s="26">
        <f t="shared" si="663"/>
        <v>19</v>
      </c>
      <c r="FP197" s="26">
        <f t="shared" si="663"/>
        <v>20</v>
      </c>
      <c r="FQ197" s="26">
        <f t="shared" si="663"/>
        <v>21</v>
      </c>
      <c r="FR197" s="26">
        <f t="shared" si="663"/>
        <v>22</v>
      </c>
      <c r="FS197" s="26">
        <f t="shared" si="663"/>
        <v>23</v>
      </c>
      <c r="FT197" s="26">
        <f t="shared" si="663"/>
        <v>24</v>
      </c>
      <c r="FU197" s="26">
        <f t="shared" si="663"/>
        <v>25</v>
      </c>
      <c r="FV197" s="26">
        <f t="shared" si="663"/>
        <v>26</v>
      </c>
      <c r="FW197" s="26">
        <f t="shared" si="663"/>
        <v>27</v>
      </c>
      <c r="FX197" s="26">
        <f t="shared" si="663"/>
        <v>28</v>
      </c>
      <c r="FY197" s="26">
        <f t="shared" si="663"/>
        <v>29</v>
      </c>
      <c r="FZ197" s="26">
        <f t="shared" si="663"/>
        <v>30</v>
      </c>
      <c r="GA197" s="26">
        <f t="shared" si="663"/>
        <v>31</v>
      </c>
      <c r="GB197" s="26">
        <f t="shared" ref="GB197:HG197" si="664">GB3</f>
        <v>32</v>
      </c>
      <c r="GC197" s="26">
        <f t="shared" si="664"/>
        <v>33</v>
      </c>
      <c r="GD197" s="26">
        <f t="shared" si="664"/>
        <v>34</v>
      </c>
      <c r="GE197" s="26">
        <f t="shared" si="664"/>
        <v>35</v>
      </c>
      <c r="GF197" s="26">
        <f t="shared" si="664"/>
        <v>36</v>
      </c>
      <c r="GG197" s="26">
        <f t="shared" si="664"/>
        <v>37</v>
      </c>
      <c r="GH197" s="26">
        <f t="shared" si="664"/>
        <v>38</v>
      </c>
      <c r="GI197" s="26">
        <f t="shared" si="664"/>
        <v>39</v>
      </c>
      <c r="GJ197" s="26">
        <f t="shared" si="664"/>
        <v>40</v>
      </c>
      <c r="GK197" s="26">
        <f t="shared" si="664"/>
        <v>41</v>
      </c>
      <c r="GL197" s="26">
        <f t="shared" si="664"/>
        <v>42</v>
      </c>
      <c r="GM197" s="26">
        <f t="shared" si="664"/>
        <v>43</v>
      </c>
      <c r="GN197" s="26">
        <f t="shared" si="664"/>
        <v>44</v>
      </c>
      <c r="GO197" s="26">
        <f t="shared" si="664"/>
        <v>45</v>
      </c>
      <c r="GP197" s="26">
        <f t="shared" si="664"/>
        <v>46</v>
      </c>
      <c r="GQ197" s="26">
        <f t="shared" si="664"/>
        <v>47</v>
      </c>
      <c r="GR197" s="26">
        <f t="shared" si="664"/>
        <v>48</v>
      </c>
      <c r="GS197" s="26">
        <f t="shared" si="664"/>
        <v>49</v>
      </c>
      <c r="GT197" s="26">
        <f t="shared" si="664"/>
        <v>50</v>
      </c>
      <c r="GU197" s="26">
        <f t="shared" si="664"/>
        <v>51</v>
      </c>
      <c r="GV197" s="26">
        <f t="shared" si="664"/>
        <v>52</v>
      </c>
      <c r="GW197" s="26">
        <f t="shared" si="664"/>
        <v>53</v>
      </c>
      <c r="GX197" s="26">
        <f t="shared" si="664"/>
        <v>54</v>
      </c>
      <c r="GY197" s="26">
        <f t="shared" si="664"/>
        <v>55</v>
      </c>
      <c r="GZ197" s="26">
        <f t="shared" si="664"/>
        <v>56</v>
      </c>
      <c r="HA197" s="26">
        <f t="shared" si="664"/>
        <v>57</v>
      </c>
      <c r="HB197" s="26">
        <f t="shared" si="664"/>
        <v>58</v>
      </c>
      <c r="HC197" s="26">
        <f t="shared" si="664"/>
        <v>59</v>
      </c>
      <c r="HD197" s="26">
        <f t="shared" si="664"/>
        <v>60</v>
      </c>
      <c r="HE197" s="26">
        <f t="shared" si="664"/>
        <v>61</v>
      </c>
      <c r="HF197" s="26">
        <f t="shared" si="664"/>
        <v>62</v>
      </c>
      <c r="HG197" s="26">
        <f t="shared" si="664"/>
        <v>63</v>
      </c>
      <c r="HH197" s="26">
        <f t="shared" ref="HH197:IM197" si="665">HH3</f>
        <v>64</v>
      </c>
      <c r="HI197" s="26">
        <f t="shared" si="665"/>
        <v>65</v>
      </c>
      <c r="HJ197" s="26">
        <f t="shared" si="665"/>
        <v>66</v>
      </c>
      <c r="HK197" s="26">
        <f t="shared" si="665"/>
        <v>67</v>
      </c>
      <c r="HL197" s="26">
        <f t="shared" si="665"/>
        <v>68</v>
      </c>
      <c r="HM197" s="26">
        <f t="shared" si="665"/>
        <v>69</v>
      </c>
      <c r="HN197" s="26">
        <f t="shared" si="665"/>
        <v>70</v>
      </c>
      <c r="HO197" s="26">
        <f t="shared" si="665"/>
        <v>71</v>
      </c>
      <c r="HP197" s="26">
        <f t="shared" si="665"/>
        <v>72</v>
      </c>
      <c r="HQ197" s="26">
        <f t="shared" si="665"/>
        <v>73</v>
      </c>
      <c r="HR197" s="26">
        <f t="shared" si="665"/>
        <v>74</v>
      </c>
      <c r="HS197" s="26">
        <f t="shared" si="665"/>
        <v>75</v>
      </c>
      <c r="HT197" s="26">
        <f t="shared" si="665"/>
        <v>76</v>
      </c>
      <c r="HU197" s="26">
        <f t="shared" si="665"/>
        <v>77</v>
      </c>
      <c r="HV197" s="26">
        <f t="shared" si="665"/>
        <v>78</v>
      </c>
      <c r="HW197" s="26">
        <f t="shared" si="665"/>
        <v>79</v>
      </c>
      <c r="HX197" s="26">
        <f t="shared" si="665"/>
        <v>80</v>
      </c>
      <c r="HY197" s="26">
        <f t="shared" si="665"/>
        <v>81</v>
      </c>
      <c r="HZ197" s="26">
        <f t="shared" si="665"/>
        <v>82</v>
      </c>
      <c r="IA197" s="26">
        <f t="shared" si="665"/>
        <v>83</v>
      </c>
      <c r="IB197" s="26">
        <f t="shared" si="665"/>
        <v>84</v>
      </c>
      <c r="IC197" s="26">
        <f t="shared" si="665"/>
        <v>85</v>
      </c>
      <c r="ID197" s="26">
        <f t="shared" si="665"/>
        <v>86</v>
      </c>
      <c r="IE197" s="26">
        <f t="shared" si="665"/>
        <v>87</v>
      </c>
      <c r="IF197" s="26">
        <f t="shared" si="665"/>
        <v>88</v>
      </c>
      <c r="IG197" s="26">
        <f t="shared" si="665"/>
        <v>89</v>
      </c>
      <c r="IH197" s="26">
        <f t="shared" si="665"/>
        <v>90</v>
      </c>
      <c r="II197" s="26">
        <f t="shared" si="665"/>
        <v>91</v>
      </c>
      <c r="IJ197" s="26">
        <f t="shared" si="665"/>
        <v>92</v>
      </c>
      <c r="IK197" s="26">
        <f t="shared" si="665"/>
        <v>93</v>
      </c>
      <c r="IL197" s="26">
        <f t="shared" si="665"/>
        <v>94</v>
      </c>
      <c r="IM197" s="26">
        <f t="shared" si="665"/>
        <v>95</v>
      </c>
      <c r="IN197" s="26">
        <f t="shared" ref="IN197:JX197" si="666">IN3</f>
        <v>96</v>
      </c>
      <c r="IO197" s="26">
        <f t="shared" si="666"/>
        <v>97</v>
      </c>
      <c r="IP197" s="26">
        <f t="shared" si="666"/>
        <v>98</v>
      </c>
      <c r="IQ197" s="26">
        <f t="shared" si="666"/>
        <v>99</v>
      </c>
      <c r="IR197" s="26">
        <f t="shared" si="666"/>
        <v>100</v>
      </c>
      <c r="IS197" s="26">
        <f t="shared" si="666"/>
        <v>101</v>
      </c>
      <c r="IT197" s="26">
        <f t="shared" si="666"/>
        <v>102</v>
      </c>
      <c r="IU197" s="26">
        <f t="shared" si="666"/>
        <v>103</v>
      </c>
      <c r="IV197" s="26">
        <f t="shared" si="666"/>
        <v>104</v>
      </c>
      <c r="IW197" s="26">
        <f t="shared" si="666"/>
        <v>105</v>
      </c>
      <c r="IX197" s="26">
        <f t="shared" si="666"/>
        <v>106</v>
      </c>
      <c r="IY197" s="26">
        <f t="shared" si="666"/>
        <v>107</v>
      </c>
      <c r="IZ197" s="26">
        <f t="shared" si="666"/>
        <v>108</v>
      </c>
      <c r="JA197" s="26">
        <f t="shared" si="666"/>
        <v>109</v>
      </c>
      <c r="JB197" s="26">
        <f t="shared" si="666"/>
        <v>110</v>
      </c>
      <c r="JC197" s="26">
        <f t="shared" si="666"/>
        <v>111</v>
      </c>
      <c r="JD197" s="26">
        <f t="shared" si="666"/>
        <v>112</v>
      </c>
      <c r="JE197" s="26">
        <f t="shared" si="666"/>
        <v>113</v>
      </c>
      <c r="JF197" s="26">
        <f t="shared" si="666"/>
        <v>114</v>
      </c>
      <c r="JG197" s="26">
        <f t="shared" si="666"/>
        <v>115</v>
      </c>
      <c r="JH197" s="26">
        <f t="shared" si="666"/>
        <v>116</v>
      </c>
      <c r="JI197" s="26">
        <f t="shared" si="666"/>
        <v>117</v>
      </c>
      <c r="JJ197" s="26">
        <f t="shared" si="666"/>
        <v>118</v>
      </c>
      <c r="JK197" s="26">
        <f t="shared" si="666"/>
        <v>119</v>
      </c>
      <c r="JL197" s="26">
        <f t="shared" si="666"/>
        <v>120</v>
      </c>
      <c r="JM197" s="26">
        <f t="shared" si="666"/>
        <v>121</v>
      </c>
      <c r="JN197" s="26">
        <f t="shared" si="666"/>
        <v>122</v>
      </c>
      <c r="JO197" s="26">
        <f t="shared" si="666"/>
        <v>123</v>
      </c>
      <c r="JP197" s="26">
        <f t="shared" si="666"/>
        <v>124</v>
      </c>
      <c r="JQ197" s="26">
        <f t="shared" si="666"/>
        <v>125</v>
      </c>
      <c r="JR197" s="26">
        <f t="shared" si="666"/>
        <v>126</v>
      </c>
      <c r="JS197" s="26">
        <f t="shared" si="666"/>
        <v>127</v>
      </c>
      <c r="JT197" s="26">
        <f t="shared" si="666"/>
        <v>128</v>
      </c>
      <c r="JU197" s="26">
        <f t="shared" si="666"/>
        <v>129</v>
      </c>
      <c r="JV197" s="26">
        <f t="shared" si="666"/>
        <v>130</v>
      </c>
      <c r="JW197" s="26">
        <f t="shared" si="666"/>
        <v>131</v>
      </c>
      <c r="JX197" s="26">
        <f t="shared" si="666"/>
        <v>132</v>
      </c>
    </row>
    <row r="198" spans="1:284" s="7" customFormat="1" x14ac:dyDescent="0.2">
      <c r="A198" s="406"/>
      <c r="B198" s="92" t="s">
        <v>190</v>
      </c>
      <c r="C198" s="120"/>
      <c r="D198" s="120"/>
      <c r="E198" s="120"/>
      <c r="F198" s="120"/>
      <c r="G198" s="120"/>
      <c r="H198" s="123"/>
      <c r="I198" s="123">
        <f>SUM(L198:EM198)</f>
        <v>6834218.348654422</v>
      </c>
      <c r="L198" s="49">
        <f t="shared" ref="L198:AQ198" si="667">IF(L195="","",(L3&lt;=ConstDebt_Payoff)*EV57)</f>
        <v>0</v>
      </c>
      <c r="M198" s="49">
        <f t="shared" si="667"/>
        <v>0</v>
      </c>
      <c r="N198" s="49">
        <f t="shared" si="667"/>
        <v>0</v>
      </c>
      <c r="O198" s="49">
        <f t="shared" si="667"/>
        <v>0</v>
      </c>
      <c r="P198" s="49">
        <f t="shared" si="667"/>
        <v>0</v>
      </c>
      <c r="Q198" s="49">
        <f t="shared" si="667"/>
        <v>0</v>
      </c>
      <c r="R198" s="49">
        <f t="shared" si="667"/>
        <v>0</v>
      </c>
      <c r="S198" s="49">
        <f t="shared" si="667"/>
        <v>0</v>
      </c>
      <c r="T198" s="49">
        <f t="shared" si="667"/>
        <v>11937.613320370649</v>
      </c>
      <c r="U198" s="49">
        <f t="shared" si="667"/>
        <v>35641.976800915851</v>
      </c>
      <c r="V198" s="49">
        <f t="shared" si="667"/>
        <v>62042.246149948951</v>
      </c>
      <c r="W198" s="49">
        <f t="shared" si="667"/>
        <v>88552.516621269693</v>
      </c>
      <c r="X198" s="49">
        <f t="shared" si="667"/>
        <v>112576.10886556865</v>
      </c>
      <c r="Y198" s="49">
        <f t="shared" si="667"/>
        <v>137740.51027931506</v>
      </c>
      <c r="Z198" s="49">
        <f t="shared" si="667"/>
        <v>158239.44718716296</v>
      </c>
      <c r="AA198" s="49">
        <f t="shared" si="667"/>
        <v>172436.75970598898</v>
      </c>
      <c r="AB198" s="49">
        <f t="shared" si="667"/>
        <v>181838.46913511437</v>
      </c>
      <c r="AC198" s="49">
        <f t="shared" si="667"/>
        <v>188124.93869292663</v>
      </c>
      <c r="AD198" s="49">
        <f t="shared" si="667"/>
        <v>192657.21471091127</v>
      </c>
      <c r="AE198" s="49">
        <f t="shared" si="667"/>
        <v>195584.4870824352</v>
      </c>
      <c r="AF198" s="49">
        <f t="shared" si="667"/>
        <v>197136.61394693644</v>
      </c>
      <c r="AG198" s="49">
        <f t="shared" si="667"/>
        <v>198550.03082795852</v>
      </c>
      <c r="AH198" s="49">
        <f t="shared" si="667"/>
        <v>199824.09041224525</v>
      </c>
      <c r="AI198" s="49">
        <f t="shared" si="667"/>
        <v>200958.14236574515</v>
      </c>
      <c r="AJ198" s="49">
        <f t="shared" si="667"/>
        <v>201951.53331951456</v>
      </c>
      <c r="AK198" s="49">
        <f t="shared" si="667"/>
        <v>202803.60685555474</v>
      </c>
      <c r="AL198" s="49">
        <f t="shared" si="667"/>
        <v>203513.70349258298</v>
      </c>
      <c r="AM198" s="49">
        <f t="shared" si="667"/>
        <v>204081.16067173716</v>
      </c>
      <c r="AN198" s="49">
        <f t="shared" si="667"/>
        <v>204505.31274221395</v>
      </c>
      <c r="AO198" s="49">
        <f t="shared" si="667"/>
        <v>204785.49094683948</v>
      </c>
      <c r="AP198" s="49">
        <f t="shared" si="667"/>
        <v>204921.02340757311</v>
      </c>
      <c r="AQ198" s="49">
        <f t="shared" si="667"/>
        <v>204921.02340757311</v>
      </c>
      <c r="AR198" s="49">
        <f t="shared" ref="AR198:BW198" si="668">IF(AR195="","",(AR3&lt;=ConstDebt_Payoff)*GB57)</f>
        <v>204921.02340757311</v>
      </c>
      <c r="AS198" s="49">
        <f t="shared" si="668"/>
        <v>204921.02340757311</v>
      </c>
      <c r="AT198" s="49">
        <f t="shared" si="668"/>
        <v>204921.02340757311</v>
      </c>
      <c r="AU198" s="49">
        <f t="shared" si="668"/>
        <v>204921.02340757311</v>
      </c>
      <c r="AV198" s="49">
        <f t="shared" si="668"/>
        <v>204921.02340757311</v>
      </c>
      <c r="AW198" s="49">
        <f t="shared" si="668"/>
        <v>204921.02340757311</v>
      </c>
      <c r="AX198" s="49">
        <f t="shared" si="668"/>
        <v>204921.02340757311</v>
      </c>
      <c r="AY198" s="49">
        <f t="shared" si="668"/>
        <v>204921.02340757311</v>
      </c>
      <c r="AZ198" s="49">
        <f t="shared" si="668"/>
        <v>204921.02340757311</v>
      </c>
      <c r="BA198" s="49">
        <f t="shared" si="668"/>
        <v>204921.02340757311</v>
      </c>
      <c r="BB198" s="49">
        <f t="shared" si="668"/>
        <v>204921.02340757311</v>
      </c>
      <c r="BC198" s="49">
        <f t="shared" si="668"/>
        <v>204921.02340757311</v>
      </c>
      <c r="BD198" s="49">
        <f t="shared" si="668"/>
        <v>204921.02340757311</v>
      </c>
      <c r="BE198" s="49">
        <f t="shared" si="668"/>
        <v>204921.02340757311</v>
      </c>
      <c r="BF198" s="49" t="str">
        <f t="shared" si="668"/>
        <v/>
      </c>
      <c r="BG198" s="49" t="str">
        <f t="shared" si="668"/>
        <v/>
      </c>
      <c r="BH198" s="49" t="str">
        <f t="shared" si="668"/>
        <v/>
      </c>
      <c r="BI198" s="49" t="str">
        <f t="shared" si="668"/>
        <v/>
      </c>
      <c r="BJ198" s="49" t="str">
        <f t="shared" si="668"/>
        <v/>
      </c>
      <c r="BK198" s="49" t="str">
        <f t="shared" si="668"/>
        <v/>
      </c>
      <c r="BL198" s="49" t="str">
        <f t="shared" si="668"/>
        <v/>
      </c>
      <c r="BM198" s="49" t="str">
        <f t="shared" si="668"/>
        <v/>
      </c>
      <c r="BN198" s="49" t="str">
        <f t="shared" si="668"/>
        <v/>
      </c>
      <c r="BO198" s="49" t="str">
        <f t="shared" si="668"/>
        <v/>
      </c>
      <c r="BP198" s="49" t="str">
        <f t="shared" si="668"/>
        <v/>
      </c>
      <c r="BQ198" s="49" t="str">
        <f t="shared" si="668"/>
        <v/>
      </c>
      <c r="BR198" s="49" t="str">
        <f t="shared" si="668"/>
        <v/>
      </c>
      <c r="BS198" s="49" t="str">
        <f t="shared" si="668"/>
        <v/>
      </c>
      <c r="BT198" s="49" t="str">
        <f t="shared" si="668"/>
        <v/>
      </c>
      <c r="BU198" s="49" t="str">
        <f t="shared" si="668"/>
        <v/>
      </c>
      <c r="BV198" s="49" t="str">
        <f t="shared" si="668"/>
        <v/>
      </c>
      <c r="BW198" s="49" t="str">
        <f t="shared" si="668"/>
        <v/>
      </c>
      <c r="BX198" s="49" t="str">
        <f t="shared" ref="BX198:DC198" si="669">IF(BX195="","",(BX3&lt;=ConstDebt_Payoff)*HH57)</f>
        <v/>
      </c>
      <c r="BY198" s="49" t="str">
        <f t="shared" si="669"/>
        <v/>
      </c>
      <c r="BZ198" s="49" t="str">
        <f t="shared" si="669"/>
        <v/>
      </c>
      <c r="CA198" s="49" t="str">
        <f t="shared" si="669"/>
        <v/>
      </c>
      <c r="CB198" s="49" t="str">
        <f t="shared" si="669"/>
        <v/>
      </c>
      <c r="CC198" s="49" t="str">
        <f t="shared" si="669"/>
        <v/>
      </c>
      <c r="CD198" s="49" t="str">
        <f t="shared" si="669"/>
        <v/>
      </c>
      <c r="CE198" s="49" t="str">
        <f t="shared" si="669"/>
        <v/>
      </c>
      <c r="CF198" s="49" t="str">
        <f t="shared" si="669"/>
        <v/>
      </c>
      <c r="CG198" s="49" t="str">
        <f t="shared" si="669"/>
        <v/>
      </c>
      <c r="CH198" s="49" t="str">
        <f t="shared" si="669"/>
        <v/>
      </c>
      <c r="CI198" s="49" t="str">
        <f t="shared" si="669"/>
        <v/>
      </c>
      <c r="CJ198" s="49" t="str">
        <f t="shared" si="669"/>
        <v/>
      </c>
      <c r="CK198" s="49" t="str">
        <f t="shared" si="669"/>
        <v/>
      </c>
      <c r="CL198" s="49" t="str">
        <f t="shared" si="669"/>
        <v/>
      </c>
      <c r="CM198" s="49" t="str">
        <f t="shared" si="669"/>
        <v/>
      </c>
      <c r="CN198" s="49" t="str">
        <f t="shared" si="669"/>
        <v/>
      </c>
      <c r="CO198" s="49" t="str">
        <f t="shared" si="669"/>
        <v/>
      </c>
      <c r="CP198" s="49" t="str">
        <f t="shared" si="669"/>
        <v/>
      </c>
      <c r="CQ198" s="49" t="str">
        <f t="shared" si="669"/>
        <v/>
      </c>
      <c r="CR198" s="49" t="str">
        <f t="shared" si="669"/>
        <v/>
      </c>
      <c r="CS198" s="49" t="str">
        <f t="shared" si="669"/>
        <v/>
      </c>
      <c r="CT198" s="49" t="str">
        <f t="shared" si="669"/>
        <v/>
      </c>
      <c r="CU198" s="49" t="str">
        <f t="shared" si="669"/>
        <v/>
      </c>
      <c r="CV198" s="49" t="str">
        <f t="shared" si="669"/>
        <v/>
      </c>
      <c r="CW198" s="49" t="str">
        <f t="shared" si="669"/>
        <v/>
      </c>
      <c r="CX198" s="49" t="str">
        <f t="shared" si="669"/>
        <v/>
      </c>
      <c r="CY198" s="49" t="str">
        <f t="shared" si="669"/>
        <v/>
      </c>
      <c r="CZ198" s="49" t="str">
        <f t="shared" si="669"/>
        <v/>
      </c>
      <c r="DA198" s="49" t="str">
        <f t="shared" si="669"/>
        <v/>
      </c>
      <c r="DB198" s="49" t="str">
        <f t="shared" si="669"/>
        <v/>
      </c>
      <c r="DC198" s="49" t="str">
        <f t="shared" si="669"/>
        <v/>
      </c>
      <c r="DD198" s="49" t="str">
        <f t="shared" ref="DD198:EI198" si="670">IF(DD195="","",(DD3&lt;=ConstDebt_Payoff)*IN57)</f>
        <v/>
      </c>
      <c r="DE198" s="49" t="str">
        <f t="shared" si="670"/>
        <v/>
      </c>
      <c r="DF198" s="49" t="str">
        <f t="shared" si="670"/>
        <v/>
      </c>
      <c r="DG198" s="49" t="str">
        <f t="shared" si="670"/>
        <v/>
      </c>
      <c r="DH198" s="49" t="str">
        <f t="shared" si="670"/>
        <v/>
      </c>
      <c r="DI198" s="49" t="str">
        <f t="shared" si="670"/>
        <v/>
      </c>
      <c r="DJ198" s="49" t="str">
        <f t="shared" si="670"/>
        <v/>
      </c>
      <c r="DK198" s="49" t="str">
        <f t="shared" si="670"/>
        <v/>
      </c>
      <c r="DL198" s="49" t="str">
        <f t="shared" si="670"/>
        <v/>
      </c>
      <c r="DM198" s="49" t="str">
        <f t="shared" si="670"/>
        <v/>
      </c>
      <c r="DN198" s="49" t="str">
        <f t="shared" si="670"/>
        <v/>
      </c>
      <c r="DO198" s="49" t="str">
        <f t="shared" si="670"/>
        <v/>
      </c>
      <c r="DP198" s="49" t="str">
        <f t="shared" si="670"/>
        <v/>
      </c>
      <c r="DQ198" s="49" t="str">
        <f t="shared" si="670"/>
        <v/>
      </c>
      <c r="DR198" s="49" t="str">
        <f t="shared" si="670"/>
        <v/>
      </c>
      <c r="DS198" s="49" t="str">
        <f t="shared" si="670"/>
        <v/>
      </c>
      <c r="DT198" s="49" t="str">
        <f t="shared" si="670"/>
        <v/>
      </c>
      <c r="DU198" s="49" t="str">
        <f t="shared" si="670"/>
        <v/>
      </c>
      <c r="DV198" s="49" t="str">
        <f t="shared" si="670"/>
        <v/>
      </c>
      <c r="DW198" s="49" t="str">
        <f t="shared" si="670"/>
        <v/>
      </c>
      <c r="DX198" s="49" t="str">
        <f t="shared" si="670"/>
        <v/>
      </c>
      <c r="DY198" s="49" t="str">
        <f t="shared" si="670"/>
        <v/>
      </c>
      <c r="DZ198" s="49" t="str">
        <f t="shared" si="670"/>
        <v/>
      </c>
      <c r="EA198" s="49" t="str">
        <f t="shared" si="670"/>
        <v/>
      </c>
      <c r="EB198" s="49" t="str">
        <f t="shared" si="670"/>
        <v/>
      </c>
      <c r="EC198" s="49" t="str">
        <f t="shared" si="670"/>
        <v/>
      </c>
      <c r="ED198" s="49" t="str">
        <f t="shared" si="670"/>
        <v/>
      </c>
      <c r="EE198" s="49" t="str">
        <f t="shared" si="670"/>
        <v/>
      </c>
      <c r="EF198" s="49" t="str">
        <f t="shared" si="670"/>
        <v/>
      </c>
      <c r="EG198" s="49" t="str">
        <f t="shared" si="670"/>
        <v/>
      </c>
      <c r="EH198" s="49" t="str">
        <f t="shared" si="670"/>
        <v/>
      </c>
      <c r="EI198" s="49" t="str">
        <f t="shared" si="670"/>
        <v/>
      </c>
      <c r="EJ198" s="49" t="str">
        <f t="shared" ref="EJ198:EN198" si="671">IF(EJ195="","",(EJ3&lt;=ConstDebt_Payoff)*JT57)</f>
        <v/>
      </c>
      <c r="EK198" s="49" t="str">
        <f t="shared" si="671"/>
        <v/>
      </c>
      <c r="EL198" s="49" t="str">
        <f t="shared" si="671"/>
        <v/>
      </c>
      <c r="EM198" s="49" t="str">
        <f t="shared" si="671"/>
        <v/>
      </c>
      <c r="EN198" s="49" t="str">
        <f t="shared" si="671"/>
        <v/>
      </c>
      <c r="EP198" s="37"/>
      <c r="EQ198" s="37"/>
      <c r="ER198" s="37"/>
      <c r="ES198" s="37"/>
      <c r="ET198" s="37"/>
      <c r="EU198" s="33"/>
      <c r="EV198" s="37"/>
      <c r="EW198" s="37"/>
      <c r="EX198" s="37"/>
      <c r="EY198" s="37"/>
      <c r="EZ198" s="37"/>
      <c r="FA198" s="37"/>
      <c r="FB198" s="37"/>
      <c r="FC198" s="37"/>
      <c r="FD198" s="37"/>
      <c r="FE198" s="37"/>
      <c r="FF198" s="37"/>
      <c r="FG198" s="37"/>
      <c r="FH198" s="37"/>
      <c r="FI198" s="37"/>
      <c r="FJ198" s="37"/>
      <c r="FK198" s="37"/>
      <c r="FL198" s="37"/>
      <c r="FM198" s="37"/>
      <c r="FN198" s="37"/>
      <c r="FO198" s="37"/>
      <c r="FP198" s="37"/>
      <c r="FQ198" s="37"/>
      <c r="FR198" s="37"/>
      <c r="FS198" s="37"/>
      <c r="FT198" s="37"/>
      <c r="FU198" s="37"/>
      <c r="FV198" s="37"/>
      <c r="FW198" s="37"/>
      <c r="FX198" s="37"/>
      <c r="FY198" s="37"/>
      <c r="FZ198" s="37"/>
      <c r="GA198" s="37"/>
      <c r="GB198" s="37"/>
      <c r="GC198" s="37"/>
      <c r="GD198" s="37"/>
      <c r="GE198" s="37"/>
      <c r="GF198" s="37"/>
      <c r="GG198" s="37"/>
      <c r="GH198" s="37"/>
      <c r="GI198" s="37"/>
      <c r="GJ198" s="37"/>
      <c r="GK198" s="37"/>
      <c r="GL198" s="37"/>
      <c r="GM198" s="37"/>
      <c r="GN198" s="37"/>
      <c r="GO198" s="37"/>
      <c r="GP198" s="37"/>
      <c r="GQ198" s="37"/>
      <c r="GR198" s="37"/>
      <c r="GS198" s="37"/>
      <c r="GT198" s="37"/>
      <c r="GU198" s="37"/>
      <c r="GV198" s="37"/>
      <c r="GW198" s="37"/>
      <c r="GX198" s="37"/>
      <c r="GY198" s="37"/>
      <c r="GZ198" s="37"/>
      <c r="HA198" s="37"/>
      <c r="HB198" s="37"/>
      <c r="HC198" s="37"/>
      <c r="HD198" s="37"/>
      <c r="HE198" s="37"/>
      <c r="HF198" s="37"/>
      <c r="HG198" s="37"/>
      <c r="HH198" s="37"/>
      <c r="HI198" s="37"/>
      <c r="HJ198" s="37"/>
      <c r="HK198" s="37"/>
      <c r="HL198" s="37"/>
      <c r="HM198" s="37"/>
      <c r="HN198" s="37"/>
      <c r="HO198" s="37"/>
      <c r="HP198" s="37"/>
      <c r="HQ198" s="37"/>
      <c r="HR198" s="37"/>
      <c r="HS198" s="37"/>
      <c r="HT198" s="37"/>
      <c r="HU198" s="37"/>
      <c r="HV198" s="37"/>
      <c r="HW198" s="37"/>
      <c r="HX198" s="37"/>
      <c r="HY198" s="37"/>
      <c r="HZ198" s="37"/>
      <c r="IA198" s="37"/>
      <c r="IB198" s="37"/>
      <c r="IC198" s="37"/>
      <c r="ID198" s="37"/>
      <c r="IE198" s="37"/>
      <c r="IF198" s="37"/>
      <c r="IG198" s="37"/>
      <c r="IH198" s="37"/>
      <c r="II198" s="37"/>
      <c r="IJ198" s="37"/>
      <c r="IK198" s="37"/>
      <c r="IL198" s="37"/>
      <c r="IM198" s="37"/>
      <c r="IN198" s="37"/>
      <c r="IO198" s="37"/>
      <c r="IP198" s="37"/>
      <c r="IQ198" s="37"/>
      <c r="IR198" s="37"/>
      <c r="IS198" s="37"/>
      <c r="IT198" s="37"/>
      <c r="IU198" s="37"/>
      <c r="IV198" s="37"/>
      <c r="IW198" s="37"/>
      <c r="IX198" s="37"/>
      <c r="IY198" s="37"/>
      <c r="IZ198" s="37"/>
      <c r="JA198" s="37"/>
      <c r="JB198" s="37"/>
      <c r="JC198" s="37"/>
      <c r="JD198" s="37"/>
      <c r="JE198" s="37"/>
      <c r="JF198" s="37"/>
      <c r="JG198" s="37"/>
      <c r="JH198" s="37"/>
      <c r="JI198" s="37"/>
      <c r="JJ198" s="37"/>
      <c r="JK198" s="37"/>
      <c r="JL198" s="37"/>
      <c r="JM198" s="37"/>
      <c r="JN198" s="37"/>
      <c r="JO198" s="37"/>
      <c r="JP198" s="37"/>
      <c r="JQ198" s="37"/>
      <c r="JR198" s="37"/>
      <c r="JS198" s="37"/>
      <c r="JT198" s="37"/>
      <c r="JU198" s="37"/>
      <c r="JV198" s="37"/>
      <c r="JW198" s="37"/>
      <c r="JX198" s="37"/>
    </row>
    <row r="199" spans="1:284" s="7" customFormat="1" x14ac:dyDescent="0.2">
      <c r="A199" s="406"/>
      <c r="B199" s="92"/>
      <c r="C199" s="120"/>
      <c r="D199" s="120"/>
      <c r="E199" s="120"/>
      <c r="F199" s="120"/>
      <c r="G199" s="120"/>
      <c r="H199" s="120"/>
      <c r="I199" s="120"/>
      <c r="L199" s="49"/>
      <c r="M199" s="49"/>
      <c r="N199" s="49"/>
      <c r="O199" s="49"/>
      <c r="P199" s="49"/>
      <c r="Q199" s="49"/>
      <c r="R199" s="49"/>
      <c r="S199" s="49"/>
      <c r="T199" s="49"/>
      <c r="U199" s="49"/>
      <c r="V199" s="49"/>
      <c r="W199" s="49"/>
      <c r="X199" s="49"/>
      <c r="Y199" s="49"/>
      <c r="Z199" s="49"/>
      <c r="AA199" s="49"/>
      <c r="AB199" s="49"/>
      <c r="AC199" s="49"/>
      <c r="AD199" s="49"/>
      <c r="AE199" s="49"/>
      <c r="AF199" s="49"/>
      <c r="AG199" s="49"/>
      <c r="AH199" s="49"/>
      <c r="AI199" s="49"/>
      <c r="AJ199" s="49"/>
      <c r="AK199" s="49"/>
      <c r="AL199" s="49"/>
      <c r="AM199" s="49"/>
      <c r="AN199" s="49"/>
      <c r="AO199" s="49"/>
      <c r="AP199" s="49"/>
      <c r="AQ199" s="49"/>
      <c r="AR199" s="49"/>
      <c r="AS199" s="49"/>
      <c r="AT199" s="49"/>
      <c r="AU199" s="49"/>
      <c r="AV199" s="49"/>
      <c r="AW199" s="49"/>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c r="CD199" s="49"/>
      <c r="CE199" s="49"/>
      <c r="CF199" s="49"/>
      <c r="CG199" s="49"/>
      <c r="CH199" s="49"/>
      <c r="CI199" s="49"/>
      <c r="CJ199" s="49"/>
      <c r="CK199" s="49"/>
      <c r="CL199" s="49"/>
      <c r="CM199" s="49"/>
      <c r="CN199" s="49"/>
      <c r="CO199" s="49"/>
      <c r="CP199" s="49"/>
      <c r="CQ199" s="49"/>
      <c r="CR199" s="49"/>
      <c r="CS199" s="49"/>
      <c r="CT199" s="49"/>
      <c r="CU199" s="49"/>
      <c r="CV199" s="49"/>
      <c r="CW199" s="49"/>
      <c r="CX199" s="49"/>
      <c r="CY199" s="49"/>
      <c r="CZ199" s="49"/>
      <c r="DA199" s="49"/>
      <c r="DB199" s="49"/>
      <c r="DC199" s="49"/>
      <c r="DD199" s="49"/>
      <c r="DE199" s="49"/>
      <c r="DF199" s="49"/>
      <c r="DG199" s="49"/>
      <c r="DH199" s="49"/>
      <c r="DI199" s="49"/>
      <c r="DJ199" s="49"/>
      <c r="DK199" s="49"/>
      <c r="DL199" s="49"/>
      <c r="DM199" s="49"/>
      <c r="DN199" s="49"/>
      <c r="DO199" s="49"/>
      <c r="DP199" s="49"/>
      <c r="DQ199" s="49"/>
      <c r="DR199" s="49"/>
      <c r="DS199" s="49"/>
      <c r="DT199" s="49"/>
      <c r="DU199" s="49"/>
      <c r="DV199" s="49"/>
      <c r="DW199" s="49"/>
      <c r="DX199" s="49"/>
      <c r="DY199" s="49"/>
      <c r="DZ199" s="49"/>
      <c r="EA199" s="49"/>
      <c r="EB199" s="49"/>
      <c r="EC199" s="49"/>
      <c r="ED199" s="49"/>
      <c r="EE199" s="49"/>
      <c r="EF199" s="49"/>
      <c r="EG199" s="49"/>
      <c r="EH199" s="49"/>
      <c r="EI199" s="49"/>
      <c r="EJ199" s="49"/>
      <c r="EK199" s="49"/>
      <c r="EL199" s="49"/>
      <c r="EM199" s="49"/>
      <c r="EN199" s="49"/>
      <c r="EP199" s="37" t="s">
        <v>375</v>
      </c>
      <c r="EQ199" s="24"/>
      <c r="ER199" s="24"/>
      <c r="ES199" s="24"/>
      <c r="ET199" s="33" t="s">
        <v>368</v>
      </c>
      <c r="EU199" s="33"/>
      <c r="EV199" s="225">
        <f t="shared" ref="EV199:GA199" si="672">(EV$197&lt;=Timing_Reversion_Month)*EU203</f>
        <v>0</v>
      </c>
      <c r="EW199" s="225">
        <f t="shared" ca="1" si="672"/>
        <v>3565501.5512782279</v>
      </c>
      <c r="EX199" s="225">
        <f t="shared" ca="1" si="672"/>
        <v>4004083.9382559014</v>
      </c>
      <c r="EY199" s="225">
        <f t="shared" ca="1" si="672"/>
        <v>4598302.1208523931</v>
      </c>
      <c r="EZ199" s="225">
        <f t="shared" ca="1" si="672"/>
        <v>5499182.2953566201</v>
      </c>
      <c r="FA199" s="225">
        <f t="shared" ca="1" si="672"/>
        <v>6933246.5388210798</v>
      </c>
      <c r="FB199" s="225">
        <f t="shared" ca="1" si="672"/>
        <v>9177364.8780573085</v>
      </c>
      <c r="FC199" s="225">
        <f t="shared" ca="1" si="672"/>
        <v>12482874.411106823</v>
      </c>
      <c r="FD199" s="225">
        <f t="shared" ca="1" si="672"/>
        <v>14238768.340474503</v>
      </c>
      <c r="FE199" s="225">
        <f t="shared" ca="1" si="672"/>
        <v>14341391.747527875</v>
      </c>
      <c r="FF199" s="225">
        <f t="shared" ca="1" si="672"/>
        <v>14444754.794655683</v>
      </c>
      <c r="FG199" s="225">
        <f t="shared" ca="1" si="672"/>
        <v>14548862.812683081</v>
      </c>
      <c r="FH199" s="225">
        <f t="shared" ca="1" si="672"/>
        <v>14653721.170856206</v>
      </c>
      <c r="FI199" s="225">
        <f t="shared" ca="1" si="672"/>
        <v>14759335.277119083</v>
      </c>
      <c r="FJ199" s="225">
        <f t="shared" ca="1" si="672"/>
        <v>14865710.578392543</v>
      </c>
      <c r="FK199" s="225">
        <f t="shared" ca="1" si="672"/>
        <v>14972852.560855132</v>
      </c>
      <c r="FL199" s="225">
        <f t="shared" ca="1" si="672"/>
        <v>15080766.75022606</v>
      </c>
      <c r="FM199" s="225">
        <f t="shared" ca="1" si="672"/>
        <v>15189458.712050183</v>
      </c>
      <c r="FN199" s="225">
        <f t="shared" ca="1" si="672"/>
        <v>15298934.051985038</v>
      </c>
      <c r="FO199" s="225">
        <f t="shared" ca="1" si="672"/>
        <v>15409198.416089948</v>
      </c>
      <c r="FP199" s="225">
        <f t="shared" ca="1" si="672"/>
        <v>15520257.491117211</v>
      </c>
      <c r="FQ199" s="225">
        <f t="shared" ca="1" si="672"/>
        <v>15632117.004805386</v>
      </c>
      <c r="FR199" s="225">
        <f t="shared" ca="1" si="672"/>
        <v>15744782.726174697</v>
      </c>
      <c r="FS199" s="225">
        <f t="shared" ca="1" si="672"/>
        <v>15858260.465824563</v>
      </c>
      <c r="FT199" s="225">
        <f t="shared" ca="1" si="672"/>
        <v>15972556.07623327</v>
      </c>
      <c r="FU199" s="225">
        <f t="shared" ca="1" si="672"/>
        <v>16087675.452059807</v>
      </c>
      <c r="FV199" s="225">
        <f t="shared" ca="1" si="672"/>
        <v>16203624.530447878</v>
      </c>
      <c r="FW199" s="225">
        <f t="shared" ca="1" si="672"/>
        <v>16320409.2913321</v>
      </c>
      <c r="FX199" s="225">
        <f t="shared" ca="1" si="672"/>
        <v>16438035.757746411</v>
      </c>
      <c r="FY199" s="225">
        <f t="shared" ca="1" si="672"/>
        <v>16556509.996134706</v>
      </c>
      <c r="FZ199" s="225">
        <f t="shared" ca="1" si="672"/>
        <v>16675838.116663698</v>
      </c>
      <c r="GA199" s="225">
        <f t="shared" ca="1" si="672"/>
        <v>16794033.656009849</v>
      </c>
      <c r="GB199" s="225">
        <f t="shared" ref="GB199:HG199" ca="1" si="673">(GB$197&lt;=Timing_Reversion_Month)*GA203</f>
        <v>16897683.200849086</v>
      </c>
      <c r="GC199" s="225">
        <f t="shared" ca="1" si="673"/>
        <v>16971476.514153846</v>
      </c>
      <c r="GD199" s="225">
        <f t="shared" ca="1" si="673"/>
        <v>17008667.468456291</v>
      </c>
      <c r="GE199" s="225">
        <f t="shared" ca="1" si="673"/>
        <v>17045071.364009582</v>
      </c>
      <c r="GF199" s="225">
        <f t="shared" ca="1" si="673"/>
        <v>17080682.528226841</v>
      </c>
      <c r="GG199" s="225">
        <f t="shared" ca="1" si="673"/>
        <v>17115495.24763703</v>
      </c>
      <c r="GH199" s="225">
        <f t="shared" ca="1" si="673"/>
        <v>17149503.767590273</v>
      </c>
      <c r="GI199" s="225">
        <f t="shared" ca="1" si="673"/>
        <v>17182702.291961074</v>
      </c>
      <c r="GJ199" s="225">
        <f t="shared" ca="1" si="673"/>
        <v>17215084.982849378</v>
      </c>
      <c r="GK199" s="225">
        <f t="shared" ca="1" si="673"/>
        <v>17246645.960279513</v>
      </c>
      <c r="GL199" s="225">
        <f t="shared" ca="1" si="673"/>
        <v>17277379.301896911</v>
      </c>
      <c r="GM199" s="225">
        <f t="shared" ca="1" si="673"/>
        <v>17307279.04266268</v>
      </c>
      <c r="GN199" s="225">
        <f t="shared" ca="1" si="673"/>
        <v>17349367.144508071</v>
      </c>
      <c r="GO199" s="225">
        <f t="shared" ca="1" si="673"/>
        <v>17390671.829750534</v>
      </c>
      <c r="GP199" s="225">
        <f t="shared" ca="1" si="673"/>
        <v>0</v>
      </c>
      <c r="GQ199" s="225">
        <f t="shared" ca="1" si="673"/>
        <v>0</v>
      </c>
      <c r="GR199" s="225">
        <f t="shared" ca="1" si="673"/>
        <v>0</v>
      </c>
      <c r="GS199" s="225">
        <f t="shared" ca="1" si="673"/>
        <v>0</v>
      </c>
      <c r="GT199" s="225">
        <f t="shared" ca="1" si="673"/>
        <v>0</v>
      </c>
      <c r="GU199" s="225">
        <f t="shared" ca="1" si="673"/>
        <v>0</v>
      </c>
      <c r="GV199" s="225">
        <f t="shared" ca="1" si="673"/>
        <v>0</v>
      </c>
      <c r="GW199" s="225">
        <f t="shared" ca="1" si="673"/>
        <v>0</v>
      </c>
      <c r="GX199" s="225">
        <f t="shared" ca="1" si="673"/>
        <v>0</v>
      </c>
      <c r="GY199" s="225">
        <f t="shared" ca="1" si="673"/>
        <v>0</v>
      </c>
      <c r="GZ199" s="225">
        <f t="shared" ca="1" si="673"/>
        <v>0</v>
      </c>
      <c r="HA199" s="225">
        <f t="shared" ca="1" si="673"/>
        <v>0</v>
      </c>
      <c r="HB199" s="225">
        <f t="shared" ca="1" si="673"/>
        <v>0</v>
      </c>
      <c r="HC199" s="225">
        <f t="shared" ca="1" si="673"/>
        <v>0</v>
      </c>
      <c r="HD199" s="225">
        <f t="shared" ca="1" si="673"/>
        <v>0</v>
      </c>
      <c r="HE199" s="225">
        <f t="shared" ca="1" si="673"/>
        <v>0</v>
      </c>
      <c r="HF199" s="225">
        <f t="shared" ca="1" si="673"/>
        <v>0</v>
      </c>
      <c r="HG199" s="225">
        <f t="shared" ca="1" si="673"/>
        <v>0</v>
      </c>
      <c r="HH199" s="225">
        <f t="shared" ref="HH199:IM199" ca="1" si="674">(HH$197&lt;=Timing_Reversion_Month)*HG203</f>
        <v>0</v>
      </c>
      <c r="HI199" s="225">
        <f t="shared" ca="1" si="674"/>
        <v>0</v>
      </c>
      <c r="HJ199" s="225">
        <f t="shared" ca="1" si="674"/>
        <v>0</v>
      </c>
      <c r="HK199" s="225">
        <f t="shared" ca="1" si="674"/>
        <v>0</v>
      </c>
      <c r="HL199" s="225">
        <f t="shared" ca="1" si="674"/>
        <v>0</v>
      </c>
      <c r="HM199" s="225">
        <f t="shared" ca="1" si="674"/>
        <v>0</v>
      </c>
      <c r="HN199" s="225">
        <f t="shared" ca="1" si="674"/>
        <v>0</v>
      </c>
      <c r="HO199" s="225">
        <f t="shared" ca="1" si="674"/>
        <v>0</v>
      </c>
      <c r="HP199" s="225">
        <f t="shared" ca="1" si="674"/>
        <v>0</v>
      </c>
      <c r="HQ199" s="225">
        <f t="shared" ca="1" si="674"/>
        <v>0</v>
      </c>
      <c r="HR199" s="225">
        <f t="shared" ca="1" si="674"/>
        <v>0</v>
      </c>
      <c r="HS199" s="225">
        <f t="shared" ca="1" si="674"/>
        <v>0</v>
      </c>
      <c r="HT199" s="225">
        <f t="shared" ca="1" si="674"/>
        <v>0</v>
      </c>
      <c r="HU199" s="225">
        <f t="shared" ca="1" si="674"/>
        <v>0</v>
      </c>
      <c r="HV199" s="225">
        <f t="shared" ca="1" si="674"/>
        <v>0</v>
      </c>
      <c r="HW199" s="225">
        <f t="shared" ca="1" si="674"/>
        <v>0</v>
      </c>
      <c r="HX199" s="225">
        <f t="shared" ca="1" si="674"/>
        <v>0</v>
      </c>
      <c r="HY199" s="225">
        <f t="shared" ca="1" si="674"/>
        <v>0</v>
      </c>
      <c r="HZ199" s="225">
        <f t="shared" ca="1" si="674"/>
        <v>0</v>
      </c>
      <c r="IA199" s="225">
        <f t="shared" ca="1" si="674"/>
        <v>0</v>
      </c>
      <c r="IB199" s="225">
        <f t="shared" ca="1" si="674"/>
        <v>0</v>
      </c>
      <c r="IC199" s="225">
        <f t="shared" ca="1" si="674"/>
        <v>0</v>
      </c>
      <c r="ID199" s="225">
        <f t="shared" ca="1" si="674"/>
        <v>0</v>
      </c>
      <c r="IE199" s="225">
        <f t="shared" ca="1" si="674"/>
        <v>0</v>
      </c>
      <c r="IF199" s="225">
        <f t="shared" ca="1" si="674"/>
        <v>0</v>
      </c>
      <c r="IG199" s="225">
        <f t="shared" ca="1" si="674"/>
        <v>0</v>
      </c>
      <c r="IH199" s="225">
        <f t="shared" ca="1" si="674"/>
        <v>0</v>
      </c>
      <c r="II199" s="225">
        <f t="shared" ca="1" si="674"/>
        <v>0</v>
      </c>
      <c r="IJ199" s="225">
        <f t="shared" ca="1" si="674"/>
        <v>0</v>
      </c>
      <c r="IK199" s="225">
        <f t="shared" ca="1" si="674"/>
        <v>0</v>
      </c>
      <c r="IL199" s="225">
        <f t="shared" ca="1" si="674"/>
        <v>0</v>
      </c>
      <c r="IM199" s="225">
        <f t="shared" ca="1" si="674"/>
        <v>0</v>
      </c>
      <c r="IN199" s="225">
        <f t="shared" ref="IN199:JX199" ca="1" si="675">(IN$197&lt;=Timing_Reversion_Month)*IM203</f>
        <v>0</v>
      </c>
      <c r="IO199" s="225">
        <f t="shared" ca="1" si="675"/>
        <v>0</v>
      </c>
      <c r="IP199" s="225">
        <f t="shared" ca="1" si="675"/>
        <v>0</v>
      </c>
      <c r="IQ199" s="225">
        <f t="shared" ca="1" si="675"/>
        <v>0</v>
      </c>
      <c r="IR199" s="225">
        <f t="shared" ca="1" si="675"/>
        <v>0</v>
      </c>
      <c r="IS199" s="225">
        <f t="shared" ca="1" si="675"/>
        <v>0</v>
      </c>
      <c r="IT199" s="225">
        <f t="shared" ca="1" si="675"/>
        <v>0</v>
      </c>
      <c r="IU199" s="225">
        <f t="shared" ca="1" si="675"/>
        <v>0</v>
      </c>
      <c r="IV199" s="225">
        <f t="shared" ca="1" si="675"/>
        <v>0</v>
      </c>
      <c r="IW199" s="225">
        <f t="shared" ca="1" si="675"/>
        <v>0</v>
      </c>
      <c r="IX199" s="225">
        <f t="shared" ca="1" si="675"/>
        <v>0</v>
      </c>
      <c r="IY199" s="225">
        <f t="shared" ca="1" si="675"/>
        <v>0</v>
      </c>
      <c r="IZ199" s="225">
        <f t="shared" ca="1" si="675"/>
        <v>0</v>
      </c>
      <c r="JA199" s="225">
        <f t="shared" ca="1" si="675"/>
        <v>0</v>
      </c>
      <c r="JB199" s="225">
        <f t="shared" ca="1" si="675"/>
        <v>0</v>
      </c>
      <c r="JC199" s="225">
        <f t="shared" ca="1" si="675"/>
        <v>0</v>
      </c>
      <c r="JD199" s="225">
        <f t="shared" ca="1" si="675"/>
        <v>0</v>
      </c>
      <c r="JE199" s="225">
        <f t="shared" ca="1" si="675"/>
        <v>0</v>
      </c>
      <c r="JF199" s="225">
        <f t="shared" ca="1" si="675"/>
        <v>0</v>
      </c>
      <c r="JG199" s="225">
        <f t="shared" ca="1" si="675"/>
        <v>0</v>
      </c>
      <c r="JH199" s="225">
        <f t="shared" ca="1" si="675"/>
        <v>0</v>
      </c>
      <c r="JI199" s="225">
        <f t="shared" ca="1" si="675"/>
        <v>0</v>
      </c>
      <c r="JJ199" s="225">
        <f t="shared" ca="1" si="675"/>
        <v>0</v>
      </c>
      <c r="JK199" s="225">
        <f t="shared" ca="1" si="675"/>
        <v>0</v>
      </c>
      <c r="JL199" s="225">
        <f t="shared" ca="1" si="675"/>
        <v>0</v>
      </c>
      <c r="JM199" s="225">
        <f t="shared" ca="1" si="675"/>
        <v>0</v>
      </c>
      <c r="JN199" s="225">
        <f t="shared" ca="1" si="675"/>
        <v>0</v>
      </c>
      <c r="JO199" s="225">
        <f t="shared" ca="1" si="675"/>
        <v>0</v>
      </c>
      <c r="JP199" s="225">
        <f t="shared" ca="1" si="675"/>
        <v>0</v>
      </c>
      <c r="JQ199" s="225">
        <f t="shared" ca="1" si="675"/>
        <v>0</v>
      </c>
      <c r="JR199" s="225">
        <f t="shared" ca="1" si="675"/>
        <v>0</v>
      </c>
      <c r="JS199" s="225">
        <f t="shared" ca="1" si="675"/>
        <v>0</v>
      </c>
      <c r="JT199" s="225">
        <f t="shared" ca="1" si="675"/>
        <v>0</v>
      </c>
      <c r="JU199" s="225">
        <f t="shared" ca="1" si="675"/>
        <v>0</v>
      </c>
      <c r="JV199" s="225">
        <f t="shared" ca="1" si="675"/>
        <v>0</v>
      </c>
      <c r="JW199" s="225">
        <f t="shared" ca="1" si="675"/>
        <v>0</v>
      </c>
      <c r="JX199" s="225">
        <f t="shared" ca="1" si="675"/>
        <v>0</v>
      </c>
    </row>
    <row r="200" spans="1:284" s="7" customFormat="1" x14ac:dyDescent="0.2">
      <c r="A200" s="406"/>
      <c r="B200" s="92" t="s">
        <v>621</v>
      </c>
      <c r="C200" s="120"/>
      <c r="D200" s="120"/>
      <c r="E200" s="120"/>
      <c r="F200" s="120"/>
      <c r="G200" s="120"/>
      <c r="H200" s="123"/>
      <c r="I200" s="123">
        <f>SUM(L200:EM200)</f>
        <v>43911647.873051345</v>
      </c>
      <c r="L200" s="49">
        <f t="shared" ref="L200:AQ200" si="676">IF(L195="","",L71)</f>
        <v>0</v>
      </c>
      <c r="M200" s="49">
        <f t="shared" si="676"/>
        <v>0</v>
      </c>
      <c r="N200" s="49">
        <f t="shared" si="676"/>
        <v>0</v>
      </c>
      <c r="O200" s="49">
        <f t="shared" si="676"/>
        <v>0</v>
      </c>
      <c r="P200" s="49">
        <f t="shared" si="676"/>
        <v>0</v>
      </c>
      <c r="Q200" s="49">
        <f t="shared" si="676"/>
        <v>0</v>
      </c>
      <c r="R200" s="49">
        <f t="shared" si="676"/>
        <v>0</v>
      </c>
      <c r="S200" s="49">
        <f t="shared" si="676"/>
        <v>2865027.1968889558</v>
      </c>
      <c r="T200" s="49">
        <f t="shared" si="676"/>
        <v>5689047.2353308471</v>
      </c>
      <c r="U200" s="49">
        <f t="shared" si="676"/>
        <v>6336064.6437679445</v>
      </c>
      <c r="V200" s="49">
        <f t="shared" si="676"/>
        <v>6362464.9131169794</v>
      </c>
      <c r="W200" s="49">
        <f t="shared" si="676"/>
        <v>5765662.1386317443</v>
      </c>
      <c r="X200" s="49">
        <f t="shared" si="676"/>
        <v>4731209.4295146354</v>
      </c>
      <c r="Y200" s="49">
        <f t="shared" si="676"/>
        <v>3547598.7178405742</v>
      </c>
      <c r="Z200" s="49">
        <f t="shared" si="676"/>
        <v>2467869.1206613295</v>
      </c>
      <c r="AA200" s="49">
        <f t="shared" si="676"/>
        <v>1640257.6635875134</v>
      </c>
      <c r="AB200" s="49">
        <f t="shared" si="676"/>
        <v>1095247.652728765</v>
      </c>
      <c r="AC200" s="49">
        <f t="shared" si="676"/>
        <v>783240.1545545361</v>
      </c>
      <c r="AD200" s="49">
        <f t="shared" si="676"/>
        <v>627272.65104083321</v>
      </c>
      <c r="AE200" s="49">
        <f t="shared" si="676"/>
        <v>332598.6138216916</v>
      </c>
      <c r="AF200" s="49">
        <f t="shared" si="676"/>
        <v>302875.04593330395</v>
      </c>
      <c r="AG200" s="49">
        <f t="shared" si="676"/>
        <v>273012.76806143718</v>
      </c>
      <c r="AH200" s="49">
        <f t="shared" si="676"/>
        <v>243011.13289283498</v>
      </c>
      <c r="AI200" s="49">
        <f t="shared" si="676"/>
        <v>212869.49009344599</v>
      </c>
      <c r="AJ200" s="49">
        <f t="shared" si="676"/>
        <v>182587.1862943265</v>
      </c>
      <c r="AK200" s="49">
        <f t="shared" si="676"/>
        <v>152163.5650774778</v>
      </c>
      <c r="AL200" s="49">
        <f t="shared" si="676"/>
        <v>121597.96696161716</v>
      </c>
      <c r="AM200" s="49">
        <f t="shared" si="676"/>
        <v>90889.7293878825</v>
      </c>
      <c r="AN200" s="49">
        <f t="shared" si="676"/>
        <v>60038.186705470376</v>
      </c>
      <c r="AO200" s="49">
        <f t="shared" si="676"/>
        <v>29042.670157206972</v>
      </c>
      <c r="AP200" s="49">
        <f t="shared" si="676"/>
        <v>0</v>
      </c>
      <c r="AQ200" s="49">
        <f t="shared" si="676"/>
        <v>0</v>
      </c>
      <c r="AR200" s="49">
        <f t="shared" ref="AR200:BW200" si="677">IF(AR195="","",AR71)</f>
        <v>0</v>
      </c>
      <c r="AS200" s="49">
        <f t="shared" si="677"/>
        <v>0</v>
      </c>
      <c r="AT200" s="49">
        <f t="shared" si="677"/>
        <v>0</v>
      </c>
      <c r="AU200" s="49">
        <f t="shared" si="677"/>
        <v>0</v>
      </c>
      <c r="AV200" s="49">
        <f t="shared" si="677"/>
        <v>0</v>
      </c>
      <c r="AW200" s="49">
        <f t="shared" si="677"/>
        <v>0</v>
      </c>
      <c r="AX200" s="49">
        <f t="shared" si="677"/>
        <v>0</v>
      </c>
      <c r="AY200" s="49">
        <f t="shared" si="677"/>
        <v>0</v>
      </c>
      <c r="AZ200" s="49">
        <f t="shared" si="677"/>
        <v>0</v>
      </c>
      <c r="BA200" s="49">
        <f t="shared" si="677"/>
        <v>0</v>
      </c>
      <c r="BB200" s="49">
        <f t="shared" si="677"/>
        <v>0</v>
      </c>
      <c r="BC200" s="49">
        <f t="shared" si="677"/>
        <v>0</v>
      </c>
      <c r="BD200" s="49">
        <f t="shared" si="677"/>
        <v>0</v>
      </c>
      <c r="BE200" s="49">
        <f t="shared" si="677"/>
        <v>0</v>
      </c>
      <c r="BF200" s="49" t="str">
        <f t="shared" si="677"/>
        <v/>
      </c>
      <c r="BG200" s="49" t="str">
        <f t="shared" si="677"/>
        <v/>
      </c>
      <c r="BH200" s="49" t="str">
        <f t="shared" si="677"/>
        <v/>
      </c>
      <c r="BI200" s="49" t="str">
        <f t="shared" si="677"/>
        <v/>
      </c>
      <c r="BJ200" s="49" t="str">
        <f t="shared" si="677"/>
        <v/>
      </c>
      <c r="BK200" s="49" t="str">
        <f t="shared" si="677"/>
        <v/>
      </c>
      <c r="BL200" s="49" t="str">
        <f t="shared" si="677"/>
        <v/>
      </c>
      <c r="BM200" s="49" t="str">
        <f t="shared" si="677"/>
        <v/>
      </c>
      <c r="BN200" s="49" t="str">
        <f t="shared" si="677"/>
        <v/>
      </c>
      <c r="BO200" s="49" t="str">
        <f t="shared" si="677"/>
        <v/>
      </c>
      <c r="BP200" s="49" t="str">
        <f t="shared" si="677"/>
        <v/>
      </c>
      <c r="BQ200" s="49" t="str">
        <f t="shared" si="677"/>
        <v/>
      </c>
      <c r="BR200" s="49" t="str">
        <f t="shared" si="677"/>
        <v/>
      </c>
      <c r="BS200" s="49" t="str">
        <f t="shared" si="677"/>
        <v/>
      </c>
      <c r="BT200" s="49" t="str">
        <f t="shared" si="677"/>
        <v/>
      </c>
      <c r="BU200" s="49" t="str">
        <f t="shared" si="677"/>
        <v/>
      </c>
      <c r="BV200" s="49" t="str">
        <f t="shared" si="677"/>
        <v/>
      </c>
      <c r="BW200" s="49" t="str">
        <f t="shared" si="677"/>
        <v/>
      </c>
      <c r="BX200" s="49" t="str">
        <f t="shared" ref="BX200:DC200" si="678">IF(BX195="","",BX71)</f>
        <v/>
      </c>
      <c r="BY200" s="49" t="str">
        <f t="shared" si="678"/>
        <v/>
      </c>
      <c r="BZ200" s="49" t="str">
        <f t="shared" si="678"/>
        <v/>
      </c>
      <c r="CA200" s="49" t="str">
        <f t="shared" si="678"/>
        <v/>
      </c>
      <c r="CB200" s="49" t="str">
        <f t="shared" si="678"/>
        <v/>
      </c>
      <c r="CC200" s="49" t="str">
        <f t="shared" si="678"/>
        <v/>
      </c>
      <c r="CD200" s="49" t="str">
        <f t="shared" si="678"/>
        <v/>
      </c>
      <c r="CE200" s="49" t="str">
        <f t="shared" si="678"/>
        <v/>
      </c>
      <c r="CF200" s="49" t="str">
        <f t="shared" si="678"/>
        <v/>
      </c>
      <c r="CG200" s="49" t="str">
        <f t="shared" si="678"/>
        <v/>
      </c>
      <c r="CH200" s="49" t="str">
        <f t="shared" si="678"/>
        <v/>
      </c>
      <c r="CI200" s="49" t="str">
        <f t="shared" si="678"/>
        <v/>
      </c>
      <c r="CJ200" s="49" t="str">
        <f t="shared" si="678"/>
        <v/>
      </c>
      <c r="CK200" s="49" t="str">
        <f t="shared" si="678"/>
        <v/>
      </c>
      <c r="CL200" s="49" t="str">
        <f t="shared" si="678"/>
        <v/>
      </c>
      <c r="CM200" s="49" t="str">
        <f t="shared" si="678"/>
        <v/>
      </c>
      <c r="CN200" s="49" t="str">
        <f t="shared" si="678"/>
        <v/>
      </c>
      <c r="CO200" s="49" t="str">
        <f t="shared" si="678"/>
        <v/>
      </c>
      <c r="CP200" s="49" t="str">
        <f t="shared" si="678"/>
        <v/>
      </c>
      <c r="CQ200" s="49" t="str">
        <f t="shared" si="678"/>
        <v/>
      </c>
      <c r="CR200" s="49" t="str">
        <f t="shared" si="678"/>
        <v/>
      </c>
      <c r="CS200" s="49" t="str">
        <f t="shared" si="678"/>
        <v/>
      </c>
      <c r="CT200" s="49" t="str">
        <f t="shared" si="678"/>
        <v/>
      </c>
      <c r="CU200" s="49" t="str">
        <f t="shared" si="678"/>
        <v/>
      </c>
      <c r="CV200" s="49" t="str">
        <f t="shared" si="678"/>
        <v/>
      </c>
      <c r="CW200" s="49" t="str">
        <f t="shared" si="678"/>
        <v/>
      </c>
      <c r="CX200" s="49" t="str">
        <f t="shared" si="678"/>
        <v/>
      </c>
      <c r="CY200" s="49" t="str">
        <f t="shared" si="678"/>
        <v/>
      </c>
      <c r="CZ200" s="49" t="str">
        <f t="shared" si="678"/>
        <v/>
      </c>
      <c r="DA200" s="49" t="str">
        <f t="shared" si="678"/>
        <v/>
      </c>
      <c r="DB200" s="49" t="str">
        <f t="shared" si="678"/>
        <v/>
      </c>
      <c r="DC200" s="49" t="str">
        <f t="shared" si="678"/>
        <v/>
      </c>
      <c r="DD200" s="49" t="str">
        <f t="shared" ref="DD200:EN200" si="679">IF(DD195="","",DD71)</f>
        <v/>
      </c>
      <c r="DE200" s="49" t="str">
        <f t="shared" si="679"/>
        <v/>
      </c>
      <c r="DF200" s="49" t="str">
        <f t="shared" si="679"/>
        <v/>
      </c>
      <c r="DG200" s="49" t="str">
        <f t="shared" si="679"/>
        <v/>
      </c>
      <c r="DH200" s="49" t="str">
        <f t="shared" si="679"/>
        <v/>
      </c>
      <c r="DI200" s="49" t="str">
        <f t="shared" si="679"/>
        <v/>
      </c>
      <c r="DJ200" s="49" t="str">
        <f t="shared" si="679"/>
        <v/>
      </c>
      <c r="DK200" s="49" t="str">
        <f t="shared" si="679"/>
        <v/>
      </c>
      <c r="DL200" s="49" t="str">
        <f t="shared" si="679"/>
        <v/>
      </c>
      <c r="DM200" s="49" t="str">
        <f t="shared" si="679"/>
        <v/>
      </c>
      <c r="DN200" s="49" t="str">
        <f t="shared" si="679"/>
        <v/>
      </c>
      <c r="DO200" s="49" t="str">
        <f t="shared" si="679"/>
        <v/>
      </c>
      <c r="DP200" s="49" t="str">
        <f t="shared" si="679"/>
        <v/>
      </c>
      <c r="DQ200" s="49" t="str">
        <f t="shared" si="679"/>
        <v/>
      </c>
      <c r="DR200" s="49" t="str">
        <f t="shared" si="679"/>
        <v/>
      </c>
      <c r="DS200" s="49" t="str">
        <f t="shared" si="679"/>
        <v/>
      </c>
      <c r="DT200" s="49" t="str">
        <f t="shared" si="679"/>
        <v/>
      </c>
      <c r="DU200" s="49" t="str">
        <f t="shared" si="679"/>
        <v/>
      </c>
      <c r="DV200" s="49" t="str">
        <f t="shared" si="679"/>
        <v/>
      </c>
      <c r="DW200" s="49" t="str">
        <f t="shared" si="679"/>
        <v/>
      </c>
      <c r="DX200" s="49" t="str">
        <f t="shared" si="679"/>
        <v/>
      </c>
      <c r="DY200" s="49" t="str">
        <f t="shared" si="679"/>
        <v/>
      </c>
      <c r="DZ200" s="49" t="str">
        <f t="shared" si="679"/>
        <v/>
      </c>
      <c r="EA200" s="49" t="str">
        <f t="shared" si="679"/>
        <v/>
      </c>
      <c r="EB200" s="49" t="str">
        <f t="shared" si="679"/>
        <v/>
      </c>
      <c r="EC200" s="49" t="str">
        <f t="shared" si="679"/>
        <v/>
      </c>
      <c r="ED200" s="49" t="str">
        <f t="shared" si="679"/>
        <v/>
      </c>
      <c r="EE200" s="49" t="str">
        <f t="shared" si="679"/>
        <v/>
      </c>
      <c r="EF200" s="49" t="str">
        <f t="shared" si="679"/>
        <v/>
      </c>
      <c r="EG200" s="49" t="str">
        <f t="shared" si="679"/>
        <v/>
      </c>
      <c r="EH200" s="49" t="str">
        <f t="shared" si="679"/>
        <v/>
      </c>
      <c r="EI200" s="49" t="str">
        <f t="shared" si="679"/>
        <v/>
      </c>
      <c r="EJ200" s="49" t="str">
        <f t="shared" si="679"/>
        <v/>
      </c>
      <c r="EK200" s="49" t="str">
        <f t="shared" si="679"/>
        <v/>
      </c>
      <c r="EL200" s="49" t="str">
        <f t="shared" si="679"/>
        <v/>
      </c>
      <c r="EM200" s="49" t="str">
        <f t="shared" si="679"/>
        <v/>
      </c>
      <c r="EN200" s="49" t="str">
        <f t="shared" si="679"/>
        <v/>
      </c>
      <c r="EP200" s="37" t="s">
        <v>374</v>
      </c>
      <c r="EQ200" s="24"/>
      <c r="ER200" s="24"/>
      <c r="ES200" s="24"/>
      <c r="ET200" s="33" t="s">
        <v>377</v>
      </c>
      <c r="EU200" s="33"/>
      <c r="EV200" s="225">
        <f>(EV$197&lt;=Timing_Reversion_Month)*(EV199*((1+$EP203)^(1/12)-1))</f>
        <v>0</v>
      </c>
      <c r="EW200" s="225">
        <f t="shared" ref="EW200:GA200" ca="1" si="680">(EW$197&lt;=Timing_Reversion_Month)*(EW199*((1+$EP203)^(1/12)-1))</f>
        <v>25697.7224642492</v>
      </c>
      <c r="EX200" s="225">
        <f t="shared" ca="1" si="680"/>
        <v>28858.727527960284</v>
      </c>
      <c r="EY200" s="225">
        <f t="shared" ca="1" si="680"/>
        <v>33141.450090260361</v>
      </c>
      <c r="EZ200" s="225">
        <f t="shared" ca="1" si="680"/>
        <v>39634.384777009989</v>
      </c>
      <c r="FA200" s="225">
        <f t="shared" ca="1" si="680"/>
        <v>49970.149435769352</v>
      </c>
      <c r="FB200" s="225">
        <f t="shared" ca="1" si="680"/>
        <v>66144.235866316623</v>
      </c>
      <c r="FC200" s="225">
        <f t="shared" ca="1" si="680"/>
        <v>89968.11179557658</v>
      </c>
      <c r="FD200" s="225">
        <f t="shared" ca="1" si="680"/>
        <v>102623.40705337118</v>
      </c>
      <c r="FE200" s="225">
        <f t="shared" ca="1" si="680"/>
        <v>103363.04712780833</v>
      </c>
      <c r="FF200" s="225">
        <f t="shared" ca="1" si="680"/>
        <v>104108.01802739952</v>
      </c>
      <c r="FG200" s="225">
        <f t="shared" ca="1" si="680"/>
        <v>104858.35817312516</v>
      </c>
      <c r="FH200" s="225">
        <f t="shared" ca="1" si="680"/>
        <v>105614.10626287815</v>
      </c>
      <c r="FI200" s="225">
        <f t="shared" ca="1" si="680"/>
        <v>106375.30127345952</v>
      </c>
      <c r="FJ200" s="225">
        <f t="shared" ca="1" si="680"/>
        <v>107141.9824625888</v>
      </c>
      <c r="FK200" s="225">
        <f t="shared" ca="1" si="680"/>
        <v>107914.18937092852</v>
      </c>
      <c r="FL200" s="225">
        <f t="shared" ca="1" si="680"/>
        <v>108691.9618241236</v>
      </c>
      <c r="FM200" s="225">
        <f t="shared" ca="1" si="680"/>
        <v>109475.33993485525</v>
      </c>
      <c r="FN200" s="225">
        <f t="shared" ca="1" si="680"/>
        <v>110264.36410490972</v>
      </c>
      <c r="FO200" s="225">
        <f t="shared" ca="1" si="680"/>
        <v>111059.07502726204</v>
      </c>
      <c r="FP200" s="225">
        <f t="shared" ca="1" si="680"/>
        <v>111859.5136881746</v>
      </c>
      <c r="FQ200" s="225">
        <f t="shared" ca="1" si="680"/>
        <v>112665.7213693111</v>
      </c>
      <c r="FR200" s="225">
        <f t="shared" ca="1" si="680"/>
        <v>113477.7396498655</v>
      </c>
      <c r="FS200" s="225">
        <f t="shared" ca="1" si="680"/>
        <v>114295.61040870646</v>
      </c>
      <c r="FT200" s="225">
        <f t="shared" ca="1" si="680"/>
        <v>115119.37582653722</v>
      </c>
      <c r="FU200" s="225">
        <f t="shared" ca="1" si="680"/>
        <v>115949.07838807092</v>
      </c>
      <c r="FV200" s="225">
        <f t="shared" ca="1" si="680"/>
        <v>116784.76088422183</v>
      </c>
      <c r="FW200" s="225">
        <f t="shared" ca="1" si="680"/>
        <v>117626.46641431213</v>
      </c>
      <c r="FX200" s="225">
        <f t="shared" ca="1" si="680"/>
        <v>118474.23838829478</v>
      </c>
      <c r="FY200" s="225">
        <f t="shared" ca="1" si="680"/>
        <v>119328.12052899227</v>
      </c>
      <c r="FZ200" s="225">
        <f t="shared" ca="1" si="680"/>
        <v>120188.15687435164</v>
      </c>
      <c r="GA200" s="225">
        <f t="shared" ca="1" si="680"/>
        <v>121040.03034094452</v>
      </c>
      <c r="GB200" s="225">
        <f t="shared" ref="GB200:HG200" ca="1" si="681">(GB$197&lt;=Timing_Reversion_Month)*(GB199*((1+$EP203)^(1/12)-1))</f>
        <v>121787.06612217131</v>
      </c>
      <c r="GC200" s="225">
        <f t="shared" ca="1" si="681"/>
        <v>122318.91838972768</v>
      </c>
      <c r="GD200" s="225">
        <f t="shared" ca="1" si="681"/>
        <v>122586.96562182107</v>
      </c>
      <c r="GE200" s="225">
        <f t="shared" ca="1" si="681"/>
        <v>122849.3402670405</v>
      </c>
      <c r="GF200" s="225">
        <f t="shared" ca="1" si="681"/>
        <v>123106.00144121834</v>
      </c>
      <c r="GG200" s="225">
        <f t="shared" ca="1" si="681"/>
        <v>123356.90796552152</v>
      </c>
      <c r="GH200" s="225">
        <f t="shared" ca="1" si="681"/>
        <v>123602.01836432783</v>
      </c>
      <c r="GI200" s="225">
        <f t="shared" ca="1" si="681"/>
        <v>123841.29086308683</v>
      </c>
      <c r="GJ200" s="225">
        <f t="shared" ca="1" si="681"/>
        <v>124074.68338616536</v>
      </c>
      <c r="GK200" s="225">
        <f t="shared" ca="1" si="681"/>
        <v>124302.15355467763</v>
      </c>
      <c r="GL200" s="225">
        <f t="shared" ca="1" si="681"/>
        <v>124523.6586842995</v>
      </c>
      <c r="GM200" s="225">
        <f t="shared" ca="1" si="681"/>
        <v>124739.15578306706</v>
      </c>
      <c r="GN200" s="225">
        <f t="shared" ca="1" si="681"/>
        <v>125042.49834082929</v>
      </c>
      <c r="GO200" s="225">
        <f t="shared" ca="1" si="681"/>
        <v>125340.19456184299</v>
      </c>
      <c r="GP200" s="225">
        <f t="shared" ca="1" si="681"/>
        <v>0</v>
      </c>
      <c r="GQ200" s="225">
        <f t="shared" ca="1" si="681"/>
        <v>0</v>
      </c>
      <c r="GR200" s="225">
        <f t="shared" ca="1" si="681"/>
        <v>0</v>
      </c>
      <c r="GS200" s="225">
        <f t="shared" ca="1" si="681"/>
        <v>0</v>
      </c>
      <c r="GT200" s="225">
        <f t="shared" ca="1" si="681"/>
        <v>0</v>
      </c>
      <c r="GU200" s="225">
        <f t="shared" ca="1" si="681"/>
        <v>0</v>
      </c>
      <c r="GV200" s="225">
        <f t="shared" ca="1" si="681"/>
        <v>0</v>
      </c>
      <c r="GW200" s="225">
        <f t="shared" ca="1" si="681"/>
        <v>0</v>
      </c>
      <c r="GX200" s="225">
        <f t="shared" ca="1" si="681"/>
        <v>0</v>
      </c>
      <c r="GY200" s="225">
        <f t="shared" ca="1" si="681"/>
        <v>0</v>
      </c>
      <c r="GZ200" s="225">
        <f t="shared" ca="1" si="681"/>
        <v>0</v>
      </c>
      <c r="HA200" s="225">
        <f t="shared" ca="1" si="681"/>
        <v>0</v>
      </c>
      <c r="HB200" s="225">
        <f t="shared" ca="1" si="681"/>
        <v>0</v>
      </c>
      <c r="HC200" s="225">
        <f t="shared" ca="1" si="681"/>
        <v>0</v>
      </c>
      <c r="HD200" s="225">
        <f t="shared" ca="1" si="681"/>
        <v>0</v>
      </c>
      <c r="HE200" s="225">
        <f t="shared" ca="1" si="681"/>
        <v>0</v>
      </c>
      <c r="HF200" s="225">
        <f t="shared" ca="1" si="681"/>
        <v>0</v>
      </c>
      <c r="HG200" s="225">
        <f t="shared" ca="1" si="681"/>
        <v>0</v>
      </c>
      <c r="HH200" s="225">
        <f t="shared" ref="HH200:IM200" ca="1" si="682">(HH$197&lt;=Timing_Reversion_Month)*(HH199*((1+$EP203)^(1/12)-1))</f>
        <v>0</v>
      </c>
      <c r="HI200" s="225">
        <f t="shared" ca="1" si="682"/>
        <v>0</v>
      </c>
      <c r="HJ200" s="225">
        <f t="shared" ca="1" si="682"/>
        <v>0</v>
      </c>
      <c r="HK200" s="225">
        <f t="shared" ca="1" si="682"/>
        <v>0</v>
      </c>
      <c r="HL200" s="225">
        <f t="shared" ca="1" si="682"/>
        <v>0</v>
      </c>
      <c r="HM200" s="225">
        <f t="shared" ca="1" si="682"/>
        <v>0</v>
      </c>
      <c r="HN200" s="225">
        <f t="shared" ca="1" si="682"/>
        <v>0</v>
      </c>
      <c r="HO200" s="225">
        <f t="shared" ca="1" si="682"/>
        <v>0</v>
      </c>
      <c r="HP200" s="225">
        <f t="shared" ca="1" si="682"/>
        <v>0</v>
      </c>
      <c r="HQ200" s="225">
        <f t="shared" ca="1" si="682"/>
        <v>0</v>
      </c>
      <c r="HR200" s="225">
        <f t="shared" ca="1" si="682"/>
        <v>0</v>
      </c>
      <c r="HS200" s="225">
        <f t="shared" ca="1" si="682"/>
        <v>0</v>
      </c>
      <c r="HT200" s="225">
        <f t="shared" ca="1" si="682"/>
        <v>0</v>
      </c>
      <c r="HU200" s="225">
        <f t="shared" ca="1" si="682"/>
        <v>0</v>
      </c>
      <c r="HV200" s="225">
        <f t="shared" ca="1" si="682"/>
        <v>0</v>
      </c>
      <c r="HW200" s="225">
        <f t="shared" ca="1" si="682"/>
        <v>0</v>
      </c>
      <c r="HX200" s="225">
        <f t="shared" ca="1" si="682"/>
        <v>0</v>
      </c>
      <c r="HY200" s="225">
        <f t="shared" ca="1" si="682"/>
        <v>0</v>
      </c>
      <c r="HZ200" s="225">
        <f t="shared" ca="1" si="682"/>
        <v>0</v>
      </c>
      <c r="IA200" s="225">
        <f t="shared" ca="1" si="682"/>
        <v>0</v>
      </c>
      <c r="IB200" s="225">
        <f t="shared" ca="1" si="682"/>
        <v>0</v>
      </c>
      <c r="IC200" s="225">
        <f t="shared" ca="1" si="682"/>
        <v>0</v>
      </c>
      <c r="ID200" s="225">
        <f t="shared" ca="1" si="682"/>
        <v>0</v>
      </c>
      <c r="IE200" s="225">
        <f t="shared" ca="1" si="682"/>
        <v>0</v>
      </c>
      <c r="IF200" s="225">
        <f t="shared" ca="1" si="682"/>
        <v>0</v>
      </c>
      <c r="IG200" s="225">
        <f t="shared" ca="1" si="682"/>
        <v>0</v>
      </c>
      <c r="IH200" s="225">
        <f t="shared" ca="1" si="682"/>
        <v>0</v>
      </c>
      <c r="II200" s="225">
        <f t="shared" ca="1" si="682"/>
        <v>0</v>
      </c>
      <c r="IJ200" s="225">
        <f t="shared" ca="1" si="682"/>
        <v>0</v>
      </c>
      <c r="IK200" s="225">
        <f t="shared" ca="1" si="682"/>
        <v>0</v>
      </c>
      <c r="IL200" s="225">
        <f t="shared" ca="1" si="682"/>
        <v>0</v>
      </c>
      <c r="IM200" s="225">
        <f t="shared" ca="1" si="682"/>
        <v>0</v>
      </c>
      <c r="IN200" s="225">
        <f t="shared" ref="IN200:JS200" ca="1" si="683">(IN$197&lt;=Timing_Reversion_Month)*(IN199*((1+$EP203)^(1/12)-1))</f>
        <v>0</v>
      </c>
      <c r="IO200" s="225">
        <f t="shared" ca="1" si="683"/>
        <v>0</v>
      </c>
      <c r="IP200" s="225">
        <f t="shared" ca="1" si="683"/>
        <v>0</v>
      </c>
      <c r="IQ200" s="225">
        <f t="shared" ca="1" si="683"/>
        <v>0</v>
      </c>
      <c r="IR200" s="225">
        <f t="shared" ca="1" si="683"/>
        <v>0</v>
      </c>
      <c r="IS200" s="225">
        <f t="shared" ca="1" si="683"/>
        <v>0</v>
      </c>
      <c r="IT200" s="225">
        <f t="shared" ca="1" si="683"/>
        <v>0</v>
      </c>
      <c r="IU200" s="225">
        <f t="shared" ca="1" si="683"/>
        <v>0</v>
      </c>
      <c r="IV200" s="225">
        <f t="shared" ca="1" si="683"/>
        <v>0</v>
      </c>
      <c r="IW200" s="225">
        <f t="shared" ca="1" si="683"/>
        <v>0</v>
      </c>
      <c r="IX200" s="225">
        <f t="shared" ca="1" si="683"/>
        <v>0</v>
      </c>
      <c r="IY200" s="225">
        <f t="shared" ca="1" si="683"/>
        <v>0</v>
      </c>
      <c r="IZ200" s="225">
        <f t="shared" ca="1" si="683"/>
        <v>0</v>
      </c>
      <c r="JA200" s="225">
        <f t="shared" ca="1" si="683"/>
        <v>0</v>
      </c>
      <c r="JB200" s="225">
        <f t="shared" ca="1" si="683"/>
        <v>0</v>
      </c>
      <c r="JC200" s="225">
        <f t="shared" ca="1" si="683"/>
        <v>0</v>
      </c>
      <c r="JD200" s="225">
        <f t="shared" ca="1" si="683"/>
        <v>0</v>
      </c>
      <c r="JE200" s="225">
        <f t="shared" ca="1" si="683"/>
        <v>0</v>
      </c>
      <c r="JF200" s="225">
        <f t="shared" ca="1" si="683"/>
        <v>0</v>
      </c>
      <c r="JG200" s="225">
        <f t="shared" ca="1" si="683"/>
        <v>0</v>
      </c>
      <c r="JH200" s="225">
        <f t="shared" ca="1" si="683"/>
        <v>0</v>
      </c>
      <c r="JI200" s="225">
        <f t="shared" ca="1" si="683"/>
        <v>0</v>
      </c>
      <c r="JJ200" s="225">
        <f t="shared" ca="1" si="683"/>
        <v>0</v>
      </c>
      <c r="JK200" s="225">
        <f t="shared" ca="1" si="683"/>
        <v>0</v>
      </c>
      <c r="JL200" s="225">
        <f t="shared" ca="1" si="683"/>
        <v>0</v>
      </c>
      <c r="JM200" s="225">
        <f t="shared" ca="1" si="683"/>
        <v>0</v>
      </c>
      <c r="JN200" s="225">
        <f t="shared" ca="1" si="683"/>
        <v>0</v>
      </c>
      <c r="JO200" s="225">
        <f t="shared" ca="1" si="683"/>
        <v>0</v>
      </c>
      <c r="JP200" s="225">
        <f t="shared" ca="1" si="683"/>
        <v>0</v>
      </c>
      <c r="JQ200" s="225">
        <f t="shared" ca="1" si="683"/>
        <v>0</v>
      </c>
      <c r="JR200" s="225">
        <f t="shared" ca="1" si="683"/>
        <v>0</v>
      </c>
      <c r="JS200" s="225">
        <f t="shared" ca="1" si="683"/>
        <v>0</v>
      </c>
      <c r="JT200" s="225">
        <f ca="1">(JT$197&lt;=Timing_Reversion_Month)*(JT199*((1+$EP203)^(1/12)-1))</f>
        <v>0</v>
      </c>
      <c r="JU200" s="225">
        <f ca="1">(JU$197&lt;=Timing_Reversion_Month)*(JU199*((1+$EP203)^(1/12)-1))</f>
        <v>0</v>
      </c>
      <c r="JV200" s="225">
        <f ca="1">(JV$197&lt;=Timing_Reversion_Month)*(JV199*((1+$EP203)^(1/12)-1))</f>
        <v>0</v>
      </c>
      <c r="JW200" s="225">
        <f ca="1">(JW$197&lt;=Timing_Reversion_Month)*(JW199*((1+$EP203)^(1/12)-1))</f>
        <v>0</v>
      </c>
      <c r="JX200" s="225">
        <f ca="1">(JX$197&lt;=Timing_Reversion_Month)*(JX199*((1+$EP203)^(1/12)-1))</f>
        <v>0</v>
      </c>
    </row>
    <row r="201" spans="1:284" s="7" customFormat="1" ht="0.6" customHeight="1" x14ac:dyDescent="0.2">
      <c r="A201" s="406"/>
      <c r="B201" s="92" t="s">
        <v>622</v>
      </c>
      <c r="C201" s="120"/>
      <c r="D201" s="120"/>
      <c r="E201" s="120"/>
      <c r="F201" s="120"/>
      <c r="G201" s="120"/>
      <c r="H201" s="123"/>
      <c r="I201" s="123">
        <f>SUM(L201:EM201)</f>
        <v>0</v>
      </c>
      <c r="L201" s="49">
        <f t="shared" ref="L201:AQ201" si="684">IF(L195="","",L78)</f>
        <v>0</v>
      </c>
      <c r="M201" s="49">
        <f t="shared" si="684"/>
        <v>0</v>
      </c>
      <c r="N201" s="49">
        <f t="shared" si="684"/>
        <v>0</v>
      </c>
      <c r="O201" s="49">
        <f t="shared" si="684"/>
        <v>0</v>
      </c>
      <c r="P201" s="49">
        <f t="shared" si="684"/>
        <v>0</v>
      </c>
      <c r="Q201" s="49">
        <f t="shared" si="684"/>
        <v>0</v>
      </c>
      <c r="R201" s="49">
        <f t="shared" si="684"/>
        <v>0</v>
      </c>
      <c r="S201" s="49">
        <f t="shared" si="684"/>
        <v>0</v>
      </c>
      <c r="T201" s="49">
        <f t="shared" si="684"/>
        <v>0</v>
      </c>
      <c r="U201" s="49">
        <f t="shared" si="684"/>
        <v>0</v>
      </c>
      <c r="V201" s="49">
        <f t="shared" si="684"/>
        <v>0</v>
      </c>
      <c r="W201" s="49">
        <f t="shared" si="684"/>
        <v>0</v>
      </c>
      <c r="X201" s="49">
        <f t="shared" si="684"/>
        <v>0</v>
      </c>
      <c r="Y201" s="49">
        <f t="shared" si="684"/>
        <v>0</v>
      </c>
      <c r="Z201" s="49">
        <f t="shared" si="684"/>
        <v>0</v>
      </c>
      <c r="AA201" s="49">
        <f t="shared" si="684"/>
        <v>0</v>
      </c>
      <c r="AB201" s="49">
        <f t="shared" si="684"/>
        <v>0</v>
      </c>
      <c r="AC201" s="49">
        <f t="shared" si="684"/>
        <v>0</v>
      </c>
      <c r="AD201" s="49">
        <f t="shared" si="684"/>
        <v>0</v>
      </c>
      <c r="AE201" s="49">
        <f t="shared" si="684"/>
        <v>0</v>
      </c>
      <c r="AF201" s="49">
        <f t="shared" si="684"/>
        <v>0</v>
      </c>
      <c r="AG201" s="49">
        <f t="shared" si="684"/>
        <v>0</v>
      </c>
      <c r="AH201" s="49">
        <f t="shared" si="684"/>
        <v>0</v>
      </c>
      <c r="AI201" s="49">
        <f t="shared" si="684"/>
        <v>0</v>
      </c>
      <c r="AJ201" s="49">
        <f t="shared" si="684"/>
        <v>0</v>
      </c>
      <c r="AK201" s="49">
        <f t="shared" si="684"/>
        <v>0</v>
      </c>
      <c r="AL201" s="49">
        <f t="shared" si="684"/>
        <v>0</v>
      </c>
      <c r="AM201" s="49">
        <f t="shared" si="684"/>
        <v>0</v>
      </c>
      <c r="AN201" s="49">
        <f t="shared" si="684"/>
        <v>0</v>
      </c>
      <c r="AO201" s="49">
        <f t="shared" si="684"/>
        <v>0</v>
      </c>
      <c r="AP201" s="49">
        <f t="shared" si="684"/>
        <v>0</v>
      </c>
      <c r="AQ201" s="49">
        <f t="shared" si="684"/>
        <v>0</v>
      </c>
      <c r="AR201" s="49">
        <f t="shared" ref="AR201:BW201" si="685">IF(AR195="","",AR78)</f>
        <v>0</v>
      </c>
      <c r="AS201" s="49">
        <f t="shared" si="685"/>
        <v>0</v>
      </c>
      <c r="AT201" s="49">
        <f t="shared" si="685"/>
        <v>0</v>
      </c>
      <c r="AU201" s="49">
        <f t="shared" si="685"/>
        <v>0</v>
      </c>
      <c r="AV201" s="49">
        <f t="shared" si="685"/>
        <v>0</v>
      </c>
      <c r="AW201" s="49">
        <f t="shared" si="685"/>
        <v>0</v>
      </c>
      <c r="AX201" s="49">
        <f t="shared" si="685"/>
        <v>0</v>
      </c>
      <c r="AY201" s="49">
        <f t="shared" si="685"/>
        <v>0</v>
      </c>
      <c r="AZ201" s="49">
        <f t="shared" si="685"/>
        <v>0</v>
      </c>
      <c r="BA201" s="49">
        <f t="shared" si="685"/>
        <v>0</v>
      </c>
      <c r="BB201" s="49">
        <f t="shared" si="685"/>
        <v>0</v>
      </c>
      <c r="BC201" s="49">
        <f t="shared" si="685"/>
        <v>0</v>
      </c>
      <c r="BD201" s="49">
        <f t="shared" si="685"/>
        <v>0</v>
      </c>
      <c r="BE201" s="49">
        <f t="shared" si="685"/>
        <v>0</v>
      </c>
      <c r="BF201" s="49" t="str">
        <f t="shared" si="685"/>
        <v/>
      </c>
      <c r="BG201" s="49" t="str">
        <f t="shared" si="685"/>
        <v/>
      </c>
      <c r="BH201" s="49" t="str">
        <f t="shared" si="685"/>
        <v/>
      </c>
      <c r="BI201" s="49" t="str">
        <f t="shared" si="685"/>
        <v/>
      </c>
      <c r="BJ201" s="49" t="str">
        <f t="shared" si="685"/>
        <v/>
      </c>
      <c r="BK201" s="49" t="str">
        <f t="shared" si="685"/>
        <v/>
      </c>
      <c r="BL201" s="49" t="str">
        <f t="shared" si="685"/>
        <v/>
      </c>
      <c r="BM201" s="49" t="str">
        <f t="shared" si="685"/>
        <v/>
      </c>
      <c r="BN201" s="49" t="str">
        <f t="shared" si="685"/>
        <v/>
      </c>
      <c r="BO201" s="49" t="str">
        <f t="shared" si="685"/>
        <v/>
      </c>
      <c r="BP201" s="49" t="str">
        <f t="shared" si="685"/>
        <v/>
      </c>
      <c r="BQ201" s="49" t="str">
        <f t="shared" si="685"/>
        <v/>
      </c>
      <c r="BR201" s="49" t="str">
        <f t="shared" si="685"/>
        <v/>
      </c>
      <c r="BS201" s="49" t="str">
        <f t="shared" si="685"/>
        <v/>
      </c>
      <c r="BT201" s="49" t="str">
        <f t="shared" si="685"/>
        <v/>
      </c>
      <c r="BU201" s="49" t="str">
        <f t="shared" si="685"/>
        <v/>
      </c>
      <c r="BV201" s="49" t="str">
        <f t="shared" si="685"/>
        <v/>
      </c>
      <c r="BW201" s="49" t="str">
        <f t="shared" si="685"/>
        <v/>
      </c>
      <c r="BX201" s="49" t="str">
        <f t="shared" ref="BX201:DC201" si="686">IF(BX195="","",BX78)</f>
        <v/>
      </c>
      <c r="BY201" s="49" t="str">
        <f t="shared" si="686"/>
        <v/>
      </c>
      <c r="BZ201" s="49" t="str">
        <f t="shared" si="686"/>
        <v/>
      </c>
      <c r="CA201" s="49" t="str">
        <f t="shared" si="686"/>
        <v/>
      </c>
      <c r="CB201" s="49" t="str">
        <f t="shared" si="686"/>
        <v/>
      </c>
      <c r="CC201" s="49" t="str">
        <f t="shared" si="686"/>
        <v/>
      </c>
      <c r="CD201" s="49" t="str">
        <f t="shared" si="686"/>
        <v/>
      </c>
      <c r="CE201" s="49" t="str">
        <f t="shared" si="686"/>
        <v/>
      </c>
      <c r="CF201" s="49" t="str">
        <f t="shared" si="686"/>
        <v/>
      </c>
      <c r="CG201" s="49" t="str">
        <f t="shared" si="686"/>
        <v/>
      </c>
      <c r="CH201" s="49" t="str">
        <f t="shared" si="686"/>
        <v/>
      </c>
      <c r="CI201" s="49" t="str">
        <f t="shared" si="686"/>
        <v/>
      </c>
      <c r="CJ201" s="49" t="str">
        <f t="shared" si="686"/>
        <v/>
      </c>
      <c r="CK201" s="49" t="str">
        <f t="shared" si="686"/>
        <v/>
      </c>
      <c r="CL201" s="49" t="str">
        <f t="shared" si="686"/>
        <v/>
      </c>
      <c r="CM201" s="49" t="str">
        <f t="shared" si="686"/>
        <v/>
      </c>
      <c r="CN201" s="49" t="str">
        <f t="shared" si="686"/>
        <v/>
      </c>
      <c r="CO201" s="49" t="str">
        <f t="shared" si="686"/>
        <v/>
      </c>
      <c r="CP201" s="49" t="str">
        <f t="shared" si="686"/>
        <v/>
      </c>
      <c r="CQ201" s="49" t="str">
        <f t="shared" si="686"/>
        <v/>
      </c>
      <c r="CR201" s="49" t="str">
        <f t="shared" si="686"/>
        <v/>
      </c>
      <c r="CS201" s="49" t="str">
        <f t="shared" si="686"/>
        <v/>
      </c>
      <c r="CT201" s="49" t="str">
        <f t="shared" si="686"/>
        <v/>
      </c>
      <c r="CU201" s="49" t="str">
        <f t="shared" si="686"/>
        <v/>
      </c>
      <c r="CV201" s="49" t="str">
        <f t="shared" si="686"/>
        <v/>
      </c>
      <c r="CW201" s="49" t="str">
        <f t="shared" si="686"/>
        <v/>
      </c>
      <c r="CX201" s="49" t="str">
        <f t="shared" si="686"/>
        <v/>
      </c>
      <c r="CY201" s="49" t="str">
        <f t="shared" si="686"/>
        <v/>
      </c>
      <c r="CZ201" s="49" t="str">
        <f t="shared" si="686"/>
        <v/>
      </c>
      <c r="DA201" s="49" t="str">
        <f t="shared" si="686"/>
        <v/>
      </c>
      <c r="DB201" s="49" t="str">
        <f t="shared" si="686"/>
        <v/>
      </c>
      <c r="DC201" s="49" t="str">
        <f t="shared" si="686"/>
        <v/>
      </c>
      <c r="DD201" s="49" t="str">
        <f t="shared" ref="DD201:EN201" si="687">IF(DD195="","",DD78)</f>
        <v/>
      </c>
      <c r="DE201" s="49" t="str">
        <f t="shared" si="687"/>
        <v/>
      </c>
      <c r="DF201" s="49" t="str">
        <f t="shared" si="687"/>
        <v/>
      </c>
      <c r="DG201" s="49" t="str">
        <f t="shared" si="687"/>
        <v/>
      </c>
      <c r="DH201" s="49" t="str">
        <f t="shared" si="687"/>
        <v/>
      </c>
      <c r="DI201" s="49" t="str">
        <f t="shared" si="687"/>
        <v/>
      </c>
      <c r="DJ201" s="49" t="str">
        <f t="shared" si="687"/>
        <v/>
      </c>
      <c r="DK201" s="49" t="str">
        <f t="shared" si="687"/>
        <v/>
      </c>
      <c r="DL201" s="49" t="str">
        <f t="shared" si="687"/>
        <v/>
      </c>
      <c r="DM201" s="49" t="str">
        <f t="shared" si="687"/>
        <v/>
      </c>
      <c r="DN201" s="49" t="str">
        <f t="shared" si="687"/>
        <v/>
      </c>
      <c r="DO201" s="49" t="str">
        <f t="shared" si="687"/>
        <v/>
      </c>
      <c r="DP201" s="49" t="str">
        <f t="shared" si="687"/>
        <v/>
      </c>
      <c r="DQ201" s="49" t="str">
        <f t="shared" si="687"/>
        <v/>
      </c>
      <c r="DR201" s="49" t="str">
        <f t="shared" si="687"/>
        <v/>
      </c>
      <c r="DS201" s="49" t="str">
        <f t="shared" si="687"/>
        <v/>
      </c>
      <c r="DT201" s="49" t="str">
        <f t="shared" si="687"/>
        <v/>
      </c>
      <c r="DU201" s="49" t="str">
        <f t="shared" si="687"/>
        <v/>
      </c>
      <c r="DV201" s="49" t="str">
        <f t="shared" si="687"/>
        <v/>
      </c>
      <c r="DW201" s="49" t="str">
        <f t="shared" si="687"/>
        <v/>
      </c>
      <c r="DX201" s="49" t="str">
        <f t="shared" si="687"/>
        <v/>
      </c>
      <c r="DY201" s="49" t="str">
        <f t="shared" si="687"/>
        <v/>
      </c>
      <c r="DZ201" s="49" t="str">
        <f t="shared" si="687"/>
        <v/>
      </c>
      <c r="EA201" s="49" t="str">
        <f t="shared" si="687"/>
        <v/>
      </c>
      <c r="EB201" s="49" t="str">
        <f t="shared" si="687"/>
        <v/>
      </c>
      <c r="EC201" s="49" t="str">
        <f t="shared" si="687"/>
        <v/>
      </c>
      <c r="ED201" s="49" t="str">
        <f t="shared" si="687"/>
        <v/>
      </c>
      <c r="EE201" s="49" t="str">
        <f t="shared" si="687"/>
        <v/>
      </c>
      <c r="EF201" s="49" t="str">
        <f t="shared" si="687"/>
        <v/>
      </c>
      <c r="EG201" s="49" t="str">
        <f t="shared" si="687"/>
        <v/>
      </c>
      <c r="EH201" s="49" t="str">
        <f t="shared" si="687"/>
        <v/>
      </c>
      <c r="EI201" s="49" t="str">
        <f t="shared" si="687"/>
        <v/>
      </c>
      <c r="EJ201" s="49" t="str">
        <f t="shared" si="687"/>
        <v/>
      </c>
      <c r="EK201" s="49" t="str">
        <f t="shared" si="687"/>
        <v/>
      </c>
      <c r="EL201" s="49" t="str">
        <f t="shared" si="687"/>
        <v/>
      </c>
      <c r="EM201" s="49" t="str">
        <f t="shared" si="687"/>
        <v/>
      </c>
      <c r="EN201" s="49" t="str">
        <f t="shared" si="687"/>
        <v/>
      </c>
      <c r="EP201" s="37"/>
      <c r="EQ201" s="24"/>
      <c r="ER201" s="24"/>
      <c r="ES201" s="24"/>
      <c r="ET201" s="33" t="s">
        <v>369</v>
      </c>
      <c r="EU201" s="33"/>
      <c r="EV201" s="225">
        <f t="shared" ref="EV201:GA201" ca="1" si="688">IF(L229="",0,L229)</f>
        <v>3565501.5512782279</v>
      </c>
      <c r="EW201" s="225">
        <f t="shared" ca="1" si="688"/>
        <v>412884.6645134245</v>
      </c>
      <c r="EX201" s="225">
        <f t="shared" ca="1" si="688"/>
        <v>565359.45506853156</v>
      </c>
      <c r="EY201" s="225">
        <f t="shared" ca="1" si="688"/>
        <v>867738.72441396641</v>
      </c>
      <c r="EZ201" s="225">
        <f t="shared" ca="1" si="688"/>
        <v>1394429.8586874492</v>
      </c>
      <c r="FA201" s="225">
        <f t="shared" ca="1" si="688"/>
        <v>2194148.189800458</v>
      </c>
      <c r="FB201" s="225">
        <f t="shared" ca="1" si="688"/>
        <v>3239365.2971831975</v>
      </c>
      <c r="FC201" s="225">
        <f t="shared" ca="1" si="688"/>
        <v>1665925.8175721038</v>
      </c>
      <c r="FD201" s="225">
        <f t="shared" ca="1" si="688"/>
        <v>0</v>
      </c>
      <c r="FE201" s="225">
        <f t="shared" ca="1" si="688"/>
        <v>0</v>
      </c>
      <c r="FF201" s="225">
        <f t="shared" ca="1" si="688"/>
        <v>0</v>
      </c>
      <c r="FG201" s="225">
        <f t="shared" ca="1" si="688"/>
        <v>0</v>
      </c>
      <c r="FH201" s="225">
        <f t="shared" ca="1" si="688"/>
        <v>0</v>
      </c>
      <c r="FI201" s="225">
        <f t="shared" ca="1" si="688"/>
        <v>0</v>
      </c>
      <c r="FJ201" s="225">
        <f t="shared" ca="1" si="688"/>
        <v>0</v>
      </c>
      <c r="FK201" s="225">
        <f t="shared" ca="1" si="688"/>
        <v>0</v>
      </c>
      <c r="FL201" s="225">
        <f t="shared" ca="1" si="688"/>
        <v>0</v>
      </c>
      <c r="FM201" s="225">
        <f t="shared" ca="1" si="688"/>
        <v>0</v>
      </c>
      <c r="FN201" s="225">
        <f t="shared" ca="1" si="688"/>
        <v>0</v>
      </c>
      <c r="FO201" s="225">
        <f t="shared" ca="1" si="688"/>
        <v>0</v>
      </c>
      <c r="FP201" s="225">
        <f t="shared" ca="1" si="688"/>
        <v>0</v>
      </c>
      <c r="FQ201" s="225">
        <f t="shared" ca="1" si="688"/>
        <v>0</v>
      </c>
      <c r="FR201" s="225">
        <f t="shared" ca="1" si="688"/>
        <v>0</v>
      </c>
      <c r="FS201" s="225">
        <f t="shared" ca="1" si="688"/>
        <v>0</v>
      </c>
      <c r="FT201" s="225">
        <f t="shared" ca="1" si="688"/>
        <v>1.0368239600211381E-11</v>
      </c>
      <c r="FU201" s="225">
        <f t="shared" ca="1" si="688"/>
        <v>0</v>
      </c>
      <c r="FV201" s="225">
        <f t="shared" ca="1" si="688"/>
        <v>0</v>
      </c>
      <c r="FW201" s="225">
        <f t="shared" ca="1" si="688"/>
        <v>0</v>
      </c>
      <c r="FX201" s="225">
        <f t="shared" ca="1" si="688"/>
        <v>0</v>
      </c>
      <c r="FY201" s="225">
        <f t="shared" ca="1" si="688"/>
        <v>0</v>
      </c>
      <c r="FZ201" s="225">
        <f t="shared" ca="1" si="688"/>
        <v>0</v>
      </c>
      <c r="GA201" s="225">
        <f t="shared" ca="1" si="688"/>
        <v>0</v>
      </c>
      <c r="GB201" s="225">
        <f t="shared" ref="GB201:HG201" ca="1" si="689">IF(AR229="",0,AR229)</f>
        <v>0</v>
      </c>
      <c r="GC201" s="225">
        <f t="shared" ca="1" si="689"/>
        <v>0</v>
      </c>
      <c r="GD201" s="225">
        <f t="shared" ca="1" si="689"/>
        <v>0</v>
      </c>
      <c r="GE201" s="225">
        <f t="shared" ca="1" si="689"/>
        <v>0</v>
      </c>
      <c r="GF201" s="225">
        <f t="shared" ca="1" si="689"/>
        <v>0</v>
      </c>
      <c r="GG201" s="225">
        <f t="shared" ca="1" si="689"/>
        <v>0</v>
      </c>
      <c r="GH201" s="225">
        <f t="shared" ca="1" si="689"/>
        <v>0</v>
      </c>
      <c r="GI201" s="225">
        <f t="shared" ca="1" si="689"/>
        <v>0</v>
      </c>
      <c r="GJ201" s="225">
        <f t="shared" ca="1" si="689"/>
        <v>0</v>
      </c>
      <c r="GK201" s="225">
        <f t="shared" ca="1" si="689"/>
        <v>0</v>
      </c>
      <c r="GL201" s="225">
        <f t="shared" ca="1" si="689"/>
        <v>0</v>
      </c>
      <c r="GM201" s="225">
        <f t="shared" ca="1" si="689"/>
        <v>0</v>
      </c>
      <c r="GN201" s="225">
        <f t="shared" ca="1" si="689"/>
        <v>0</v>
      </c>
      <c r="GO201" s="225">
        <f t="shared" ca="1" si="689"/>
        <v>0</v>
      </c>
      <c r="GP201" s="225">
        <f t="shared" si="689"/>
        <v>0</v>
      </c>
      <c r="GQ201" s="225">
        <f t="shared" si="689"/>
        <v>0</v>
      </c>
      <c r="GR201" s="225">
        <f t="shared" si="689"/>
        <v>0</v>
      </c>
      <c r="GS201" s="225">
        <f t="shared" si="689"/>
        <v>0</v>
      </c>
      <c r="GT201" s="225">
        <f t="shared" si="689"/>
        <v>0</v>
      </c>
      <c r="GU201" s="225">
        <f t="shared" si="689"/>
        <v>0</v>
      </c>
      <c r="GV201" s="225">
        <f t="shared" si="689"/>
        <v>0</v>
      </c>
      <c r="GW201" s="225">
        <f t="shared" si="689"/>
        <v>0</v>
      </c>
      <c r="GX201" s="225">
        <f t="shared" si="689"/>
        <v>0</v>
      </c>
      <c r="GY201" s="225">
        <f t="shared" si="689"/>
        <v>0</v>
      </c>
      <c r="GZ201" s="225">
        <f t="shared" si="689"/>
        <v>0</v>
      </c>
      <c r="HA201" s="225">
        <f t="shared" si="689"/>
        <v>0</v>
      </c>
      <c r="HB201" s="225">
        <f t="shared" si="689"/>
        <v>0</v>
      </c>
      <c r="HC201" s="225">
        <f t="shared" si="689"/>
        <v>0</v>
      </c>
      <c r="HD201" s="225">
        <f t="shared" si="689"/>
        <v>0</v>
      </c>
      <c r="HE201" s="225">
        <f t="shared" si="689"/>
        <v>0</v>
      </c>
      <c r="HF201" s="225">
        <f t="shared" si="689"/>
        <v>0</v>
      </c>
      <c r="HG201" s="225">
        <f t="shared" si="689"/>
        <v>0</v>
      </c>
      <c r="HH201" s="225">
        <f t="shared" ref="HH201:IM201" si="690">IF(BX229="",0,BX229)</f>
        <v>0</v>
      </c>
      <c r="HI201" s="225">
        <f t="shared" si="690"/>
        <v>0</v>
      </c>
      <c r="HJ201" s="225">
        <f t="shared" si="690"/>
        <v>0</v>
      </c>
      <c r="HK201" s="225">
        <f t="shared" si="690"/>
        <v>0</v>
      </c>
      <c r="HL201" s="225">
        <f t="shared" si="690"/>
        <v>0</v>
      </c>
      <c r="HM201" s="225">
        <f t="shared" si="690"/>
        <v>0</v>
      </c>
      <c r="HN201" s="225">
        <f t="shared" si="690"/>
        <v>0</v>
      </c>
      <c r="HO201" s="225">
        <f t="shared" si="690"/>
        <v>0</v>
      </c>
      <c r="HP201" s="225">
        <f t="shared" si="690"/>
        <v>0</v>
      </c>
      <c r="HQ201" s="225">
        <f t="shared" si="690"/>
        <v>0</v>
      </c>
      <c r="HR201" s="225">
        <f t="shared" si="690"/>
        <v>0</v>
      </c>
      <c r="HS201" s="225">
        <f t="shared" si="690"/>
        <v>0</v>
      </c>
      <c r="HT201" s="225">
        <f t="shared" si="690"/>
        <v>0</v>
      </c>
      <c r="HU201" s="225">
        <f t="shared" si="690"/>
        <v>0</v>
      </c>
      <c r="HV201" s="225">
        <f t="shared" si="690"/>
        <v>0</v>
      </c>
      <c r="HW201" s="225">
        <f t="shared" si="690"/>
        <v>0</v>
      </c>
      <c r="HX201" s="225">
        <f t="shared" si="690"/>
        <v>0</v>
      </c>
      <c r="HY201" s="225">
        <f t="shared" si="690"/>
        <v>0</v>
      </c>
      <c r="HZ201" s="225">
        <f t="shared" si="690"/>
        <v>0</v>
      </c>
      <c r="IA201" s="225">
        <f t="shared" si="690"/>
        <v>0</v>
      </c>
      <c r="IB201" s="225">
        <f t="shared" si="690"/>
        <v>0</v>
      </c>
      <c r="IC201" s="225">
        <f t="shared" si="690"/>
        <v>0</v>
      </c>
      <c r="ID201" s="225">
        <f t="shared" si="690"/>
        <v>0</v>
      </c>
      <c r="IE201" s="225">
        <f t="shared" si="690"/>
        <v>0</v>
      </c>
      <c r="IF201" s="225">
        <f t="shared" si="690"/>
        <v>0</v>
      </c>
      <c r="IG201" s="225">
        <f t="shared" si="690"/>
        <v>0</v>
      </c>
      <c r="IH201" s="225">
        <f t="shared" si="690"/>
        <v>0</v>
      </c>
      <c r="II201" s="225">
        <f t="shared" si="690"/>
        <v>0</v>
      </c>
      <c r="IJ201" s="225">
        <f t="shared" si="690"/>
        <v>0</v>
      </c>
      <c r="IK201" s="225">
        <f t="shared" si="690"/>
        <v>0</v>
      </c>
      <c r="IL201" s="225">
        <f t="shared" si="690"/>
        <v>0</v>
      </c>
      <c r="IM201" s="225">
        <f t="shared" si="690"/>
        <v>0</v>
      </c>
      <c r="IN201" s="225">
        <f t="shared" ref="IN201:JS201" si="691">IF(DD229="",0,DD229)</f>
        <v>0</v>
      </c>
      <c r="IO201" s="225">
        <f t="shared" si="691"/>
        <v>0</v>
      </c>
      <c r="IP201" s="225">
        <f t="shared" si="691"/>
        <v>0</v>
      </c>
      <c r="IQ201" s="225">
        <f t="shared" si="691"/>
        <v>0</v>
      </c>
      <c r="IR201" s="225">
        <f t="shared" si="691"/>
        <v>0</v>
      </c>
      <c r="IS201" s="225">
        <f t="shared" si="691"/>
        <v>0</v>
      </c>
      <c r="IT201" s="225">
        <f t="shared" si="691"/>
        <v>0</v>
      </c>
      <c r="IU201" s="225">
        <f t="shared" si="691"/>
        <v>0</v>
      </c>
      <c r="IV201" s="225">
        <f t="shared" si="691"/>
        <v>0</v>
      </c>
      <c r="IW201" s="225">
        <f t="shared" si="691"/>
        <v>0</v>
      </c>
      <c r="IX201" s="225">
        <f t="shared" si="691"/>
        <v>0</v>
      </c>
      <c r="IY201" s="225">
        <f t="shared" si="691"/>
        <v>0</v>
      </c>
      <c r="IZ201" s="225">
        <f t="shared" si="691"/>
        <v>0</v>
      </c>
      <c r="JA201" s="225">
        <f t="shared" si="691"/>
        <v>0</v>
      </c>
      <c r="JB201" s="225">
        <f t="shared" si="691"/>
        <v>0</v>
      </c>
      <c r="JC201" s="225">
        <f t="shared" si="691"/>
        <v>0</v>
      </c>
      <c r="JD201" s="225">
        <f t="shared" si="691"/>
        <v>0</v>
      </c>
      <c r="JE201" s="225">
        <f t="shared" si="691"/>
        <v>0</v>
      </c>
      <c r="JF201" s="225">
        <f t="shared" si="691"/>
        <v>0</v>
      </c>
      <c r="JG201" s="225">
        <f t="shared" si="691"/>
        <v>0</v>
      </c>
      <c r="JH201" s="225">
        <f t="shared" si="691"/>
        <v>0</v>
      </c>
      <c r="JI201" s="225">
        <f t="shared" si="691"/>
        <v>0</v>
      </c>
      <c r="JJ201" s="225">
        <f t="shared" si="691"/>
        <v>0</v>
      </c>
      <c r="JK201" s="225">
        <f t="shared" si="691"/>
        <v>0</v>
      </c>
      <c r="JL201" s="225">
        <f t="shared" si="691"/>
        <v>0</v>
      </c>
      <c r="JM201" s="225">
        <f t="shared" si="691"/>
        <v>0</v>
      </c>
      <c r="JN201" s="225">
        <f t="shared" si="691"/>
        <v>0</v>
      </c>
      <c r="JO201" s="225">
        <f t="shared" si="691"/>
        <v>0</v>
      </c>
      <c r="JP201" s="225">
        <f t="shared" si="691"/>
        <v>0</v>
      </c>
      <c r="JQ201" s="225">
        <f t="shared" si="691"/>
        <v>0</v>
      </c>
      <c r="JR201" s="225">
        <f t="shared" si="691"/>
        <v>0</v>
      </c>
      <c r="JS201" s="225">
        <f t="shared" si="691"/>
        <v>0</v>
      </c>
      <c r="JT201" s="225">
        <f t="shared" ref="JT201:JX201" si="692">IF(EJ229="",0,EJ229)</f>
        <v>0</v>
      </c>
      <c r="JU201" s="225">
        <f t="shared" si="692"/>
        <v>0</v>
      </c>
      <c r="JV201" s="225">
        <f t="shared" si="692"/>
        <v>0</v>
      </c>
      <c r="JW201" s="225">
        <f t="shared" si="692"/>
        <v>0</v>
      </c>
      <c r="JX201" s="225">
        <f t="shared" si="692"/>
        <v>0</v>
      </c>
    </row>
    <row r="202" spans="1:284" s="7" customFormat="1" x14ac:dyDescent="0.2">
      <c r="A202" s="406"/>
      <c r="B202" s="92"/>
      <c r="C202" s="120"/>
      <c r="D202" s="120"/>
      <c r="E202" s="120"/>
      <c r="F202" s="120"/>
      <c r="G202" s="120"/>
      <c r="H202" s="123"/>
      <c r="I202" s="123"/>
      <c r="L202" s="49"/>
      <c r="M202" s="49"/>
      <c r="N202" s="49"/>
      <c r="O202" s="49"/>
      <c r="P202" s="49"/>
      <c r="Q202" s="49"/>
      <c r="R202" s="49"/>
      <c r="S202" s="49"/>
      <c r="T202" s="49"/>
      <c r="U202" s="49"/>
      <c r="V202" s="49"/>
      <c r="W202" s="49"/>
      <c r="X202" s="49"/>
      <c r="Y202" s="49"/>
      <c r="Z202" s="49"/>
      <c r="AA202" s="49"/>
      <c r="AB202" s="49"/>
      <c r="AC202" s="49"/>
      <c r="AD202" s="49"/>
      <c r="AE202" s="49"/>
      <c r="AF202" s="49"/>
      <c r="AG202" s="49"/>
      <c r="AH202" s="49"/>
      <c r="AI202" s="49"/>
      <c r="AJ202" s="49"/>
      <c r="AK202" s="49"/>
      <c r="AL202" s="49"/>
      <c r="AM202" s="49"/>
      <c r="AN202" s="49"/>
      <c r="AO202" s="49"/>
      <c r="AP202" s="49"/>
      <c r="AQ202" s="49"/>
      <c r="AR202" s="49"/>
      <c r="AS202" s="49"/>
      <c r="AT202" s="49"/>
      <c r="AU202" s="49"/>
      <c r="AV202" s="49"/>
      <c r="AW202" s="49"/>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c r="CD202" s="49"/>
      <c r="CE202" s="49"/>
      <c r="CF202" s="49"/>
      <c r="CG202" s="49"/>
      <c r="CH202" s="49"/>
      <c r="CI202" s="49"/>
      <c r="CJ202" s="49"/>
      <c r="CK202" s="49"/>
      <c r="CL202" s="49"/>
      <c r="CM202" s="49"/>
      <c r="CN202" s="49"/>
      <c r="CO202" s="49"/>
      <c r="CP202" s="49"/>
      <c r="CQ202" s="49"/>
      <c r="CR202" s="49"/>
      <c r="CS202" s="49"/>
      <c r="CT202" s="49"/>
      <c r="CU202" s="49"/>
      <c r="CV202" s="49"/>
      <c r="CW202" s="49"/>
      <c r="CX202" s="49"/>
      <c r="CY202" s="49"/>
      <c r="CZ202" s="49"/>
      <c r="DA202" s="49"/>
      <c r="DB202" s="49"/>
      <c r="DC202" s="49"/>
      <c r="DD202" s="49"/>
      <c r="DE202" s="49"/>
      <c r="DF202" s="49"/>
      <c r="DG202" s="49"/>
      <c r="DH202" s="49"/>
      <c r="DI202" s="49"/>
      <c r="DJ202" s="49"/>
      <c r="DK202" s="49"/>
      <c r="DL202" s="49"/>
      <c r="DM202" s="49"/>
      <c r="DN202" s="49"/>
      <c r="DO202" s="49"/>
      <c r="DP202" s="49"/>
      <c r="DQ202" s="49"/>
      <c r="DR202" s="49"/>
      <c r="DS202" s="49"/>
      <c r="DT202" s="49"/>
      <c r="DU202" s="49"/>
      <c r="DV202" s="49"/>
      <c r="DW202" s="49"/>
      <c r="DX202" s="49"/>
      <c r="DY202" s="49"/>
      <c r="DZ202" s="49"/>
      <c r="EA202" s="49"/>
      <c r="EB202" s="49"/>
      <c r="EC202" s="49"/>
      <c r="ED202" s="49"/>
      <c r="EE202" s="49"/>
      <c r="EF202" s="49"/>
      <c r="EG202" s="49"/>
      <c r="EH202" s="49"/>
      <c r="EI202" s="49"/>
      <c r="EJ202" s="49"/>
      <c r="EK202" s="49"/>
      <c r="EL202" s="49"/>
      <c r="EM202" s="49"/>
      <c r="EN202" s="49"/>
      <c r="EP202" s="37"/>
      <c r="EQ202" s="24"/>
      <c r="ER202" s="24"/>
      <c r="ES202" s="24"/>
      <c r="ET202" s="33" t="s">
        <v>370</v>
      </c>
      <c r="EU202" s="33"/>
      <c r="EV202" s="225">
        <f ca="1">(EV$197&lt;=Timing_Reversion_Month)*(MIN(EV199+EV200,MAX(EV196,0)*$I$233))</f>
        <v>0</v>
      </c>
      <c r="EW202" s="225">
        <f ca="1">(EW$197&lt;=Timing_Reversion_Month)*(MIN(EW199+EW200,MAX(EW$196,0)*$I$233))</f>
        <v>0</v>
      </c>
      <c r="EX202" s="225">
        <f t="shared" ref="EX202:GC202" ca="1" si="693">(EX$197&lt;=Timing_Reversion_Month)*(MIN(EX199+EX200,MAX(EX196,0)*$I$233))</f>
        <v>0</v>
      </c>
      <c r="EY202" s="225">
        <f t="shared" ca="1" si="693"/>
        <v>0</v>
      </c>
      <c r="EZ202" s="225">
        <f t="shared" ca="1" si="693"/>
        <v>0</v>
      </c>
      <c r="FA202" s="225">
        <f t="shared" ca="1" si="693"/>
        <v>0</v>
      </c>
      <c r="FB202" s="225">
        <f t="shared" ca="1" si="693"/>
        <v>0</v>
      </c>
      <c r="FC202" s="225">
        <f t="shared" ca="1" si="693"/>
        <v>0</v>
      </c>
      <c r="FD202" s="225">
        <f t="shared" ca="1" si="693"/>
        <v>0</v>
      </c>
      <c r="FE202" s="225">
        <f t="shared" ca="1" si="693"/>
        <v>0</v>
      </c>
      <c r="FF202" s="225">
        <f t="shared" ca="1" si="693"/>
        <v>0</v>
      </c>
      <c r="FG202" s="225">
        <f t="shared" ca="1" si="693"/>
        <v>0</v>
      </c>
      <c r="FH202" s="225">
        <f t="shared" ca="1" si="693"/>
        <v>0</v>
      </c>
      <c r="FI202" s="225">
        <f t="shared" ca="1" si="693"/>
        <v>0</v>
      </c>
      <c r="FJ202" s="225">
        <f t="shared" ca="1" si="693"/>
        <v>0</v>
      </c>
      <c r="FK202" s="225">
        <f t="shared" ca="1" si="693"/>
        <v>0</v>
      </c>
      <c r="FL202" s="225">
        <f t="shared" ca="1" si="693"/>
        <v>0</v>
      </c>
      <c r="FM202" s="225">
        <f t="shared" ca="1" si="693"/>
        <v>0</v>
      </c>
      <c r="FN202" s="225">
        <f t="shared" ca="1" si="693"/>
        <v>0</v>
      </c>
      <c r="FO202" s="225">
        <f t="shared" ca="1" si="693"/>
        <v>0</v>
      </c>
      <c r="FP202" s="225">
        <f t="shared" ca="1" si="693"/>
        <v>1.3824319466948509E-11</v>
      </c>
      <c r="FQ202" s="225">
        <f t="shared" ca="1" si="693"/>
        <v>0</v>
      </c>
      <c r="FR202" s="225">
        <f t="shared" ca="1" si="693"/>
        <v>0</v>
      </c>
      <c r="FS202" s="225">
        <f t="shared" ca="1" si="693"/>
        <v>8.6401996668428183E-12</v>
      </c>
      <c r="FT202" s="225">
        <f t="shared" ca="1" si="693"/>
        <v>0</v>
      </c>
      <c r="FU202" s="225">
        <f t="shared" ca="1" si="693"/>
        <v>0</v>
      </c>
      <c r="FV202" s="225">
        <f t="shared" ca="1" si="693"/>
        <v>0</v>
      </c>
      <c r="FW202" s="225">
        <f t="shared" ca="1" si="693"/>
        <v>0</v>
      </c>
      <c r="FX202" s="225">
        <f t="shared" ca="1" si="693"/>
        <v>0</v>
      </c>
      <c r="FY202" s="225">
        <f t="shared" ca="1" si="693"/>
        <v>0</v>
      </c>
      <c r="FZ202" s="225">
        <f t="shared" ca="1" si="693"/>
        <v>1992.6175282008755</v>
      </c>
      <c r="GA202" s="225">
        <f t="shared" ca="1" si="693"/>
        <v>17390.485501708215</v>
      </c>
      <c r="GB202" s="225">
        <f t="shared" ca="1" si="693"/>
        <v>47993.752817410037</v>
      </c>
      <c r="GC202" s="225">
        <f t="shared" ca="1" si="693"/>
        <v>85127.964087280096</v>
      </c>
      <c r="GD202" s="225">
        <f t="shared" ref="GD202:HI202" ca="1" si="694">(GD$197&lt;=Timing_Reversion_Month)*(MIN(GD199+GD200,MAX(GD196,0)*$I$233))</f>
        <v>86183.070068530113</v>
      </c>
      <c r="GE202" s="225">
        <f t="shared" ca="1" si="694"/>
        <v>87238.176049780115</v>
      </c>
      <c r="GF202" s="225">
        <f t="shared" ca="1" si="694"/>
        <v>88293.282031030132</v>
      </c>
      <c r="GG202" s="225">
        <f t="shared" ca="1" si="694"/>
        <v>89348.388012280091</v>
      </c>
      <c r="GH202" s="225">
        <f t="shared" ca="1" si="694"/>
        <v>90403.49399353005</v>
      </c>
      <c r="GI202" s="225">
        <f t="shared" ca="1" si="694"/>
        <v>91458.599974780125</v>
      </c>
      <c r="GJ202" s="225">
        <f t="shared" ca="1" si="694"/>
        <v>92513.705956030084</v>
      </c>
      <c r="GK202" s="225">
        <f t="shared" ca="1" si="694"/>
        <v>93568.811937280087</v>
      </c>
      <c r="GL202" s="225">
        <f t="shared" ca="1" si="694"/>
        <v>94623.917918530104</v>
      </c>
      <c r="GM202" s="225">
        <f t="shared" ca="1" si="694"/>
        <v>82651.053937678371</v>
      </c>
      <c r="GN202" s="225">
        <f t="shared" ca="1" si="694"/>
        <v>83737.813098365834</v>
      </c>
      <c r="GO202" s="225">
        <f t="shared" ca="1" si="694"/>
        <v>17516012.024312377</v>
      </c>
      <c r="GP202" s="225">
        <f t="shared" ca="1" si="694"/>
        <v>0</v>
      </c>
      <c r="GQ202" s="225">
        <f t="shared" ca="1" si="694"/>
        <v>0</v>
      </c>
      <c r="GR202" s="225">
        <f t="shared" ca="1" si="694"/>
        <v>0</v>
      </c>
      <c r="GS202" s="225">
        <f t="shared" ca="1" si="694"/>
        <v>0</v>
      </c>
      <c r="GT202" s="225">
        <f t="shared" ca="1" si="694"/>
        <v>0</v>
      </c>
      <c r="GU202" s="225">
        <f t="shared" ca="1" si="694"/>
        <v>0</v>
      </c>
      <c r="GV202" s="225">
        <f t="shared" ca="1" si="694"/>
        <v>0</v>
      </c>
      <c r="GW202" s="225">
        <f t="shared" ca="1" si="694"/>
        <v>0</v>
      </c>
      <c r="GX202" s="225">
        <f t="shared" ca="1" si="694"/>
        <v>0</v>
      </c>
      <c r="GY202" s="225">
        <f t="shared" ca="1" si="694"/>
        <v>0</v>
      </c>
      <c r="GZ202" s="225">
        <f t="shared" ca="1" si="694"/>
        <v>0</v>
      </c>
      <c r="HA202" s="225">
        <f t="shared" ca="1" si="694"/>
        <v>0</v>
      </c>
      <c r="HB202" s="225">
        <f t="shared" ca="1" si="694"/>
        <v>0</v>
      </c>
      <c r="HC202" s="225">
        <f t="shared" ca="1" si="694"/>
        <v>0</v>
      </c>
      <c r="HD202" s="225">
        <f t="shared" ca="1" si="694"/>
        <v>0</v>
      </c>
      <c r="HE202" s="225">
        <f t="shared" ca="1" si="694"/>
        <v>0</v>
      </c>
      <c r="HF202" s="225">
        <f t="shared" ca="1" si="694"/>
        <v>0</v>
      </c>
      <c r="HG202" s="225">
        <f t="shared" ca="1" si="694"/>
        <v>0</v>
      </c>
      <c r="HH202" s="225">
        <f t="shared" ca="1" si="694"/>
        <v>0</v>
      </c>
      <c r="HI202" s="225">
        <f t="shared" ca="1" si="694"/>
        <v>0</v>
      </c>
      <c r="HJ202" s="225">
        <f t="shared" ref="HJ202:IO202" ca="1" si="695">(HJ$197&lt;=Timing_Reversion_Month)*(MIN(HJ199+HJ200,MAX(HJ196,0)*$I$233))</f>
        <v>0</v>
      </c>
      <c r="HK202" s="225">
        <f t="shared" ca="1" si="695"/>
        <v>0</v>
      </c>
      <c r="HL202" s="225">
        <f t="shared" ca="1" si="695"/>
        <v>0</v>
      </c>
      <c r="HM202" s="225">
        <f t="shared" ca="1" si="695"/>
        <v>0</v>
      </c>
      <c r="HN202" s="225">
        <f t="shared" ca="1" si="695"/>
        <v>0</v>
      </c>
      <c r="HO202" s="225">
        <f t="shared" ca="1" si="695"/>
        <v>0</v>
      </c>
      <c r="HP202" s="225">
        <f t="shared" ca="1" si="695"/>
        <v>0</v>
      </c>
      <c r="HQ202" s="225">
        <f t="shared" ca="1" si="695"/>
        <v>0</v>
      </c>
      <c r="HR202" s="225">
        <f t="shared" ca="1" si="695"/>
        <v>0</v>
      </c>
      <c r="HS202" s="225">
        <f t="shared" ca="1" si="695"/>
        <v>0</v>
      </c>
      <c r="HT202" s="225">
        <f t="shared" ca="1" si="695"/>
        <v>0</v>
      </c>
      <c r="HU202" s="225">
        <f t="shared" ca="1" si="695"/>
        <v>0</v>
      </c>
      <c r="HV202" s="225">
        <f t="shared" ca="1" si="695"/>
        <v>0</v>
      </c>
      <c r="HW202" s="225">
        <f t="shared" ca="1" si="695"/>
        <v>0</v>
      </c>
      <c r="HX202" s="225">
        <f t="shared" ca="1" si="695"/>
        <v>0</v>
      </c>
      <c r="HY202" s="225">
        <f t="shared" ca="1" si="695"/>
        <v>0</v>
      </c>
      <c r="HZ202" s="225">
        <f t="shared" ca="1" si="695"/>
        <v>0</v>
      </c>
      <c r="IA202" s="225">
        <f t="shared" ca="1" si="695"/>
        <v>0</v>
      </c>
      <c r="IB202" s="225">
        <f t="shared" ca="1" si="695"/>
        <v>0</v>
      </c>
      <c r="IC202" s="225">
        <f t="shared" ca="1" si="695"/>
        <v>0</v>
      </c>
      <c r="ID202" s="225">
        <f t="shared" ca="1" si="695"/>
        <v>0</v>
      </c>
      <c r="IE202" s="225">
        <f t="shared" ca="1" si="695"/>
        <v>0</v>
      </c>
      <c r="IF202" s="225">
        <f t="shared" ca="1" si="695"/>
        <v>0</v>
      </c>
      <c r="IG202" s="225">
        <f t="shared" ca="1" si="695"/>
        <v>0</v>
      </c>
      <c r="IH202" s="225">
        <f t="shared" ca="1" si="695"/>
        <v>0</v>
      </c>
      <c r="II202" s="225">
        <f t="shared" ca="1" si="695"/>
        <v>0</v>
      </c>
      <c r="IJ202" s="225">
        <f t="shared" ca="1" si="695"/>
        <v>0</v>
      </c>
      <c r="IK202" s="225">
        <f t="shared" ca="1" si="695"/>
        <v>0</v>
      </c>
      <c r="IL202" s="225">
        <f t="shared" ca="1" si="695"/>
        <v>0</v>
      </c>
      <c r="IM202" s="225">
        <f t="shared" ca="1" si="695"/>
        <v>0</v>
      </c>
      <c r="IN202" s="225">
        <f t="shared" ca="1" si="695"/>
        <v>0</v>
      </c>
      <c r="IO202" s="225">
        <f t="shared" ca="1" si="695"/>
        <v>0</v>
      </c>
      <c r="IP202" s="225">
        <f t="shared" ref="IP202:JX202" ca="1" si="696">(IP$197&lt;=Timing_Reversion_Month)*(MIN(IP199+IP200,MAX(IP196,0)*$I$233))</f>
        <v>0</v>
      </c>
      <c r="IQ202" s="225">
        <f t="shared" ca="1" si="696"/>
        <v>0</v>
      </c>
      <c r="IR202" s="225">
        <f t="shared" ca="1" si="696"/>
        <v>0</v>
      </c>
      <c r="IS202" s="225">
        <f t="shared" ca="1" si="696"/>
        <v>0</v>
      </c>
      <c r="IT202" s="225">
        <f t="shared" ca="1" si="696"/>
        <v>0</v>
      </c>
      <c r="IU202" s="225">
        <f t="shared" ca="1" si="696"/>
        <v>0</v>
      </c>
      <c r="IV202" s="225">
        <f t="shared" ca="1" si="696"/>
        <v>0</v>
      </c>
      <c r="IW202" s="225">
        <f t="shared" ca="1" si="696"/>
        <v>0</v>
      </c>
      <c r="IX202" s="225">
        <f t="shared" ca="1" si="696"/>
        <v>0</v>
      </c>
      <c r="IY202" s="225">
        <f t="shared" ca="1" si="696"/>
        <v>0</v>
      </c>
      <c r="IZ202" s="225">
        <f t="shared" ca="1" si="696"/>
        <v>0</v>
      </c>
      <c r="JA202" s="225">
        <f t="shared" ca="1" si="696"/>
        <v>0</v>
      </c>
      <c r="JB202" s="225">
        <f t="shared" ca="1" si="696"/>
        <v>0</v>
      </c>
      <c r="JC202" s="225">
        <f t="shared" ca="1" si="696"/>
        <v>0</v>
      </c>
      <c r="JD202" s="225">
        <f t="shared" ca="1" si="696"/>
        <v>0</v>
      </c>
      <c r="JE202" s="225">
        <f t="shared" ca="1" si="696"/>
        <v>0</v>
      </c>
      <c r="JF202" s="225">
        <f t="shared" ca="1" si="696"/>
        <v>0</v>
      </c>
      <c r="JG202" s="225">
        <f t="shared" ca="1" si="696"/>
        <v>0</v>
      </c>
      <c r="JH202" s="225">
        <f t="shared" ca="1" si="696"/>
        <v>0</v>
      </c>
      <c r="JI202" s="225">
        <f t="shared" ca="1" si="696"/>
        <v>0</v>
      </c>
      <c r="JJ202" s="225">
        <f t="shared" ca="1" si="696"/>
        <v>0</v>
      </c>
      <c r="JK202" s="225">
        <f t="shared" ca="1" si="696"/>
        <v>0</v>
      </c>
      <c r="JL202" s="225">
        <f t="shared" ca="1" si="696"/>
        <v>0</v>
      </c>
      <c r="JM202" s="225">
        <f t="shared" ca="1" si="696"/>
        <v>0</v>
      </c>
      <c r="JN202" s="225">
        <f t="shared" ca="1" si="696"/>
        <v>0</v>
      </c>
      <c r="JO202" s="225">
        <f t="shared" ca="1" si="696"/>
        <v>0</v>
      </c>
      <c r="JP202" s="225">
        <f t="shared" ca="1" si="696"/>
        <v>0</v>
      </c>
      <c r="JQ202" s="225">
        <f t="shared" ca="1" si="696"/>
        <v>0</v>
      </c>
      <c r="JR202" s="225">
        <f t="shared" ca="1" si="696"/>
        <v>0</v>
      </c>
      <c r="JS202" s="225">
        <f t="shared" ca="1" si="696"/>
        <v>0</v>
      </c>
      <c r="JT202" s="225">
        <f t="shared" ca="1" si="696"/>
        <v>0</v>
      </c>
      <c r="JU202" s="225">
        <f t="shared" ca="1" si="696"/>
        <v>0</v>
      </c>
      <c r="JV202" s="225">
        <f t="shared" ca="1" si="696"/>
        <v>0</v>
      </c>
      <c r="JW202" s="225">
        <f t="shared" ca="1" si="696"/>
        <v>0</v>
      </c>
      <c r="JX202" s="225">
        <f t="shared" ca="1" si="696"/>
        <v>0</v>
      </c>
    </row>
    <row r="203" spans="1:284" s="7" customFormat="1" x14ac:dyDescent="0.2">
      <c r="A203" s="406"/>
      <c r="B203" s="92" t="s">
        <v>192</v>
      </c>
      <c r="C203" s="120"/>
      <c r="D203" s="120"/>
      <c r="E203" s="120"/>
      <c r="F203" s="120"/>
      <c r="G203" s="120"/>
      <c r="H203" s="123"/>
      <c r="I203" s="123">
        <f>SUM(L203:EN203)</f>
        <v>4759437.4499489935</v>
      </c>
      <c r="L203" s="49">
        <f t="shared" ref="L203:AQ203" si="697">IF(L195="","",L138)</f>
        <v>0</v>
      </c>
      <c r="M203" s="49">
        <f t="shared" si="697"/>
        <v>0</v>
      </c>
      <c r="N203" s="49">
        <f t="shared" si="697"/>
        <v>0</v>
      </c>
      <c r="O203" s="49">
        <f t="shared" si="697"/>
        <v>0</v>
      </c>
      <c r="P203" s="49">
        <f t="shared" si="697"/>
        <v>0</v>
      </c>
      <c r="Q203" s="49">
        <f t="shared" si="697"/>
        <v>0</v>
      </c>
      <c r="R203" s="49">
        <f t="shared" si="697"/>
        <v>0</v>
      </c>
      <c r="S203" s="49">
        <f t="shared" si="697"/>
        <v>0</v>
      </c>
      <c r="T203" s="49">
        <f t="shared" si="697"/>
        <v>0</v>
      </c>
      <c r="U203" s="49">
        <f t="shared" si="697"/>
        <v>0</v>
      </c>
      <c r="V203" s="49">
        <f t="shared" si="697"/>
        <v>0</v>
      </c>
      <c r="W203" s="49">
        <f t="shared" si="697"/>
        <v>0</v>
      </c>
      <c r="X203" s="49">
        <f t="shared" si="697"/>
        <v>0</v>
      </c>
      <c r="Y203" s="49">
        <f t="shared" si="697"/>
        <v>0</v>
      </c>
      <c r="Z203" s="49">
        <f t="shared" si="697"/>
        <v>0</v>
      </c>
      <c r="AA203" s="49">
        <f t="shared" si="697"/>
        <v>0</v>
      </c>
      <c r="AB203" s="49">
        <f t="shared" si="697"/>
        <v>0</v>
      </c>
      <c r="AC203" s="49">
        <f t="shared" si="697"/>
        <v>0</v>
      </c>
      <c r="AD203" s="49">
        <f t="shared" si="697"/>
        <v>0</v>
      </c>
      <c r="AE203" s="49">
        <f t="shared" si="697"/>
        <v>-137014.1267392564</v>
      </c>
      <c r="AF203" s="49">
        <f t="shared" si="697"/>
        <v>-105738.43198636749</v>
      </c>
      <c r="AG203" s="49">
        <f t="shared" si="697"/>
        <v>-74462.737233478663</v>
      </c>
      <c r="AH203" s="49">
        <f t="shared" si="697"/>
        <v>-43187.042480589735</v>
      </c>
      <c r="AI203" s="49">
        <f t="shared" si="697"/>
        <v>-11911.347727700826</v>
      </c>
      <c r="AJ203" s="49">
        <f t="shared" si="697"/>
        <v>19364.347025188054</v>
      </c>
      <c r="AK203" s="49">
        <f t="shared" si="697"/>
        <v>50640.041778076935</v>
      </c>
      <c r="AL203" s="49">
        <f t="shared" si="697"/>
        <v>81915.73653096582</v>
      </c>
      <c r="AM203" s="49">
        <f t="shared" si="697"/>
        <v>113191.43128385466</v>
      </c>
      <c r="AN203" s="49">
        <f t="shared" si="697"/>
        <v>144467.12603674358</v>
      </c>
      <c r="AO203" s="49">
        <f t="shared" si="697"/>
        <v>175742.8207896325</v>
      </c>
      <c r="AP203" s="49">
        <f t="shared" si="697"/>
        <v>207018.5155425214</v>
      </c>
      <c r="AQ203" s="49">
        <f t="shared" si="697"/>
        <v>223226.79761989755</v>
      </c>
      <c r="AR203" s="49">
        <f t="shared" ref="AR203:BW203" si="698">IF(AR195="","",AR138)</f>
        <v>255440.76321537315</v>
      </c>
      <c r="AS203" s="49">
        <f t="shared" si="698"/>
        <v>294529.40665734163</v>
      </c>
      <c r="AT203" s="49">
        <f t="shared" si="698"/>
        <v>295640.04453234165</v>
      </c>
      <c r="AU203" s="49">
        <f t="shared" si="698"/>
        <v>296750.68240734166</v>
      </c>
      <c r="AV203" s="49">
        <f t="shared" si="698"/>
        <v>297861.32028234168</v>
      </c>
      <c r="AW203" s="49">
        <f t="shared" si="698"/>
        <v>298971.95815734164</v>
      </c>
      <c r="AX203" s="49">
        <f t="shared" si="698"/>
        <v>300082.59603234159</v>
      </c>
      <c r="AY203" s="49">
        <f t="shared" si="698"/>
        <v>301193.23390734167</v>
      </c>
      <c r="AZ203" s="49">
        <f t="shared" si="698"/>
        <v>302303.87178234162</v>
      </c>
      <c r="BA203" s="49">
        <f t="shared" si="698"/>
        <v>303414.50965734164</v>
      </c>
      <c r="BB203" s="49">
        <f t="shared" si="698"/>
        <v>304525.14753234165</v>
      </c>
      <c r="BC203" s="49">
        <f t="shared" si="698"/>
        <v>291922.13281565561</v>
      </c>
      <c r="BD203" s="49">
        <f t="shared" si="698"/>
        <v>293066.08982690558</v>
      </c>
      <c r="BE203" s="49">
        <f t="shared" si="698"/>
        <v>280482.56270315562</v>
      </c>
      <c r="BF203" s="49" t="str">
        <f t="shared" si="698"/>
        <v/>
      </c>
      <c r="BG203" s="49" t="str">
        <f t="shared" si="698"/>
        <v/>
      </c>
      <c r="BH203" s="49" t="str">
        <f t="shared" si="698"/>
        <v/>
      </c>
      <c r="BI203" s="49" t="str">
        <f t="shared" si="698"/>
        <v/>
      </c>
      <c r="BJ203" s="49" t="str">
        <f t="shared" si="698"/>
        <v/>
      </c>
      <c r="BK203" s="49" t="str">
        <f t="shared" si="698"/>
        <v/>
      </c>
      <c r="BL203" s="49" t="str">
        <f t="shared" si="698"/>
        <v/>
      </c>
      <c r="BM203" s="49" t="str">
        <f t="shared" si="698"/>
        <v/>
      </c>
      <c r="BN203" s="49" t="str">
        <f t="shared" si="698"/>
        <v/>
      </c>
      <c r="BO203" s="49" t="str">
        <f t="shared" si="698"/>
        <v/>
      </c>
      <c r="BP203" s="49" t="str">
        <f t="shared" si="698"/>
        <v/>
      </c>
      <c r="BQ203" s="49" t="str">
        <f t="shared" si="698"/>
        <v/>
      </c>
      <c r="BR203" s="49" t="str">
        <f t="shared" si="698"/>
        <v/>
      </c>
      <c r="BS203" s="49" t="str">
        <f t="shared" si="698"/>
        <v/>
      </c>
      <c r="BT203" s="49" t="str">
        <f t="shared" si="698"/>
        <v/>
      </c>
      <c r="BU203" s="49" t="str">
        <f t="shared" si="698"/>
        <v/>
      </c>
      <c r="BV203" s="49" t="str">
        <f t="shared" si="698"/>
        <v/>
      </c>
      <c r="BW203" s="49" t="str">
        <f t="shared" si="698"/>
        <v/>
      </c>
      <c r="BX203" s="49" t="str">
        <f t="shared" ref="BX203:DC203" si="699">IF(BX195="","",BX138)</f>
        <v/>
      </c>
      <c r="BY203" s="49" t="str">
        <f t="shared" si="699"/>
        <v/>
      </c>
      <c r="BZ203" s="49" t="str">
        <f t="shared" si="699"/>
        <v/>
      </c>
      <c r="CA203" s="49" t="str">
        <f t="shared" si="699"/>
        <v/>
      </c>
      <c r="CB203" s="49" t="str">
        <f t="shared" si="699"/>
        <v/>
      </c>
      <c r="CC203" s="49" t="str">
        <f t="shared" si="699"/>
        <v/>
      </c>
      <c r="CD203" s="49" t="str">
        <f t="shared" si="699"/>
        <v/>
      </c>
      <c r="CE203" s="49" t="str">
        <f t="shared" si="699"/>
        <v/>
      </c>
      <c r="CF203" s="49" t="str">
        <f t="shared" si="699"/>
        <v/>
      </c>
      <c r="CG203" s="49" t="str">
        <f t="shared" si="699"/>
        <v/>
      </c>
      <c r="CH203" s="49" t="str">
        <f t="shared" si="699"/>
        <v/>
      </c>
      <c r="CI203" s="49" t="str">
        <f t="shared" si="699"/>
        <v/>
      </c>
      <c r="CJ203" s="49" t="str">
        <f t="shared" si="699"/>
        <v/>
      </c>
      <c r="CK203" s="49" t="str">
        <f t="shared" si="699"/>
        <v/>
      </c>
      <c r="CL203" s="49" t="str">
        <f t="shared" si="699"/>
        <v/>
      </c>
      <c r="CM203" s="49" t="str">
        <f t="shared" si="699"/>
        <v/>
      </c>
      <c r="CN203" s="49" t="str">
        <f t="shared" si="699"/>
        <v/>
      </c>
      <c r="CO203" s="49" t="str">
        <f t="shared" si="699"/>
        <v/>
      </c>
      <c r="CP203" s="49" t="str">
        <f t="shared" si="699"/>
        <v/>
      </c>
      <c r="CQ203" s="49" t="str">
        <f t="shared" si="699"/>
        <v/>
      </c>
      <c r="CR203" s="49" t="str">
        <f t="shared" si="699"/>
        <v/>
      </c>
      <c r="CS203" s="49" t="str">
        <f t="shared" si="699"/>
        <v/>
      </c>
      <c r="CT203" s="49" t="str">
        <f t="shared" si="699"/>
        <v/>
      </c>
      <c r="CU203" s="49" t="str">
        <f t="shared" si="699"/>
        <v/>
      </c>
      <c r="CV203" s="49" t="str">
        <f t="shared" si="699"/>
        <v/>
      </c>
      <c r="CW203" s="49" t="str">
        <f t="shared" si="699"/>
        <v/>
      </c>
      <c r="CX203" s="49" t="str">
        <f t="shared" si="699"/>
        <v/>
      </c>
      <c r="CY203" s="49" t="str">
        <f t="shared" si="699"/>
        <v/>
      </c>
      <c r="CZ203" s="49" t="str">
        <f t="shared" si="699"/>
        <v/>
      </c>
      <c r="DA203" s="49" t="str">
        <f t="shared" si="699"/>
        <v/>
      </c>
      <c r="DB203" s="49" t="str">
        <f t="shared" si="699"/>
        <v/>
      </c>
      <c r="DC203" s="49" t="str">
        <f t="shared" si="699"/>
        <v/>
      </c>
      <c r="DD203" s="49" t="str">
        <f t="shared" ref="DD203:EN203" si="700">IF(DD195="","",DD138)</f>
        <v/>
      </c>
      <c r="DE203" s="49" t="str">
        <f t="shared" si="700"/>
        <v/>
      </c>
      <c r="DF203" s="49" t="str">
        <f t="shared" si="700"/>
        <v/>
      </c>
      <c r="DG203" s="49" t="str">
        <f t="shared" si="700"/>
        <v/>
      </c>
      <c r="DH203" s="49" t="str">
        <f t="shared" si="700"/>
        <v/>
      </c>
      <c r="DI203" s="49" t="str">
        <f t="shared" si="700"/>
        <v/>
      </c>
      <c r="DJ203" s="49" t="str">
        <f t="shared" si="700"/>
        <v/>
      </c>
      <c r="DK203" s="49" t="str">
        <f t="shared" si="700"/>
        <v/>
      </c>
      <c r="DL203" s="49" t="str">
        <f t="shared" si="700"/>
        <v/>
      </c>
      <c r="DM203" s="49" t="str">
        <f t="shared" si="700"/>
        <v/>
      </c>
      <c r="DN203" s="49" t="str">
        <f t="shared" si="700"/>
        <v/>
      </c>
      <c r="DO203" s="49" t="str">
        <f t="shared" si="700"/>
        <v/>
      </c>
      <c r="DP203" s="49" t="str">
        <f t="shared" si="700"/>
        <v/>
      </c>
      <c r="DQ203" s="49" t="str">
        <f t="shared" si="700"/>
        <v/>
      </c>
      <c r="DR203" s="49" t="str">
        <f t="shared" si="700"/>
        <v/>
      </c>
      <c r="DS203" s="49" t="str">
        <f t="shared" si="700"/>
        <v/>
      </c>
      <c r="DT203" s="49" t="str">
        <f t="shared" si="700"/>
        <v/>
      </c>
      <c r="DU203" s="49" t="str">
        <f t="shared" si="700"/>
        <v/>
      </c>
      <c r="DV203" s="49" t="str">
        <f t="shared" si="700"/>
        <v/>
      </c>
      <c r="DW203" s="49" t="str">
        <f t="shared" si="700"/>
        <v/>
      </c>
      <c r="DX203" s="49" t="str">
        <f t="shared" si="700"/>
        <v/>
      </c>
      <c r="DY203" s="49" t="str">
        <f t="shared" si="700"/>
        <v/>
      </c>
      <c r="DZ203" s="49" t="str">
        <f t="shared" si="700"/>
        <v/>
      </c>
      <c r="EA203" s="49" t="str">
        <f t="shared" si="700"/>
        <v/>
      </c>
      <c r="EB203" s="49" t="str">
        <f t="shared" si="700"/>
        <v/>
      </c>
      <c r="EC203" s="49" t="str">
        <f t="shared" si="700"/>
        <v/>
      </c>
      <c r="ED203" s="49" t="str">
        <f t="shared" si="700"/>
        <v/>
      </c>
      <c r="EE203" s="49" t="str">
        <f t="shared" si="700"/>
        <v/>
      </c>
      <c r="EF203" s="49" t="str">
        <f t="shared" si="700"/>
        <v/>
      </c>
      <c r="EG203" s="49" t="str">
        <f t="shared" si="700"/>
        <v/>
      </c>
      <c r="EH203" s="49" t="str">
        <f t="shared" si="700"/>
        <v/>
      </c>
      <c r="EI203" s="49" t="str">
        <f t="shared" si="700"/>
        <v/>
      </c>
      <c r="EJ203" s="49" t="str">
        <f t="shared" si="700"/>
        <v/>
      </c>
      <c r="EK203" s="49" t="str">
        <f t="shared" si="700"/>
        <v/>
      </c>
      <c r="EL203" s="49" t="str">
        <f t="shared" si="700"/>
        <v/>
      </c>
      <c r="EM203" s="49" t="str">
        <f t="shared" si="700"/>
        <v/>
      </c>
      <c r="EN203" s="49" t="str">
        <f t="shared" si="700"/>
        <v/>
      </c>
      <c r="EP203" s="220">
        <f>F233</f>
        <v>0.09</v>
      </c>
      <c r="EQ203" s="24" t="s">
        <v>376</v>
      </c>
      <c r="ER203" s="24"/>
      <c r="ES203" s="24"/>
      <c r="ET203" s="33" t="s">
        <v>371</v>
      </c>
      <c r="EU203" s="33"/>
      <c r="EV203" s="225">
        <f t="shared" ref="EV203:GA203" ca="1" si="701">(EV$197&lt;=Timing_Reversion_Month)*(EV199+EV200+EV201-EV202)</f>
        <v>3565501.5512782279</v>
      </c>
      <c r="EW203" s="225">
        <f t="shared" ca="1" si="701"/>
        <v>4004083.9382559014</v>
      </c>
      <c r="EX203" s="225">
        <f t="shared" ca="1" si="701"/>
        <v>4598302.1208523931</v>
      </c>
      <c r="EY203" s="225">
        <f t="shared" ca="1" si="701"/>
        <v>5499182.2953566201</v>
      </c>
      <c r="EZ203" s="225">
        <f t="shared" ca="1" si="701"/>
        <v>6933246.5388210798</v>
      </c>
      <c r="FA203" s="225">
        <f t="shared" ca="1" si="701"/>
        <v>9177364.8780573085</v>
      </c>
      <c r="FB203" s="225">
        <f t="shared" ca="1" si="701"/>
        <v>12482874.411106823</v>
      </c>
      <c r="FC203" s="225">
        <f t="shared" ca="1" si="701"/>
        <v>14238768.340474503</v>
      </c>
      <c r="FD203" s="225">
        <f t="shared" ca="1" si="701"/>
        <v>14341391.747527875</v>
      </c>
      <c r="FE203" s="225">
        <f t="shared" ca="1" si="701"/>
        <v>14444754.794655683</v>
      </c>
      <c r="FF203" s="225">
        <f t="shared" ca="1" si="701"/>
        <v>14548862.812683081</v>
      </c>
      <c r="FG203" s="225">
        <f t="shared" ca="1" si="701"/>
        <v>14653721.170856206</v>
      </c>
      <c r="FH203" s="225">
        <f t="shared" ca="1" si="701"/>
        <v>14759335.277119083</v>
      </c>
      <c r="FI203" s="225">
        <f t="shared" ca="1" si="701"/>
        <v>14865710.578392543</v>
      </c>
      <c r="FJ203" s="225">
        <f t="shared" ca="1" si="701"/>
        <v>14972852.560855132</v>
      </c>
      <c r="FK203" s="225">
        <f t="shared" ca="1" si="701"/>
        <v>15080766.75022606</v>
      </c>
      <c r="FL203" s="225">
        <f t="shared" ca="1" si="701"/>
        <v>15189458.712050183</v>
      </c>
      <c r="FM203" s="225">
        <f t="shared" ca="1" si="701"/>
        <v>15298934.051985038</v>
      </c>
      <c r="FN203" s="225">
        <f t="shared" ca="1" si="701"/>
        <v>15409198.416089948</v>
      </c>
      <c r="FO203" s="225">
        <f t="shared" ca="1" si="701"/>
        <v>15520257.491117211</v>
      </c>
      <c r="FP203" s="225">
        <f t="shared" ca="1" si="701"/>
        <v>15632117.004805386</v>
      </c>
      <c r="FQ203" s="225">
        <f t="shared" ca="1" si="701"/>
        <v>15744782.726174697</v>
      </c>
      <c r="FR203" s="225">
        <f t="shared" ca="1" si="701"/>
        <v>15858260.465824563</v>
      </c>
      <c r="FS203" s="225">
        <f t="shared" ca="1" si="701"/>
        <v>15972556.07623327</v>
      </c>
      <c r="FT203" s="225">
        <f t="shared" ca="1" si="701"/>
        <v>16087675.452059807</v>
      </c>
      <c r="FU203" s="225">
        <f t="shared" ca="1" si="701"/>
        <v>16203624.530447878</v>
      </c>
      <c r="FV203" s="225">
        <f t="shared" ca="1" si="701"/>
        <v>16320409.2913321</v>
      </c>
      <c r="FW203" s="225">
        <f t="shared" ca="1" si="701"/>
        <v>16438035.757746411</v>
      </c>
      <c r="FX203" s="225">
        <f t="shared" ca="1" si="701"/>
        <v>16556509.996134706</v>
      </c>
      <c r="FY203" s="225">
        <f t="shared" ca="1" si="701"/>
        <v>16675838.116663698</v>
      </c>
      <c r="FZ203" s="225">
        <f t="shared" ca="1" si="701"/>
        <v>16794033.656009849</v>
      </c>
      <c r="GA203" s="225">
        <f t="shared" ca="1" si="701"/>
        <v>16897683.200849086</v>
      </c>
      <c r="GB203" s="225">
        <f t="shared" ref="GB203:HG203" ca="1" si="702">(GB$197&lt;=Timing_Reversion_Month)*(GB199+GB200+GB201-GB202)</f>
        <v>16971476.514153846</v>
      </c>
      <c r="GC203" s="225">
        <f t="shared" ca="1" si="702"/>
        <v>17008667.468456291</v>
      </c>
      <c r="GD203" s="225">
        <f t="shared" ca="1" si="702"/>
        <v>17045071.364009582</v>
      </c>
      <c r="GE203" s="225">
        <f t="shared" ca="1" si="702"/>
        <v>17080682.528226841</v>
      </c>
      <c r="GF203" s="225">
        <f t="shared" ca="1" si="702"/>
        <v>17115495.24763703</v>
      </c>
      <c r="GG203" s="225">
        <f t="shared" ca="1" si="702"/>
        <v>17149503.767590273</v>
      </c>
      <c r="GH203" s="225">
        <f t="shared" ca="1" si="702"/>
        <v>17182702.291961074</v>
      </c>
      <c r="GI203" s="225">
        <f t="shared" ca="1" si="702"/>
        <v>17215084.982849378</v>
      </c>
      <c r="GJ203" s="225">
        <f t="shared" ca="1" si="702"/>
        <v>17246645.960279513</v>
      </c>
      <c r="GK203" s="225">
        <f t="shared" ca="1" si="702"/>
        <v>17277379.301896911</v>
      </c>
      <c r="GL203" s="225">
        <f t="shared" ca="1" si="702"/>
        <v>17307279.04266268</v>
      </c>
      <c r="GM203" s="225">
        <f t="shared" ca="1" si="702"/>
        <v>17349367.144508071</v>
      </c>
      <c r="GN203" s="225">
        <f t="shared" ca="1" si="702"/>
        <v>17390671.829750534</v>
      </c>
      <c r="GO203" s="225">
        <f t="shared" ca="1" si="702"/>
        <v>0</v>
      </c>
      <c r="GP203" s="225">
        <f t="shared" ca="1" si="702"/>
        <v>0</v>
      </c>
      <c r="GQ203" s="225">
        <f t="shared" ca="1" si="702"/>
        <v>0</v>
      </c>
      <c r="GR203" s="225">
        <f t="shared" ca="1" si="702"/>
        <v>0</v>
      </c>
      <c r="GS203" s="225">
        <f t="shared" ca="1" si="702"/>
        <v>0</v>
      </c>
      <c r="GT203" s="225">
        <f t="shared" ca="1" si="702"/>
        <v>0</v>
      </c>
      <c r="GU203" s="225">
        <f t="shared" ca="1" si="702"/>
        <v>0</v>
      </c>
      <c r="GV203" s="225">
        <f t="shared" ca="1" si="702"/>
        <v>0</v>
      </c>
      <c r="GW203" s="225">
        <f t="shared" ca="1" si="702"/>
        <v>0</v>
      </c>
      <c r="GX203" s="225">
        <f t="shared" ca="1" si="702"/>
        <v>0</v>
      </c>
      <c r="GY203" s="225">
        <f t="shared" ca="1" si="702"/>
        <v>0</v>
      </c>
      <c r="GZ203" s="225">
        <f t="shared" ca="1" si="702"/>
        <v>0</v>
      </c>
      <c r="HA203" s="225">
        <f t="shared" ca="1" si="702"/>
        <v>0</v>
      </c>
      <c r="HB203" s="225">
        <f t="shared" ca="1" si="702"/>
        <v>0</v>
      </c>
      <c r="HC203" s="225">
        <f t="shared" ca="1" si="702"/>
        <v>0</v>
      </c>
      <c r="HD203" s="225">
        <f t="shared" ca="1" si="702"/>
        <v>0</v>
      </c>
      <c r="HE203" s="225">
        <f t="shared" ca="1" si="702"/>
        <v>0</v>
      </c>
      <c r="HF203" s="225">
        <f t="shared" ca="1" si="702"/>
        <v>0</v>
      </c>
      <c r="HG203" s="225">
        <f t="shared" ca="1" si="702"/>
        <v>0</v>
      </c>
      <c r="HH203" s="225">
        <f t="shared" ref="HH203:IM203" ca="1" si="703">(HH$197&lt;=Timing_Reversion_Month)*(HH199+HH200+HH201-HH202)</f>
        <v>0</v>
      </c>
      <c r="HI203" s="225">
        <f t="shared" ca="1" si="703"/>
        <v>0</v>
      </c>
      <c r="HJ203" s="225">
        <f t="shared" ca="1" si="703"/>
        <v>0</v>
      </c>
      <c r="HK203" s="225">
        <f t="shared" ca="1" si="703"/>
        <v>0</v>
      </c>
      <c r="HL203" s="225">
        <f t="shared" ca="1" si="703"/>
        <v>0</v>
      </c>
      <c r="HM203" s="225">
        <f t="shared" ca="1" si="703"/>
        <v>0</v>
      </c>
      <c r="HN203" s="225">
        <f t="shared" ca="1" si="703"/>
        <v>0</v>
      </c>
      <c r="HO203" s="225">
        <f t="shared" ca="1" si="703"/>
        <v>0</v>
      </c>
      <c r="HP203" s="225">
        <f t="shared" ca="1" si="703"/>
        <v>0</v>
      </c>
      <c r="HQ203" s="225">
        <f t="shared" ca="1" si="703"/>
        <v>0</v>
      </c>
      <c r="HR203" s="225">
        <f t="shared" ca="1" si="703"/>
        <v>0</v>
      </c>
      <c r="HS203" s="225">
        <f t="shared" ca="1" si="703"/>
        <v>0</v>
      </c>
      <c r="HT203" s="225">
        <f t="shared" ca="1" si="703"/>
        <v>0</v>
      </c>
      <c r="HU203" s="225">
        <f t="shared" ca="1" si="703"/>
        <v>0</v>
      </c>
      <c r="HV203" s="225">
        <f t="shared" ca="1" si="703"/>
        <v>0</v>
      </c>
      <c r="HW203" s="225">
        <f t="shared" ca="1" si="703"/>
        <v>0</v>
      </c>
      <c r="HX203" s="225">
        <f t="shared" ca="1" si="703"/>
        <v>0</v>
      </c>
      <c r="HY203" s="225">
        <f t="shared" ca="1" si="703"/>
        <v>0</v>
      </c>
      <c r="HZ203" s="225">
        <f t="shared" ca="1" si="703"/>
        <v>0</v>
      </c>
      <c r="IA203" s="225">
        <f t="shared" ca="1" si="703"/>
        <v>0</v>
      </c>
      <c r="IB203" s="225">
        <f t="shared" ca="1" si="703"/>
        <v>0</v>
      </c>
      <c r="IC203" s="225">
        <f t="shared" ca="1" si="703"/>
        <v>0</v>
      </c>
      <c r="ID203" s="225">
        <f t="shared" ca="1" si="703"/>
        <v>0</v>
      </c>
      <c r="IE203" s="225">
        <f t="shared" ca="1" si="703"/>
        <v>0</v>
      </c>
      <c r="IF203" s="225">
        <f t="shared" ca="1" si="703"/>
        <v>0</v>
      </c>
      <c r="IG203" s="225">
        <f t="shared" ca="1" si="703"/>
        <v>0</v>
      </c>
      <c r="IH203" s="225">
        <f t="shared" ca="1" si="703"/>
        <v>0</v>
      </c>
      <c r="II203" s="225">
        <f t="shared" ca="1" si="703"/>
        <v>0</v>
      </c>
      <c r="IJ203" s="225">
        <f t="shared" ca="1" si="703"/>
        <v>0</v>
      </c>
      <c r="IK203" s="225">
        <f t="shared" ca="1" si="703"/>
        <v>0</v>
      </c>
      <c r="IL203" s="225">
        <f t="shared" ca="1" si="703"/>
        <v>0</v>
      </c>
      <c r="IM203" s="225">
        <f t="shared" ca="1" si="703"/>
        <v>0</v>
      </c>
      <c r="IN203" s="225">
        <f t="shared" ref="IN203:JS203" ca="1" si="704">(IN$197&lt;=Timing_Reversion_Month)*(IN199+IN200+IN201-IN202)</f>
        <v>0</v>
      </c>
      <c r="IO203" s="225">
        <f t="shared" ca="1" si="704"/>
        <v>0</v>
      </c>
      <c r="IP203" s="225">
        <f t="shared" ca="1" si="704"/>
        <v>0</v>
      </c>
      <c r="IQ203" s="225">
        <f t="shared" ca="1" si="704"/>
        <v>0</v>
      </c>
      <c r="IR203" s="225">
        <f t="shared" ca="1" si="704"/>
        <v>0</v>
      </c>
      <c r="IS203" s="225">
        <f t="shared" ca="1" si="704"/>
        <v>0</v>
      </c>
      <c r="IT203" s="225">
        <f t="shared" ca="1" si="704"/>
        <v>0</v>
      </c>
      <c r="IU203" s="225">
        <f t="shared" ca="1" si="704"/>
        <v>0</v>
      </c>
      <c r="IV203" s="225">
        <f t="shared" ca="1" si="704"/>
        <v>0</v>
      </c>
      <c r="IW203" s="225">
        <f t="shared" ca="1" si="704"/>
        <v>0</v>
      </c>
      <c r="IX203" s="225">
        <f t="shared" ca="1" si="704"/>
        <v>0</v>
      </c>
      <c r="IY203" s="225">
        <f t="shared" ca="1" si="704"/>
        <v>0</v>
      </c>
      <c r="IZ203" s="225">
        <f t="shared" ca="1" si="704"/>
        <v>0</v>
      </c>
      <c r="JA203" s="225">
        <f t="shared" ca="1" si="704"/>
        <v>0</v>
      </c>
      <c r="JB203" s="225">
        <f t="shared" ca="1" si="704"/>
        <v>0</v>
      </c>
      <c r="JC203" s="225">
        <f t="shared" ca="1" si="704"/>
        <v>0</v>
      </c>
      <c r="JD203" s="225">
        <f t="shared" ca="1" si="704"/>
        <v>0</v>
      </c>
      <c r="JE203" s="225">
        <f t="shared" ca="1" si="704"/>
        <v>0</v>
      </c>
      <c r="JF203" s="225">
        <f t="shared" ca="1" si="704"/>
        <v>0</v>
      </c>
      <c r="JG203" s="225">
        <f t="shared" ca="1" si="704"/>
        <v>0</v>
      </c>
      <c r="JH203" s="225">
        <f t="shared" ca="1" si="704"/>
        <v>0</v>
      </c>
      <c r="JI203" s="225">
        <f t="shared" ca="1" si="704"/>
        <v>0</v>
      </c>
      <c r="JJ203" s="225">
        <f t="shared" ca="1" si="704"/>
        <v>0</v>
      </c>
      <c r="JK203" s="225">
        <f t="shared" ca="1" si="704"/>
        <v>0</v>
      </c>
      <c r="JL203" s="225">
        <f t="shared" ca="1" si="704"/>
        <v>0</v>
      </c>
      <c r="JM203" s="225">
        <f t="shared" ca="1" si="704"/>
        <v>0</v>
      </c>
      <c r="JN203" s="225">
        <f t="shared" ca="1" si="704"/>
        <v>0</v>
      </c>
      <c r="JO203" s="225">
        <f t="shared" ca="1" si="704"/>
        <v>0</v>
      </c>
      <c r="JP203" s="225">
        <f t="shared" ca="1" si="704"/>
        <v>0</v>
      </c>
      <c r="JQ203" s="225">
        <f t="shared" ca="1" si="704"/>
        <v>0</v>
      </c>
      <c r="JR203" s="225">
        <f t="shared" ca="1" si="704"/>
        <v>0</v>
      </c>
      <c r="JS203" s="225">
        <f t="shared" ca="1" si="704"/>
        <v>0</v>
      </c>
      <c r="JT203" s="225">
        <f t="shared" ref="JT203:JX203" ca="1" si="705">(JT$197&lt;=Timing_Reversion_Month)*(JT199+JT200+JT201-JT202)</f>
        <v>0</v>
      </c>
      <c r="JU203" s="225">
        <f t="shared" ca="1" si="705"/>
        <v>0</v>
      </c>
      <c r="JV203" s="225">
        <f t="shared" ca="1" si="705"/>
        <v>0</v>
      </c>
      <c r="JW203" s="225">
        <f t="shared" ca="1" si="705"/>
        <v>0</v>
      </c>
      <c r="JX203" s="225">
        <f t="shared" ca="1" si="705"/>
        <v>0</v>
      </c>
    </row>
    <row r="204" spans="1:284" s="7" customFormat="1" ht="0.6" customHeight="1" x14ac:dyDescent="0.2">
      <c r="A204" s="406"/>
      <c r="B204" s="92" t="s">
        <v>625</v>
      </c>
      <c r="C204" s="120"/>
      <c r="D204" s="120"/>
      <c r="E204" s="120"/>
      <c r="F204" s="120"/>
      <c r="G204" s="120"/>
      <c r="H204" s="123"/>
      <c r="I204" s="123">
        <f>SUM(L204:EN204)</f>
        <v>0</v>
      </c>
      <c r="L204" s="189">
        <f>IF(L195="","",L139)</f>
        <v>0</v>
      </c>
      <c r="M204" s="189">
        <f t="shared" ref="M204:BX204" si="706">IF(M195="","",M139)</f>
        <v>0</v>
      </c>
      <c r="N204" s="189">
        <f t="shared" si="706"/>
        <v>0</v>
      </c>
      <c r="O204" s="189">
        <f t="shared" si="706"/>
        <v>0</v>
      </c>
      <c r="P204" s="189">
        <f t="shared" si="706"/>
        <v>0</v>
      </c>
      <c r="Q204" s="189">
        <f t="shared" si="706"/>
        <v>0</v>
      </c>
      <c r="R204" s="189">
        <f t="shared" si="706"/>
        <v>0</v>
      </c>
      <c r="S204" s="189">
        <f t="shared" si="706"/>
        <v>0</v>
      </c>
      <c r="T204" s="189">
        <f t="shared" si="706"/>
        <v>0</v>
      </c>
      <c r="U204" s="189">
        <f t="shared" si="706"/>
        <v>0</v>
      </c>
      <c r="V204" s="189">
        <f t="shared" si="706"/>
        <v>0</v>
      </c>
      <c r="W204" s="189">
        <f t="shared" si="706"/>
        <v>0</v>
      </c>
      <c r="X204" s="189">
        <f t="shared" si="706"/>
        <v>0</v>
      </c>
      <c r="Y204" s="189">
        <f t="shared" si="706"/>
        <v>0</v>
      </c>
      <c r="Z204" s="189">
        <f t="shared" si="706"/>
        <v>0</v>
      </c>
      <c r="AA204" s="189">
        <f t="shared" si="706"/>
        <v>0</v>
      </c>
      <c r="AB204" s="189">
        <f t="shared" si="706"/>
        <v>0</v>
      </c>
      <c r="AC204" s="189">
        <f t="shared" si="706"/>
        <v>0</v>
      </c>
      <c r="AD204" s="189">
        <f t="shared" si="706"/>
        <v>0</v>
      </c>
      <c r="AE204" s="189">
        <f t="shared" si="706"/>
        <v>0</v>
      </c>
      <c r="AF204" s="189">
        <f t="shared" si="706"/>
        <v>0</v>
      </c>
      <c r="AG204" s="189">
        <f t="shared" si="706"/>
        <v>0</v>
      </c>
      <c r="AH204" s="189">
        <f t="shared" si="706"/>
        <v>0</v>
      </c>
      <c r="AI204" s="189">
        <f t="shared" si="706"/>
        <v>0</v>
      </c>
      <c r="AJ204" s="189">
        <f t="shared" si="706"/>
        <v>0</v>
      </c>
      <c r="AK204" s="189">
        <f t="shared" si="706"/>
        <v>0</v>
      </c>
      <c r="AL204" s="189">
        <f t="shared" si="706"/>
        <v>0</v>
      </c>
      <c r="AM204" s="189">
        <f t="shared" si="706"/>
        <v>0</v>
      </c>
      <c r="AN204" s="189">
        <f t="shared" si="706"/>
        <v>0</v>
      </c>
      <c r="AO204" s="189">
        <f t="shared" si="706"/>
        <v>0</v>
      </c>
      <c r="AP204" s="189">
        <f t="shared" si="706"/>
        <v>0</v>
      </c>
      <c r="AQ204" s="189">
        <f t="shared" si="706"/>
        <v>0</v>
      </c>
      <c r="AR204" s="189">
        <f t="shared" si="706"/>
        <v>0</v>
      </c>
      <c r="AS204" s="189">
        <f t="shared" si="706"/>
        <v>0</v>
      </c>
      <c r="AT204" s="189">
        <f t="shared" si="706"/>
        <v>0</v>
      </c>
      <c r="AU204" s="189">
        <f t="shared" si="706"/>
        <v>0</v>
      </c>
      <c r="AV204" s="189">
        <f t="shared" si="706"/>
        <v>0</v>
      </c>
      <c r="AW204" s="189">
        <f t="shared" si="706"/>
        <v>0</v>
      </c>
      <c r="AX204" s="189">
        <f t="shared" si="706"/>
        <v>0</v>
      </c>
      <c r="AY204" s="189">
        <f t="shared" si="706"/>
        <v>0</v>
      </c>
      <c r="AZ204" s="189">
        <f t="shared" si="706"/>
        <v>0</v>
      </c>
      <c r="BA204" s="189">
        <f t="shared" si="706"/>
        <v>0</v>
      </c>
      <c r="BB204" s="189">
        <f t="shared" si="706"/>
        <v>0</v>
      </c>
      <c r="BC204" s="189">
        <f t="shared" si="706"/>
        <v>0</v>
      </c>
      <c r="BD204" s="189">
        <f t="shared" si="706"/>
        <v>0</v>
      </c>
      <c r="BE204" s="189">
        <f t="shared" si="706"/>
        <v>0</v>
      </c>
      <c r="BF204" s="189" t="str">
        <f t="shared" si="706"/>
        <v/>
      </c>
      <c r="BG204" s="189" t="str">
        <f t="shared" si="706"/>
        <v/>
      </c>
      <c r="BH204" s="189" t="str">
        <f t="shared" si="706"/>
        <v/>
      </c>
      <c r="BI204" s="189" t="str">
        <f t="shared" si="706"/>
        <v/>
      </c>
      <c r="BJ204" s="189" t="str">
        <f t="shared" si="706"/>
        <v/>
      </c>
      <c r="BK204" s="189" t="str">
        <f t="shared" si="706"/>
        <v/>
      </c>
      <c r="BL204" s="189" t="str">
        <f t="shared" si="706"/>
        <v/>
      </c>
      <c r="BM204" s="189" t="str">
        <f t="shared" si="706"/>
        <v/>
      </c>
      <c r="BN204" s="189" t="str">
        <f t="shared" si="706"/>
        <v/>
      </c>
      <c r="BO204" s="189" t="str">
        <f t="shared" si="706"/>
        <v/>
      </c>
      <c r="BP204" s="189" t="str">
        <f t="shared" si="706"/>
        <v/>
      </c>
      <c r="BQ204" s="189" t="str">
        <f t="shared" si="706"/>
        <v/>
      </c>
      <c r="BR204" s="189" t="str">
        <f t="shared" si="706"/>
        <v/>
      </c>
      <c r="BS204" s="189" t="str">
        <f t="shared" si="706"/>
        <v/>
      </c>
      <c r="BT204" s="189" t="str">
        <f t="shared" si="706"/>
        <v/>
      </c>
      <c r="BU204" s="189" t="str">
        <f t="shared" si="706"/>
        <v/>
      </c>
      <c r="BV204" s="189" t="str">
        <f t="shared" si="706"/>
        <v/>
      </c>
      <c r="BW204" s="189" t="str">
        <f t="shared" si="706"/>
        <v/>
      </c>
      <c r="BX204" s="189" t="str">
        <f t="shared" si="706"/>
        <v/>
      </c>
      <c r="BY204" s="189" t="str">
        <f t="shared" ref="BY204:EJ204" si="707">IF(BY195="","",BY139)</f>
        <v/>
      </c>
      <c r="BZ204" s="189" t="str">
        <f t="shared" si="707"/>
        <v/>
      </c>
      <c r="CA204" s="189" t="str">
        <f t="shared" si="707"/>
        <v/>
      </c>
      <c r="CB204" s="189" t="str">
        <f t="shared" si="707"/>
        <v/>
      </c>
      <c r="CC204" s="189" t="str">
        <f t="shared" si="707"/>
        <v/>
      </c>
      <c r="CD204" s="189" t="str">
        <f t="shared" si="707"/>
        <v/>
      </c>
      <c r="CE204" s="189" t="str">
        <f t="shared" si="707"/>
        <v/>
      </c>
      <c r="CF204" s="189" t="str">
        <f t="shared" si="707"/>
        <v/>
      </c>
      <c r="CG204" s="189" t="str">
        <f t="shared" si="707"/>
        <v/>
      </c>
      <c r="CH204" s="189" t="str">
        <f t="shared" si="707"/>
        <v/>
      </c>
      <c r="CI204" s="189" t="str">
        <f t="shared" si="707"/>
        <v/>
      </c>
      <c r="CJ204" s="189" t="str">
        <f t="shared" si="707"/>
        <v/>
      </c>
      <c r="CK204" s="189" t="str">
        <f t="shared" si="707"/>
        <v/>
      </c>
      <c r="CL204" s="189" t="str">
        <f t="shared" si="707"/>
        <v/>
      </c>
      <c r="CM204" s="189" t="str">
        <f t="shared" si="707"/>
        <v/>
      </c>
      <c r="CN204" s="189" t="str">
        <f t="shared" si="707"/>
        <v/>
      </c>
      <c r="CO204" s="189" t="str">
        <f t="shared" si="707"/>
        <v/>
      </c>
      <c r="CP204" s="189" t="str">
        <f t="shared" si="707"/>
        <v/>
      </c>
      <c r="CQ204" s="189" t="str">
        <f t="shared" si="707"/>
        <v/>
      </c>
      <c r="CR204" s="189" t="str">
        <f t="shared" si="707"/>
        <v/>
      </c>
      <c r="CS204" s="189" t="str">
        <f t="shared" si="707"/>
        <v/>
      </c>
      <c r="CT204" s="189" t="str">
        <f t="shared" si="707"/>
        <v/>
      </c>
      <c r="CU204" s="189" t="str">
        <f t="shared" si="707"/>
        <v/>
      </c>
      <c r="CV204" s="189" t="str">
        <f t="shared" si="707"/>
        <v/>
      </c>
      <c r="CW204" s="189" t="str">
        <f t="shared" si="707"/>
        <v/>
      </c>
      <c r="CX204" s="189" t="str">
        <f t="shared" si="707"/>
        <v/>
      </c>
      <c r="CY204" s="189" t="str">
        <f t="shared" si="707"/>
        <v/>
      </c>
      <c r="CZ204" s="189" t="str">
        <f t="shared" si="707"/>
        <v/>
      </c>
      <c r="DA204" s="189" t="str">
        <f t="shared" si="707"/>
        <v/>
      </c>
      <c r="DB204" s="189" t="str">
        <f t="shared" si="707"/>
        <v/>
      </c>
      <c r="DC204" s="189" t="str">
        <f t="shared" si="707"/>
        <v/>
      </c>
      <c r="DD204" s="189" t="str">
        <f t="shared" si="707"/>
        <v/>
      </c>
      <c r="DE204" s="189" t="str">
        <f t="shared" si="707"/>
        <v/>
      </c>
      <c r="DF204" s="189" t="str">
        <f t="shared" si="707"/>
        <v/>
      </c>
      <c r="DG204" s="189" t="str">
        <f t="shared" si="707"/>
        <v/>
      </c>
      <c r="DH204" s="189" t="str">
        <f t="shared" si="707"/>
        <v/>
      </c>
      <c r="DI204" s="189" t="str">
        <f t="shared" si="707"/>
        <v/>
      </c>
      <c r="DJ204" s="189" t="str">
        <f t="shared" si="707"/>
        <v/>
      </c>
      <c r="DK204" s="189" t="str">
        <f t="shared" si="707"/>
        <v/>
      </c>
      <c r="DL204" s="189" t="str">
        <f t="shared" si="707"/>
        <v/>
      </c>
      <c r="DM204" s="189" t="str">
        <f t="shared" si="707"/>
        <v/>
      </c>
      <c r="DN204" s="189" t="str">
        <f t="shared" si="707"/>
        <v/>
      </c>
      <c r="DO204" s="189" t="str">
        <f t="shared" si="707"/>
        <v/>
      </c>
      <c r="DP204" s="189" t="str">
        <f t="shared" si="707"/>
        <v/>
      </c>
      <c r="DQ204" s="189" t="str">
        <f t="shared" si="707"/>
        <v/>
      </c>
      <c r="DR204" s="189" t="str">
        <f t="shared" si="707"/>
        <v/>
      </c>
      <c r="DS204" s="189" t="str">
        <f t="shared" si="707"/>
        <v/>
      </c>
      <c r="DT204" s="189" t="str">
        <f t="shared" si="707"/>
        <v/>
      </c>
      <c r="DU204" s="189" t="str">
        <f t="shared" si="707"/>
        <v/>
      </c>
      <c r="DV204" s="189" t="str">
        <f t="shared" si="707"/>
        <v/>
      </c>
      <c r="DW204" s="189" t="str">
        <f t="shared" si="707"/>
        <v/>
      </c>
      <c r="DX204" s="189" t="str">
        <f t="shared" si="707"/>
        <v/>
      </c>
      <c r="DY204" s="189" t="str">
        <f t="shared" si="707"/>
        <v/>
      </c>
      <c r="DZ204" s="189" t="str">
        <f t="shared" si="707"/>
        <v/>
      </c>
      <c r="EA204" s="189" t="str">
        <f t="shared" si="707"/>
        <v/>
      </c>
      <c r="EB204" s="189" t="str">
        <f t="shared" si="707"/>
        <v/>
      </c>
      <c r="EC204" s="189" t="str">
        <f t="shared" si="707"/>
        <v/>
      </c>
      <c r="ED204" s="189" t="str">
        <f t="shared" si="707"/>
        <v/>
      </c>
      <c r="EE204" s="189" t="str">
        <f t="shared" si="707"/>
        <v/>
      </c>
      <c r="EF204" s="189" t="str">
        <f t="shared" si="707"/>
        <v/>
      </c>
      <c r="EG204" s="189" t="str">
        <f t="shared" si="707"/>
        <v/>
      </c>
      <c r="EH204" s="189" t="str">
        <f t="shared" si="707"/>
        <v/>
      </c>
      <c r="EI204" s="189" t="str">
        <f t="shared" si="707"/>
        <v/>
      </c>
      <c r="EJ204" s="189" t="str">
        <f t="shared" si="707"/>
        <v/>
      </c>
      <c r="EK204" s="189" t="str">
        <f t="shared" ref="EK204:EN204" si="708">IF(EK195="","",EK139)</f>
        <v/>
      </c>
      <c r="EL204" s="189" t="str">
        <f t="shared" si="708"/>
        <v/>
      </c>
      <c r="EM204" s="189" t="str">
        <f t="shared" si="708"/>
        <v/>
      </c>
      <c r="EN204" s="189" t="str">
        <f t="shared" si="708"/>
        <v/>
      </c>
      <c r="EP204" s="220"/>
      <c r="EQ204" s="24"/>
      <c r="ER204" s="24"/>
      <c r="ES204" s="215" t="s">
        <v>379</v>
      </c>
      <c r="ET204" s="577">
        <f ca="1">XIRR(OFFSET(EV204,,,1,Timing_Reversion_Month+1),OFFSET($EV$23,,,1,Timing_Reversion_Month+1))</f>
        <v>8.9911600947380085E-2</v>
      </c>
      <c r="EU204" s="215"/>
      <c r="EV204" s="255">
        <f t="shared" ref="EV204:GA204" ca="1" si="709">+-EV201+EV202</f>
        <v>-3565501.5512782279</v>
      </c>
      <c r="EW204" s="255">
        <f t="shared" ca="1" si="709"/>
        <v>-412884.6645134245</v>
      </c>
      <c r="EX204" s="255">
        <f t="shared" ca="1" si="709"/>
        <v>-565359.45506853156</v>
      </c>
      <c r="EY204" s="255">
        <f t="shared" ca="1" si="709"/>
        <v>-867738.72441396641</v>
      </c>
      <c r="EZ204" s="255">
        <f t="shared" ca="1" si="709"/>
        <v>-1394429.8586874492</v>
      </c>
      <c r="FA204" s="255">
        <f t="shared" ca="1" si="709"/>
        <v>-2194148.189800458</v>
      </c>
      <c r="FB204" s="255">
        <f t="shared" ca="1" si="709"/>
        <v>-3239365.2971831975</v>
      </c>
      <c r="FC204" s="255">
        <f t="shared" ca="1" si="709"/>
        <v>-1665925.8175721038</v>
      </c>
      <c r="FD204" s="255">
        <f t="shared" ca="1" si="709"/>
        <v>0</v>
      </c>
      <c r="FE204" s="255">
        <f t="shared" ca="1" si="709"/>
        <v>0</v>
      </c>
      <c r="FF204" s="255">
        <f t="shared" ca="1" si="709"/>
        <v>0</v>
      </c>
      <c r="FG204" s="255">
        <f t="shared" ca="1" si="709"/>
        <v>0</v>
      </c>
      <c r="FH204" s="255">
        <f t="shared" ca="1" si="709"/>
        <v>0</v>
      </c>
      <c r="FI204" s="255">
        <f t="shared" ca="1" si="709"/>
        <v>0</v>
      </c>
      <c r="FJ204" s="255">
        <f t="shared" ca="1" si="709"/>
        <v>0</v>
      </c>
      <c r="FK204" s="255">
        <f t="shared" ca="1" si="709"/>
        <v>0</v>
      </c>
      <c r="FL204" s="255">
        <f t="shared" ca="1" si="709"/>
        <v>0</v>
      </c>
      <c r="FM204" s="255">
        <f t="shared" ca="1" si="709"/>
        <v>0</v>
      </c>
      <c r="FN204" s="255">
        <f t="shared" ca="1" si="709"/>
        <v>0</v>
      </c>
      <c r="FO204" s="255">
        <f t="shared" ca="1" si="709"/>
        <v>0</v>
      </c>
      <c r="FP204" s="255">
        <f t="shared" ca="1" si="709"/>
        <v>1.3824319466948509E-11</v>
      </c>
      <c r="FQ204" s="255">
        <f t="shared" ca="1" si="709"/>
        <v>0</v>
      </c>
      <c r="FR204" s="255">
        <f t="shared" ca="1" si="709"/>
        <v>0</v>
      </c>
      <c r="FS204" s="255">
        <f t="shared" ca="1" si="709"/>
        <v>8.6401996668428183E-12</v>
      </c>
      <c r="FT204" s="255">
        <f t="shared" ca="1" si="709"/>
        <v>-1.0368239600211381E-11</v>
      </c>
      <c r="FU204" s="255">
        <f t="shared" ca="1" si="709"/>
        <v>0</v>
      </c>
      <c r="FV204" s="255">
        <f t="shared" ca="1" si="709"/>
        <v>0</v>
      </c>
      <c r="FW204" s="255">
        <f t="shared" ca="1" si="709"/>
        <v>0</v>
      </c>
      <c r="FX204" s="255">
        <f t="shared" ca="1" si="709"/>
        <v>0</v>
      </c>
      <c r="FY204" s="255">
        <f t="shared" ca="1" si="709"/>
        <v>0</v>
      </c>
      <c r="FZ204" s="255">
        <f t="shared" ca="1" si="709"/>
        <v>1992.6175282008755</v>
      </c>
      <c r="GA204" s="255">
        <f t="shared" ca="1" si="709"/>
        <v>17390.485501708215</v>
      </c>
      <c r="GB204" s="255">
        <f t="shared" ref="GB204:HG204" ca="1" si="710">+-GB201+GB202</f>
        <v>47993.752817410037</v>
      </c>
      <c r="GC204" s="255">
        <f t="shared" ca="1" si="710"/>
        <v>85127.964087280096</v>
      </c>
      <c r="GD204" s="255">
        <f t="shared" ca="1" si="710"/>
        <v>86183.070068530113</v>
      </c>
      <c r="GE204" s="255">
        <f t="shared" ca="1" si="710"/>
        <v>87238.176049780115</v>
      </c>
      <c r="GF204" s="255">
        <f t="shared" ca="1" si="710"/>
        <v>88293.282031030132</v>
      </c>
      <c r="GG204" s="255">
        <f t="shared" ca="1" si="710"/>
        <v>89348.388012280091</v>
      </c>
      <c r="GH204" s="255">
        <f t="shared" ca="1" si="710"/>
        <v>90403.49399353005</v>
      </c>
      <c r="GI204" s="255">
        <f t="shared" ca="1" si="710"/>
        <v>91458.599974780125</v>
      </c>
      <c r="GJ204" s="255">
        <f t="shared" ca="1" si="710"/>
        <v>92513.705956030084</v>
      </c>
      <c r="GK204" s="255">
        <f t="shared" ca="1" si="710"/>
        <v>93568.811937280087</v>
      </c>
      <c r="GL204" s="255">
        <f t="shared" ca="1" si="710"/>
        <v>94623.917918530104</v>
      </c>
      <c r="GM204" s="255">
        <f t="shared" ca="1" si="710"/>
        <v>82651.053937678371</v>
      </c>
      <c r="GN204" s="255">
        <f t="shared" ca="1" si="710"/>
        <v>83737.813098365834</v>
      </c>
      <c r="GO204" s="255">
        <f t="shared" ca="1" si="710"/>
        <v>17516012.024312377</v>
      </c>
      <c r="GP204" s="255">
        <f t="shared" ca="1" si="710"/>
        <v>0</v>
      </c>
      <c r="GQ204" s="255">
        <f t="shared" ca="1" si="710"/>
        <v>0</v>
      </c>
      <c r="GR204" s="255">
        <f t="shared" ca="1" si="710"/>
        <v>0</v>
      </c>
      <c r="GS204" s="255">
        <f t="shared" ca="1" si="710"/>
        <v>0</v>
      </c>
      <c r="GT204" s="255">
        <f t="shared" ca="1" si="710"/>
        <v>0</v>
      </c>
      <c r="GU204" s="255">
        <f t="shared" ca="1" si="710"/>
        <v>0</v>
      </c>
      <c r="GV204" s="255">
        <f t="shared" ca="1" si="710"/>
        <v>0</v>
      </c>
      <c r="GW204" s="255">
        <f t="shared" ca="1" si="710"/>
        <v>0</v>
      </c>
      <c r="GX204" s="255">
        <f t="shared" ca="1" si="710"/>
        <v>0</v>
      </c>
      <c r="GY204" s="255">
        <f t="shared" ca="1" si="710"/>
        <v>0</v>
      </c>
      <c r="GZ204" s="255">
        <f t="shared" ca="1" si="710"/>
        <v>0</v>
      </c>
      <c r="HA204" s="255">
        <f t="shared" ca="1" si="710"/>
        <v>0</v>
      </c>
      <c r="HB204" s="255">
        <f t="shared" ca="1" si="710"/>
        <v>0</v>
      </c>
      <c r="HC204" s="255">
        <f t="shared" ca="1" si="710"/>
        <v>0</v>
      </c>
      <c r="HD204" s="255">
        <f t="shared" ca="1" si="710"/>
        <v>0</v>
      </c>
      <c r="HE204" s="255">
        <f t="shared" ca="1" si="710"/>
        <v>0</v>
      </c>
      <c r="HF204" s="255">
        <f t="shared" ca="1" si="710"/>
        <v>0</v>
      </c>
      <c r="HG204" s="255">
        <f t="shared" ca="1" si="710"/>
        <v>0</v>
      </c>
      <c r="HH204" s="255">
        <f t="shared" ref="HH204:IM204" ca="1" si="711">+-HH201+HH202</f>
        <v>0</v>
      </c>
      <c r="HI204" s="255">
        <f t="shared" ca="1" si="711"/>
        <v>0</v>
      </c>
      <c r="HJ204" s="255">
        <f t="shared" ca="1" si="711"/>
        <v>0</v>
      </c>
      <c r="HK204" s="255">
        <f t="shared" ca="1" si="711"/>
        <v>0</v>
      </c>
      <c r="HL204" s="255">
        <f t="shared" ca="1" si="711"/>
        <v>0</v>
      </c>
      <c r="HM204" s="255">
        <f t="shared" ca="1" si="711"/>
        <v>0</v>
      </c>
      <c r="HN204" s="255">
        <f t="shared" ca="1" si="711"/>
        <v>0</v>
      </c>
      <c r="HO204" s="255">
        <f t="shared" ca="1" si="711"/>
        <v>0</v>
      </c>
      <c r="HP204" s="255">
        <f t="shared" ca="1" si="711"/>
        <v>0</v>
      </c>
      <c r="HQ204" s="255">
        <f t="shared" ca="1" si="711"/>
        <v>0</v>
      </c>
      <c r="HR204" s="255">
        <f t="shared" ca="1" si="711"/>
        <v>0</v>
      </c>
      <c r="HS204" s="255">
        <f t="shared" ca="1" si="711"/>
        <v>0</v>
      </c>
      <c r="HT204" s="255">
        <f t="shared" ca="1" si="711"/>
        <v>0</v>
      </c>
      <c r="HU204" s="255">
        <f t="shared" ca="1" si="711"/>
        <v>0</v>
      </c>
      <c r="HV204" s="255">
        <f t="shared" ca="1" si="711"/>
        <v>0</v>
      </c>
      <c r="HW204" s="255">
        <f t="shared" ca="1" si="711"/>
        <v>0</v>
      </c>
      <c r="HX204" s="255">
        <f t="shared" ca="1" si="711"/>
        <v>0</v>
      </c>
      <c r="HY204" s="255">
        <f t="shared" ca="1" si="711"/>
        <v>0</v>
      </c>
      <c r="HZ204" s="255">
        <f t="shared" ca="1" si="711"/>
        <v>0</v>
      </c>
      <c r="IA204" s="255">
        <f t="shared" ca="1" si="711"/>
        <v>0</v>
      </c>
      <c r="IB204" s="255">
        <f t="shared" ca="1" si="711"/>
        <v>0</v>
      </c>
      <c r="IC204" s="255">
        <f t="shared" ca="1" si="711"/>
        <v>0</v>
      </c>
      <c r="ID204" s="255">
        <f t="shared" ca="1" si="711"/>
        <v>0</v>
      </c>
      <c r="IE204" s="255">
        <f t="shared" ca="1" si="711"/>
        <v>0</v>
      </c>
      <c r="IF204" s="255">
        <f t="shared" ca="1" si="711"/>
        <v>0</v>
      </c>
      <c r="IG204" s="255">
        <f t="shared" ca="1" si="711"/>
        <v>0</v>
      </c>
      <c r="IH204" s="255">
        <f t="shared" ca="1" si="711"/>
        <v>0</v>
      </c>
      <c r="II204" s="255">
        <f t="shared" ca="1" si="711"/>
        <v>0</v>
      </c>
      <c r="IJ204" s="255">
        <f t="shared" ca="1" si="711"/>
        <v>0</v>
      </c>
      <c r="IK204" s="255">
        <f t="shared" ca="1" si="711"/>
        <v>0</v>
      </c>
      <c r="IL204" s="255">
        <f t="shared" ca="1" si="711"/>
        <v>0</v>
      </c>
      <c r="IM204" s="255">
        <f t="shared" ca="1" si="711"/>
        <v>0</v>
      </c>
      <c r="IN204" s="255">
        <f t="shared" ref="IN204:JX204" ca="1" si="712">+-IN201+IN202</f>
        <v>0</v>
      </c>
      <c r="IO204" s="255">
        <f t="shared" ca="1" si="712"/>
        <v>0</v>
      </c>
      <c r="IP204" s="255">
        <f t="shared" ca="1" si="712"/>
        <v>0</v>
      </c>
      <c r="IQ204" s="255">
        <f t="shared" ca="1" si="712"/>
        <v>0</v>
      </c>
      <c r="IR204" s="255">
        <f t="shared" ca="1" si="712"/>
        <v>0</v>
      </c>
      <c r="IS204" s="255">
        <f t="shared" ca="1" si="712"/>
        <v>0</v>
      </c>
      <c r="IT204" s="255">
        <f t="shared" ca="1" si="712"/>
        <v>0</v>
      </c>
      <c r="IU204" s="255">
        <f t="shared" ca="1" si="712"/>
        <v>0</v>
      </c>
      <c r="IV204" s="255">
        <f t="shared" ca="1" si="712"/>
        <v>0</v>
      </c>
      <c r="IW204" s="255">
        <f t="shared" ca="1" si="712"/>
        <v>0</v>
      </c>
      <c r="IX204" s="255">
        <f t="shared" ca="1" si="712"/>
        <v>0</v>
      </c>
      <c r="IY204" s="255">
        <f t="shared" ca="1" si="712"/>
        <v>0</v>
      </c>
      <c r="IZ204" s="255">
        <f t="shared" ca="1" si="712"/>
        <v>0</v>
      </c>
      <c r="JA204" s="255">
        <f t="shared" ca="1" si="712"/>
        <v>0</v>
      </c>
      <c r="JB204" s="255">
        <f t="shared" ca="1" si="712"/>
        <v>0</v>
      </c>
      <c r="JC204" s="255">
        <f t="shared" ca="1" si="712"/>
        <v>0</v>
      </c>
      <c r="JD204" s="255">
        <f t="shared" ca="1" si="712"/>
        <v>0</v>
      </c>
      <c r="JE204" s="255">
        <f t="shared" ca="1" si="712"/>
        <v>0</v>
      </c>
      <c r="JF204" s="255">
        <f t="shared" ca="1" si="712"/>
        <v>0</v>
      </c>
      <c r="JG204" s="255">
        <f t="shared" ca="1" si="712"/>
        <v>0</v>
      </c>
      <c r="JH204" s="255">
        <f t="shared" ca="1" si="712"/>
        <v>0</v>
      </c>
      <c r="JI204" s="255">
        <f t="shared" ca="1" si="712"/>
        <v>0</v>
      </c>
      <c r="JJ204" s="255">
        <f t="shared" ca="1" si="712"/>
        <v>0</v>
      </c>
      <c r="JK204" s="255">
        <f t="shared" ca="1" si="712"/>
        <v>0</v>
      </c>
      <c r="JL204" s="255">
        <f t="shared" ca="1" si="712"/>
        <v>0</v>
      </c>
      <c r="JM204" s="255">
        <f t="shared" ca="1" si="712"/>
        <v>0</v>
      </c>
      <c r="JN204" s="255">
        <f t="shared" ca="1" si="712"/>
        <v>0</v>
      </c>
      <c r="JO204" s="255">
        <f t="shared" ca="1" si="712"/>
        <v>0</v>
      </c>
      <c r="JP204" s="255">
        <f t="shared" ca="1" si="712"/>
        <v>0</v>
      </c>
      <c r="JQ204" s="255">
        <f t="shared" ca="1" si="712"/>
        <v>0</v>
      </c>
      <c r="JR204" s="255">
        <f t="shared" ca="1" si="712"/>
        <v>0</v>
      </c>
      <c r="JS204" s="255">
        <f t="shared" ca="1" si="712"/>
        <v>0</v>
      </c>
      <c r="JT204" s="255">
        <f t="shared" ca="1" si="712"/>
        <v>0</v>
      </c>
      <c r="JU204" s="255">
        <f t="shared" ca="1" si="712"/>
        <v>0</v>
      </c>
      <c r="JV204" s="255">
        <f t="shared" ca="1" si="712"/>
        <v>0</v>
      </c>
      <c r="JW204" s="255">
        <f t="shared" ca="1" si="712"/>
        <v>0</v>
      </c>
      <c r="JX204" s="255">
        <f t="shared" ca="1" si="712"/>
        <v>0</v>
      </c>
    </row>
    <row r="205" spans="1:284" s="7" customFormat="1" x14ac:dyDescent="0.2">
      <c r="A205" s="406"/>
      <c r="B205" s="92"/>
      <c r="C205" s="120"/>
      <c r="D205" s="120"/>
      <c r="E205" s="120"/>
      <c r="F205" s="120"/>
      <c r="G205" s="120"/>
      <c r="H205" s="120"/>
      <c r="I205" s="120"/>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c r="AI205" s="38"/>
      <c r="AJ205" s="38"/>
      <c r="AK205" s="38"/>
      <c r="AL205" s="38"/>
      <c r="AM205" s="38"/>
      <c r="AN205" s="38"/>
      <c r="AO205" s="38"/>
      <c r="AP205" s="38"/>
      <c r="AQ205" s="38"/>
      <c r="AR205" s="38"/>
      <c r="AS205" s="38"/>
      <c r="AT205" s="38"/>
      <c r="AU205" s="38"/>
      <c r="AV205" s="38"/>
      <c r="AW205" s="38"/>
      <c r="AX205" s="38"/>
      <c r="AY205" s="38"/>
      <c r="AZ205" s="38"/>
      <c r="BA205" s="38"/>
      <c r="BB205" s="38"/>
      <c r="BC205" s="38"/>
      <c r="BD205" s="38"/>
      <c r="BE205" s="38"/>
      <c r="BF205" s="38"/>
      <c r="BG205" s="38"/>
      <c r="BH205" s="38"/>
      <c r="BI205" s="38"/>
      <c r="BJ205" s="38"/>
      <c r="BK205" s="38"/>
      <c r="BL205" s="38"/>
      <c r="BM205" s="38"/>
      <c r="BN205" s="38"/>
      <c r="BO205" s="38"/>
      <c r="BP205" s="38"/>
      <c r="BQ205" s="38"/>
      <c r="BR205" s="38"/>
      <c r="BS205" s="38"/>
      <c r="BT205" s="38"/>
      <c r="BU205" s="38"/>
      <c r="BV205" s="38"/>
      <c r="BW205" s="38"/>
      <c r="BX205" s="38"/>
      <c r="BY205" s="38"/>
      <c r="BZ205" s="38"/>
      <c r="CA205" s="38"/>
      <c r="CB205" s="38"/>
      <c r="CC205" s="38"/>
      <c r="CD205" s="38"/>
      <c r="CE205" s="38"/>
      <c r="CF205" s="38"/>
      <c r="CG205" s="38"/>
      <c r="CH205" s="38"/>
      <c r="CI205" s="38"/>
      <c r="CJ205" s="38"/>
      <c r="CK205" s="38"/>
      <c r="CL205" s="38"/>
      <c r="CM205" s="38"/>
      <c r="CN205" s="38"/>
      <c r="CO205" s="38"/>
      <c r="CP205" s="38"/>
      <c r="CQ205" s="38"/>
      <c r="CR205" s="38"/>
      <c r="CS205" s="38"/>
      <c r="CT205" s="38"/>
      <c r="CU205" s="38"/>
      <c r="CV205" s="38"/>
      <c r="CW205" s="38"/>
      <c r="CX205" s="38"/>
      <c r="CY205" s="38"/>
      <c r="CZ205" s="38"/>
      <c r="DA205" s="38"/>
      <c r="DB205" s="38"/>
      <c r="DC205" s="38"/>
      <c r="DD205" s="38"/>
      <c r="DE205" s="38"/>
      <c r="DF205" s="38"/>
      <c r="DG205" s="38"/>
      <c r="DH205" s="38"/>
      <c r="DI205" s="38"/>
      <c r="DJ205" s="38"/>
      <c r="DK205" s="38"/>
      <c r="DL205" s="38"/>
      <c r="DM205" s="38"/>
      <c r="DN205" s="38"/>
      <c r="DO205" s="38"/>
      <c r="DP205" s="38"/>
      <c r="DQ205" s="38"/>
      <c r="DR205" s="38"/>
      <c r="DS205" s="38"/>
      <c r="DT205" s="38"/>
      <c r="DU205" s="38"/>
      <c r="DV205" s="38"/>
      <c r="DW205" s="38"/>
      <c r="DX205" s="38"/>
      <c r="DY205" s="38"/>
      <c r="DZ205" s="38"/>
      <c r="EA205" s="38"/>
      <c r="EB205" s="38"/>
      <c r="EC205" s="38"/>
      <c r="ED205" s="38"/>
      <c r="EE205" s="38"/>
      <c r="EF205" s="38"/>
      <c r="EG205" s="38"/>
      <c r="EH205" s="38"/>
      <c r="EI205" s="38"/>
      <c r="EJ205" s="38"/>
      <c r="EK205" s="38"/>
      <c r="EL205" s="38"/>
      <c r="EM205" s="38"/>
      <c r="EN205" s="38"/>
      <c r="EP205" s="37"/>
      <c r="EQ205" s="24"/>
      <c r="ER205" s="24"/>
      <c r="ES205" s="24"/>
      <c r="ET205" s="33" t="s">
        <v>653</v>
      </c>
      <c r="EU205" s="33"/>
      <c r="EV205" s="225">
        <f t="shared" ref="EV205:GA205" si="713">(EV$197&lt;=Timing_Reversion_Month)*EU209</f>
        <v>0</v>
      </c>
      <c r="EW205" s="225">
        <f t="shared" ca="1" si="713"/>
        <v>187657.97638306464</v>
      </c>
      <c r="EX205" s="225">
        <f t="shared" ca="1" si="713"/>
        <v>210741.25990820536</v>
      </c>
      <c r="EY205" s="225">
        <f t="shared" ca="1" si="713"/>
        <v>242015.90109749441</v>
      </c>
      <c r="EZ205" s="225">
        <f t="shared" ca="1" si="713"/>
        <v>289430.64712403266</v>
      </c>
      <c r="FA205" s="225">
        <f t="shared" ca="1" si="713"/>
        <v>364907.71256953059</v>
      </c>
      <c r="FB205" s="225">
        <f t="shared" ca="1" si="713"/>
        <v>483019.20410827943</v>
      </c>
      <c r="FC205" s="225">
        <f t="shared" ca="1" si="713"/>
        <v>656993.39005825389</v>
      </c>
      <c r="FD205" s="225">
        <f t="shared" ca="1" si="713"/>
        <v>749408.86002497398</v>
      </c>
      <c r="FE205" s="225">
        <f t="shared" ca="1" si="713"/>
        <v>754810.09197515144</v>
      </c>
      <c r="FF205" s="225">
        <f t="shared" ca="1" si="713"/>
        <v>760250.25235029927</v>
      </c>
      <c r="FG205" s="225">
        <f t="shared" ca="1" si="713"/>
        <v>765729.62172016245</v>
      </c>
      <c r="FH205" s="225">
        <f t="shared" ca="1" si="713"/>
        <v>771248.48267664271</v>
      </c>
      <c r="FI205" s="225">
        <f t="shared" ca="1" si="713"/>
        <v>776807.11984837311</v>
      </c>
      <c r="FJ205" s="225">
        <f t="shared" ca="1" si="713"/>
        <v>782405.81991539733</v>
      </c>
      <c r="FK205" s="225">
        <f t="shared" ca="1" si="713"/>
        <v>788044.87162395462</v>
      </c>
      <c r="FL205" s="225">
        <f t="shared" ca="1" si="713"/>
        <v>793724.56580137194</v>
      </c>
      <c r="FM205" s="225">
        <f t="shared" ca="1" si="713"/>
        <v>799445.19537106261</v>
      </c>
      <c r="FN205" s="225">
        <f t="shared" ca="1" si="713"/>
        <v>805207.05536763393</v>
      </c>
      <c r="FO205" s="225">
        <f t="shared" ca="1" si="713"/>
        <v>811010.44295210287</v>
      </c>
      <c r="FP205" s="225">
        <f t="shared" ca="1" si="713"/>
        <v>816855.65742722189</v>
      </c>
      <c r="FQ205" s="225">
        <f t="shared" ca="1" si="713"/>
        <v>822743.00025291531</v>
      </c>
      <c r="FR205" s="225">
        <f t="shared" ca="1" si="713"/>
        <v>828672.77506182645</v>
      </c>
      <c r="FS205" s="225">
        <f t="shared" ca="1" si="713"/>
        <v>834645.28767497733</v>
      </c>
      <c r="FT205" s="225">
        <f t="shared" ca="1" si="713"/>
        <v>840660.84611754084</v>
      </c>
      <c r="FU205" s="225">
        <f t="shared" ca="1" si="713"/>
        <v>846719.76063472696</v>
      </c>
      <c r="FV205" s="225">
        <f t="shared" ca="1" si="713"/>
        <v>852822.34370778338</v>
      </c>
      <c r="FW205" s="225">
        <f t="shared" ca="1" si="713"/>
        <v>858968.91007011081</v>
      </c>
      <c r="FX205" s="225">
        <f t="shared" ca="1" si="713"/>
        <v>865159.77672349568</v>
      </c>
      <c r="FY205" s="225">
        <f t="shared" ca="1" si="713"/>
        <v>871395.26295445859</v>
      </c>
      <c r="FZ205" s="225">
        <f t="shared" ca="1" si="713"/>
        <v>877675.69035072136</v>
      </c>
      <c r="GA205" s="225">
        <f t="shared" ca="1" si="713"/>
        <v>883896.50821104506</v>
      </c>
      <c r="GB205" s="225">
        <f t="shared" ref="GB205:HG205" ca="1" si="714">(GB$197&lt;=Timing_Reversion_Month)*GA209</f>
        <v>889351.74741311022</v>
      </c>
      <c r="GC205" s="225">
        <f t="shared" ca="1" si="714"/>
        <v>893235.60600809765</v>
      </c>
      <c r="GD205" s="225">
        <f t="shared" ca="1" si="714"/>
        <v>895193.02465559484</v>
      </c>
      <c r="GE205" s="225">
        <f t="shared" ca="1" si="714"/>
        <v>897109.01915839966</v>
      </c>
      <c r="GF205" s="225">
        <f t="shared" ca="1" si="714"/>
        <v>898983.29095930804</v>
      </c>
      <c r="GG205" s="225">
        <f t="shared" ca="1" si="714"/>
        <v>900815.53934931802</v>
      </c>
      <c r="GH205" s="225">
        <f t="shared" ca="1" si="714"/>
        <v>902605.4614521201</v>
      </c>
      <c r="GI205" s="225">
        <f t="shared" ca="1" si="714"/>
        <v>904352.75220847782</v>
      </c>
      <c r="GJ205" s="225">
        <f t="shared" ca="1" si="714"/>
        <v>906057.10436049395</v>
      </c>
      <c r="GK205" s="225">
        <f t="shared" ca="1" si="714"/>
        <v>907718.20843576419</v>
      </c>
      <c r="GL205" s="225">
        <f t="shared" ca="1" si="714"/>
        <v>909335.75273141672</v>
      </c>
      <c r="GM205" s="225">
        <f t="shared" ca="1" si="714"/>
        <v>910909.4232980361</v>
      </c>
      <c r="GN205" s="225">
        <f t="shared" ca="1" si="714"/>
        <v>913124.58655305661</v>
      </c>
      <c r="GO205" s="225">
        <f t="shared" ca="1" si="714"/>
        <v>915298.51735529152</v>
      </c>
      <c r="GP205" s="225">
        <f t="shared" ca="1" si="714"/>
        <v>0</v>
      </c>
      <c r="GQ205" s="225">
        <f t="shared" ca="1" si="714"/>
        <v>0</v>
      </c>
      <c r="GR205" s="225">
        <f t="shared" ca="1" si="714"/>
        <v>0</v>
      </c>
      <c r="GS205" s="225">
        <f t="shared" ca="1" si="714"/>
        <v>0</v>
      </c>
      <c r="GT205" s="225">
        <f t="shared" ca="1" si="714"/>
        <v>0</v>
      </c>
      <c r="GU205" s="225">
        <f t="shared" ca="1" si="714"/>
        <v>0</v>
      </c>
      <c r="GV205" s="225">
        <f t="shared" ca="1" si="714"/>
        <v>0</v>
      </c>
      <c r="GW205" s="225">
        <f t="shared" ca="1" si="714"/>
        <v>0</v>
      </c>
      <c r="GX205" s="225">
        <f t="shared" ca="1" si="714"/>
        <v>0</v>
      </c>
      <c r="GY205" s="225">
        <f t="shared" ca="1" si="714"/>
        <v>0</v>
      </c>
      <c r="GZ205" s="225">
        <f t="shared" ca="1" si="714"/>
        <v>0</v>
      </c>
      <c r="HA205" s="225">
        <f t="shared" ca="1" si="714"/>
        <v>0</v>
      </c>
      <c r="HB205" s="225">
        <f t="shared" ca="1" si="714"/>
        <v>0</v>
      </c>
      <c r="HC205" s="225">
        <f t="shared" ca="1" si="714"/>
        <v>0</v>
      </c>
      <c r="HD205" s="225">
        <f t="shared" ca="1" si="714"/>
        <v>0</v>
      </c>
      <c r="HE205" s="225">
        <f t="shared" ca="1" si="714"/>
        <v>0</v>
      </c>
      <c r="HF205" s="225">
        <f t="shared" ca="1" si="714"/>
        <v>0</v>
      </c>
      <c r="HG205" s="225">
        <f t="shared" ca="1" si="714"/>
        <v>0</v>
      </c>
      <c r="HH205" s="225">
        <f t="shared" ref="HH205:IM205" ca="1" si="715">(HH$197&lt;=Timing_Reversion_Month)*HG209</f>
        <v>0</v>
      </c>
      <c r="HI205" s="225">
        <f t="shared" ca="1" si="715"/>
        <v>0</v>
      </c>
      <c r="HJ205" s="225">
        <f t="shared" ca="1" si="715"/>
        <v>0</v>
      </c>
      <c r="HK205" s="225">
        <f t="shared" ca="1" si="715"/>
        <v>0</v>
      </c>
      <c r="HL205" s="225">
        <f t="shared" ca="1" si="715"/>
        <v>0</v>
      </c>
      <c r="HM205" s="225">
        <f t="shared" ca="1" si="715"/>
        <v>0</v>
      </c>
      <c r="HN205" s="225">
        <f t="shared" ca="1" si="715"/>
        <v>0</v>
      </c>
      <c r="HO205" s="225">
        <f t="shared" ca="1" si="715"/>
        <v>0</v>
      </c>
      <c r="HP205" s="225">
        <f t="shared" ca="1" si="715"/>
        <v>0</v>
      </c>
      <c r="HQ205" s="225">
        <f t="shared" ca="1" si="715"/>
        <v>0</v>
      </c>
      <c r="HR205" s="225">
        <f t="shared" ca="1" si="715"/>
        <v>0</v>
      </c>
      <c r="HS205" s="225">
        <f t="shared" ca="1" si="715"/>
        <v>0</v>
      </c>
      <c r="HT205" s="225">
        <f t="shared" ca="1" si="715"/>
        <v>0</v>
      </c>
      <c r="HU205" s="225">
        <f t="shared" ca="1" si="715"/>
        <v>0</v>
      </c>
      <c r="HV205" s="225">
        <f t="shared" ca="1" si="715"/>
        <v>0</v>
      </c>
      <c r="HW205" s="225">
        <f t="shared" ca="1" si="715"/>
        <v>0</v>
      </c>
      <c r="HX205" s="225">
        <f t="shared" ca="1" si="715"/>
        <v>0</v>
      </c>
      <c r="HY205" s="225">
        <f t="shared" ca="1" si="715"/>
        <v>0</v>
      </c>
      <c r="HZ205" s="225">
        <f t="shared" ca="1" si="715"/>
        <v>0</v>
      </c>
      <c r="IA205" s="225">
        <f t="shared" ca="1" si="715"/>
        <v>0</v>
      </c>
      <c r="IB205" s="225">
        <f t="shared" ca="1" si="715"/>
        <v>0</v>
      </c>
      <c r="IC205" s="225">
        <f t="shared" ca="1" si="715"/>
        <v>0</v>
      </c>
      <c r="ID205" s="225">
        <f t="shared" ca="1" si="715"/>
        <v>0</v>
      </c>
      <c r="IE205" s="225">
        <f t="shared" ca="1" si="715"/>
        <v>0</v>
      </c>
      <c r="IF205" s="225">
        <f t="shared" ca="1" si="715"/>
        <v>0</v>
      </c>
      <c r="IG205" s="225">
        <f t="shared" ca="1" si="715"/>
        <v>0</v>
      </c>
      <c r="IH205" s="225">
        <f t="shared" ca="1" si="715"/>
        <v>0</v>
      </c>
      <c r="II205" s="225">
        <f t="shared" ca="1" si="715"/>
        <v>0</v>
      </c>
      <c r="IJ205" s="225">
        <f t="shared" ca="1" si="715"/>
        <v>0</v>
      </c>
      <c r="IK205" s="225">
        <f t="shared" ca="1" si="715"/>
        <v>0</v>
      </c>
      <c r="IL205" s="225">
        <f t="shared" ca="1" si="715"/>
        <v>0</v>
      </c>
      <c r="IM205" s="225">
        <f t="shared" ca="1" si="715"/>
        <v>0</v>
      </c>
      <c r="IN205" s="225">
        <f t="shared" ref="IN205:JX205" ca="1" si="716">(IN$197&lt;=Timing_Reversion_Month)*IM209</f>
        <v>0</v>
      </c>
      <c r="IO205" s="225">
        <f t="shared" ca="1" si="716"/>
        <v>0</v>
      </c>
      <c r="IP205" s="225">
        <f t="shared" ca="1" si="716"/>
        <v>0</v>
      </c>
      <c r="IQ205" s="225">
        <f t="shared" ca="1" si="716"/>
        <v>0</v>
      </c>
      <c r="IR205" s="225">
        <f t="shared" ca="1" si="716"/>
        <v>0</v>
      </c>
      <c r="IS205" s="225">
        <f t="shared" ca="1" si="716"/>
        <v>0</v>
      </c>
      <c r="IT205" s="225">
        <f t="shared" ca="1" si="716"/>
        <v>0</v>
      </c>
      <c r="IU205" s="225">
        <f t="shared" ca="1" si="716"/>
        <v>0</v>
      </c>
      <c r="IV205" s="225">
        <f t="shared" ca="1" si="716"/>
        <v>0</v>
      </c>
      <c r="IW205" s="225">
        <f t="shared" ca="1" si="716"/>
        <v>0</v>
      </c>
      <c r="IX205" s="225">
        <f t="shared" ca="1" si="716"/>
        <v>0</v>
      </c>
      <c r="IY205" s="225">
        <f t="shared" ca="1" si="716"/>
        <v>0</v>
      </c>
      <c r="IZ205" s="225">
        <f t="shared" ca="1" si="716"/>
        <v>0</v>
      </c>
      <c r="JA205" s="225">
        <f t="shared" ca="1" si="716"/>
        <v>0</v>
      </c>
      <c r="JB205" s="225">
        <f t="shared" ca="1" si="716"/>
        <v>0</v>
      </c>
      <c r="JC205" s="225">
        <f t="shared" ca="1" si="716"/>
        <v>0</v>
      </c>
      <c r="JD205" s="225">
        <f t="shared" ca="1" si="716"/>
        <v>0</v>
      </c>
      <c r="JE205" s="225">
        <f t="shared" ca="1" si="716"/>
        <v>0</v>
      </c>
      <c r="JF205" s="225">
        <f t="shared" ca="1" si="716"/>
        <v>0</v>
      </c>
      <c r="JG205" s="225">
        <f t="shared" ca="1" si="716"/>
        <v>0</v>
      </c>
      <c r="JH205" s="225">
        <f t="shared" ca="1" si="716"/>
        <v>0</v>
      </c>
      <c r="JI205" s="225">
        <f t="shared" ca="1" si="716"/>
        <v>0</v>
      </c>
      <c r="JJ205" s="225">
        <f t="shared" ca="1" si="716"/>
        <v>0</v>
      </c>
      <c r="JK205" s="225">
        <f t="shared" ca="1" si="716"/>
        <v>0</v>
      </c>
      <c r="JL205" s="225">
        <f t="shared" ca="1" si="716"/>
        <v>0</v>
      </c>
      <c r="JM205" s="225">
        <f t="shared" ca="1" si="716"/>
        <v>0</v>
      </c>
      <c r="JN205" s="225">
        <f t="shared" ca="1" si="716"/>
        <v>0</v>
      </c>
      <c r="JO205" s="225">
        <f t="shared" ca="1" si="716"/>
        <v>0</v>
      </c>
      <c r="JP205" s="225">
        <f t="shared" ca="1" si="716"/>
        <v>0</v>
      </c>
      <c r="JQ205" s="225">
        <f t="shared" ca="1" si="716"/>
        <v>0</v>
      </c>
      <c r="JR205" s="225">
        <f t="shared" ca="1" si="716"/>
        <v>0</v>
      </c>
      <c r="JS205" s="225">
        <f t="shared" ca="1" si="716"/>
        <v>0</v>
      </c>
      <c r="JT205" s="225">
        <f t="shared" ca="1" si="716"/>
        <v>0</v>
      </c>
      <c r="JU205" s="225">
        <f t="shared" ca="1" si="716"/>
        <v>0</v>
      </c>
      <c r="JV205" s="225">
        <f t="shared" ca="1" si="716"/>
        <v>0</v>
      </c>
      <c r="JW205" s="225">
        <f t="shared" ca="1" si="716"/>
        <v>0</v>
      </c>
      <c r="JX205" s="225">
        <f t="shared" ca="1" si="716"/>
        <v>0</v>
      </c>
    </row>
    <row r="206" spans="1:284" s="7" customFormat="1" x14ac:dyDescent="0.2">
      <c r="A206" s="406"/>
      <c r="B206" s="92" t="s">
        <v>197</v>
      </c>
      <c r="C206" s="120"/>
      <c r="D206" s="120"/>
      <c r="E206" s="120"/>
      <c r="F206" s="120"/>
      <c r="G206" s="120"/>
      <c r="H206" s="123"/>
      <c r="I206" s="123">
        <f t="shared" ref="I206:I208" ca="1" si="717">SUM(L206:EM206)</f>
        <v>66094697.607271425</v>
      </c>
      <c r="L206" s="38">
        <f t="shared" ref="L206:AQ206" ca="1" si="718">IF(L195="","",(L195=Timing_Reversion_Month)*$E$190)</f>
        <v>0</v>
      </c>
      <c r="M206" s="38">
        <f t="shared" ca="1" si="718"/>
        <v>0</v>
      </c>
      <c r="N206" s="38">
        <f t="shared" ca="1" si="718"/>
        <v>0</v>
      </c>
      <c r="O206" s="38">
        <f t="shared" ca="1" si="718"/>
        <v>0</v>
      </c>
      <c r="P206" s="38">
        <f t="shared" ca="1" si="718"/>
        <v>0</v>
      </c>
      <c r="Q206" s="38">
        <f t="shared" ca="1" si="718"/>
        <v>0</v>
      </c>
      <c r="R206" s="38">
        <f t="shared" ca="1" si="718"/>
        <v>0</v>
      </c>
      <c r="S206" s="38">
        <f t="shared" ca="1" si="718"/>
        <v>0</v>
      </c>
      <c r="T206" s="38">
        <f t="shared" ca="1" si="718"/>
        <v>0</v>
      </c>
      <c r="U206" s="38">
        <f t="shared" ca="1" si="718"/>
        <v>0</v>
      </c>
      <c r="V206" s="38">
        <f t="shared" ca="1" si="718"/>
        <v>0</v>
      </c>
      <c r="W206" s="38">
        <f t="shared" ca="1" si="718"/>
        <v>0</v>
      </c>
      <c r="X206" s="38">
        <f t="shared" ca="1" si="718"/>
        <v>0</v>
      </c>
      <c r="Y206" s="38">
        <f t="shared" ca="1" si="718"/>
        <v>0</v>
      </c>
      <c r="Z206" s="38">
        <f t="shared" ca="1" si="718"/>
        <v>0</v>
      </c>
      <c r="AA206" s="38">
        <f t="shared" ca="1" si="718"/>
        <v>0</v>
      </c>
      <c r="AB206" s="38">
        <f t="shared" ca="1" si="718"/>
        <v>0</v>
      </c>
      <c r="AC206" s="38">
        <f t="shared" ca="1" si="718"/>
        <v>0</v>
      </c>
      <c r="AD206" s="38">
        <f t="shared" ca="1" si="718"/>
        <v>0</v>
      </c>
      <c r="AE206" s="38">
        <f t="shared" ca="1" si="718"/>
        <v>0</v>
      </c>
      <c r="AF206" s="38">
        <f t="shared" ca="1" si="718"/>
        <v>0</v>
      </c>
      <c r="AG206" s="38">
        <f t="shared" ca="1" si="718"/>
        <v>0</v>
      </c>
      <c r="AH206" s="38">
        <f t="shared" ca="1" si="718"/>
        <v>0</v>
      </c>
      <c r="AI206" s="38">
        <f t="shared" ca="1" si="718"/>
        <v>0</v>
      </c>
      <c r="AJ206" s="38">
        <f t="shared" ca="1" si="718"/>
        <v>0</v>
      </c>
      <c r="AK206" s="38">
        <f t="shared" ca="1" si="718"/>
        <v>0</v>
      </c>
      <c r="AL206" s="38">
        <f t="shared" ca="1" si="718"/>
        <v>0</v>
      </c>
      <c r="AM206" s="38">
        <f t="shared" ca="1" si="718"/>
        <v>0</v>
      </c>
      <c r="AN206" s="38">
        <f t="shared" ca="1" si="718"/>
        <v>0</v>
      </c>
      <c r="AO206" s="38">
        <f t="shared" ca="1" si="718"/>
        <v>0</v>
      </c>
      <c r="AP206" s="38">
        <f t="shared" ca="1" si="718"/>
        <v>0</v>
      </c>
      <c r="AQ206" s="38">
        <f t="shared" ca="1" si="718"/>
        <v>0</v>
      </c>
      <c r="AR206" s="38">
        <f t="shared" ref="AR206:BW206" ca="1" si="719">IF(AR195="","",(AR195=Timing_Reversion_Month)*$E$190)</f>
        <v>0</v>
      </c>
      <c r="AS206" s="38">
        <f t="shared" ca="1" si="719"/>
        <v>0</v>
      </c>
      <c r="AT206" s="38">
        <f t="shared" ca="1" si="719"/>
        <v>0</v>
      </c>
      <c r="AU206" s="38">
        <f t="shared" ca="1" si="719"/>
        <v>0</v>
      </c>
      <c r="AV206" s="38">
        <f t="shared" ca="1" si="719"/>
        <v>0</v>
      </c>
      <c r="AW206" s="38">
        <f t="shared" ca="1" si="719"/>
        <v>0</v>
      </c>
      <c r="AX206" s="38">
        <f t="shared" ca="1" si="719"/>
        <v>0</v>
      </c>
      <c r="AY206" s="38">
        <f t="shared" ca="1" si="719"/>
        <v>0</v>
      </c>
      <c r="AZ206" s="38">
        <f t="shared" ca="1" si="719"/>
        <v>0</v>
      </c>
      <c r="BA206" s="38">
        <f t="shared" ca="1" si="719"/>
        <v>0</v>
      </c>
      <c r="BB206" s="38">
        <f t="shared" ca="1" si="719"/>
        <v>0</v>
      </c>
      <c r="BC206" s="38">
        <f t="shared" ca="1" si="719"/>
        <v>0</v>
      </c>
      <c r="BD206" s="38">
        <f t="shared" ca="1" si="719"/>
        <v>0</v>
      </c>
      <c r="BE206" s="38">
        <f t="shared" ca="1" si="719"/>
        <v>66094697.607271425</v>
      </c>
      <c r="BF206" s="38" t="str">
        <f t="shared" si="719"/>
        <v/>
      </c>
      <c r="BG206" s="38" t="str">
        <f t="shared" si="719"/>
        <v/>
      </c>
      <c r="BH206" s="38" t="str">
        <f t="shared" si="719"/>
        <v/>
      </c>
      <c r="BI206" s="38" t="str">
        <f t="shared" si="719"/>
        <v/>
      </c>
      <c r="BJ206" s="38" t="str">
        <f t="shared" si="719"/>
        <v/>
      </c>
      <c r="BK206" s="38" t="str">
        <f t="shared" si="719"/>
        <v/>
      </c>
      <c r="BL206" s="38" t="str">
        <f t="shared" si="719"/>
        <v/>
      </c>
      <c r="BM206" s="38" t="str">
        <f t="shared" si="719"/>
        <v/>
      </c>
      <c r="BN206" s="38" t="str">
        <f t="shared" si="719"/>
        <v/>
      </c>
      <c r="BO206" s="38" t="str">
        <f t="shared" si="719"/>
        <v/>
      </c>
      <c r="BP206" s="38" t="str">
        <f t="shared" si="719"/>
        <v/>
      </c>
      <c r="BQ206" s="38" t="str">
        <f t="shared" si="719"/>
        <v/>
      </c>
      <c r="BR206" s="38" t="str">
        <f t="shared" si="719"/>
        <v/>
      </c>
      <c r="BS206" s="38" t="str">
        <f t="shared" si="719"/>
        <v/>
      </c>
      <c r="BT206" s="38" t="str">
        <f t="shared" si="719"/>
        <v/>
      </c>
      <c r="BU206" s="38" t="str">
        <f t="shared" si="719"/>
        <v/>
      </c>
      <c r="BV206" s="38" t="str">
        <f t="shared" si="719"/>
        <v/>
      </c>
      <c r="BW206" s="38" t="str">
        <f t="shared" si="719"/>
        <v/>
      </c>
      <c r="BX206" s="38" t="str">
        <f t="shared" ref="BX206:DC206" si="720">IF(BX195="","",(BX195=Timing_Reversion_Month)*$E$190)</f>
        <v/>
      </c>
      <c r="BY206" s="38" t="str">
        <f t="shared" si="720"/>
        <v/>
      </c>
      <c r="BZ206" s="38" t="str">
        <f t="shared" si="720"/>
        <v/>
      </c>
      <c r="CA206" s="38" t="str">
        <f t="shared" si="720"/>
        <v/>
      </c>
      <c r="CB206" s="38" t="str">
        <f t="shared" si="720"/>
        <v/>
      </c>
      <c r="CC206" s="38" t="str">
        <f t="shared" si="720"/>
        <v/>
      </c>
      <c r="CD206" s="38" t="str">
        <f t="shared" si="720"/>
        <v/>
      </c>
      <c r="CE206" s="38" t="str">
        <f t="shared" si="720"/>
        <v/>
      </c>
      <c r="CF206" s="38" t="str">
        <f t="shared" si="720"/>
        <v/>
      </c>
      <c r="CG206" s="38" t="str">
        <f t="shared" si="720"/>
        <v/>
      </c>
      <c r="CH206" s="38" t="str">
        <f t="shared" si="720"/>
        <v/>
      </c>
      <c r="CI206" s="38" t="str">
        <f t="shared" si="720"/>
        <v/>
      </c>
      <c r="CJ206" s="38" t="str">
        <f t="shared" si="720"/>
        <v/>
      </c>
      <c r="CK206" s="38" t="str">
        <f t="shared" si="720"/>
        <v/>
      </c>
      <c r="CL206" s="38" t="str">
        <f t="shared" si="720"/>
        <v/>
      </c>
      <c r="CM206" s="38" t="str">
        <f t="shared" si="720"/>
        <v/>
      </c>
      <c r="CN206" s="38" t="str">
        <f t="shared" si="720"/>
        <v/>
      </c>
      <c r="CO206" s="38" t="str">
        <f t="shared" si="720"/>
        <v/>
      </c>
      <c r="CP206" s="38" t="str">
        <f t="shared" si="720"/>
        <v/>
      </c>
      <c r="CQ206" s="38" t="str">
        <f t="shared" si="720"/>
        <v/>
      </c>
      <c r="CR206" s="38" t="str">
        <f t="shared" si="720"/>
        <v/>
      </c>
      <c r="CS206" s="38" t="str">
        <f t="shared" si="720"/>
        <v/>
      </c>
      <c r="CT206" s="38" t="str">
        <f t="shared" si="720"/>
        <v/>
      </c>
      <c r="CU206" s="38" t="str">
        <f t="shared" si="720"/>
        <v/>
      </c>
      <c r="CV206" s="38" t="str">
        <f t="shared" si="720"/>
        <v/>
      </c>
      <c r="CW206" s="38" t="str">
        <f t="shared" si="720"/>
        <v/>
      </c>
      <c r="CX206" s="38" t="str">
        <f t="shared" si="720"/>
        <v/>
      </c>
      <c r="CY206" s="38" t="str">
        <f t="shared" si="720"/>
        <v/>
      </c>
      <c r="CZ206" s="38" t="str">
        <f t="shared" si="720"/>
        <v/>
      </c>
      <c r="DA206" s="38" t="str">
        <f t="shared" si="720"/>
        <v/>
      </c>
      <c r="DB206" s="38" t="str">
        <f t="shared" si="720"/>
        <v/>
      </c>
      <c r="DC206" s="38" t="str">
        <f t="shared" si="720"/>
        <v/>
      </c>
      <c r="DD206" s="38" t="str">
        <f t="shared" ref="DD206:EN206" si="721">IF(DD195="","",(DD195=Timing_Reversion_Month)*$E$190)</f>
        <v/>
      </c>
      <c r="DE206" s="38" t="str">
        <f t="shared" si="721"/>
        <v/>
      </c>
      <c r="DF206" s="38" t="str">
        <f t="shared" si="721"/>
        <v/>
      </c>
      <c r="DG206" s="38" t="str">
        <f t="shared" si="721"/>
        <v/>
      </c>
      <c r="DH206" s="38" t="str">
        <f t="shared" si="721"/>
        <v/>
      </c>
      <c r="DI206" s="38" t="str">
        <f t="shared" si="721"/>
        <v/>
      </c>
      <c r="DJ206" s="38" t="str">
        <f t="shared" si="721"/>
        <v/>
      </c>
      <c r="DK206" s="38" t="str">
        <f t="shared" si="721"/>
        <v/>
      </c>
      <c r="DL206" s="38" t="str">
        <f t="shared" si="721"/>
        <v/>
      </c>
      <c r="DM206" s="38" t="str">
        <f t="shared" si="721"/>
        <v/>
      </c>
      <c r="DN206" s="38" t="str">
        <f t="shared" si="721"/>
        <v/>
      </c>
      <c r="DO206" s="38" t="str">
        <f t="shared" si="721"/>
        <v/>
      </c>
      <c r="DP206" s="38" t="str">
        <f t="shared" si="721"/>
        <v/>
      </c>
      <c r="DQ206" s="38" t="str">
        <f t="shared" si="721"/>
        <v/>
      </c>
      <c r="DR206" s="38" t="str">
        <f t="shared" si="721"/>
        <v/>
      </c>
      <c r="DS206" s="38" t="str">
        <f t="shared" si="721"/>
        <v/>
      </c>
      <c r="DT206" s="38" t="str">
        <f t="shared" si="721"/>
        <v/>
      </c>
      <c r="DU206" s="38" t="str">
        <f t="shared" si="721"/>
        <v/>
      </c>
      <c r="DV206" s="38" t="str">
        <f t="shared" si="721"/>
        <v/>
      </c>
      <c r="DW206" s="38" t="str">
        <f t="shared" si="721"/>
        <v/>
      </c>
      <c r="DX206" s="38" t="str">
        <f t="shared" si="721"/>
        <v/>
      </c>
      <c r="DY206" s="38" t="str">
        <f t="shared" si="721"/>
        <v/>
      </c>
      <c r="DZ206" s="38" t="str">
        <f t="shared" si="721"/>
        <v/>
      </c>
      <c r="EA206" s="38" t="str">
        <f t="shared" si="721"/>
        <v/>
      </c>
      <c r="EB206" s="38" t="str">
        <f t="shared" si="721"/>
        <v/>
      </c>
      <c r="EC206" s="38" t="str">
        <f t="shared" si="721"/>
        <v/>
      </c>
      <c r="ED206" s="38" t="str">
        <f t="shared" si="721"/>
        <v/>
      </c>
      <c r="EE206" s="38" t="str">
        <f t="shared" si="721"/>
        <v/>
      </c>
      <c r="EF206" s="38" t="str">
        <f t="shared" si="721"/>
        <v/>
      </c>
      <c r="EG206" s="38" t="str">
        <f t="shared" si="721"/>
        <v/>
      </c>
      <c r="EH206" s="38" t="str">
        <f t="shared" si="721"/>
        <v/>
      </c>
      <c r="EI206" s="38" t="str">
        <f t="shared" si="721"/>
        <v/>
      </c>
      <c r="EJ206" s="38" t="str">
        <f t="shared" si="721"/>
        <v/>
      </c>
      <c r="EK206" s="38" t="str">
        <f t="shared" si="721"/>
        <v/>
      </c>
      <c r="EL206" s="38" t="str">
        <f t="shared" si="721"/>
        <v/>
      </c>
      <c r="EM206" s="38" t="str">
        <f t="shared" si="721"/>
        <v/>
      </c>
      <c r="EN206" s="38" t="str">
        <f t="shared" si="721"/>
        <v/>
      </c>
      <c r="EP206" s="37"/>
      <c r="EQ206" s="24"/>
      <c r="ER206" s="24"/>
      <c r="ES206" s="24"/>
      <c r="ET206" s="33" t="s">
        <v>654</v>
      </c>
      <c r="EU206" s="33"/>
      <c r="EV206" s="225">
        <f t="shared" ref="EV206:GA206" si="722">(EV$197&lt;=Timing_Reversion_Month)*(EV205*((1+$EP203)^(1/12)-1))</f>
        <v>0</v>
      </c>
      <c r="EW206" s="225">
        <f t="shared" ca="1" si="722"/>
        <v>1352.5117086446949</v>
      </c>
      <c r="EX206" s="225">
        <f t="shared" ca="1" si="722"/>
        <v>1518.8803962084362</v>
      </c>
      <c r="EY206" s="225">
        <f t="shared" ca="1" si="722"/>
        <v>1744.2868468558088</v>
      </c>
      <c r="EZ206" s="225">
        <f t="shared" ca="1" si="722"/>
        <v>2086.0202514215785</v>
      </c>
      <c r="FA206" s="225">
        <f t="shared" ca="1" si="722"/>
        <v>2630.0078650404926</v>
      </c>
      <c r="FB206" s="225">
        <f t="shared" ca="1" si="722"/>
        <v>3481.2755719114016</v>
      </c>
      <c r="FC206" s="225">
        <f t="shared" ca="1" si="722"/>
        <v>4735.1637787145573</v>
      </c>
      <c r="FD206" s="225">
        <f t="shared" ca="1" si="722"/>
        <v>5401.2319501774309</v>
      </c>
      <c r="FE206" s="225">
        <f t="shared" ca="1" si="722"/>
        <v>5440.1603751478078</v>
      </c>
      <c r="FF206" s="225">
        <f t="shared" ca="1" si="722"/>
        <v>5479.3693698631341</v>
      </c>
      <c r="FG206" s="225">
        <f t="shared" ca="1" si="722"/>
        <v>5518.8609564802737</v>
      </c>
      <c r="FH206" s="225">
        <f t="shared" ca="1" si="722"/>
        <v>5558.637171730431</v>
      </c>
      <c r="FI206" s="225">
        <f t="shared" ca="1" si="722"/>
        <v>5598.7000670241878</v>
      </c>
      <c r="FJ206" s="225">
        <f t="shared" ca="1" si="722"/>
        <v>5639.0517085573074</v>
      </c>
      <c r="FK206" s="225">
        <f t="shared" ca="1" si="722"/>
        <v>5679.6941774172928</v>
      </c>
      <c r="FL206" s="225">
        <f t="shared" ca="1" si="722"/>
        <v>5720.6295696907191</v>
      </c>
      <c r="FM206" s="225">
        <f t="shared" ca="1" si="722"/>
        <v>5761.8599965713311</v>
      </c>
      <c r="FN206" s="225">
        <f t="shared" ca="1" si="722"/>
        <v>5803.3875844689355</v>
      </c>
      <c r="FO206" s="225">
        <f t="shared" ca="1" si="722"/>
        <v>5845.2144751190563</v>
      </c>
      <c r="FP206" s="225">
        <f t="shared" ca="1" si="722"/>
        <v>5887.3428256934021</v>
      </c>
      <c r="FQ206" s="225">
        <f t="shared" ca="1" si="722"/>
        <v>5929.7748089111119</v>
      </c>
      <c r="FR206" s="225">
        <f t="shared" ca="1" si="722"/>
        <v>5972.5126131508177</v>
      </c>
      <c r="FS206" s="225">
        <f t="shared" ca="1" si="722"/>
        <v>6015.5584425635006</v>
      </c>
      <c r="FT206" s="225">
        <f t="shared" ca="1" si="722"/>
        <v>6058.9145171861719</v>
      </c>
      <c r="FU206" s="225">
        <f t="shared" ca="1" si="722"/>
        <v>6102.5830730563666</v>
      </c>
      <c r="FV206" s="225">
        <f t="shared" ca="1" si="722"/>
        <v>6146.5663623274668</v>
      </c>
      <c r="FW206" s="225">
        <f t="shared" ca="1" si="722"/>
        <v>6190.8666533848509</v>
      </c>
      <c r="FX206" s="225">
        <f t="shared" ca="1" si="722"/>
        <v>6235.4862309628852</v>
      </c>
      <c r="FY206" s="225">
        <f t="shared" ca="1" si="722"/>
        <v>6280.427396262754</v>
      </c>
      <c r="FZ206" s="225">
        <f t="shared" ca="1" si="722"/>
        <v>6325.6924670711423</v>
      </c>
      <c r="GA206" s="225">
        <f t="shared" ca="1" si="722"/>
        <v>6370.5279126812929</v>
      </c>
      <c r="GB206" s="225">
        <f t="shared" ref="GB206:HG206" ca="1" si="723">(GB$197&lt;=Timing_Reversion_Month)*(GB205*((1+$EP203)^(1/12)-1))</f>
        <v>6409.8455853774403</v>
      </c>
      <c r="GC206" s="225">
        <f t="shared" ca="1" si="723"/>
        <v>6437.8378099856709</v>
      </c>
      <c r="GD206" s="225">
        <f t="shared" ca="1" si="723"/>
        <v>6451.9455590432181</v>
      </c>
      <c r="GE206" s="225">
        <f t="shared" ca="1" si="723"/>
        <v>6465.7547508968737</v>
      </c>
      <c r="GF206" s="225">
        <f t="shared" ca="1" si="723"/>
        <v>6479.2632337483383</v>
      </c>
      <c r="GG206" s="225">
        <f t="shared" ca="1" si="723"/>
        <v>6492.4688402906104</v>
      </c>
      <c r="GH206" s="225">
        <f t="shared" ca="1" si="723"/>
        <v>6505.3693875962044</v>
      </c>
      <c r="GI206" s="225">
        <f t="shared" ca="1" si="723"/>
        <v>6517.9626770045716</v>
      </c>
      <c r="GJ206" s="225">
        <f t="shared" ca="1" si="723"/>
        <v>6530.2464940087057</v>
      </c>
      <c r="GK206" s="225">
        <f t="shared" ca="1" si="723"/>
        <v>6542.21860814093</v>
      </c>
      <c r="GL206" s="225">
        <f t="shared" ca="1" si="723"/>
        <v>6553.8767728578705</v>
      </c>
      <c r="GM206" s="225">
        <f t="shared" ca="1" si="723"/>
        <v>6565.2187254245846</v>
      </c>
      <c r="GN206" s="225">
        <f t="shared" ca="1" si="723"/>
        <v>6581.1841232015431</v>
      </c>
      <c r="GO206" s="225">
        <f t="shared" ca="1" si="723"/>
        <v>6596.8523453601592</v>
      </c>
      <c r="GP206" s="225">
        <f t="shared" ca="1" si="723"/>
        <v>0</v>
      </c>
      <c r="GQ206" s="225">
        <f t="shared" ca="1" si="723"/>
        <v>0</v>
      </c>
      <c r="GR206" s="225">
        <f t="shared" ca="1" si="723"/>
        <v>0</v>
      </c>
      <c r="GS206" s="225">
        <f t="shared" ca="1" si="723"/>
        <v>0</v>
      </c>
      <c r="GT206" s="225">
        <f t="shared" ca="1" si="723"/>
        <v>0</v>
      </c>
      <c r="GU206" s="225">
        <f t="shared" ca="1" si="723"/>
        <v>0</v>
      </c>
      <c r="GV206" s="225">
        <f t="shared" ca="1" si="723"/>
        <v>0</v>
      </c>
      <c r="GW206" s="225">
        <f t="shared" ca="1" si="723"/>
        <v>0</v>
      </c>
      <c r="GX206" s="225">
        <f t="shared" ca="1" si="723"/>
        <v>0</v>
      </c>
      <c r="GY206" s="225">
        <f t="shared" ca="1" si="723"/>
        <v>0</v>
      </c>
      <c r="GZ206" s="225">
        <f t="shared" ca="1" si="723"/>
        <v>0</v>
      </c>
      <c r="HA206" s="225">
        <f t="shared" ca="1" si="723"/>
        <v>0</v>
      </c>
      <c r="HB206" s="225">
        <f t="shared" ca="1" si="723"/>
        <v>0</v>
      </c>
      <c r="HC206" s="225">
        <f t="shared" ca="1" si="723"/>
        <v>0</v>
      </c>
      <c r="HD206" s="225">
        <f t="shared" ca="1" si="723"/>
        <v>0</v>
      </c>
      <c r="HE206" s="225">
        <f t="shared" ca="1" si="723"/>
        <v>0</v>
      </c>
      <c r="HF206" s="225">
        <f t="shared" ca="1" si="723"/>
        <v>0</v>
      </c>
      <c r="HG206" s="225">
        <f t="shared" ca="1" si="723"/>
        <v>0</v>
      </c>
      <c r="HH206" s="225">
        <f t="shared" ref="HH206:IM206" ca="1" si="724">(HH$197&lt;=Timing_Reversion_Month)*(HH205*((1+$EP203)^(1/12)-1))</f>
        <v>0</v>
      </c>
      <c r="HI206" s="225">
        <f t="shared" ca="1" si="724"/>
        <v>0</v>
      </c>
      <c r="HJ206" s="225">
        <f t="shared" ca="1" si="724"/>
        <v>0</v>
      </c>
      <c r="HK206" s="225">
        <f t="shared" ca="1" si="724"/>
        <v>0</v>
      </c>
      <c r="HL206" s="225">
        <f t="shared" ca="1" si="724"/>
        <v>0</v>
      </c>
      <c r="HM206" s="225">
        <f t="shared" ca="1" si="724"/>
        <v>0</v>
      </c>
      <c r="HN206" s="225">
        <f t="shared" ca="1" si="724"/>
        <v>0</v>
      </c>
      <c r="HO206" s="225">
        <f t="shared" ca="1" si="724"/>
        <v>0</v>
      </c>
      <c r="HP206" s="225">
        <f t="shared" ca="1" si="724"/>
        <v>0</v>
      </c>
      <c r="HQ206" s="225">
        <f t="shared" ca="1" si="724"/>
        <v>0</v>
      </c>
      <c r="HR206" s="225">
        <f t="shared" ca="1" si="724"/>
        <v>0</v>
      </c>
      <c r="HS206" s="225">
        <f t="shared" ca="1" si="724"/>
        <v>0</v>
      </c>
      <c r="HT206" s="225">
        <f t="shared" ca="1" si="724"/>
        <v>0</v>
      </c>
      <c r="HU206" s="225">
        <f t="shared" ca="1" si="724"/>
        <v>0</v>
      </c>
      <c r="HV206" s="225">
        <f t="shared" ca="1" si="724"/>
        <v>0</v>
      </c>
      <c r="HW206" s="225">
        <f t="shared" ca="1" si="724"/>
        <v>0</v>
      </c>
      <c r="HX206" s="225">
        <f t="shared" ca="1" si="724"/>
        <v>0</v>
      </c>
      <c r="HY206" s="225">
        <f t="shared" ca="1" si="724"/>
        <v>0</v>
      </c>
      <c r="HZ206" s="225">
        <f t="shared" ca="1" si="724"/>
        <v>0</v>
      </c>
      <c r="IA206" s="225">
        <f t="shared" ca="1" si="724"/>
        <v>0</v>
      </c>
      <c r="IB206" s="225">
        <f t="shared" ca="1" si="724"/>
        <v>0</v>
      </c>
      <c r="IC206" s="225">
        <f t="shared" ca="1" si="724"/>
        <v>0</v>
      </c>
      <c r="ID206" s="225">
        <f t="shared" ca="1" si="724"/>
        <v>0</v>
      </c>
      <c r="IE206" s="225">
        <f t="shared" ca="1" si="724"/>
        <v>0</v>
      </c>
      <c r="IF206" s="225">
        <f t="shared" ca="1" si="724"/>
        <v>0</v>
      </c>
      <c r="IG206" s="225">
        <f t="shared" ca="1" si="724"/>
        <v>0</v>
      </c>
      <c r="IH206" s="225">
        <f t="shared" ca="1" si="724"/>
        <v>0</v>
      </c>
      <c r="II206" s="225">
        <f t="shared" ca="1" si="724"/>
        <v>0</v>
      </c>
      <c r="IJ206" s="225">
        <f t="shared" ca="1" si="724"/>
        <v>0</v>
      </c>
      <c r="IK206" s="225">
        <f t="shared" ca="1" si="724"/>
        <v>0</v>
      </c>
      <c r="IL206" s="225">
        <f t="shared" ca="1" si="724"/>
        <v>0</v>
      </c>
      <c r="IM206" s="225">
        <f t="shared" ca="1" si="724"/>
        <v>0</v>
      </c>
      <c r="IN206" s="225">
        <f t="shared" ref="IN206:JS206" ca="1" si="725">(IN$197&lt;=Timing_Reversion_Month)*(IN205*((1+$EP203)^(1/12)-1))</f>
        <v>0</v>
      </c>
      <c r="IO206" s="225">
        <f t="shared" ca="1" si="725"/>
        <v>0</v>
      </c>
      <c r="IP206" s="225">
        <f t="shared" ca="1" si="725"/>
        <v>0</v>
      </c>
      <c r="IQ206" s="225">
        <f t="shared" ca="1" si="725"/>
        <v>0</v>
      </c>
      <c r="IR206" s="225">
        <f t="shared" ca="1" si="725"/>
        <v>0</v>
      </c>
      <c r="IS206" s="225">
        <f t="shared" ca="1" si="725"/>
        <v>0</v>
      </c>
      <c r="IT206" s="225">
        <f t="shared" ca="1" si="725"/>
        <v>0</v>
      </c>
      <c r="IU206" s="225">
        <f t="shared" ca="1" si="725"/>
        <v>0</v>
      </c>
      <c r="IV206" s="225">
        <f t="shared" ca="1" si="725"/>
        <v>0</v>
      </c>
      <c r="IW206" s="225">
        <f t="shared" ca="1" si="725"/>
        <v>0</v>
      </c>
      <c r="IX206" s="225">
        <f t="shared" ca="1" si="725"/>
        <v>0</v>
      </c>
      <c r="IY206" s="225">
        <f t="shared" ca="1" si="725"/>
        <v>0</v>
      </c>
      <c r="IZ206" s="225">
        <f t="shared" ca="1" si="725"/>
        <v>0</v>
      </c>
      <c r="JA206" s="225">
        <f t="shared" ca="1" si="725"/>
        <v>0</v>
      </c>
      <c r="JB206" s="225">
        <f t="shared" ca="1" si="725"/>
        <v>0</v>
      </c>
      <c r="JC206" s="225">
        <f t="shared" ca="1" si="725"/>
        <v>0</v>
      </c>
      <c r="JD206" s="225">
        <f t="shared" ca="1" si="725"/>
        <v>0</v>
      </c>
      <c r="JE206" s="225">
        <f t="shared" ca="1" si="725"/>
        <v>0</v>
      </c>
      <c r="JF206" s="225">
        <f t="shared" ca="1" si="725"/>
        <v>0</v>
      </c>
      <c r="JG206" s="225">
        <f t="shared" ca="1" si="725"/>
        <v>0</v>
      </c>
      <c r="JH206" s="225">
        <f t="shared" ca="1" si="725"/>
        <v>0</v>
      </c>
      <c r="JI206" s="225">
        <f t="shared" ca="1" si="725"/>
        <v>0</v>
      </c>
      <c r="JJ206" s="225">
        <f t="shared" ca="1" si="725"/>
        <v>0</v>
      </c>
      <c r="JK206" s="225">
        <f t="shared" ca="1" si="725"/>
        <v>0</v>
      </c>
      <c r="JL206" s="225">
        <f t="shared" ca="1" si="725"/>
        <v>0</v>
      </c>
      <c r="JM206" s="225">
        <f t="shared" ca="1" si="725"/>
        <v>0</v>
      </c>
      <c r="JN206" s="225">
        <f t="shared" ca="1" si="725"/>
        <v>0</v>
      </c>
      <c r="JO206" s="225">
        <f t="shared" ca="1" si="725"/>
        <v>0</v>
      </c>
      <c r="JP206" s="225">
        <f t="shared" ca="1" si="725"/>
        <v>0</v>
      </c>
      <c r="JQ206" s="225">
        <f t="shared" ca="1" si="725"/>
        <v>0</v>
      </c>
      <c r="JR206" s="225">
        <f t="shared" ca="1" si="725"/>
        <v>0</v>
      </c>
      <c r="JS206" s="225">
        <f t="shared" ca="1" si="725"/>
        <v>0</v>
      </c>
      <c r="JT206" s="225">
        <f t="shared" ref="JT206:JX206" ca="1" si="726">(JT$197&lt;=Timing_Reversion_Month)*(JT205*((1+$EP203)^(1/12)-1))</f>
        <v>0</v>
      </c>
      <c r="JU206" s="225">
        <f t="shared" ca="1" si="726"/>
        <v>0</v>
      </c>
      <c r="JV206" s="225">
        <f t="shared" ca="1" si="726"/>
        <v>0</v>
      </c>
      <c r="JW206" s="225">
        <f t="shared" ca="1" si="726"/>
        <v>0</v>
      </c>
      <c r="JX206" s="225">
        <f t="shared" ca="1" si="726"/>
        <v>0</v>
      </c>
    </row>
    <row r="207" spans="1:284" s="7" customFormat="1" ht="16.5" x14ac:dyDescent="0.35">
      <c r="A207" s="406"/>
      <c r="B207" s="183" t="s">
        <v>623</v>
      </c>
      <c r="C207" s="120"/>
      <c r="D207" s="120"/>
      <c r="E207" s="120"/>
      <c r="F207" s="120"/>
      <c r="G207" s="120"/>
      <c r="H207" s="131"/>
      <c r="I207" s="123">
        <f t="shared" si="717"/>
        <v>-43911647.873051375</v>
      </c>
      <c r="L207" s="38">
        <f t="shared" ref="L207:AQ207" si="727">IF(L195="","",(L195=ConstDebt_Payoff)*-$I$71)</f>
        <v>0</v>
      </c>
      <c r="M207" s="38">
        <f t="shared" si="727"/>
        <v>0</v>
      </c>
      <c r="N207" s="38">
        <f t="shared" si="727"/>
        <v>0</v>
      </c>
      <c r="O207" s="38">
        <f t="shared" si="727"/>
        <v>0</v>
      </c>
      <c r="P207" s="38">
        <f t="shared" si="727"/>
        <v>0</v>
      </c>
      <c r="Q207" s="38">
        <f t="shared" si="727"/>
        <v>0</v>
      </c>
      <c r="R207" s="38">
        <f t="shared" si="727"/>
        <v>0</v>
      </c>
      <c r="S207" s="38">
        <f t="shared" si="727"/>
        <v>0</v>
      </c>
      <c r="T207" s="38">
        <f t="shared" si="727"/>
        <v>0</v>
      </c>
      <c r="U207" s="38">
        <f t="shared" si="727"/>
        <v>0</v>
      </c>
      <c r="V207" s="38">
        <f t="shared" si="727"/>
        <v>0</v>
      </c>
      <c r="W207" s="38">
        <f t="shared" si="727"/>
        <v>0</v>
      </c>
      <c r="X207" s="38">
        <f t="shared" si="727"/>
        <v>0</v>
      </c>
      <c r="Y207" s="38">
        <f t="shared" si="727"/>
        <v>0</v>
      </c>
      <c r="Z207" s="38">
        <f t="shared" si="727"/>
        <v>0</v>
      </c>
      <c r="AA207" s="38">
        <f t="shared" si="727"/>
        <v>0</v>
      </c>
      <c r="AB207" s="38">
        <f t="shared" si="727"/>
        <v>0</v>
      </c>
      <c r="AC207" s="38">
        <f t="shared" si="727"/>
        <v>0</v>
      </c>
      <c r="AD207" s="38">
        <f t="shared" si="727"/>
        <v>0</v>
      </c>
      <c r="AE207" s="38">
        <f t="shared" si="727"/>
        <v>0</v>
      </c>
      <c r="AF207" s="38">
        <f t="shared" si="727"/>
        <v>0</v>
      </c>
      <c r="AG207" s="38">
        <f t="shared" si="727"/>
        <v>0</v>
      </c>
      <c r="AH207" s="38">
        <f t="shared" si="727"/>
        <v>0</v>
      </c>
      <c r="AI207" s="38">
        <f t="shared" si="727"/>
        <v>0</v>
      </c>
      <c r="AJ207" s="38">
        <f t="shared" si="727"/>
        <v>0</v>
      </c>
      <c r="AK207" s="38">
        <f t="shared" si="727"/>
        <v>0</v>
      </c>
      <c r="AL207" s="38">
        <f t="shared" si="727"/>
        <v>0</v>
      </c>
      <c r="AM207" s="38">
        <f t="shared" si="727"/>
        <v>0</v>
      </c>
      <c r="AN207" s="38">
        <f t="shared" si="727"/>
        <v>0</v>
      </c>
      <c r="AO207" s="38">
        <f t="shared" si="727"/>
        <v>0</v>
      </c>
      <c r="AP207" s="38">
        <f t="shared" si="727"/>
        <v>0</v>
      </c>
      <c r="AQ207" s="38">
        <f t="shared" si="727"/>
        <v>0</v>
      </c>
      <c r="AR207" s="38">
        <f t="shared" ref="AR207:BW207" si="728">IF(AR195="","",(AR195=ConstDebt_Payoff)*-$I$71)</f>
        <v>0</v>
      </c>
      <c r="AS207" s="38">
        <f t="shared" si="728"/>
        <v>0</v>
      </c>
      <c r="AT207" s="38">
        <f t="shared" si="728"/>
        <v>0</v>
      </c>
      <c r="AU207" s="38">
        <f t="shared" si="728"/>
        <v>0</v>
      </c>
      <c r="AV207" s="38">
        <f t="shared" si="728"/>
        <v>0</v>
      </c>
      <c r="AW207" s="38">
        <f t="shared" si="728"/>
        <v>0</v>
      </c>
      <c r="AX207" s="38">
        <f t="shared" si="728"/>
        <v>0</v>
      </c>
      <c r="AY207" s="38">
        <f t="shared" si="728"/>
        <v>0</v>
      </c>
      <c r="AZ207" s="38">
        <f t="shared" si="728"/>
        <v>0</v>
      </c>
      <c r="BA207" s="38">
        <f t="shared" si="728"/>
        <v>0</v>
      </c>
      <c r="BB207" s="38">
        <f t="shared" si="728"/>
        <v>0</v>
      </c>
      <c r="BC207" s="38">
        <f t="shared" si="728"/>
        <v>0</v>
      </c>
      <c r="BD207" s="38">
        <f t="shared" si="728"/>
        <v>0</v>
      </c>
      <c r="BE207" s="38">
        <f t="shared" si="728"/>
        <v>-43911647.873051375</v>
      </c>
      <c r="BF207" s="38" t="str">
        <f t="shared" si="728"/>
        <v/>
      </c>
      <c r="BG207" s="38" t="str">
        <f t="shared" si="728"/>
        <v/>
      </c>
      <c r="BH207" s="38" t="str">
        <f t="shared" si="728"/>
        <v/>
      </c>
      <c r="BI207" s="38" t="str">
        <f t="shared" si="728"/>
        <v/>
      </c>
      <c r="BJ207" s="38" t="str">
        <f t="shared" si="728"/>
        <v/>
      </c>
      <c r="BK207" s="38" t="str">
        <f t="shared" si="728"/>
        <v/>
      </c>
      <c r="BL207" s="38" t="str">
        <f t="shared" si="728"/>
        <v/>
      </c>
      <c r="BM207" s="38" t="str">
        <f t="shared" si="728"/>
        <v/>
      </c>
      <c r="BN207" s="38" t="str">
        <f t="shared" si="728"/>
        <v/>
      </c>
      <c r="BO207" s="38" t="str">
        <f t="shared" si="728"/>
        <v/>
      </c>
      <c r="BP207" s="38" t="str">
        <f t="shared" si="728"/>
        <v/>
      </c>
      <c r="BQ207" s="38" t="str">
        <f t="shared" si="728"/>
        <v/>
      </c>
      <c r="BR207" s="38" t="str">
        <f t="shared" si="728"/>
        <v/>
      </c>
      <c r="BS207" s="38" t="str">
        <f t="shared" si="728"/>
        <v/>
      </c>
      <c r="BT207" s="38" t="str">
        <f t="shared" si="728"/>
        <v/>
      </c>
      <c r="BU207" s="38" t="str">
        <f t="shared" si="728"/>
        <v/>
      </c>
      <c r="BV207" s="38" t="str">
        <f t="shared" si="728"/>
        <v/>
      </c>
      <c r="BW207" s="38" t="str">
        <f t="shared" si="728"/>
        <v/>
      </c>
      <c r="BX207" s="38" t="str">
        <f t="shared" ref="BX207:DC207" si="729">IF(BX195="","",(BX195=ConstDebt_Payoff)*-$I$71)</f>
        <v/>
      </c>
      <c r="BY207" s="38" t="str">
        <f t="shared" si="729"/>
        <v/>
      </c>
      <c r="BZ207" s="38" t="str">
        <f t="shared" si="729"/>
        <v/>
      </c>
      <c r="CA207" s="38" t="str">
        <f t="shared" si="729"/>
        <v/>
      </c>
      <c r="CB207" s="38" t="str">
        <f t="shared" si="729"/>
        <v/>
      </c>
      <c r="CC207" s="38" t="str">
        <f t="shared" si="729"/>
        <v/>
      </c>
      <c r="CD207" s="38" t="str">
        <f t="shared" si="729"/>
        <v/>
      </c>
      <c r="CE207" s="38" t="str">
        <f t="shared" si="729"/>
        <v/>
      </c>
      <c r="CF207" s="38" t="str">
        <f t="shared" si="729"/>
        <v/>
      </c>
      <c r="CG207" s="38" t="str">
        <f t="shared" si="729"/>
        <v/>
      </c>
      <c r="CH207" s="38" t="str">
        <f t="shared" si="729"/>
        <v/>
      </c>
      <c r="CI207" s="38" t="str">
        <f t="shared" si="729"/>
        <v/>
      </c>
      <c r="CJ207" s="38" t="str">
        <f t="shared" si="729"/>
        <v/>
      </c>
      <c r="CK207" s="38" t="str">
        <f t="shared" si="729"/>
        <v/>
      </c>
      <c r="CL207" s="38" t="str">
        <f t="shared" si="729"/>
        <v/>
      </c>
      <c r="CM207" s="38" t="str">
        <f t="shared" si="729"/>
        <v/>
      </c>
      <c r="CN207" s="38" t="str">
        <f t="shared" si="729"/>
        <v/>
      </c>
      <c r="CO207" s="38" t="str">
        <f t="shared" si="729"/>
        <v/>
      </c>
      <c r="CP207" s="38" t="str">
        <f t="shared" si="729"/>
        <v/>
      </c>
      <c r="CQ207" s="38" t="str">
        <f t="shared" si="729"/>
        <v/>
      </c>
      <c r="CR207" s="38" t="str">
        <f t="shared" si="729"/>
        <v/>
      </c>
      <c r="CS207" s="38" t="str">
        <f t="shared" si="729"/>
        <v/>
      </c>
      <c r="CT207" s="38" t="str">
        <f t="shared" si="729"/>
        <v/>
      </c>
      <c r="CU207" s="38" t="str">
        <f t="shared" si="729"/>
        <v/>
      </c>
      <c r="CV207" s="38" t="str">
        <f t="shared" si="729"/>
        <v/>
      </c>
      <c r="CW207" s="38" t="str">
        <f t="shared" si="729"/>
        <v/>
      </c>
      <c r="CX207" s="38" t="str">
        <f t="shared" si="729"/>
        <v/>
      </c>
      <c r="CY207" s="38" t="str">
        <f t="shared" si="729"/>
        <v/>
      </c>
      <c r="CZ207" s="38" t="str">
        <f t="shared" si="729"/>
        <v/>
      </c>
      <c r="DA207" s="38" t="str">
        <f t="shared" si="729"/>
        <v/>
      </c>
      <c r="DB207" s="38" t="str">
        <f t="shared" si="729"/>
        <v/>
      </c>
      <c r="DC207" s="38" t="str">
        <f t="shared" si="729"/>
        <v/>
      </c>
      <c r="DD207" s="38" t="str">
        <f t="shared" ref="DD207:EN207" si="730">IF(DD195="","",(DD195=ConstDebt_Payoff)*-$I$71)</f>
        <v/>
      </c>
      <c r="DE207" s="38" t="str">
        <f t="shared" si="730"/>
        <v/>
      </c>
      <c r="DF207" s="38" t="str">
        <f t="shared" si="730"/>
        <v/>
      </c>
      <c r="DG207" s="38" t="str">
        <f t="shared" si="730"/>
        <v/>
      </c>
      <c r="DH207" s="38" t="str">
        <f t="shared" si="730"/>
        <v/>
      </c>
      <c r="DI207" s="38" t="str">
        <f t="shared" si="730"/>
        <v/>
      </c>
      <c r="DJ207" s="38" t="str">
        <f t="shared" si="730"/>
        <v/>
      </c>
      <c r="DK207" s="38" t="str">
        <f t="shared" si="730"/>
        <v/>
      </c>
      <c r="DL207" s="38" t="str">
        <f t="shared" si="730"/>
        <v/>
      </c>
      <c r="DM207" s="38" t="str">
        <f t="shared" si="730"/>
        <v/>
      </c>
      <c r="DN207" s="38" t="str">
        <f t="shared" si="730"/>
        <v/>
      </c>
      <c r="DO207" s="38" t="str">
        <f t="shared" si="730"/>
        <v/>
      </c>
      <c r="DP207" s="38" t="str">
        <f t="shared" si="730"/>
        <v/>
      </c>
      <c r="DQ207" s="38" t="str">
        <f t="shared" si="730"/>
        <v/>
      </c>
      <c r="DR207" s="38" t="str">
        <f t="shared" si="730"/>
        <v/>
      </c>
      <c r="DS207" s="38" t="str">
        <f t="shared" si="730"/>
        <v/>
      </c>
      <c r="DT207" s="38" t="str">
        <f t="shared" si="730"/>
        <v/>
      </c>
      <c r="DU207" s="38" t="str">
        <f t="shared" si="730"/>
        <v/>
      </c>
      <c r="DV207" s="38" t="str">
        <f t="shared" si="730"/>
        <v/>
      </c>
      <c r="DW207" s="38" t="str">
        <f t="shared" si="730"/>
        <v/>
      </c>
      <c r="DX207" s="38" t="str">
        <f t="shared" si="730"/>
        <v/>
      </c>
      <c r="DY207" s="38" t="str">
        <f t="shared" si="730"/>
        <v/>
      </c>
      <c r="DZ207" s="38" t="str">
        <f t="shared" si="730"/>
        <v/>
      </c>
      <c r="EA207" s="38" t="str">
        <f t="shared" si="730"/>
        <v/>
      </c>
      <c r="EB207" s="38" t="str">
        <f t="shared" si="730"/>
        <v/>
      </c>
      <c r="EC207" s="38" t="str">
        <f t="shared" si="730"/>
        <v/>
      </c>
      <c r="ED207" s="38" t="str">
        <f t="shared" si="730"/>
        <v/>
      </c>
      <c r="EE207" s="38" t="str">
        <f t="shared" si="730"/>
        <v/>
      </c>
      <c r="EF207" s="38" t="str">
        <f t="shared" si="730"/>
        <v/>
      </c>
      <c r="EG207" s="38" t="str">
        <f t="shared" si="730"/>
        <v/>
      </c>
      <c r="EH207" s="38" t="str">
        <f t="shared" si="730"/>
        <v/>
      </c>
      <c r="EI207" s="38" t="str">
        <f t="shared" si="730"/>
        <v/>
      </c>
      <c r="EJ207" s="38" t="str">
        <f t="shared" si="730"/>
        <v/>
      </c>
      <c r="EK207" s="38" t="str">
        <f t="shared" si="730"/>
        <v/>
      </c>
      <c r="EL207" s="38" t="str">
        <f t="shared" si="730"/>
        <v/>
      </c>
      <c r="EM207" s="38" t="str">
        <f t="shared" si="730"/>
        <v/>
      </c>
      <c r="EN207" s="38" t="str">
        <f t="shared" si="730"/>
        <v/>
      </c>
      <c r="EP207" s="37"/>
      <c r="EQ207" s="24"/>
      <c r="ER207" s="24"/>
      <c r="ES207" s="33"/>
      <c r="ET207" s="225" t="s">
        <v>655</v>
      </c>
      <c r="EU207" s="225"/>
      <c r="EV207" s="225">
        <f ca="1">IF(L228="",0,L228)</f>
        <v>187657.97638306464</v>
      </c>
      <c r="EW207" s="225">
        <f ca="1">IF(M228="",0,M228)</f>
        <v>21730.771816496028</v>
      </c>
      <c r="EX207" s="225">
        <f t="shared" ref="EX207:HI207" ca="1" si="731">IF(N228="",0,N228)</f>
        <v>29755.760793080612</v>
      </c>
      <c r="EY207" s="225">
        <f t="shared" ca="1" si="731"/>
        <v>45670.459179682453</v>
      </c>
      <c r="EZ207" s="225">
        <f t="shared" ca="1" si="731"/>
        <v>73391.045194076287</v>
      </c>
      <c r="FA207" s="225">
        <f t="shared" ca="1" si="731"/>
        <v>115481.48367370834</v>
      </c>
      <c r="FB207" s="225">
        <f t="shared" ca="1" si="731"/>
        <v>170492.91037806304</v>
      </c>
      <c r="FC207" s="225">
        <f t="shared" ca="1" si="731"/>
        <v>87680.306188005474</v>
      </c>
      <c r="FD207" s="225">
        <f t="shared" ca="1" si="731"/>
        <v>0</v>
      </c>
      <c r="FE207" s="225">
        <f t="shared" ca="1" si="731"/>
        <v>0</v>
      </c>
      <c r="FF207" s="225">
        <f t="shared" ca="1" si="731"/>
        <v>0</v>
      </c>
      <c r="FG207" s="225">
        <f t="shared" ca="1" si="731"/>
        <v>0</v>
      </c>
      <c r="FH207" s="225">
        <f t="shared" ca="1" si="731"/>
        <v>0</v>
      </c>
      <c r="FI207" s="225">
        <f t="shared" ca="1" si="731"/>
        <v>0</v>
      </c>
      <c r="FJ207" s="225">
        <f t="shared" ca="1" si="731"/>
        <v>0</v>
      </c>
      <c r="FK207" s="225">
        <f t="shared" ca="1" si="731"/>
        <v>0</v>
      </c>
      <c r="FL207" s="225">
        <f t="shared" ca="1" si="731"/>
        <v>0</v>
      </c>
      <c r="FM207" s="225">
        <f t="shared" ca="1" si="731"/>
        <v>0</v>
      </c>
      <c r="FN207" s="225">
        <f t="shared" ca="1" si="731"/>
        <v>0</v>
      </c>
      <c r="FO207" s="225">
        <f t="shared" ca="1" si="731"/>
        <v>0</v>
      </c>
      <c r="FP207" s="225">
        <f t="shared" ca="1" si="731"/>
        <v>0</v>
      </c>
      <c r="FQ207" s="225">
        <f t="shared" ca="1" si="731"/>
        <v>0</v>
      </c>
      <c r="FR207" s="225">
        <f t="shared" ca="1" si="731"/>
        <v>0</v>
      </c>
      <c r="FS207" s="225">
        <f t="shared" ca="1" si="731"/>
        <v>0</v>
      </c>
      <c r="FT207" s="225">
        <f t="shared" ca="1" si="731"/>
        <v>5.4569682106375702E-13</v>
      </c>
      <c r="FU207" s="225">
        <f t="shared" ca="1" si="731"/>
        <v>0</v>
      </c>
      <c r="FV207" s="225">
        <f t="shared" ca="1" si="731"/>
        <v>0</v>
      </c>
      <c r="FW207" s="225">
        <f t="shared" ca="1" si="731"/>
        <v>0</v>
      </c>
      <c r="FX207" s="225">
        <f t="shared" ca="1" si="731"/>
        <v>0</v>
      </c>
      <c r="FY207" s="225">
        <f t="shared" ca="1" si="731"/>
        <v>0</v>
      </c>
      <c r="FZ207" s="225">
        <f t="shared" ca="1" si="731"/>
        <v>0</v>
      </c>
      <c r="GA207" s="225">
        <f t="shared" ca="1" si="731"/>
        <v>0</v>
      </c>
      <c r="GB207" s="225">
        <f t="shared" ca="1" si="731"/>
        <v>0</v>
      </c>
      <c r="GC207" s="225">
        <f t="shared" ca="1" si="731"/>
        <v>0</v>
      </c>
      <c r="GD207" s="225">
        <f t="shared" ca="1" si="731"/>
        <v>0</v>
      </c>
      <c r="GE207" s="225">
        <f t="shared" ca="1" si="731"/>
        <v>0</v>
      </c>
      <c r="GF207" s="225">
        <f t="shared" ca="1" si="731"/>
        <v>0</v>
      </c>
      <c r="GG207" s="225">
        <f t="shared" ca="1" si="731"/>
        <v>0</v>
      </c>
      <c r="GH207" s="225">
        <f t="shared" ca="1" si="731"/>
        <v>0</v>
      </c>
      <c r="GI207" s="225">
        <f t="shared" ca="1" si="731"/>
        <v>0</v>
      </c>
      <c r="GJ207" s="225">
        <f t="shared" ca="1" si="731"/>
        <v>0</v>
      </c>
      <c r="GK207" s="225">
        <f t="shared" ca="1" si="731"/>
        <v>0</v>
      </c>
      <c r="GL207" s="225">
        <f t="shared" ca="1" si="731"/>
        <v>0</v>
      </c>
      <c r="GM207" s="225">
        <f t="shared" ca="1" si="731"/>
        <v>0</v>
      </c>
      <c r="GN207" s="225">
        <f t="shared" ca="1" si="731"/>
        <v>0</v>
      </c>
      <c r="GO207" s="225">
        <f t="shared" ca="1" si="731"/>
        <v>0</v>
      </c>
      <c r="GP207" s="225">
        <f t="shared" si="731"/>
        <v>0</v>
      </c>
      <c r="GQ207" s="225">
        <f t="shared" si="731"/>
        <v>0</v>
      </c>
      <c r="GR207" s="225">
        <f t="shared" si="731"/>
        <v>0</v>
      </c>
      <c r="GS207" s="225">
        <f t="shared" si="731"/>
        <v>0</v>
      </c>
      <c r="GT207" s="225">
        <f t="shared" si="731"/>
        <v>0</v>
      </c>
      <c r="GU207" s="225">
        <f t="shared" si="731"/>
        <v>0</v>
      </c>
      <c r="GV207" s="225">
        <f t="shared" si="731"/>
        <v>0</v>
      </c>
      <c r="GW207" s="225">
        <f t="shared" si="731"/>
        <v>0</v>
      </c>
      <c r="GX207" s="225">
        <f t="shared" si="731"/>
        <v>0</v>
      </c>
      <c r="GY207" s="225">
        <f t="shared" si="731"/>
        <v>0</v>
      </c>
      <c r="GZ207" s="225">
        <f t="shared" si="731"/>
        <v>0</v>
      </c>
      <c r="HA207" s="225">
        <f t="shared" si="731"/>
        <v>0</v>
      </c>
      <c r="HB207" s="225">
        <f t="shared" si="731"/>
        <v>0</v>
      </c>
      <c r="HC207" s="225">
        <f t="shared" si="731"/>
        <v>0</v>
      </c>
      <c r="HD207" s="225">
        <f t="shared" si="731"/>
        <v>0</v>
      </c>
      <c r="HE207" s="225">
        <f t="shared" si="731"/>
        <v>0</v>
      </c>
      <c r="HF207" s="225">
        <f t="shared" si="731"/>
        <v>0</v>
      </c>
      <c r="HG207" s="225">
        <f t="shared" si="731"/>
        <v>0</v>
      </c>
      <c r="HH207" s="225">
        <f t="shared" si="731"/>
        <v>0</v>
      </c>
      <c r="HI207" s="225">
        <f t="shared" si="731"/>
        <v>0</v>
      </c>
      <c r="HJ207" s="225">
        <f t="shared" ref="HJ207:JU207" si="732">IF(BZ228="",0,BZ228)</f>
        <v>0</v>
      </c>
      <c r="HK207" s="225">
        <f t="shared" si="732"/>
        <v>0</v>
      </c>
      <c r="HL207" s="225">
        <f t="shared" si="732"/>
        <v>0</v>
      </c>
      <c r="HM207" s="225">
        <f t="shared" si="732"/>
        <v>0</v>
      </c>
      <c r="HN207" s="225">
        <f t="shared" si="732"/>
        <v>0</v>
      </c>
      <c r="HO207" s="225">
        <f t="shared" si="732"/>
        <v>0</v>
      </c>
      <c r="HP207" s="225">
        <f t="shared" si="732"/>
        <v>0</v>
      </c>
      <c r="HQ207" s="225">
        <f t="shared" si="732"/>
        <v>0</v>
      </c>
      <c r="HR207" s="225">
        <f t="shared" si="732"/>
        <v>0</v>
      </c>
      <c r="HS207" s="225">
        <f t="shared" si="732"/>
        <v>0</v>
      </c>
      <c r="HT207" s="225">
        <f t="shared" si="732"/>
        <v>0</v>
      </c>
      <c r="HU207" s="225">
        <f t="shared" si="732"/>
        <v>0</v>
      </c>
      <c r="HV207" s="225">
        <f t="shared" si="732"/>
        <v>0</v>
      </c>
      <c r="HW207" s="225">
        <f t="shared" si="732"/>
        <v>0</v>
      </c>
      <c r="HX207" s="225">
        <f t="shared" si="732"/>
        <v>0</v>
      </c>
      <c r="HY207" s="225">
        <f t="shared" si="732"/>
        <v>0</v>
      </c>
      <c r="HZ207" s="225">
        <f t="shared" si="732"/>
        <v>0</v>
      </c>
      <c r="IA207" s="225">
        <f t="shared" si="732"/>
        <v>0</v>
      </c>
      <c r="IB207" s="225">
        <f t="shared" si="732"/>
        <v>0</v>
      </c>
      <c r="IC207" s="225">
        <f t="shared" si="732"/>
        <v>0</v>
      </c>
      <c r="ID207" s="225">
        <f t="shared" si="732"/>
        <v>0</v>
      </c>
      <c r="IE207" s="225">
        <f t="shared" si="732"/>
        <v>0</v>
      </c>
      <c r="IF207" s="225">
        <f t="shared" si="732"/>
        <v>0</v>
      </c>
      <c r="IG207" s="225">
        <f t="shared" si="732"/>
        <v>0</v>
      </c>
      <c r="IH207" s="225">
        <f t="shared" si="732"/>
        <v>0</v>
      </c>
      <c r="II207" s="225">
        <f t="shared" si="732"/>
        <v>0</v>
      </c>
      <c r="IJ207" s="225">
        <f t="shared" si="732"/>
        <v>0</v>
      </c>
      <c r="IK207" s="225">
        <f t="shared" si="732"/>
        <v>0</v>
      </c>
      <c r="IL207" s="225">
        <f t="shared" si="732"/>
        <v>0</v>
      </c>
      <c r="IM207" s="225">
        <f t="shared" si="732"/>
        <v>0</v>
      </c>
      <c r="IN207" s="225">
        <f t="shared" si="732"/>
        <v>0</v>
      </c>
      <c r="IO207" s="225">
        <f t="shared" si="732"/>
        <v>0</v>
      </c>
      <c r="IP207" s="225">
        <f t="shared" si="732"/>
        <v>0</v>
      </c>
      <c r="IQ207" s="225">
        <f t="shared" si="732"/>
        <v>0</v>
      </c>
      <c r="IR207" s="225">
        <f t="shared" si="732"/>
        <v>0</v>
      </c>
      <c r="IS207" s="225">
        <f t="shared" si="732"/>
        <v>0</v>
      </c>
      <c r="IT207" s="225">
        <f t="shared" si="732"/>
        <v>0</v>
      </c>
      <c r="IU207" s="225">
        <f t="shared" si="732"/>
        <v>0</v>
      </c>
      <c r="IV207" s="225">
        <f t="shared" si="732"/>
        <v>0</v>
      </c>
      <c r="IW207" s="225">
        <f t="shared" si="732"/>
        <v>0</v>
      </c>
      <c r="IX207" s="225">
        <f t="shared" si="732"/>
        <v>0</v>
      </c>
      <c r="IY207" s="225">
        <f t="shared" si="732"/>
        <v>0</v>
      </c>
      <c r="IZ207" s="225">
        <f t="shared" si="732"/>
        <v>0</v>
      </c>
      <c r="JA207" s="225">
        <f t="shared" si="732"/>
        <v>0</v>
      </c>
      <c r="JB207" s="225">
        <f t="shared" si="732"/>
        <v>0</v>
      </c>
      <c r="JC207" s="225">
        <f t="shared" si="732"/>
        <v>0</v>
      </c>
      <c r="JD207" s="225">
        <f t="shared" si="732"/>
        <v>0</v>
      </c>
      <c r="JE207" s="225">
        <f t="shared" si="732"/>
        <v>0</v>
      </c>
      <c r="JF207" s="225">
        <f t="shared" si="732"/>
        <v>0</v>
      </c>
      <c r="JG207" s="225">
        <f t="shared" si="732"/>
        <v>0</v>
      </c>
      <c r="JH207" s="225">
        <f t="shared" si="732"/>
        <v>0</v>
      </c>
      <c r="JI207" s="225">
        <f t="shared" si="732"/>
        <v>0</v>
      </c>
      <c r="JJ207" s="225">
        <f t="shared" si="732"/>
        <v>0</v>
      </c>
      <c r="JK207" s="225">
        <f t="shared" si="732"/>
        <v>0</v>
      </c>
      <c r="JL207" s="225">
        <f t="shared" si="732"/>
        <v>0</v>
      </c>
      <c r="JM207" s="225">
        <f t="shared" si="732"/>
        <v>0</v>
      </c>
      <c r="JN207" s="225">
        <f t="shared" si="732"/>
        <v>0</v>
      </c>
      <c r="JO207" s="225">
        <f t="shared" si="732"/>
        <v>0</v>
      </c>
      <c r="JP207" s="225">
        <f t="shared" si="732"/>
        <v>0</v>
      </c>
      <c r="JQ207" s="225">
        <f t="shared" si="732"/>
        <v>0</v>
      </c>
      <c r="JR207" s="225">
        <f t="shared" si="732"/>
        <v>0</v>
      </c>
      <c r="JS207" s="225">
        <f t="shared" si="732"/>
        <v>0</v>
      </c>
      <c r="JT207" s="225">
        <f t="shared" si="732"/>
        <v>0</v>
      </c>
      <c r="JU207" s="225">
        <f t="shared" si="732"/>
        <v>0</v>
      </c>
      <c r="JV207" s="225">
        <f t="shared" ref="JV207:JX207" si="733">IF(EL228="",0,EL228)</f>
        <v>0</v>
      </c>
      <c r="JW207" s="225">
        <f t="shared" si="733"/>
        <v>0</v>
      </c>
      <c r="JX207" s="225">
        <f t="shared" si="733"/>
        <v>0</v>
      </c>
    </row>
    <row r="208" spans="1:284" s="7" customFormat="1" ht="0.6" customHeight="1" x14ac:dyDescent="0.35">
      <c r="A208" s="406"/>
      <c r="B208" s="183" t="s">
        <v>624</v>
      </c>
      <c r="C208" s="120"/>
      <c r="D208" s="120"/>
      <c r="E208" s="120"/>
      <c r="F208" s="120"/>
      <c r="G208" s="120"/>
      <c r="H208" s="131"/>
      <c r="I208" s="123">
        <f t="shared" si="717"/>
        <v>0</v>
      </c>
      <c r="L208" s="38">
        <f>IF(L195="","",L79)</f>
        <v>0</v>
      </c>
      <c r="M208" s="38">
        <f t="shared" ref="M208:BX208" si="734">IF(M195="","",M79)</f>
        <v>0</v>
      </c>
      <c r="N208" s="38">
        <f t="shared" si="734"/>
        <v>0</v>
      </c>
      <c r="O208" s="38">
        <f t="shared" si="734"/>
        <v>0</v>
      </c>
      <c r="P208" s="38">
        <f t="shared" si="734"/>
        <v>0</v>
      </c>
      <c r="Q208" s="38">
        <f t="shared" si="734"/>
        <v>0</v>
      </c>
      <c r="R208" s="38">
        <f t="shared" si="734"/>
        <v>0</v>
      </c>
      <c r="S208" s="38">
        <f t="shared" si="734"/>
        <v>0</v>
      </c>
      <c r="T208" s="38">
        <f t="shared" si="734"/>
        <v>0</v>
      </c>
      <c r="U208" s="38">
        <f t="shared" si="734"/>
        <v>0</v>
      </c>
      <c r="V208" s="38">
        <f t="shared" si="734"/>
        <v>0</v>
      </c>
      <c r="W208" s="38">
        <f t="shared" si="734"/>
        <v>0</v>
      </c>
      <c r="X208" s="38">
        <f t="shared" si="734"/>
        <v>0</v>
      </c>
      <c r="Y208" s="38">
        <f t="shared" si="734"/>
        <v>0</v>
      </c>
      <c r="Z208" s="38">
        <f t="shared" si="734"/>
        <v>0</v>
      </c>
      <c r="AA208" s="38">
        <f t="shared" si="734"/>
        <v>0</v>
      </c>
      <c r="AB208" s="38">
        <f t="shared" si="734"/>
        <v>0</v>
      </c>
      <c r="AC208" s="38">
        <f t="shared" si="734"/>
        <v>0</v>
      </c>
      <c r="AD208" s="38">
        <f t="shared" si="734"/>
        <v>0</v>
      </c>
      <c r="AE208" s="38">
        <f t="shared" si="734"/>
        <v>0</v>
      </c>
      <c r="AF208" s="38">
        <f t="shared" si="734"/>
        <v>0</v>
      </c>
      <c r="AG208" s="38">
        <f t="shared" si="734"/>
        <v>0</v>
      </c>
      <c r="AH208" s="38">
        <f t="shared" si="734"/>
        <v>0</v>
      </c>
      <c r="AI208" s="38">
        <f t="shared" si="734"/>
        <v>0</v>
      </c>
      <c r="AJ208" s="38">
        <f t="shared" si="734"/>
        <v>0</v>
      </c>
      <c r="AK208" s="38">
        <f t="shared" si="734"/>
        <v>0</v>
      </c>
      <c r="AL208" s="38">
        <f t="shared" si="734"/>
        <v>0</v>
      </c>
      <c r="AM208" s="38">
        <f t="shared" si="734"/>
        <v>0</v>
      </c>
      <c r="AN208" s="38">
        <f t="shared" si="734"/>
        <v>0</v>
      </c>
      <c r="AO208" s="38">
        <f t="shared" si="734"/>
        <v>0</v>
      </c>
      <c r="AP208" s="38">
        <f t="shared" si="734"/>
        <v>0</v>
      </c>
      <c r="AQ208" s="38">
        <f t="shared" si="734"/>
        <v>0</v>
      </c>
      <c r="AR208" s="38">
        <f t="shared" si="734"/>
        <v>0</v>
      </c>
      <c r="AS208" s="38">
        <f t="shared" si="734"/>
        <v>0</v>
      </c>
      <c r="AT208" s="38">
        <f t="shared" si="734"/>
        <v>0</v>
      </c>
      <c r="AU208" s="38">
        <f t="shared" si="734"/>
        <v>0</v>
      </c>
      <c r="AV208" s="38">
        <f t="shared" si="734"/>
        <v>0</v>
      </c>
      <c r="AW208" s="38">
        <f t="shared" si="734"/>
        <v>0</v>
      </c>
      <c r="AX208" s="38">
        <f t="shared" si="734"/>
        <v>0</v>
      </c>
      <c r="AY208" s="38">
        <f t="shared" si="734"/>
        <v>0</v>
      </c>
      <c r="AZ208" s="38">
        <f t="shared" si="734"/>
        <v>0</v>
      </c>
      <c r="BA208" s="38">
        <f t="shared" si="734"/>
        <v>0</v>
      </c>
      <c r="BB208" s="38">
        <f t="shared" si="734"/>
        <v>0</v>
      </c>
      <c r="BC208" s="38">
        <f t="shared" si="734"/>
        <v>0</v>
      </c>
      <c r="BD208" s="38">
        <f t="shared" si="734"/>
        <v>0</v>
      </c>
      <c r="BE208" s="38">
        <f t="shared" si="734"/>
        <v>0</v>
      </c>
      <c r="BF208" s="38" t="str">
        <f t="shared" si="734"/>
        <v/>
      </c>
      <c r="BG208" s="38" t="str">
        <f t="shared" si="734"/>
        <v/>
      </c>
      <c r="BH208" s="38" t="str">
        <f t="shared" si="734"/>
        <v/>
      </c>
      <c r="BI208" s="38" t="str">
        <f t="shared" si="734"/>
        <v/>
      </c>
      <c r="BJ208" s="38" t="str">
        <f t="shared" si="734"/>
        <v/>
      </c>
      <c r="BK208" s="38" t="str">
        <f t="shared" si="734"/>
        <v/>
      </c>
      <c r="BL208" s="38" t="str">
        <f t="shared" si="734"/>
        <v/>
      </c>
      <c r="BM208" s="38" t="str">
        <f t="shared" si="734"/>
        <v/>
      </c>
      <c r="BN208" s="38" t="str">
        <f t="shared" si="734"/>
        <v/>
      </c>
      <c r="BO208" s="38" t="str">
        <f t="shared" si="734"/>
        <v/>
      </c>
      <c r="BP208" s="38" t="str">
        <f t="shared" si="734"/>
        <v/>
      </c>
      <c r="BQ208" s="38" t="str">
        <f t="shared" si="734"/>
        <v/>
      </c>
      <c r="BR208" s="38" t="str">
        <f t="shared" si="734"/>
        <v/>
      </c>
      <c r="BS208" s="38" t="str">
        <f t="shared" si="734"/>
        <v/>
      </c>
      <c r="BT208" s="38" t="str">
        <f t="shared" si="734"/>
        <v/>
      </c>
      <c r="BU208" s="38" t="str">
        <f t="shared" si="734"/>
        <v/>
      </c>
      <c r="BV208" s="38" t="str">
        <f t="shared" si="734"/>
        <v/>
      </c>
      <c r="BW208" s="38" t="str">
        <f t="shared" si="734"/>
        <v/>
      </c>
      <c r="BX208" s="38" t="str">
        <f t="shared" si="734"/>
        <v/>
      </c>
      <c r="BY208" s="38" t="str">
        <f t="shared" ref="BY208:EJ208" si="735">IF(BY195="","",BY79)</f>
        <v/>
      </c>
      <c r="BZ208" s="38" t="str">
        <f t="shared" si="735"/>
        <v/>
      </c>
      <c r="CA208" s="38" t="str">
        <f t="shared" si="735"/>
        <v/>
      </c>
      <c r="CB208" s="38" t="str">
        <f t="shared" si="735"/>
        <v/>
      </c>
      <c r="CC208" s="38" t="str">
        <f t="shared" si="735"/>
        <v/>
      </c>
      <c r="CD208" s="38" t="str">
        <f t="shared" si="735"/>
        <v/>
      </c>
      <c r="CE208" s="38" t="str">
        <f t="shared" si="735"/>
        <v/>
      </c>
      <c r="CF208" s="38" t="str">
        <f t="shared" si="735"/>
        <v/>
      </c>
      <c r="CG208" s="38" t="str">
        <f t="shared" si="735"/>
        <v/>
      </c>
      <c r="CH208" s="38" t="str">
        <f t="shared" si="735"/>
        <v/>
      </c>
      <c r="CI208" s="38" t="str">
        <f t="shared" si="735"/>
        <v/>
      </c>
      <c r="CJ208" s="38" t="str">
        <f t="shared" si="735"/>
        <v/>
      </c>
      <c r="CK208" s="38" t="str">
        <f t="shared" si="735"/>
        <v/>
      </c>
      <c r="CL208" s="38" t="str">
        <f t="shared" si="735"/>
        <v/>
      </c>
      <c r="CM208" s="38" t="str">
        <f t="shared" si="735"/>
        <v/>
      </c>
      <c r="CN208" s="38" t="str">
        <f t="shared" si="735"/>
        <v/>
      </c>
      <c r="CO208" s="38" t="str">
        <f t="shared" si="735"/>
        <v/>
      </c>
      <c r="CP208" s="38" t="str">
        <f t="shared" si="735"/>
        <v/>
      </c>
      <c r="CQ208" s="38" t="str">
        <f t="shared" si="735"/>
        <v/>
      </c>
      <c r="CR208" s="38" t="str">
        <f t="shared" si="735"/>
        <v/>
      </c>
      <c r="CS208" s="38" t="str">
        <f t="shared" si="735"/>
        <v/>
      </c>
      <c r="CT208" s="38" t="str">
        <f t="shared" si="735"/>
        <v/>
      </c>
      <c r="CU208" s="38" t="str">
        <f t="shared" si="735"/>
        <v/>
      </c>
      <c r="CV208" s="38" t="str">
        <f t="shared" si="735"/>
        <v/>
      </c>
      <c r="CW208" s="38" t="str">
        <f t="shared" si="735"/>
        <v/>
      </c>
      <c r="CX208" s="38" t="str">
        <f t="shared" si="735"/>
        <v/>
      </c>
      <c r="CY208" s="38" t="str">
        <f t="shared" si="735"/>
        <v/>
      </c>
      <c r="CZ208" s="38" t="str">
        <f t="shared" si="735"/>
        <v/>
      </c>
      <c r="DA208" s="38" t="str">
        <f t="shared" si="735"/>
        <v/>
      </c>
      <c r="DB208" s="38" t="str">
        <f t="shared" si="735"/>
        <v/>
      </c>
      <c r="DC208" s="38" t="str">
        <f t="shared" si="735"/>
        <v/>
      </c>
      <c r="DD208" s="38" t="str">
        <f t="shared" si="735"/>
        <v/>
      </c>
      <c r="DE208" s="38" t="str">
        <f t="shared" si="735"/>
        <v/>
      </c>
      <c r="DF208" s="38" t="str">
        <f t="shared" si="735"/>
        <v/>
      </c>
      <c r="DG208" s="38" t="str">
        <f t="shared" si="735"/>
        <v/>
      </c>
      <c r="DH208" s="38" t="str">
        <f t="shared" si="735"/>
        <v/>
      </c>
      <c r="DI208" s="38" t="str">
        <f t="shared" si="735"/>
        <v/>
      </c>
      <c r="DJ208" s="38" t="str">
        <f t="shared" si="735"/>
        <v/>
      </c>
      <c r="DK208" s="38" t="str">
        <f t="shared" si="735"/>
        <v/>
      </c>
      <c r="DL208" s="38" t="str">
        <f t="shared" si="735"/>
        <v/>
      </c>
      <c r="DM208" s="38" t="str">
        <f t="shared" si="735"/>
        <v/>
      </c>
      <c r="DN208" s="38" t="str">
        <f t="shared" si="735"/>
        <v/>
      </c>
      <c r="DO208" s="38" t="str">
        <f t="shared" si="735"/>
        <v/>
      </c>
      <c r="DP208" s="38" t="str">
        <f t="shared" si="735"/>
        <v/>
      </c>
      <c r="DQ208" s="38" t="str">
        <f t="shared" si="735"/>
        <v/>
      </c>
      <c r="DR208" s="38" t="str">
        <f t="shared" si="735"/>
        <v/>
      </c>
      <c r="DS208" s="38" t="str">
        <f t="shared" si="735"/>
        <v/>
      </c>
      <c r="DT208" s="38" t="str">
        <f t="shared" si="735"/>
        <v/>
      </c>
      <c r="DU208" s="38" t="str">
        <f t="shared" si="735"/>
        <v/>
      </c>
      <c r="DV208" s="38" t="str">
        <f t="shared" si="735"/>
        <v/>
      </c>
      <c r="DW208" s="38" t="str">
        <f t="shared" si="735"/>
        <v/>
      </c>
      <c r="DX208" s="38" t="str">
        <f t="shared" si="735"/>
        <v/>
      </c>
      <c r="DY208" s="38" t="str">
        <f t="shared" si="735"/>
        <v/>
      </c>
      <c r="DZ208" s="38" t="str">
        <f t="shared" si="735"/>
        <v/>
      </c>
      <c r="EA208" s="38" t="str">
        <f t="shared" si="735"/>
        <v/>
      </c>
      <c r="EB208" s="38" t="str">
        <f t="shared" si="735"/>
        <v/>
      </c>
      <c r="EC208" s="38" t="str">
        <f t="shared" si="735"/>
        <v/>
      </c>
      <c r="ED208" s="38" t="str">
        <f t="shared" si="735"/>
        <v/>
      </c>
      <c r="EE208" s="38" t="str">
        <f t="shared" si="735"/>
        <v/>
      </c>
      <c r="EF208" s="38" t="str">
        <f t="shared" si="735"/>
        <v/>
      </c>
      <c r="EG208" s="38" t="str">
        <f t="shared" si="735"/>
        <v/>
      </c>
      <c r="EH208" s="38" t="str">
        <f t="shared" si="735"/>
        <v/>
      </c>
      <c r="EI208" s="38" t="str">
        <f t="shared" si="735"/>
        <v/>
      </c>
      <c r="EJ208" s="38" t="str">
        <f t="shared" si="735"/>
        <v/>
      </c>
      <c r="EK208" s="38" t="str">
        <f t="shared" ref="EK208:EN208" si="736">IF(EK195="","",EK79)</f>
        <v/>
      </c>
      <c r="EL208" s="38" t="str">
        <f t="shared" si="736"/>
        <v/>
      </c>
      <c r="EM208" s="38" t="str">
        <f t="shared" si="736"/>
        <v/>
      </c>
      <c r="EN208" s="38" t="str">
        <f t="shared" si="736"/>
        <v/>
      </c>
      <c r="EP208" s="37" t="s">
        <v>660</v>
      </c>
      <c r="EQ208" s="79" t="b">
        <f>AND(H233&lt;H228,D233="Yes")</f>
        <v>0</v>
      </c>
      <c r="ER208" s="24"/>
      <c r="ES208" s="24"/>
      <c r="ET208" s="33" t="s">
        <v>657</v>
      </c>
      <c r="EU208" s="33"/>
      <c r="EV208" s="225">
        <f t="shared" ref="EV208:GA208" ca="1" si="737">(EV$197&lt;=Timing_Reversion_Month)*(IF(CU?,MAX(MIN(EV196-EV202,EV205+EV206+EV207),0),EV202/$I$233*$H$233))</f>
        <v>0</v>
      </c>
      <c r="EW208" s="225">
        <f t="shared" ca="1" si="737"/>
        <v>0</v>
      </c>
      <c r="EX208" s="225">
        <f t="shared" ca="1" si="737"/>
        <v>0</v>
      </c>
      <c r="EY208" s="225">
        <f t="shared" ca="1" si="737"/>
        <v>0</v>
      </c>
      <c r="EZ208" s="225">
        <f t="shared" ca="1" si="737"/>
        <v>0</v>
      </c>
      <c r="FA208" s="225">
        <f t="shared" ca="1" si="737"/>
        <v>0</v>
      </c>
      <c r="FB208" s="225">
        <f t="shared" ca="1" si="737"/>
        <v>0</v>
      </c>
      <c r="FC208" s="225">
        <f t="shared" ca="1" si="737"/>
        <v>0</v>
      </c>
      <c r="FD208" s="225">
        <f t="shared" ca="1" si="737"/>
        <v>0</v>
      </c>
      <c r="FE208" s="225">
        <f t="shared" ca="1" si="737"/>
        <v>0</v>
      </c>
      <c r="FF208" s="225">
        <f t="shared" ca="1" si="737"/>
        <v>0</v>
      </c>
      <c r="FG208" s="225">
        <f t="shared" ca="1" si="737"/>
        <v>0</v>
      </c>
      <c r="FH208" s="225">
        <f t="shared" ca="1" si="737"/>
        <v>0</v>
      </c>
      <c r="FI208" s="225">
        <f t="shared" ca="1" si="737"/>
        <v>0</v>
      </c>
      <c r="FJ208" s="225">
        <f t="shared" ca="1" si="737"/>
        <v>0</v>
      </c>
      <c r="FK208" s="225">
        <f t="shared" ca="1" si="737"/>
        <v>0</v>
      </c>
      <c r="FL208" s="225">
        <f t="shared" ca="1" si="737"/>
        <v>0</v>
      </c>
      <c r="FM208" s="225">
        <f t="shared" ca="1" si="737"/>
        <v>0</v>
      </c>
      <c r="FN208" s="225">
        <f t="shared" ca="1" si="737"/>
        <v>0</v>
      </c>
      <c r="FO208" s="225">
        <f t="shared" ca="1" si="737"/>
        <v>0</v>
      </c>
      <c r="FP208" s="225">
        <f t="shared" ca="1" si="737"/>
        <v>7.2759576141834263E-13</v>
      </c>
      <c r="FQ208" s="225">
        <f t="shared" ca="1" si="737"/>
        <v>0</v>
      </c>
      <c r="FR208" s="225">
        <f t="shared" ca="1" si="737"/>
        <v>0</v>
      </c>
      <c r="FS208" s="225">
        <f t="shared" ca="1" si="737"/>
        <v>4.5474735088646412E-13</v>
      </c>
      <c r="FT208" s="225">
        <f t="shared" ca="1" si="737"/>
        <v>0</v>
      </c>
      <c r="FU208" s="225">
        <f t="shared" ca="1" si="737"/>
        <v>0</v>
      </c>
      <c r="FV208" s="225">
        <f t="shared" ca="1" si="737"/>
        <v>0</v>
      </c>
      <c r="FW208" s="225">
        <f t="shared" ca="1" si="737"/>
        <v>0</v>
      </c>
      <c r="FX208" s="225">
        <f t="shared" ca="1" si="737"/>
        <v>0</v>
      </c>
      <c r="FY208" s="225">
        <f t="shared" ca="1" si="737"/>
        <v>0</v>
      </c>
      <c r="FZ208" s="225">
        <f t="shared" ca="1" si="737"/>
        <v>104.87460674741452</v>
      </c>
      <c r="GA208" s="225">
        <f t="shared" ca="1" si="737"/>
        <v>915.28871061622203</v>
      </c>
      <c r="GB208" s="225">
        <f t="shared" ref="GB208:HG208" ca="1" si="738">(GB$197&lt;=Timing_Reversion_Month)*(IF(CU?,MAX(MIN(GB196-GB202,GB205+GB206+GB207),0),GB202/$I$233*$H$233))</f>
        <v>2525.9869903900021</v>
      </c>
      <c r="GC208" s="225">
        <f t="shared" ca="1" si="738"/>
        <v>4480.4191624884261</v>
      </c>
      <c r="GD208" s="225">
        <f t="shared" ca="1" si="738"/>
        <v>4535.9510562384276</v>
      </c>
      <c r="GE208" s="225">
        <f t="shared" ca="1" si="738"/>
        <v>4591.4829499884281</v>
      </c>
      <c r="GF208" s="225">
        <f t="shared" ca="1" si="738"/>
        <v>4647.0148437384287</v>
      </c>
      <c r="GG208" s="225">
        <f t="shared" ca="1" si="738"/>
        <v>4702.5467374884265</v>
      </c>
      <c r="GH208" s="225">
        <f t="shared" ca="1" si="738"/>
        <v>4758.0786312384244</v>
      </c>
      <c r="GI208" s="225">
        <f t="shared" ca="1" si="738"/>
        <v>4813.6105249884276</v>
      </c>
      <c r="GJ208" s="225">
        <f t="shared" ca="1" si="738"/>
        <v>4869.1424187384255</v>
      </c>
      <c r="GK208" s="225">
        <f t="shared" ca="1" si="738"/>
        <v>4924.674312488426</v>
      </c>
      <c r="GL208" s="225">
        <f t="shared" ca="1" si="738"/>
        <v>4980.2062062384275</v>
      </c>
      <c r="GM208" s="225">
        <f t="shared" ca="1" si="738"/>
        <v>4350.0554704041251</v>
      </c>
      <c r="GN208" s="225">
        <f t="shared" ca="1" si="738"/>
        <v>4407.2533209666235</v>
      </c>
      <c r="GO208" s="225">
        <f t="shared" ca="1" si="738"/>
        <v>921895.3697006515</v>
      </c>
      <c r="GP208" s="225">
        <f t="shared" ca="1" si="738"/>
        <v>0</v>
      </c>
      <c r="GQ208" s="225">
        <f t="shared" ca="1" si="738"/>
        <v>0</v>
      </c>
      <c r="GR208" s="225">
        <f t="shared" ca="1" si="738"/>
        <v>0</v>
      </c>
      <c r="GS208" s="225">
        <f t="shared" ca="1" si="738"/>
        <v>0</v>
      </c>
      <c r="GT208" s="225">
        <f t="shared" ca="1" si="738"/>
        <v>0</v>
      </c>
      <c r="GU208" s="225">
        <f t="shared" ca="1" si="738"/>
        <v>0</v>
      </c>
      <c r="GV208" s="225">
        <f t="shared" ca="1" si="738"/>
        <v>0</v>
      </c>
      <c r="GW208" s="225">
        <f t="shared" ca="1" si="738"/>
        <v>0</v>
      </c>
      <c r="GX208" s="225">
        <f t="shared" ca="1" si="738"/>
        <v>0</v>
      </c>
      <c r="GY208" s="225">
        <f t="shared" ca="1" si="738"/>
        <v>0</v>
      </c>
      <c r="GZ208" s="225">
        <f t="shared" ca="1" si="738"/>
        <v>0</v>
      </c>
      <c r="HA208" s="225">
        <f t="shared" ca="1" si="738"/>
        <v>0</v>
      </c>
      <c r="HB208" s="225">
        <f t="shared" ca="1" si="738"/>
        <v>0</v>
      </c>
      <c r="HC208" s="225">
        <f t="shared" ca="1" si="738"/>
        <v>0</v>
      </c>
      <c r="HD208" s="225">
        <f t="shared" ca="1" si="738"/>
        <v>0</v>
      </c>
      <c r="HE208" s="225">
        <f t="shared" ca="1" si="738"/>
        <v>0</v>
      </c>
      <c r="HF208" s="225">
        <f t="shared" ca="1" si="738"/>
        <v>0</v>
      </c>
      <c r="HG208" s="225">
        <f t="shared" ca="1" si="738"/>
        <v>0</v>
      </c>
      <c r="HH208" s="225">
        <f t="shared" ref="HH208:IM208" ca="1" si="739">(HH$197&lt;=Timing_Reversion_Month)*(IF(CU?,MAX(MIN(HH196-HH202,HH205+HH206+HH207),0),HH202/$I$233*$H$233))</f>
        <v>0</v>
      </c>
      <c r="HI208" s="225">
        <f t="shared" ca="1" si="739"/>
        <v>0</v>
      </c>
      <c r="HJ208" s="225">
        <f t="shared" ca="1" si="739"/>
        <v>0</v>
      </c>
      <c r="HK208" s="225">
        <f t="shared" ca="1" si="739"/>
        <v>0</v>
      </c>
      <c r="HL208" s="225">
        <f t="shared" ca="1" si="739"/>
        <v>0</v>
      </c>
      <c r="HM208" s="225">
        <f t="shared" ca="1" si="739"/>
        <v>0</v>
      </c>
      <c r="HN208" s="225">
        <f t="shared" ca="1" si="739"/>
        <v>0</v>
      </c>
      <c r="HO208" s="225">
        <f t="shared" ca="1" si="739"/>
        <v>0</v>
      </c>
      <c r="HP208" s="225">
        <f t="shared" ca="1" si="739"/>
        <v>0</v>
      </c>
      <c r="HQ208" s="225">
        <f t="shared" ca="1" si="739"/>
        <v>0</v>
      </c>
      <c r="HR208" s="225">
        <f t="shared" ca="1" si="739"/>
        <v>0</v>
      </c>
      <c r="HS208" s="225">
        <f t="shared" ca="1" si="739"/>
        <v>0</v>
      </c>
      <c r="HT208" s="225">
        <f t="shared" ca="1" si="739"/>
        <v>0</v>
      </c>
      <c r="HU208" s="225">
        <f t="shared" ca="1" si="739"/>
        <v>0</v>
      </c>
      <c r="HV208" s="225">
        <f t="shared" ca="1" si="739"/>
        <v>0</v>
      </c>
      <c r="HW208" s="225">
        <f t="shared" ca="1" si="739"/>
        <v>0</v>
      </c>
      <c r="HX208" s="225">
        <f t="shared" ca="1" si="739"/>
        <v>0</v>
      </c>
      <c r="HY208" s="225">
        <f t="shared" ca="1" si="739"/>
        <v>0</v>
      </c>
      <c r="HZ208" s="225">
        <f t="shared" ca="1" si="739"/>
        <v>0</v>
      </c>
      <c r="IA208" s="225">
        <f t="shared" ca="1" si="739"/>
        <v>0</v>
      </c>
      <c r="IB208" s="225">
        <f t="shared" ca="1" si="739"/>
        <v>0</v>
      </c>
      <c r="IC208" s="225">
        <f t="shared" ca="1" si="739"/>
        <v>0</v>
      </c>
      <c r="ID208" s="225">
        <f t="shared" ca="1" si="739"/>
        <v>0</v>
      </c>
      <c r="IE208" s="225">
        <f t="shared" ca="1" si="739"/>
        <v>0</v>
      </c>
      <c r="IF208" s="225">
        <f t="shared" ca="1" si="739"/>
        <v>0</v>
      </c>
      <c r="IG208" s="225">
        <f t="shared" ca="1" si="739"/>
        <v>0</v>
      </c>
      <c r="IH208" s="225">
        <f t="shared" ca="1" si="739"/>
        <v>0</v>
      </c>
      <c r="II208" s="225">
        <f t="shared" ca="1" si="739"/>
        <v>0</v>
      </c>
      <c r="IJ208" s="225">
        <f t="shared" ca="1" si="739"/>
        <v>0</v>
      </c>
      <c r="IK208" s="225">
        <f t="shared" ca="1" si="739"/>
        <v>0</v>
      </c>
      <c r="IL208" s="225">
        <f t="shared" ca="1" si="739"/>
        <v>0</v>
      </c>
      <c r="IM208" s="225">
        <f t="shared" ca="1" si="739"/>
        <v>0</v>
      </c>
      <c r="IN208" s="225">
        <f t="shared" ref="IN208:JS208" ca="1" si="740">(IN$197&lt;=Timing_Reversion_Month)*(IF(CU?,MAX(MIN(IN196-IN202,IN205+IN206+IN207),0),IN202/$I$233*$H$233))</f>
        <v>0</v>
      </c>
      <c r="IO208" s="225">
        <f t="shared" ca="1" si="740"/>
        <v>0</v>
      </c>
      <c r="IP208" s="225">
        <f t="shared" ca="1" si="740"/>
        <v>0</v>
      </c>
      <c r="IQ208" s="225">
        <f t="shared" ca="1" si="740"/>
        <v>0</v>
      </c>
      <c r="IR208" s="225">
        <f t="shared" ca="1" si="740"/>
        <v>0</v>
      </c>
      <c r="IS208" s="225">
        <f t="shared" ca="1" si="740"/>
        <v>0</v>
      </c>
      <c r="IT208" s="225">
        <f t="shared" ca="1" si="740"/>
        <v>0</v>
      </c>
      <c r="IU208" s="225">
        <f t="shared" ca="1" si="740"/>
        <v>0</v>
      </c>
      <c r="IV208" s="225">
        <f t="shared" ca="1" si="740"/>
        <v>0</v>
      </c>
      <c r="IW208" s="225">
        <f t="shared" ca="1" si="740"/>
        <v>0</v>
      </c>
      <c r="IX208" s="225">
        <f t="shared" ca="1" si="740"/>
        <v>0</v>
      </c>
      <c r="IY208" s="225">
        <f t="shared" ca="1" si="740"/>
        <v>0</v>
      </c>
      <c r="IZ208" s="225">
        <f t="shared" ca="1" si="740"/>
        <v>0</v>
      </c>
      <c r="JA208" s="225">
        <f t="shared" ca="1" si="740"/>
        <v>0</v>
      </c>
      <c r="JB208" s="225">
        <f t="shared" ca="1" si="740"/>
        <v>0</v>
      </c>
      <c r="JC208" s="225">
        <f t="shared" ca="1" si="740"/>
        <v>0</v>
      </c>
      <c r="JD208" s="225">
        <f t="shared" ca="1" si="740"/>
        <v>0</v>
      </c>
      <c r="JE208" s="225">
        <f t="shared" ca="1" si="740"/>
        <v>0</v>
      </c>
      <c r="JF208" s="225">
        <f t="shared" ca="1" si="740"/>
        <v>0</v>
      </c>
      <c r="JG208" s="225">
        <f t="shared" ca="1" si="740"/>
        <v>0</v>
      </c>
      <c r="JH208" s="225">
        <f t="shared" ca="1" si="740"/>
        <v>0</v>
      </c>
      <c r="JI208" s="225">
        <f t="shared" ca="1" si="740"/>
        <v>0</v>
      </c>
      <c r="JJ208" s="225">
        <f t="shared" ca="1" si="740"/>
        <v>0</v>
      </c>
      <c r="JK208" s="225">
        <f t="shared" ca="1" si="740"/>
        <v>0</v>
      </c>
      <c r="JL208" s="225">
        <f t="shared" ca="1" si="740"/>
        <v>0</v>
      </c>
      <c r="JM208" s="225">
        <f t="shared" ca="1" si="740"/>
        <v>0</v>
      </c>
      <c r="JN208" s="225">
        <f t="shared" ca="1" si="740"/>
        <v>0</v>
      </c>
      <c r="JO208" s="225">
        <f t="shared" ca="1" si="740"/>
        <v>0</v>
      </c>
      <c r="JP208" s="225">
        <f t="shared" ca="1" si="740"/>
        <v>0</v>
      </c>
      <c r="JQ208" s="225">
        <f t="shared" ca="1" si="740"/>
        <v>0</v>
      </c>
      <c r="JR208" s="225">
        <f t="shared" ca="1" si="740"/>
        <v>0</v>
      </c>
      <c r="JS208" s="225">
        <f t="shared" ca="1" si="740"/>
        <v>0</v>
      </c>
      <c r="JT208" s="225">
        <f t="shared" ref="JT208:JX208" ca="1" si="741">(JT$197&lt;=Timing_Reversion_Month)*(IF(CU?,MAX(MIN(JT196-JT202,JT205+JT206+JT207),0),JT202/$I$233*$H$233))</f>
        <v>0</v>
      </c>
      <c r="JU208" s="225">
        <f t="shared" ca="1" si="741"/>
        <v>0</v>
      </c>
      <c r="JV208" s="225">
        <f t="shared" ca="1" si="741"/>
        <v>0</v>
      </c>
      <c r="JW208" s="225">
        <f t="shared" ca="1" si="741"/>
        <v>0</v>
      </c>
      <c r="JX208" s="225">
        <f t="shared" ca="1" si="741"/>
        <v>0</v>
      </c>
    </row>
    <row r="209" spans="1:284" s="7" customFormat="1" x14ac:dyDescent="0.2">
      <c r="A209" s="406"/>
      <c r="B209" s="92" t="s">
        <v>633</v>
      </c>
      <c r="C209" s="120"/>
      <c r="D209" s="120"/>
      <c r="E209" s="120"/>
      <c r="F209" s="120"/>
      <c r="G209" s="120"/>
      <c r="H209" s="123"/>
      <c r="I209" s="123">
        <f ca="1">SUM(I206:I208)+I201</f>
        <v>22183049.73422005</v>
      </c>
      <c r="L209" s="38">
        <f ca="1">IF(L195="","",SUM(L206:L207))</f>
        <v>0</v>
      </c>
      <c r="M209" s="38">
        <f t="shared" ref="M209:BX209" ca="1" si="742">IF(M195="","",SUM(M206:M207))</f>
        <v>0</v>
      </c>
      <c r="N209" s="38">
        <f t="shared" ca="1" si="742"/>
        <v>0</v>
      </c>
      <c r="O209" s="38">
        <f t="shared" ca="1" si="742"/>
        <v>0</v>
      </c>
      <c r="P209" s="38">
        <f t="shared" ca="1" si="742"/>
        <v>0</v>
      </c>
      <c r="Q209" s="38">
        <f t="shared" ca="1" si="742"/>
        <v>0</v>
      </c>
      <c r="R209" s="38">
        <f t="shared" ca="1" si="742"/>
        <v>0</v>
      </c>
      <c r="S209" s="38">
        <f t="shared" ca="1" si="742"/>
        <v>0</v>
      </c>
      <c r="T209" s="38">
        <f t="shared" ca="1" si="742"/>
        <v>0</v>
      </c>
      <c r="U209" s="38">
        <f t="shared" ca="1" si="742"/>
        <v>0</v>
      </c>
      <c r="V209" s="38">
        <f t="shared" ca="1" si="742"/>
        <v>0</v>
      </c>
      <c r="W209" s="38">
        <f t="shared" ca="1" si="742"/>
        <v>0</v>
      </c>
      <c r="X209" s="38">
        <f t="shared" ca="1" si="742"/>
        <v>0</v>
      </c>
      <c r="Y209" s="38">
        <f t="shared" ca="1" si="742"/>
        <v>0</v>
      </c>
      <c r="Z209" s="38">
        <f t="shared" ca="1" si="742"/>
        <v>0</v>
      </c>
      <c r="AA209" s="38">
        <f t="shared" ca="1" si="742"/>
        <v>0</v>
      </c>
      <c r="AB209" s="38">
        <f t="shared" ca="1" si="742"/>
        <v>0</v>
      </c>
      <c r="AC209" s="38">
        <f t="shared" ca="1" si="742"/>
        <v>0</v>
      </c>
      <c r="AD209" s="38">
        <f t="shared" ca="1" si="742"/>
        <v>0</v>
      </c>
      <c r="AE209" s="38">
        <f t="shared" ca="1" si="742"/>
        <v>0</v>
      </c>
      <c r="AF209" s="38">
        <f t="shared" ca="1" si="742"/>
        <v>0</v>
      </c>
      <c r="AG209" s="38">
        <f t="shared" ca="1" si="742"/>
        <v>0</v>
      </c>
      <c r="AH209" s="38">
        <f t="shared" ca="1" si="742"/>
        <v>0</v>
      </c>
      <c r="AI209" s="38">
        <f t="shared" ca="1" si="742"/>
        <v>0</v>
      </c>
      <c r="AJ209" s="38">
        <f t="shared" ca="1" si="742"/>
        <v>0</v>
      </c>
      <c r="AK209" s="38">
        <f t="shared" ca="1" si="742"/>
        <v>0</v>
      </c>
      <c r="AL209" s="38">
        <f t="shared" ca="1" si="742"/>
        <v>0</v>
      </c>
      <c r="AM209" s="38">
        <f t="shared" ca="1" si="742"/>
        <v>0</v>
      </c>
      <c r="AN209" s="38">
        <f t="shared" ca="1" si="742"/>
        <v>0</v>
      </c>
      <c r="AO209" s="38">
        <f t="shared" ca="1" si="742"/>
        <v>0</v>
      </c>
      <c r="AP209" s="38">
        <f t="shared" ca="1" si="742"/>
        <v>0</v>
      </c>
      <c r="AQ209" s="38">
        <f t="shared" ca="1" si="742"/>
        <v>0</v>
      </c>
      <c r="AR209" s="38">
        <f t="shared" ca="1" si="742"/>
        <v>0</v>
      </c>
      <c r="AS209" s="38">
        <f t="shared" ca="1" si="742"/>
        <v>0</v>
      </c>
      <c r="AT209" s="38">
        <f t="shared" ca="1" si="742"/>
        <v>0</v>
      </c>
      <c r="AU209" s="38">
        <f t="shared" ca="1" si="742"/>
        <v>0</v>
      </c>
      <c r="AV209" s="38">
        <f t="shared" ca="1" si="742"/>
        <v>0</v>
      </c>
      <c r="AW209" s="38">
        <f t="shared" ca="1" si="742"/>
        <v>0</v>
      </c>
      <c r="AX209" s="38">
        <f t="shared" ca="1" si="742"/>
        <v>0</v>
      </c>
      <c r="AY209" s="38">
        <f t="shared" ca="1" si="742"/>
        <v>0</v>
      </c>
      <c r="AZ209" s="38">
        <f t="shared" ca="1" si="742"/>
        <v>0</v>
      </c>
      <c r="BA209" s="38">
        <f t="shared" ca="1" si="742"/>
        <v>0</v>
      </c>
      <c r="BB209" s="38">
        <f t="shared" ca="1" si="742"/>
        <v>0</v>
      </c>
      <c r="BC209" s="38">
        <f t="shared" ca="1" si="742"/>
        <v>0</v>
      </c>
      <c r="BD209" s="38">
        <f t="shared" ca="1" si="742"/>
        <v>0</v>
      </c>
      <c r="BE209" s="38">
        <f t="shared" ca="1" si="742"/>
        <v>22183049.73422005</v>
      </c>
      <c r="BF209" s="38" t="str">
        <f t="shared" si="742"/>
        <v/>
      </c>
      <c r="BG209" s="38" t="str">
        <f t="shared" si="742"/>
        <v/>
      </c>
      <c r="BH209" s="38" t="str">
        <f t="shared" si="742"/>
        <v/>
      </c>
      <c r="BI209" s="38" t="str">
        <f t="shared" si="742"/>
        <v/>
      </c>
      <c r="BJ209" s="38" t="str">
        <f t="shared" si="742"/>
        <v/>
      </c>
      <c r="BK209" s="38" t="str">
        <f t="shared" si="742"/>
        <v/>
      </c>
      <c r="BL209" s="38" t="str">
        <f t="shared" si="742"/>
        <v/>
      </c>
      <c r="BM209" s="38" t="str">
        <f t="shared" si="742"/>
        <v/>
      </c>
      <c r="BN209" s="38" t="str">
        <f t="shared" si="742"/>
        <v/>
      </c>
      <c r="BO209" s="38" t="str">
        <f t="shared" si="742"/>
        <v/>
      </c>
      <c r="BP209" s="38" t="str">
        <f t="shared" si="742"/>
        <v/>
      </c>
      <c r="BQ209" s="38" t="str">
        <f t="shared" si="742"/>
        <v/>
      </c>
      <c r="BR209" s="38" t="str">
        <f t="shared" si="742"/>
        <v/>
      </c>
      <c r="BS209" s="38" t="str">
        <f t="shared" si="742"/>
        <v/>
      </c>
      <c r="BT209" s="38" t="str">
        <f t="shared" si="742"/>
        <v/>
      </c>
      <c r="BU209" s="38" t="str">
        <f t="shared" si="742"/>
        <v/>
      </c>
      <c r="BV209" s="38" t="str">
        <f t="shared" si="742"/>
        <v/>
      </c>
      <c r="BW209" s="38" t="str">
        <f t="shared" si="742"/>
        <v/>
      </c>
      <c r="BX209" s="38" t="str">
        <f t="shared" si="742"/>
        <v/>
      </c>
      <c r="BY209" s="38" t="str">
        <f t="shared" ref="BY209:EJ209" si="743">IF(BY195="","",SUM(BY206:BY207))</f>
        <v/>
      </c>
      <c r="BZ209" s="38" t="str">
        <f t="shared" si="743"/>
        <v/>
      </c>
      <c r="CA209" s="38" t="str">
        <f t="shared" si="743"/>
        <v/>
      </c>
      <c r="CB209" s="38" t="str">
        <f t="shared" si="743"/>
        <v/>
      </c>
      <c r="CC209" s="38" t="str">
        <f t="shared" si="743"/>
        <v/>
      </c>
      <c r="CD209" s="38" t="str">
        <f t="shared" si="743"/>
        <v/>
      </c>
      <c r="CE209" s="38" t="str">
        <f t="shared" si="743"/>
        <v/>
      </c>
      <c r="CF209" s="38" t="str">
        <f t="shared" si="743"/>
        <v/>
      </c>
      <c r="CG209" s="38" t="str">
        <f t="shared" si="743"/>
        <v/>
      </c>
      <c r="CH209" s="38" t="str">
        <f t="shared" si="743"/>
        <v/>
      </c>
      <c r="CI209" s="38" t="str">
        <f t="shared" si="743"/>
        <v/>
      </c>
      <c r="CJ209" s="38" t="str">
        <f t="shared" si="743"/>
        <v/>
      </c>
      <c r="CK209" s="38" t="str">
        <f t="shared" si="743"/>
        <v/>
      </c>
      <c r="CL209" s="38" t="str">
        <f t="shared" si="743"/>
        <v/>
      </c>
      <c r="CM209" s="38" t="str">
        <f t="shared" si="743"/>
        <v/>
      </c>
      <c r="CN209" s="38" t="str">
        <f t="shared" si="743"/>
        <v/>
      </c>
      <c r="CO209" s="38" t="str">
        <f t="shared" si="743"/>
        <v/>
      </c>
      <c r="CP209" s="38" t="str">
        <f t="shared" si="743"/>
        <v/>
      </c>
      <c r="CQ209" s="38" t="str">
        <f t="shared" si="743"/>
        <v/>
      </c>
      <c r="CR209" s="38" t="str">
        <f t="shared" si="743"/>
        <v/>
      </c>
      <c r="CS209" s="38" t="str">
        <f t="shared" si="743"/>
        <v/>
      </c>
      <c r="CT209" s="38" t="str">
        <f t="shared" si="743"/>
        <v/>
      </c>
      <c r="CU209" s="38" t="str">
        <f t="shared" si="743"/>
        <v/>
      </c>
      <c r="CV209" s="38" t="str">
        <f t="shared" si="743"/>
        <v/>
      </c>
      <c r="CW209" s="38" t="str">
        <f t="shared" si="743"/>
        <v/>
      </c>
      <c r="CX209" s="38" t="str">
        <f t="shared" si="743"/>
        <v/>
      </c>
      <c r="CY209" s="38" t="str">
        <f t="shared" si="743"/>
        <v/>
      </c>
      <c r="CZ209" s="38" t="str">
        <f t="shared" si="743"/>
        <v/>
      </c>
      <c r="DA209" s="38" t="str">
        <f t="shared" si="743"/>
        <v/>
      </c>
      <c r="DB209" s="38" t="str">
        <f t="shared" si="743"/>
        <v/>
      </c>
      <c r="DC209" s="38" t="str">
        <f t="shared" si="743"/>
        <v/>
      </c>
      <c r="DD209" s="38" t="str">
        <f t="shared" si="743"/>
        <v/>
      </c>
      <c r="DE209" s="38" t="str">
        <f t="shared" si="743"/>
        <v/>
      </c>
      <c r="DF209" s="38" t="str">
        <f t="shared" si="743"/>
        <v/>
      </c>
      <c r="DG209" s="38" t="str">
        <f t="shared" si="743"/>
        <v/>
      </c>
      <c r="DH209" s="38" t="str">
        <f t="shared" si="743"/>
        <v/>
      </c>
      <c r="DI209" s="38" t="str">
        <f t="shared" si="743"/>
        <v/>
      </c>
      <c r="DJ209" s="38" t="str">
        <f t="shared" si="743"/>
        <v/>
      </c>
      <c r="DK209" s="38" t="str">
        <f t="shared" si="743"/>
        <v/>
      </c>
      <c r="DL209" s="38" t="str">
        <f t="shared" si="743"/>
        <v/>
      </c>
      <c r="DM209" s="38" t="str">
        <f t="shared" si="743"/>
        <v/>
      </c>
      <c r="DN209" s="38" t="str">
        <f t="shared" si="743"/>
        <v/>
      </c>
      <c r="DO209" s="38" t="str">
        <f t="shared" si="743"/>
        <v/>
      </c>
      <c r="DP209" s="38" t="str">
        <f t="shared" si="743"/>
        <v/>
      </c>
      <c r="DQ209" s="38" t="str">
        <f t="shared" si="743"/>
        <v/>
      </c>
      <c r="DR209" s="38" t="str">
        <f t="shared" si="743"/>
        <v/>
      </c>
      <c r="DS209" s="38" t="str">
        <f t="shared" si="743"/>
        <v/>
      </c>
      <c r="DT209" s="38" t="str">
        <f t="shared" si="743"/>
        <v/>
      </c>
      <c r="DU209" s="38" t="str">
        <f t="shared" si="743"/>
        <v/>
      </c>
      <c r="DV209" s="38" t="str">
        <f t="shared" si="743"/>
        <v/>
      </c>
      <c r="DW209" s="38" t="str">
        <f t="shared" si="743"/>
        <v/>
      </c>
      <c r="DX209" s="38" t="str">
        <f t="shared" si="743"/>
        <v/>
      </c>
      <c r="DY209" s="38" t="str">
        <f t="shared" si="743"/>
        <v/>
      </c>
      <c r="DZ209" s="38" t="str">
        <f t="shared" si="743"/>
        <v/>
      </c>
      <c r="EA209" s="38" t="str">
        <f t="shared" si="743"/>
        <v/>
      </c>
      <c r="EB209" s="38" t="str">
        <f t="shared" si="743"/>
        <v/>
      </c>
      <c r="EC209" s="38" t="str">
        <f t="shared" si="743"/>
        <v/>
      </c>
      <c r="ED209" s="38" t="str">
        <f t="shared" si="743"/>
        <v/>
      </c>
      <c r="EE209" s="38" t="str">
        <f t="shared" si="743"/>
        <v/>
      </c>
      <c r="EF209" s="38" t="str">
        <f t="shared" si="743"/>
        <v/>
      </c>
      <c r="EG209" s="38" t="str">
        <f t="shared" si="743"/>
        <v/>
      </c>
      <c r="EH209" s="38" t="str">
        <f t="shared" si="743"/>
        <v/>
      </c>
      <c r="EI209" s="38" t="str">
        <f t="shared" si="743"/>
        <v/>
      </c>
      <c r="EJ209" s="38" t="str">
        <f t="shared" si="743"/>
        <v/>
      </c>
      <c r="EK209" s="38" t="str">
        <f>IF(EK195="","",SUM(EK206:EK207))</f>
        <v/>
      </c>
      <c r="EL209" s="38" t="str">
        <f>IF(EL195="","",SUM(EL206:EL207))</f>
        <v/>
      </c>
      <c r="EM209" s="38" t="str">
        <f>IF(EM195="","",SUM(EM206:EM207))</f>
        <v/>
      </c>
      <c r="EN209" s="38" t="str">
        <f>IF(EN195="","",SUM(EN206:EN207))</f>
        <v/>
      </c>
      <c r="EP209" s="37"/>
      <c r="EQ209" s="24"/>
      <c r="ER209" s="24"/>
      <c r="ES209" s="24"/>
      <c r="ET209" s="33" t="s">
        <v>656</v>
      </c>
      <c r="EU209" s="225"/>
      <c r="EV209" s="225">
        <f t="shared" ref="EV209:GA209" ca="1" si="744">(EV$197&lt;=Timing_Reversion_Month)*(EV205+EV206+EV207-EV208)</f>
        <v>187657.97638306464</v>
      </c>
      <c r="EW209" s="225">
        <f t="shared" ca="1" si="744"/>
        <v>210741.25990820536</v>
      </c>
      <c r="EX209" s="225">
        <f t="shared" ca="1" si="744"/>
        <v>242015.90109749441</v>
      </c>
      <c r="EY209" s="225">
        <f t="shared" ca="1" si="744"/>
        <v>289430.64712403266</v>
      </c>
      <c r="EZ209" s="225">
        <f t="shared" ca="1" si="744"/>
        <v>364907.71256953059</v>
      </c>
      <c r="FA209" s="225">
        <f t="shared" ca="1" si="744"/>
        <v>483019.20410827943</v>
      </c>
      <c r="FB209" s="225">
        <f t="shared" ca="1" si="744"/>
        <v>656993.39005825389</v>
      </c>
      <c r="FC209" s="225">
        <f t="shared" ca="1" si="744"/>
        <v>749408.86002497398</v>
      </c>
      <c r="FD209" s="225">
        <f t="shared" ca="1" si="744"/>
        <v>754810.09197515144</v>
      </c>
      <c r="FE209" s="225">
        <f t="shared" ca="1" si="744"/>
        <v>760250.25235029927</v>
      </c>
      <c r="FF209" s="225">
        <f t="shared" ca="1" si="744"/>
        <v>765729.62172016245</v>
      </c>
      <c r="FG209" s="225">
        <f t="shared" ca="1" si="744"/>
        <v>771248.48267664271</v>
      </c>
      <c r="FH209" s="225">
        <f t="shared" ca="1" si="744"/>
        <v>776807.11984837311</v>
      </c>
      <c r="FI209" s="225">
        <f t="shared" ca="1" si="744"/>
        <v>782405.81991539733</v>
      </c>
      <c r="FJ209" s="225">
        <f t="shared" ca="1" si="744"/>
        <v>788044.87162395462</v>
      </c>
      <c r="FK209" s="225">
        <f t="shared" ca="1" si="744"/>
        <v>793724.56580137194</v>
      </c>
      <c r="FL209" s="225">
        <f t="shared" ca="1" si="744"/>
        <v>799445.19537106261</v>
      </c>
      <c r="FM209" s="225">
        <f t="shared" ca="1" si="744"/>
        <v>805207.05536763393</v>
      </c>
      <c r="FN209" s="225">
        <f t="shared" ca="1" si="744"/>
        <v>811010.44295210287</v>
      </c>
      <c r="FO209" s="225">
        <f t="shared" ca="1" si="744"/>
        <v>816855.65742722189</v>
      </c>
      <c r="FP209" s="225">
        <f t="shared" ca="1" si="744"/>
        <v>822743.00025291531</v>
      </c>
      <c r="FQ209" s="225">
        <f t="shared" ca="1" si="744"/>
        <v>828672.77506182645</v>
      </c>
      <c r="FR209" s="225">
        <f t="shared" ca="1" si="744"/>
        <v>834645.28767497733</v>
      </c>
      <c r="FS209" s="225">
        <f t="shared" ca="1" si="744"/>
        <v>840660.84611754084</v>
      </c>
      <c r="FT209" s="225">
        <f t="shared" ca="1" si="744"/>
        <v>846719.76063472696</v>
      </c>
      <c r="FU209" s="225">
        <f t="shared" ca="1" si="744"/>
        <v>852822.34370778338</v>
      </c>
      <c r="FV209" s="225">
        <f t="shared" ca="1" si="744"/>
        <v>858968.91007011081</v>
      </c>
      <c r="FW209" s="225">
        <f t="shared" ca="1" si="744"/>
        <v>865159.77672349568</v>
      </c>
      <c r="FX209" s="225">
        <f t="shared" ca="1" si="744"/>
        <v>871395.26295445859</v>
      </c>
      <c r="FY209" s="225">
        <f t="shared" ca="1" si="744"/>
        <v>877675.69035072136</v>
      </c>
      <c r="FZ209" s="225">
        <f t="shared" ca="1" si="744"/>
        <v>883896.50821104506</v>
      </c>
      <c r="GA209" s="225">
        <f t="shared" ca="1" si="744"/>
        <v>889351.74741311022</v>
      </c>
      <c r="GB209" s="225">
        <f t="shared" ref="GB209:HG209" ca="1" si="745">(GB$197&lt;=Timing_Reversion_Month)*(GB205+GB206+GB207-GB208)</f>
        <v>893235.60600809765</v>
      </c>
      <c r="GC209" s="225">
        <f t="shared" ca="1" si="745"/>
        <v>895193.02465559484</v>
      </c>
      <c r="GD209" s="225">
        <f t="shared" ca="1" si="745"/>
        <v>897109.01915839966</v>
      </c>
      <c r="GE209" s="225">
        <f t="shared" ca="1" si="745"/>
        <v>898983.29095930804</v>
      </c>
      <c r="GF209" s="225">
        <f t="shared" ca="1" si="745"/>
        <v>900815.53934931802</v>
      </c>
      <c r="GG209" s="225">
        <f t="shared" ca="1" si="745"/>
        <v>902605.4614521201</v>
      </c>
      <c r="GH209" s="225">
        <f t="shared" ca="1" si="745"/>
        <v>904352.75220847782</v>
      </c>
      <c r="GI209" s="225">
        <f t="shared" ca="1" si="745"/>
        <v>906057.10436049395</v>
      </c>
      <c r="GJ209" s="225">
        <f t="shared" ca="1" si="745"/>
        <v>907718.20843576419</v>
      </c>
      <c r="GK209" s="225">
        <f t="shared" ca="1" si="745"/>
        <v>909335.75273141672</v>
      </c>
      <c r="GL209" s="225">
        <f t="shared" ca="1" si="745"/>
        <v>910909.4232980361</v>
      </c>
      <c r="GM209" s="225">
        <f t="shared" ca="1" si="745"/>
        <v>913124.58655305661</v>
      </c>
      <c r="GN209" s="225">
        <f t="shared" ca="1" si="745"/>
        <v>915298.51735529152</v>
      </c>
      <c r="GO209" s="225">
        <f t="shared" ca="1" si="745"/>
        <v>2.3283064365386963E-10</v>
      </c>
      <c r="GP209" s="225">
        <f t="shared" ca="1" si="745"/>
        <v>0</v>
      </c>
      <c r="GQ209" s="225">
        <f t="shared" ca="1" si="745"/>
        <v>0</v>
      </c>
      <c r="GR209" s="225">
        <f t="shared" ca="1" si="745"/>
        <v>0</v>
      </c>
      <c r="GS209" s="225">
        <f t="shared" ca="1" si="745"/>
        <v>0</v>
      </c>
      <c r="GT209" s="225">
        <f t="shared" ca="1" si="745"/>
        <v>0</v>
      </c>
      <c r="GU209" s="225">
        <f t="shared" ca="1" si="745"/>
        <v>0</v>
      </c>
      <c r="GV209" s="225">
        <f t="shared" ca="1" si="745"/>
        <v>0</v>
      </c>
      <c r="GW209" s="225">
        <f t="shared" ca="1" si="745"/>
        <v>0</v>
      </c>
      <c r="GX209" s="225">
        <f t="shared" ca="1" si="745"/>
        <v>0</v>
      </c>
      <c r="GY209" s="225">
        <f t="shared" ca="1" si="745"/>
        <v>0</v>
      </c>
      <c r="GZ209" s="225">
        <f t="shared" ca="1" si="745"/>
        <v>0</v>
      </c>
      <c r="HA209" s="225">
        <f t="shared" ca="1" si="745"/>
        <v>0</v>
      </c>
      <c r="HB209" s="225">
        <f t="shared" ca="1" si="745"/>
        <v>0</v>
      </c>
      <c r="HC209" s="225">
        <f t="shared" ca="1" si="745"/>
        <v>0</v>
      </c>
      <c r="HD209" s="225">
        <f t="shared" ca="1" si="745"/>
        <v>0</v>
      </c>
      <c r="HE209" s="225">
        <f t="shared" ca="1" si="745"/>
        <v>0</v>
      </c>
      <c r="HF209" s="225">
        <f t="shared" ca="1" si="745"/>
        <v>0</v>
      </c>
      <c r="HG209" s="225">
        <f t="shared" ca="1" si="745"/>
        <v>0</v>
      </c>
      <c r="HH209" s="225">
        <f t="shared" ref="HH209:IM209" ca="1" si="746">(HH$197&lt;=Timing_Reversion_Month)*(HH205+HH206+HH207-HH208)</f>
        <v>0</v>
      </c>
      <c r="HI209" s="225">
        <f t="shared" ca="1" si="746"/>
        <v>0</v>
      </c>
      <c r="HJ209" s="225">
        <f t="shared" ca="1" si="746"/>
        <v>0</v>
      </c>
      <c r="HK209" s="225">
        <f t="shared" ca="1" si="746"/>
        <v>0</v>
      </c>
      <c r="HL209" s="225">
        <f t="shared" ca="1" si="746"/>
        <v>0</v>
      </c>
      <c r="HM209" s="225">
        <f t="shared" ca="1" si="746"/>
        <v>0</v>
      </c>
      <c r="HN209" s="225">
        <f t="shared" ca="1" si="746"/>
        <v>0</v>
      </c>
      <c r="HO209" s="225">
        <f t="shared" ca="1" si="746"/>
        <v>0</v>
      </c>
      <c r="HP209" s="225">
        <f t="shared" ca="1" si="746"/>
        <v>0</v>
      </c>
      <c r="HQ209" s="225">
        <f t="shared" ca="1" si="746"/>
        <v>0</v>
      </c>
      <c r="HR209" s="225">
        <f t="shared" ca="1" si="746"/>
        <v>0</v>
      </c>
      <c r="HS209" s="225">
        <f t="shared" ca="1" si="746"/>
        <v>0</v>
      </c>
      <c r="HT209" s="225">
        <f t="shared" ca="1" si="746"/>
        <v>0</v>
      </c>
      <c r="HU209" s="225">
        <f t="shared" ca="1" si="746"/>
        <v>0</v>
      </c>
      <c r="HV209" s="225">
        <f t="shared" ca="1" si="746"/>
        <v>0</v>
      </c>
      <c r="HW209" s="225">
        <f t="shared" ca="1" si="746"/>
        <v>0</v>
      </c>
      <c r="HX209" s="225">
        <f t="shared" ca="1" si="746"/>
        <v>0</v>
      </c>
      <c r="HY209" s="225">
        <f t="shared" ca="1" si="746"/>
        <v>0</v>
      </c>
      <c r="HZ209" s="225">
        <f t="shared" ca="1" si="746"/>
        <v>0</v>
      </c>
      <c r="IA209" s="225">
        <f t="shared" ca="1" si="746"/>
        <v>0</v>
      </c>
      <c r="IB209" s="225">
        <f t="shared" ca="1" si="746"/>
        <v>0</v>
      </c>
      <c r="IC209" s="225">
        <f t="shared" ca="1" si="746"/>
        <v>0</v>
      </c>
      <c r="ID209" s="225">
        <f t="shared" ca="1" si="746"/>
        <v>0</v>
      </c>
      <c r="IE209" s="225">
        <f t="shared" ca="1" si="746"/>
        <v>0</v>
      </c>
      <c r="IF209" s="225">
        <f t="shared" ca="1" si="746"/>
        <v>0</v>
      </c>
      <c r="IG209" s="225">
        <f t="shared" ca="1" si="746"/>
        <v>0</v>
      </c>
      <c r="IH209" s="225">
        <f t="shared" ca="1" si="746"/>
        <v>0</v>
      </c>
      <c r="II209" s="225">
        <f t="shared" ca="1" si="746"/>
        <v>0</v>
      </c>
      <c r="IJ209" s="225">
        <f t="shared" ca="1" si="746"/>
        <v>0</v>
      </c>
      <c r="IK209" s="225">
        <f t="shared" ca="1" si="746"/>
        <v>0</v>
      </c>
      <c r="IL209" s="225">
        <f t="shared" ca="1" si="746"/>
        <v>0</v>
      </c>
      <c r="IM209" s="225">
        <f t="shared" ca="1" si="746"/>
        <v>0</v>
      </c>
      <c r="IN209" s="225">
        <f t="shared" ref="IN209:JS209" ca="1" si="747">(IN$197&lt;=Timing_Reversion_Month)*(IN205+IN206+IN207-IN208)</f>
        <v>0</v>
      </c>
      <c r="IO209" s="225">
        <f t="shared" ca="1" si="747"/>
        <v>0</v>
      </c>
      <c r="IP209" s="225">
        <f t="shared" ca="1" si="747"/>
        <v>0</v>
      </c>
      <c r="IQ209" s="225">
        <f t="shared" ca="1" si="747"/>
        <v>0</v>
      </c>
      <c r="IR209" s="225">
        <f t="shared" ca="1" si="747"/>
        <v>0</v>
      </c>
      <c r="IS209" s="225">
        <f t="shared" ca="1" si="747"/>
        <v>0</v>
      </c>
      <c r="IT209" s="225">
        <f t="shared" ca="1" si="747"/>
        <v>0</v>
      </c>
      <c r="IU209" s="225">
        <f t="shared" ca="1" si="747"/>
        <v>0</v>
      </c>
      <c r="IV209" s="225">
        <f t="shared" ca="1" si="747"/>
        <v>0</v>
      </c>
      <c r="IW209" s="225">
        <f t="shared" ca="1" si="747"/>
        <v>0</v>
      </c>
      <c r="IX209" s="225">
        <f t="shared" ca="1" si="747"/>
        <v>0</v>
      </c>
      <c r="IY209" s="225">
        <f t="shared" ca="1" si="747"/>
        <v>0</v>
      </c>
      <c r="IZ209" s="225">
        <f t="shared" ca="1" si="747"/>
        <v>0</v>
      </c>
      <c r="JA209" s="225">
        <f t="shared" ca="1" si="747"/>
        <v>0</v>
      </c>
      <c r="JB209" s="225">
        <f t="shared" ca="1" si="747"/>
        <v>0</v>
      </c>
      <c r="JC209" s="225">
        <f t="shared" ca="1" si="747"/>
        <v>0</v>
      </c>
      <c r="JD209" s="225">
        <f t="shared" ca="1" si="747"/>
        <v>0</v>
      </c>
      <c r="JE209" s="225">
        <f t="shared" ca="1" si="747"/>
        <v>0</v>
      </c>
      <c r="JF209" s="225">
        <f t="shared" ca="1" si="747"/>
        <v>0</v>
      </c>
      <c r="JG209" s="225">
        <f t="shared" ca="1" si="747"/>
        <v>0</v>
      </c>
      <c r="JH209" s="225">
        <f t="shared" ca="1" si="747"/>
        <v>0</v>
      </c>
      <c r="JI209" s="225">
        <f t="shared" ca="1" si="747"/>
        <v>0</v>
      </c>
      <c r="JJ209" s="225">
        <f t="shared" ca="1" si="747"/>
        <v>0</v>
      </c>
      <c r="JK209" s="225">
        <f t="shared" ca="1" si="747"/>
        <v>0</v>
      </c>
      <c r="JL209" s="225">
        <f t="shared" ca="1" si="747"/>
        <v>0</v>
      </c>
      <c r="JM209" s="225">
        <f t="shared" ca="1" si="747"/>
        <v>0</v>
      </c>
      <c r="JN209" s="225">
        <f t="shared" ca="1" si="747"/>
        <v>0</v>
      </c>
      <c r="JO209" s="225">
        <f t="shared" ca="1" si="747"/>
        <v>0</v>
      </c>
      <c r="JP209" s="225">
        <f t="shared" ca="1" si="747"/>
        <v>0</v>
      </c>
      <c r="JQ209" s="225">
        <f t="shared" ca="1" si="747"/>
        <v>0</v>
      </c>
      <c r="JR209" s="225">
        <f t="shared" ca="1" si="747"/>
        <v>0</v>
      </c>
      <c r="JS209" s="225">
        <f t="shared" ca="1" si="747"/>
        <v>0</v>
      </c>
      <c r="JT209" s="225">
        <f t="shared" ref="JT209:JX209" ca="1" si="748">(JT$197&lt;=Timing_Reversion_Month)*(JT205+JT206+JT207-JT208)</f>
        <v>0</v>
      </c>
      <c r="JU209" s="225">
        <f t="shared" ca="1" si="748"/>
        <v>0</v>
      </c>
      <c r="JV209" s="225">
        <f t="shared" ca="1" si="748"/>
        <v>0</v>
      </c>
      <c r="JW209" s="225">
        <f t="shared" ca="1" si="748"/>
        <v>0</v>
      </c>
      <c r="JX209" s="225">
        <f t="shared" ca="1" si="748"/>
        <v>0</v>
      </c>
    </row>
    <row r="210" spans="1:284" s="7" customFormat="1" x14ac:dyDescent="0.2">
      <c r="A210" s="406"/>
      <c r="B210" s="92"/>
      <c r="C210" s="120"/>
      <c r="D210" s="120"/>
      <c r="E210" s="120"/>
      <c r="F210" s="120"/>
      <c r="G210" s="120"/>
      <c r="H210" s="120"/>
      <c r="I210" s="123"/>
      <c r="L210" s="38"/>
      <c r="M210" s="38"/>
      <c r="N210" s="38"/>
      <c r="O210" s="38"/>
      <c r="P210" s="38"/>
      <c r="Q210" s="38"/>
      <c r="R210" s="38"/>
      <c r="S210" s="38"/>
      <c r="T210" s="38"/>
      <c r="U210" s="38"/>
      <c r="V210" s="38"/>
      <c r="W210" s="38"/>
      <c r="X210" s="38"/>
      <c r="Y210" s="38"/>
      <c r="Z210" s="38"/>
      <c r="AA210" s="38"/>
      <c r="AB210" s="38"/>
      <c r="AC210" s="38"/>
      <c r="AD210" s="38"/>
      <c r="AE210" s="38"/>
      <c r="AF210" s="38"/>
      <c r="AG210" s="38"/>
      <c r="AH210" s="38"/>
      <c r="AI210" s="38"/>
      <c r="AJ210" s="38"/>
      <c r="AK210" s="38"/>
      <c r="AL210" s="38"/>
      <c r="AM210" s="38"/>
      <c r="AN210" s="38"/>
      <c r="AO210" s="38"/>
      <c r="AP210" s="38"/>
      <c r="AQ210" s="38"/>
      <c r="AR210" s="38"/>
      <c r="AS210" s="38"/>
      <c r="AT210" s="38"/>
      <c r="AU210" s="38"/>
      <c r="AV210" s="38"/>
      <c r="AW210" s="38"/>
      <c r="AX210" s="38"/>
      <c r="AY210" s="38"/>
      <c r="AZ210" s="38"/>
      <c r="BA210" s="38"/>
      <c r="BB210" s="38"/>
      <c r="BC210" s="38"/>
      <c r="BD210" s="38"/>
      <c r="BE210" s="38"/>
      <c r="BF210" s="38"/>
      <c r="BG210" s="38"/>
      <c r="BH210" s="38"/>
      <c r="BI210" s="38"/>
      <c r="BJ210" s="38"/>
      <c r="BK210" s="38"/>
      <c r="BL210" s="38"/>
      <c r="BM210" s="38"/>
      <c r="BN210" s="38"/>
      <c r="BO210" s="38"/>
      <c r="BP210" s="38"/>
      <c r="BQ210" s="38"/>
      <c r="BR210" s="38"/>
      <c r="BS210" s="38"/>
      <c r="BT210" s="38"/>
      <c r="BU210" s="38"/>
      <c r="BV210" s="38"/>
      <c r="BW210" s="38"/>
      <c r="BX210" s="38"/>
      <c r="BY210" s="38"/>
      <c r="BZ210" s="38"/>
      <c r="CA210" s="38"/>
      <c r="CB210" s="38"/>
      <c r="CC210" s="38"/>
      <c r="CD210" s="38"/>
      <c r="CE210" s="38"/>
      <c r="CF210" s="38"/>
      <c r="CG210" s="38"/>
      <c r="CH210" s="38"/>
      <c r="CI210" s="38"/>
      <c r="CJ210" s="38"/>
      <c r="CK210" s="38"/>
      <c r="CL210" s="38"/>
      <c r="CM210" s="38"/>
      <c r="CN210" s="38"/>
      <c r="CO210" s="38"/>
      <c r="CP210" s="38"/>
      <c r="CQ210" s="38"/>
      <c r="CR210" s="38"/>
      <c r="CS210" s="38"/>
      <c r="CT210" s="38"/>
      <c r="CU210" s="38"/>
      <c r="CV210" s="38"/>
      <c r="CW210" s="38"/>
      <c r="CX210" s="38"/>
      <c r="CY210" s="38"/>
      <c r="CZ210" s="38"/>
      <c r="DA210" s="38"/>
      <c r="DB210" s="38"/>
      <c r="DC210" s="38"/>
      <c r="DD210" s="38"/>
      <c r="DE210" s="38"/>
      <c r="DF210" s="38"/>
      <c r="DG210" s="38"/>
      <c r="DH210" s="38"/>
      <c r="DI210" s="38"/>
      <c r="DJ210" s="38"/>
      <c r="DK210" s="38"/>
      <c r="DL210" s="38"/>
      <c r="DM210" s="38"/>
      <c r="DN210" s="38"/>
      <c r="DO210" s="38"/>
      <c r="DP210" s="38"/>
      <c r="DQ210" s="38"/>
      <c r="DR210" s="38"/>
      <c r="DS210" s="38"/>
      <c r="DT210" s="38"/>
      <c r="DU210" s="38"/>
      <c r="DV210" s="38"/>
      <c r="DW210" s="38"/>
      <c r="DX210" s="38"/>
      <c r="DY210" s="38"/>
      <c r="DZ210" s="38"/>
      <c r="EA210" s="38"/>
      <c r="EB210" s="38"/>
      <c r="EC210" s="38"/>
      <c r="ED210" s="38"/>
      <c r="EE210" s="38"/>
      <c r="EF210" s="38"/>
      <c r="EG210" s="38"/>
      <c r="EH210" s="38"/>
      <c r="EI210" s="38"/>
      <c r="EJ210" s="38"/>
      <c r="EK210" s="38"/>
      <c r="EL210" s="38"/>
      <c r="EM210" s="38"/>
      <c r="EN210" s="38"/>
      <c r="EP210" s="37"/>
      <c r="EQ210" s="24"/>
      <c r="ER210" s="24"/>
      <c r="ES210" s="33" t="s">
        <v>379</v>
      </c>
      <c r="ET210" s="223">
        <f ca="1">XIRR(OFFSET(EV210,,,1,Timing_Reversion_Month+1),OFFSET($EV$23,,,1,Timing_Reversion_Month+1))</f>
        <v>8.9911600947380085E-2</v>
      </c>
      <c r="EU210" s="33"/>
      <c r="EV210" s="225">
        <f ca="1">-EV207+EV208</f>
        <v>-187657.97638306464</v>
      </c>
      <c r="EW210" s="225">
        <f ca="1">-EW207+EW208</f>
        <v>-21730.771816496028</v>
      </c>
      <c r="EX210" s="225">
        <f t="shared" ref="EX210:HI210" ca="1" si="749">-EX207+EX208</f>
        <v>-29755.760793080612</v>
      </c>
      <c r="EY210" s="225">
        <f t="shared" ca="1" si="749"/>
        <v>-45670.459179682453</v>
      </c>
      <c r="EZ210" s="225">
        <f t="shared" ca="1" si="749"/>
        <v>-73391.045194076287</v>
      </c>
      <c r="FA210" s="225">
        <f t="shared" ca="1" si="749"/>
        <v>-115481.48367370834</v>
      </c>
      <c r="FB210" s="225">
        <f t="shared" ca="1" si="749"/>
        <v>-170492.91037806304</v>
      </c>
      <c r="FC210" s="225">
        <f t="shared" ca="1" si="749"/>
        <v>-87680.306188005474</v>
      </c>
      <c r="FD210" s="225">
        <f t="shared" ca="1" si="749"/>
        <v>0</v>
      </c>
      <c r="FE210" s="225">
        <f t="shared" ca="1" si="749"/>
        <v>0</v>
      </c>
      <c r="FF210" s="225">
        <f t="shared" ca="1" si="749"/>
        <v>0</v>
      </c>
      <c r="FG210" s="225">
        <f t="shared" ca="1" si="749"/>
        <v>0</v>
      </c>
      <c r="FH210" s="225">
        <f t="shared" ca="1" si="749"/>
        <v>0</v>
      </c>
      <c r="FI210" s="225">
        <f t="shared" ca="1" si="749"/>
        <v>0</v>
      </c>
      <c r="FJ210" s="225">
        <f t="shared" ca="1" si="749"/>
        <v>0</v>
      </c>
      <c r="FK210" s="225">
        <f t="shared" ca="1" si="749"/>
        <v>0</v>
      </c>
      <c r="FL210" s="225">
        <f t="shared" ca="1" si="749"/>
        <v>0</v>
      </c>
      <c r="FM210" s="225">
        <f t="shared" ca="1" si="749"/>
        <v>0</v>
      </c>
      <c r="FN210" s="225">
        <f t="shared" ca="1" si="749"/>
        <v>0</v>
      </c>
      <c r="FO210" s="225">
        <f t="shared" ca="1" si="749"/>
        <v>0</v>
      </c>
      <c r="FP210" s="225">
        <f t="shared" ca="1" si="749"/>
        <v>7.2759576141834263E-13</v>
      </c>
      <c r="FQ210" s="225">
        <f t="shared" ca="1" si="749"/>
        <v>0</v>
      </c>
      <c r="FR210" s="225">
        <f t="shared" ca="1" si="749"/>
        <v>0</v>
      </c>
      <c r="FS210" s="225">
        <f t="shared" ca="1" si="749"/>
        <v>4.5474735088646412E-13</v>
      </c>
      <c r="FT210" s="225">
        <f t="shared" ca="1" si="749"/>
        <v>-5.4569682106375702E-13</v>
      </c>
      <c r="FU210" s="225">
        <f t="shared" ca="1" si="749"/>
        <v>0</v>
      </c>
      <c r="FV210" s="225">
        <f t="shared" ca="1" si="749"/>
        <v>0</v>
      </c>
      <c r="FW210" s="225">
        <f t="shared" ca="1" si="749"/>
        <v>0</v>
      </c>
      <c r="FX210" s="225">
        <f t="shared" ca="1" si="749"/>
        <v>0</v>
      </c>
      <c r="FY210" s="225">
        <f t="shared" ca="1" si="749"/>
        <v>0</v>
      </c>
      <c r="FZ210" s="225">
        <f t="shared" ca="1" si="749"/>
        <v>104.87460674741452</v>
      </c>
      <c r="GA210" s="225">
        <f t="shared" ca="1" si="749"/>
        <v>915.28871061622203</v>
      </c>
      <c r="GB210" s="225">
        <f t="shared" ca="1" si="749"/>
        <v>2525.9869903900021</v>
      </c>
      <c r="GC210" s="225">
        <f t="shared" ca="1" si="749"/>
        <v>4480.4191624884261</v>
      </c>
      <c r="GD210" s="225">
        <f t="shared" ca="1" si="749"/>
        <v>4535.9510562384276</v>
      </c>
      <c r="GE210" s="225">
        <f t="shared" ca="1" si="749"/>
        <v>4591.4829499884281</v>
      </c>
      <c r="GF210" s="225">
        <f t="shared" ca="1" si="749"/>
        <v>4647.0148437384287</v>
      </c>
      <c r="GG210" s="225">
        <f t="shared" ca="1" si="749"/>
        <v>4702.5467374884265</v>
      </c>
      <c r="GH210" s="225">
        <f t="shared" ca="1" si="749"/>
        <v>4758.0786312384244</v>
      </c>
      <c r="GI210" s="225">
        <f t="shared" ca="1" si="749"/>
        <v>4813.6105249884276</v>
      </c>
      <c r="GJ210" s="225">
        <f t="shared" ca="1" si="749"/>
        <v>4869.1424187384255</v>
      </c>
      <c r="GK210" s="225">
        <f t="shared" ca="1" si="749"/>
        <v>4924.674312488426</v>
      </c>
      <c r="GL210" s="225">
        <f t="shared" ca="1" si="749"/>
        <v>4980.2062062384275</v>
      </c>
      <c r="GM210" s="225">
        <f t="shared" ca="1" si="749"/>
        <v>4350.0554704041251</v>
      </c>
      <c r="GN210" s="225">
        <f t="shared" ca="1" si="749"/>
        <v>4407.2533209666235</v>
      </c>
      <c r="GO210" s="225">
        <f t="shared" ca="1" si="749"/>
        <v>921895.3697006515</v>
      </c>
      <c r="GP210" s="225">
        <f t="shared" ca="1" si="749"/>
        <v>0</v>
      </c>
      <c r="GQ210" s="225">
        <f t="shared" ca="1" si="749"/>
        <v>0</v>
      </c>
      <c r="GR210" s="225">
        <f t="shared" ca="1" si="749"/>
        <v>0</v>
      </c>
      <c r="GS210" s="225">
        <f t="shared" ca="1" si="749"/>
        <v>0</v>
      </c>
      <c r="GT210" s="225">
        <f t="shared" ca="1" si="749"/>
        <v>0</v>
      </c>
      <c r="GU210" s="225">
        <f t="shared" ca="1" si="749"/>
        <v>0</v>
      </c>
      <c r="GV210" s="225">
        <f t="shared" ca="1" si="749"/>
        <v>0</v>
      </c>
      <c r="GW210" s="225">
        <f t="shared" ca="1" si="749"/>
        <v>0</v>
      </c>
      <c r="GX210" s="225">
        <f t="shared" ca="1" si="749"/>
        <v>0</v>
      </c>
      <c r="GY210" s="225">
        <f t="shared" ca="1" si="749"/>
        <v>0</v>
      </c>
      <c r="GZ210" s="225">
        <f t="shared" ca="1" si="749"/>
        <v>0</v>
      </c>
      <c r="HA210" s="225">
        <f t="shared" ca="1" si="749"/>
        <v>0</v>
      </c>
      <c r="HB210" s="225">
        <f t="shared" ca="1" si="749"/>
        <v>0</v>
      </c>
      <c r="HC210" s="225">
        <f t="shared" ca="1" si="749"/>
        <v>0</v>
      </c>
      <c r="HD210" s="225">
        <f t="shared" ca="1" si="749"/>
        <v>0</v>
      </c>
      <c r="HE210" s="225">
        <f t="shared" ca="1" si="749"/>
        <v>0</v>
      </c>
      <c r="HF210" s="225">
        <f t="shared" ca="1" si="749"/>
        <v>0</v>
      </c>
      <c r="HG210" s="225">
        <f t="shared" ca="1" si="749"/>
        <v>0</v>
      </c>
      <c r="HH210" s="225">
        <f t="shared" ca="1" si="749"/>
        <v>0</v>
      </c>
      <c r="HI210" s="225">
        <f t="shared" ca="1" si="749"/>
        <v>0</v>
      </c>
      <c r="HJ210" s="225">
        <f t="shared" ref="HJ210:JU210" ca="1" si="750">-HJ207+HJ208</f>
        <v>0</v>
      </c>
      <c r="HK210" s="225">
        <f t="shared" ca="1" si="750"/>
        <v>0</v>
      </c>
      <c r="HL210" s="225">
        <f t="shared" ca="1" si="750"/>
        <v>0</v>
      </c>
      <c r="HM210" s="225">
        <f t="shared" ca="1" si="750"/>
        <v>0</v>
      </c>
      <c r="HN210" s="225">
        <f t="shared" ca="1" si="750"/>
        <v>0</v>
      </c>
      <c r="HO210" s="225">
        <f t="shared" ca="1" si="750"/>
        <v>0</v>
      </c>
      <c r="HP210" s="225">
        <f t="shared" ca="1" si="750"/>
        <v>0</v>
      </c>
      <c r="HQ210" s="225">
        <f t="shared" ca="1" si="750"/>
        <v>0</v>
      </c>
      <c r="HR210" s="225">
        <f t="shared" ca="1" si="750"/>
        <v>0</v>
      </c>
      <c r="HS210" s="225">
        <f t="shared" ca="1" si="750"/>
        <v>0</v>
      </c>
      <c r="HT210" s="225">
        <f t="shared" ca="1" si="750"/>
        <v>0</v>
      </c>
      <c r="HU210" s="225">
        <f t="shared" ca="1" si="750"/>
        <v>0</v>
      </c>
      <c r="HV210" s="225">
        <f t="shared" ca="1" si="750"/>
        <v>0</v>
      </c>
      <c r="HW210" s="225">
        <f t="shared" ca="1" si="750"/>
        <v>0</v>
      </c>
      <c r="HX210" s="225">
        <f t="shared" ca="1" si="750"/>
        <v>0</v>
      </c>
      <c r="HY210" s="225">
        <f t="shared" ca="1" si="750"/>
        <v>0</v>
      </c>
      <c r="HZ210" s="225">
        <f t="shared" ca="1" si="750"/>
        <v>0</v>
      </c>
      <c r="IA210" s="225">
        <f t="shared" ca="1" si="750"/>
        <v>0</v>
      </c>
      <c r="IB210" s="225">
        <f t="shared" ca="1" si="750"/>
        <v>0</v>
      </c>
      <c r="IC210" s="225">
        <f t="shared" ca="1" si="750"/>
        <v>0</v>
      </c>
      <c r="ID210" s="225">
        <f t="shared" ca="1" si="750"/>
        <v>0</v>
      </c>
      <c r="IE210" s="225">
        <f t="shared" ca="1" si="750"/>
        <v>0</v>
      </c>
      <c r="IF210" s="225">
        <f t="shared" ca="1" si="750"/>
        <v>0</v>
      </c>
      <c r="IG210" s="225">
        <f t="shared" ca="1" si="750"/>
        <v>0</v>
      </c>
      <c r="IH210" s="225">
        <f t="shared" ca="1" si="750"/>
        <v>0</v>
      </c>
      <c r="II210" s="225">
        <f t="shared" ca="1" si="750"/>
        <v>0</v>
      </c>
      <c r="IJ210" s="225">
        <f t="shared" ca="1" si="750"/>
        <v>0</v>
      </c>
      <c r="IK210" s="225">
        <f t="shared" ca="1" si="750"/>
        <v>0</v>
      </c>
      <c r="IL210" s="225">
        <f t="shared" ca="1" si="750"/>
        <v>0</v>
      </c>
      <c r="IM210" s="225">
        <f t="shared" ca="1" si="750"/>
        <v>0</v>
      </c>
      <c r="IN210" s="225">
        <f t="shared" ca="1" si="750"/>
        <v>0</v>
      </c>
      <c r="IO210" s="225">
        <f t="shared" ca="1" si="750"/>
        <v>0</v>
      </c>
      <c r="IP210" s="225">
        <f t="shared" ca="1" si="750"/>
        <v>0</v>
      </c>
      <c r="IQ210" s="225">
        <f t="shared" ca="1" si="750"/>
        <v>0</v>
      </c>
      <c r="IR210" s="225">
        <f t="shared" ca="1" si="750"/>
        <v>0</v>
      </c>
      <c r="IS210" s="225">
        <f t="shared" ca="1" si="750"/>
        <v>0</v>
      </c>
      <c r="IT210" s="225">
        <f t="shared" ca="1" si="750"/>
        <v>0</v>
      </c>
      <c r="IU210" s="225">
        <f t="shared" ca="1" si="750"/>
        <v>0</v>
      </c>
      <c r="IV210" s="225">
        <f t="shared" ca="1" si="750"/>
        <v>0</v>
      </c>
      <c r="IW210" s="225">
        <f t="shared" ca="1" si="750"/>
        <v>0</v>
      </c>
      <c r="IX210" s="225">
        <f t="shared" ca="1" si="750"/>
        <v>0</v>
      </c>
      <c r="IY210" s="225">
        <f t="shared" ca="1" si="750"/>
        <v>0</v>
      </c>
      <c r="IZ210" s="225">
        <f t="shared" ca="1" si="750"/>
        <v>0</v>
      </c>
      <c r="JA210" s="225">
        <f t="shared" ca="1" si="750"/>
        <v>0</v>
      </c>
      <c r="JB210" s="225">
        <f t="shared" ca="1" si="750"/>
        <v>0</v>
      </c>
      <c r="JC210" s="225">
        <f t="shared" ca="1" si="750"/>
        <v>0</v>
      </c>
      <c r="JD210" s="225">
        <f t="shared" ca="1" si="750"/>
        <v>0</v>
      </c>
      <c r="JE210" s="225">
        <f t="shared" ca="1" si="750"/>
        <v>0</v>
      </c>
      <c r="JF210" s="225">
        <f t="shared" ca="1" si="750"/>
        <v>0</v>
      </c>
      <c r="JG210" s="225">
        <f t="shared" ca="1" si="750"/>
        <v>0</v>
      </c>
      <c r="JH210" s="225">
        <f t="shared" ca="1" si="750"/>
        <v>0</v>
      </c>
      <c r="JI210" s="225">
        <f t="shared" ca="1" si="750"/>
        <v>0</v>
      </c>
      <c r="JJ210" s="225">
        <f t="shared" ca="1" si="750"/>
        <v>0</v>
      </c>
      <c r="JK210" s="225">
        <f t="shared" ca="1" si="750"/>
        <v>0</v>
      </c>
      <c r="JL210" s="225">
        <f t="shared" ca="1" si="750"/>
        <v>0</v>
      </c>
      <c r="JM210" s="225">
        <f t="shared" ca="1" si="750"/>
        <v>0</v>
      </c>
      <c r="JN210" s="225">
        <f t="shared" ca="1" si="750"/>
        <v>0</v>
      </c>
      <c r="JO210" s="225">
        <f t="shared" ca="1" si="750"/>
        <v>0</v>
      </c>
      <c r="JP210" s="225">
        <f t="shared" ca="1" si="750"/>
        <v>0</v>
      </c>
      <c r="JQ210" s="225">
        <f t="shared" ca="1" si="750"/>
        <v>0</v>
      </c>
      <c r="JR210" s="225">
        <f t="shared" ca="1" si="750"/>
        <v>0</v>
      </c>
      <c r="JS210" s="225">
        <f t="shared" ca="1" si="750"/>
        <v>0</v>
      </c>
      <c r="JT210" s="225">
        <f t="shared" ca="1" si="750"/>
        <v>0</v>
      </c>
      <c r="JU210" s="225">
        <f t="shared" ca="1" si="750"/>
        <v>0</v>
      </c>
      <c r="JV210" s="225">
        <f t="shared" ref="JV210:JX210" ca="1" si="751">-JV207+JV208</f>
        <v>0</v>
      </c>
      <c r="JW210" s="225">
        <f t="shared" ca="1" si="751"/>
        <v>0</v>
      </c>
      <c r="JX210" s="225">
        <f t="shared" ca="1" si="751"/>
        <v>0</v>
      </c>
    </row>
    <row r="211" spans="1:284" s="7" customFormat="1" x14ac:dyDescent="0.2">
      <c r="A211" s="406"/>
      <c r="B211" s="92"/>
      <c r="C211" s="120"/>
      <c r="D211" s="120"/>
      <c r="E211" s="120"/>
      <c r="F211" s="120"/>
      <c r="G211" s="102" t="s">
        <v>497</v>
      </c>
      <c r="H211" s="102" t="s">
        <v>195</v>
      </c>
      <c r="I211" s="102" t="s">
        <v>498</v>
      </c>
      <c r="L211" s="38"/>
      <c r="M211" s="38"/>
      <c r="N211" s="38"/>
      <c r="O211" s="38"/>
      <c r="P211" s="38"/>
      <c r="Q211" s="38"/>
      <c r="R211" s="38"/>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c r="DM211" s="38"/>
      <c r="DN211" s="38"/>
      <c r="DO211" s="38"/>
      <c r="DP211" s="38"/>
      <c r="DQ211" s="38"/>
      <c r="DR211" s="38"/>
      <c r="DS211" s="38"/>
      <c r="DT211" s="38"/>
      <c r="DU211" s="38"/>
      <c r="DV211" s="38"/>
      <c r="DW211" s="38"/>
      <c r="DX211" s="38"/>
      <c r="DY211" s="38"/>
      <c r="DZ211" s="38"/>
      <c r="EA211" s="38"/>
      <c r="EB211" s="38"/>
      <c r="EC211" s="38"/>
      <c r="ED211" s="38"/>
      <c r="EE211" s="38"/>
      <c r="EF211" s="38"/>
      <c r="EG211" s="38"/>
      <c r="EH211" s="38"/>
      <c r="EI211" s="38"/>
      <c r="EJ211" s="38"/>
      <c r="EK211" s="38"/>
      <c r="EL211" s="38"/>
      <c r="EM211" s="38"/>
      <c r="EN211" s="38"/>
      <c r="EP211" s="37"/>
      <c r="EQ211" s="24"/>
      <c r="ER211" s="24"/>
      <c r="ES211" s="91"/>
      <c r="ET211" s="578" t="s">
        <v>399</v>
      </c>
      <c r="EU211" s="578"/>
      <c r="EV211" s="579">
        <f t="shared" ref="EV211:GA211" si="752">IF($G$221="Yes",L42,0)</f>
        <v>0</v>
      </c>
      <c r="EW211" s="579">
        <f t="shared" si="752"/>
        <v>0</v>
      </c>
      <c r="EX211" s="579">
        <f t="shared" si="752"/>
        <v>0</v>
      </c>
      <c r="EY211" s="579">
        <f t="shared" si="752"/>
        <v>0</v>
      </c>
      <c r="EZ211" s="579">
        <f t="shared" si="752"/>
        <v>0</v>
      </c>
      <c r="FA211" s="579">
        <f t="shared" si="752"/>
        <v>0</v>
      </c>
      <c r="FB211" s="579">
        <f t="shared" si="752"/>
        <v>0</v>
      </c>
      <c r="FC211" s="579">
        <f t="shared" si="752"/>
        <v>0</v>
      </c>
      <c r="FD211" s="579">
        <f t="shared" si="752"/>
        <v>0</v>
      </c>
      <c r="FE211" s="579">
        <f t="shared" si="752"/>
        <v>0</v>
      </c>
      <c r="FF211" s="579">
        <f t="shared" si="752"/>
        <v>0</v>
      </c>
      <c r="FG211" s="579">
        <f t="shared" si="752"/>
        <v>0</v>
      </c>
      <c r="FH211" s="579">
        <f t="shared" si="752"/>
        <v>0</v>
      </c>
      <c r="FI211" s="579">
        <f t="shared" si="752"/>
        <v>0</v>
      </c>
      <c r="FJ211" s="579">
        <f t="shared" si="752"/>
        <v>0</v>
      </c>
      <c r="FK211" s="579">
        <f t="shared" si="752"/>
        <v>0</v>
      </c>
      <c r="FL211" s="579">
        <f t="shared" si="752"/>
        <v>0</v>
      </c>
      <c r="FM211" s="579">
        <f t="shared" si="752"/>
        <v>0</v>
      </c>
      <c r="FN211" s="579">
        <f t="shared" si="752"/>
        <v>0</v>
      </c>
      <c r="FO211" s="579">
        <f t="shared" si="752"/>
        <v>0</v>
      </c>
      <c r="FP211" s="579">
        <f t="shared" si="752"/>
        <v>0</v>
      </c>
      <c r="FQ211" s="579">
        <f t="shared" si="752"/>
        <v>0</v>
      </c>
      <c r="FR211" s="579">
        <f t="shared" si="752"/>
        <v>0</v>
      </c>
      <c r="FS211" s="579">
        <f t="shared" si="752"/>
        <v>0</v>
      </c>
      <c r="FT211" s="579">
        <f t="shared" si="752"/>
        <v>0</v>
      </c>
      <c r="FU211" s="579">
        <f t="shared" si="752"/>
        <v>0</v>
      </c>
      <c r="FV211" s="579">
        <f t="shared" si="752"/>
        <v>0</v>
      </c>
      <c r="FW211" s="579">
        <f t="shared" si="752"/>
        <v>0</v>
      </c>
      <c r="FX211" s="579">
        <f t="shared" si="752"/>
        <v>0</v>
      </c>
      <c r="FY211" s="579">
        <f t="shared" si="752"/>
        <v>0</v>
      </c>
      <c r="FZ211" s="579">
        <f t="shared" si="752"/>
        <v>0</v>
      </c>
      <c r="GA211" s="579">
        <f t="shared" si="752"/>
        <v>0</v>
      </c>
      <c r="GB211" s="579">
        <f t="shared" ref="GB211:HG211" si="753">IF($G$221="Yes",AR42,0)</f>
        <v>0</v>
      </c>
      <c r="GC211" s="579">
        <f t="shared" si="753"/>
        <v>0</v>
      </c>
      <c r="GD211" s="579">
        <f t="shared" si="753"/>
        <v>0</v>
      </c>
      <c r="GE211" s="579">
        <f t="shared" si="753"/>
        <v>0</v>
      </c>
      <c r="GF211" s="579">
        <f t="shared" si="753"/>
        <v>0</v>
      </c>
      <c r="GG211" s="579">
        <f t="shared" si="753"/>
        <v>0</v>
      </c>
      <c r="GH211" s="579">
        <f t="shared" si="753"/>
        <v>0</v>
      </c>
      <c r="GI211" s="579">
        <f t="shared" si="753"/>
        <v>0</v>
      </c>
      <c r="GJ211" s="579">
        <f t="shared" si="753"/>
        <v>0</v>
      </c>
      <c r="GK211" s="579">
        <f t="shared" si="753"/>
        <v>0</v>
      </c>
      <c r="GL211" s="579">
        <f t="shared" si="753"/>
        <v>0</v>
      </c>
      <c r="GM211" s="579">
        <f t="shared" si="753"/>
        <v>0</v>
      </c>
      <c r="GN211" s="579">
        <f t="shared" si="753"/>
        <v>0</v>
      </c>
      <c r="GO211" s="579">
        <f t="shared" si="753"/>
        <v>0</v>
      </c>
      <c r="GP211" s="579">
        <f t="shared" si="753"/>
        <v>0</v>
      </c>
      <c r="GQ211" s="579">
        <f t="shared" si="753"/>
        <v>0</v>
      </c>
      <c r="GR211" s="579">
        <f t="shared" si="753"/>
        <v>0</v>
      </c>
      <c r="GS211" s="579">
        <f t="shared" si="753"/>
        <v>0</v>
      </c>
      <c r="GT211" s="579">
        <f t="shared" si="753"/>
        <v>0</v>
      </c>
      <c r="GU211" s="579">
        <f t="shared" si="753"/>
        <v>0</v>
      </c>
      <c r="GV211" s="579">
        <f t="shared" si="753"/>
        <v>0</v>
      </c>
      <c r="GW211" s="579">
        <f t="shared" si="753"/>
        <v>0</v>
      </c>
      <c r="GX211" s="579">
        <f t="shared" si="753"/>
        <v>0</v>
      </c>
      <c r="GY211" s="579">
        <f t="shared" si="753"/>
        <v>0</v>
      </c>
      <c r="GZ211" s="579">
        <f t="shared" si="753"/>
        <v>0</v>
      </c>
      <c r="HA211" s="579">
        <f t="shared" si="753"/>
        <v>0</v>
      </c>
      <c r="HB211" s="579">
        <f t="shared" si="753"/>
        <v>0</v>
      </c>
      <c r="HC211" s="579">
        <f t="shared" si="753"/>
        <v>0</v>
      </c>
      <c r="HD211" s="579">
        <f t="shared" si="753"/>
        <v>0</v>
      </c>
      <c r="HE211" s="579">
        <f t="shared" si="753"/>
        <v>0</v>
      </c>
      <c r="HF211" s="579">
        <f t="shared" si="753"/>
        <v>0</v>
      </c>
      <c r="HG211" s="579">
        <f t="shared" si="753"/>
        <v>0</v>
      </c>
      <c r="HH211" s="579">
        <f t="shared" ref="HH211:IM211" si="754">IF($G$221="Yes",BX42,0)</f>
        <v>0</v>
      </c>
      <c r="HI211" s="579">
        <f t="shared" si="754"/>
        <v>0</v>
      </c>
      <c r="HJ211" s="579">
        <f t="shared" si="754"/>
        <v>0</v>
      </c>
      <c r="HK211" s="579">
        <f t="shared" si="754"/>
        <v>0</v>
      </c>
      <c r="HL211" s="579">
        <f t="shared" si="754"/>
        <v>0</v>
      </c>
      <c r="HM211" s="579">
        <f t="shared" si="754"/>
        <v>0</v>
      </c>
      <c r="HN211" s="579">
        <f t="shared" si="754"/>
        <v>0</v>
      </c>
      <c r="HO211" s="579">
        <f t="shared" si="754"/>
        <v>0</v>
      </c>
      <c r="HP211" s="579">
        <f t="shared" si="754"/>
        <v>0</v>
      </c>
      <c r="HQ211" s="579">
        <f t="shared" si="754"/>
        <v>0</v>
      </c>
      <c r="HR211" s="579">
        <f t="shared" si="754"/>
        <v>0</v>
      </c>
      <c r="HS211" s="579">
        <f t="shared" si="754"/>
        <v>0</v>
      </c>
      <c r="HT211" s="579">
        <f t="shared" si="754"/>
        <v>0</v>
      </c>
      <c r="HU211" s="579">
        <f t="shared" si="754"/>
        <v>0</v>
      </c>
      <c r="HV211" s="579">
        <f t="shared" si="754"/>
        <v>0</v>
      </c>
      <c r="HW211" s="579">
        <f t="shared" si="754"/>
        <v>0</v>
      </c>
      <c r="HX211" s="579">
        <f t="shared" si="754"/>
        <v>0</v>
      </c>
      <c r="HY211" s="579">
        <f t="shared" si="754"/>
        <v>0</v>
      </c>
      <c r="HZ211" s="579">
        <f t="shared" si="754"/>
        <v>0</v>
      </c>
      <c r="IA211" s="579">
        <f t="shared" si="754"/>
        <v>0</v>
      </c>
      <c r="IB211" s="579">
        <f t="shared" si="754"/>
        <v>0</v>
      </c>
      <c r="IC211" s="579">
        <f t="shared" si="754"/>
        <v>0</v>
      </c>
      <c r="ID211" s="579">
        <f t="shared" si="754"/>
        <v>0</v>
      </c>
      <c r="IE211" s="579">
        <f t="shared" si="754"/>
        <v>0</v>
      </c>
      <c r="IF211" s="579">
        <f t="shared" si="754"/>
        <v>0</v>
      </c>
      <c r="IG211" s="579">
        <f t="shared" si="754"/>
        <v>0</v>
      </c>
      <c r="IH211" s="579">
        <f t="shared" si="754"/>
        <v>0</v>
      </c>
      <c r="II211" s="579">
        <f t="shared" si="754"/>
        <v>0</v>
      </c>
      <c r="IJ211" s="579">
        <f t="shared" si="754"/>
        <v>0</v>
      </c>
      <c r="IK211" s="579">
        <f t="shared" si="754"/>
        <v>0</v>
      </c>
      <c r="IL211" s="579">
        <f t="shared" si="754"/>
        <v>0</v>
      </c>
      <c r="IM211" s="579">
        <f t="shared" si="754"/>
        <v>0</v>
      </c>
      <c r="IN211" s="579">
        <f t="shared" ref="IN211:JS211" si="755">IF($G$221="Yes",DD42,0)</f>
        <v>0</v>
      </c>
      <c r="IO211" s="579">
        <f t="shared" si="755"/>
        <v>0</v>
      </c>
      <c r="IP211" s="579">
        <f t="shared" si="755"/>
        <v>0</v>
      </c>
      <c r="IQ211" s="579">
        <f t="shared" si="755"/>
        <v>0</v>
      </c>
      <c r="IR211" s="579">
        <f t="shared" si="755"/>
        <v>0</v>
      </c>
      <c r="IS211" s="579">
        <f t="shared" si="755"/>
        <v>0</v>
      </c>
      <c r="IT211" s="579">
        <f t="shared" si="755"/>
        <v>0</v>
      </c>
      <c r="IU211" s="579">
        <f t="shared" si="755"/>
        <v>0</v>
      </c>
      <c r="IV211" s="579">
        <f t="shared" si="755"/>
        <v>0</v>
      </c>
      <c r="IW211" s="579">
        <f t="shared" si="755"/>
        <v>0</v>
      </c>
      <c r="IX211" s="579">
        <f t="shared" si="755"/>
        <v>0</v>
      </c>
      <c r="IY211" s="579">
        <f t="shared" si="755"/>
        <v>0</v>
      </c>
      <c r="IZ211" s="579">
        <f t="shared" si="755"/>
        <v>0</v>
      </c>
      <c r="JA211" s="579">
        <f t="shared" si="755"/>
        <v>0</v>
      </c>
      <c r="JB211" s="579">
        <f t="shared" si="755"/>
        <v>0</v>
      </c>
      <c r="JC211" s="579">
        <f t="shared" si="755"/>
        <v>0</v>
      </c>
      <c r="JD211" s="579">
        <f t="shared" si="755"/>
        <v>0</v>
      </c>
      <c r="JE211" s="579">
        <f t="shared" si="755"/>
        <v>0</v>
      </c>
      <c r="JF211" s="579">
        <f t="shared" si="755"/>
        <v>0</v>
      </c>
      <c r="JG211" s="579">
        <f t="shared" si="755"/>
        <v>0</v>
      </c>
      <c r="JH211" s="579">
        <f t="shared" si="755"/>
        <v>0</v>
      </c>
      <c r="JI211" s="579">
        <f t="shared" si="755"/>
        <v>0</v>
      </c>
      <c r="JJ211" s="579">
        <f t="shared" si="755"/>
        <v>0</v>
      </c>
      <c r="JK211" s="579">
        <f t="shared" si="755"/>
        <v>0</v>
      </c>
      <c r="JL211" s="579">
        <f t="shared" si="755"/>
        <v>0</v>
      </c>
      <c r="JM211" s="579">
        <f t="shared" si="755"/>
        <v>0</v>
      </c>
      <c r="JN211" s="579">
        <f t="shared" si="755"/>
        <v>0</v>
      </c>
      <c r="JO211" s="579">
        <f t="shared" si="755"/>
        <v>0</v>
      </c>
      <c r="JP211" s="579">
        <f t="shared" si="755"/>
        <v>0</v>
      </c>
      <c r="JQ211" s="579">
        <f t="shared" si="755"/>
        <v>0</v>
      </c>
      <c r="JR211" s="579">
        <f t="shared" si="755"/>
        <v>0</v>
      </c>
      <c r="JS211" s="579">
        <f t="shared" si="755"/>
        <v>0</v>
      </c>
      <c r="JT211" s="579">
        <f t="shared" ref="JT211:JX211" si="756">IF($G$221="Yes",EJ42,0)</f>
        <v>0</v>
      </c>
      <c r="JU211" s="579">
        <f t="shared" si="756"/>
        <v>0</v>
      </c>
      <c r="JV211" s="579">
        <f t="shared" si="756"/>
        <v>0</v>
      </c>
      <c r="JW211" s="579">
        <f t="shared" si="756"/>
        <v>0</v>
      </c>
      <c r="JX211" s="579">
        <f t="shared" si="756"/>
        <v>0</v>
      </c>
    </row>
    <row r="212" spans="1:284" s="58" customFormat="1" x14ac:dyDescent="0.2">
      <c r="A212" s="409"/>
      <c r="B212" s="158" t="s">
        <v>193</v>
      </c>
      <c r="C212" s="159"/>
      <c r="D212" s="159"/>
      <c r="E212" s="159"/>
      <c r="F212" s="159"/>
      <c r="G212" s="184">
        <f ca="1">SUMIF(L212:EM212,"&gt;0")/-SUMIF(L212:EM212,"&lt;0")</f>
        <v>1.2984719861936886</v>
      </c>
      <c r="H212" s="185">
        <f ca="1">IF($L$53=0,XIRR(OFFSET($M$212,0,0,1,Timing_Analysis_End_Month),OFFSET($M$196,0,0,1,Timing_Analysis_End_Month)),XIRR(OFFSET($L$212,0,0,1,Timing_Analysis_End_Month+1),OFFSET($L$196,0,0,1,Timing_Analysis_End_Month+1)))</f>
        <v>9.2553362250328078E-2</v>
      </c>
      <c r="I212" s="182">
        <f ca="1">SUM(L212:EM212)</f>
        <v>16372397.596562989</v>
      </c>
      <c r="L212" s="65">
        <f ca="1">IF(L195="","",-L197+L203+L206)</f>
        <v>-3028509</v>
      </c>
      <c r="M212" s="65">
        <f t="shared" ref="M212:BX212" ca="1" si="757">IF(M195="","",-M197+M203+M206)</f>
        <v>-434615.43632992054</v>
      </c>
      <c r="N212" s="65">
        <f t="shared" ca="1" si="757"/>
        <v>-595115.21586161223</v>
      </c>
      <c r="O212" s="65">
        <f t="shared" ca="1" si="757"/>
        <v>-913409.18359364895</v>
      </c>
      <c r="P212" s="65">
        <f t="shared" ca="1" si="757"/>
        <v>-1467820.9038815256</v>
      </c>
      <c r="Q212" s="65">
        <f t="shared" ca="1" si="757"/>
        <v>-2309629.6734741665</v>
      </c>
      <c r="R212" s="65">
        <f t="shared" ca="1" si="757"/>
        <v>-3409858.2075612606</v>
      </c>
      <c r="S212" s="65">
        <f t="shared" ca="1" si="757"/>
        <v>-4618633.3206490651</v>
      </c>
      <c r="T212" s="65">
        <f t="shared" ca="1" si="757"/>
        <v>-5677109.6220104769</v>
      </c>
      <c r="U212" s="65">
        <f t="shared" ca="1" si="757"/>
        <v>-6300422.6669670288</v>
      </c>
      <c r="V212" s="65">
        <f t="shared" ca="1" si="757"/>
        <v>-6300422.6669670306</v>
      </c>
      <c r="W212" s="65">
        <f t="shared" ca="1" si="757"/>
        <v>-5677109.622010475</v>
      </c>
      <c r="X212" s="65">
        <f t="shared" ca="1" si="757"/>
        <v>-4618633.3206490669</v>
      </c>
      <c r="Y212" s="65">
        <f t="shared" ca="1" si="757"/>
        <v>-3409858.2075612592</v>
      </c>
      <c r="Z212" s="65">
        <f t="shared" ca="1" si="757"/>
        <v>-2309629.6734741665</v>
      </c>
      <c r="AA212" s="65">
        <f t="shared" ca="1" si="757"/>
        <v>-1467820.9038815245</v>
      </c>
      <c r="AB212" s="65">
        <f t="shared" ca="1" si="757"/>
        <v>-913409.1835936507</v>
      </c>
      <c r="AC212" s="65">
        <f t="shared" ca="1" si="757"/>
        <v>-595115.21586160944</v>
      </c>
      <c r="AD212" s="65">
        <f t="shared" ca="1" si="757"/>
        <v>-434615.43632992188</v>
      </c>
      <c r="AE212" s="65">
        <f t="shared" ca="1" si="757"/>
        <v>-137014.1267392564</v>
      </c>
      <c r="AF212" s="65">
        <f t="shared" ca="1" si="757"/>
        <v>-105738.43198636749</v>
      </c>
      <c r="AG212" s="65">
        <f t="shared" ca="1" si="757"/>
        <v>-74462.737233478663</v>
      </c>
      <c r="AH212" s="65">
        <f t="shared" ca="1" si="757"/>
        <v>-43187.042480589735</v>
      </c>
      <c r="AI212" s="65">
        <f t="shared" ca="1" si="757"/>
        <v>-11911.347727700826</v>
      </c>
      <c r="AJ212" s="65">
        <f t="shared" ca="1" si="757"/>
        <v>19364.347025188054</v>
      </c>
      <c r="AK212" s="65">
        <f t="shared" ca="1" si="757"/>
        <v>50640.041778076935</v>
      </c>
      <c r="AL212" s="65">
        <f t="shared" ca="1" si="757"/>
        <v>81915.73653096582</v>
      </c>
      <c r="AM212" s="65">
        <f t="shared" ca="1" si="757"/>
        <v>113191.43128385466</v>
      </c>
      <c r="AN212" s="65">
        <f t="shared" ca="1" si="757"/>
        <v>144467.12603674358</v>
      </c>
      <c r="AO212" s="65">
        <f t="shared" ca="1" si="757"/>
        <v>175742.8207896325</v>
      </c>
      <c r="AP212" s="65">
        <f t="shared" ca="1" si="757"/>
        <v>207018.5155425214</v>
      </c>
      <c r="AQ212" s="65">
        <f t="shared" ca="1" si="757"/>
        <v>223226.79761989755</v>
      </c>
      <c r="AR212" s="65">
        <f t="shared" ca="1" si="757"/>
        <v>255440.76321537315</v>
      </c>
      <c r="AS212" s="65">
        <f t="shared" ca="1" si="757"/>
        <v>294529.40665734163</v>
      </c>
      <c r="AT212" s="65">
        <f t="shared" ca="1" si="757"/>
        <v>295640.04453234165</v>
      </c>
      <c r="AU212" s="65">
        <f t="shared" ca="1" si="757"/>
        <v>296750.68240734166</v>
      </c>
      <c r="AV212" s="65">
        <f t="shared" ca="1" si="757"/>
        <v>297861.32028234168</v>
      </c>
      <c r="AW212" s="65">
        <f t="shared" ca="1" si="757"/>
        <v>298971.95815734164</v>
      </c>
      <c r="AX212" s="65">
        <f t="shared" ca="1" si="757"/>
        <v>300082.59603234159</v>
      </c>
      <c r="AY212" s="65">
        <f t="shared" ca="1" si="757"/>
        <v>301193.23390734167</v>
      </c>
      <c r="AZ212" s="65">
        <f t="shared" ca="1" si="757"/>
        <v>302303.87178234162</v>
      </c>
      <c r="BA212" s="65">
        <f t="shared" ca="1" si="757"/>
        <v>303414.50965734164</v>
      </c>
      <c r="BB212" s="65">
        <f t="shared" ca="1" si="757"/>
        <v>304525.14753234165</v>
      </c>
      <c r="BC212" s="65">
        <f t="shared" ca="1" si="757"/>
        <v>291922.13281565561</v>
      </c>
      <c r="BD212" s="65">
        <f t="shared" ca="1" si="757"/>
        <v>293066.08982690558</v>
      </c>
      <c r="BE212" s="65">
        <f t="shared" ca="1" si="757"/>
        <v>66375180.16997458</v>
      </c>
      <c r="BF212" s="65" t="str">
        <f t="shared" si="757"/>
        <v/>
      </c>
      <c r="BG212" s="65" t="str">
        <f t="shared" si="757"/>
        <v/>
      </c>
      <c r="BH212" s="65" t="str">
        <f t="shared" si="757"/>
        <v/>
      </c>
      <c r="BI212" s="65" t="str">
        <f t="shared" si="757"/>
        <v/>
      </c>
      <c r="BJ212" s="65" t="str">
        <f t="shared" si="757"/>
        <v/>
      </c>
      <c r="BK212" s="65" t="str">
        <f t="shared" si="757"/>
        <v/>
      </c>
      <c r="BL212" s="65" t="str">
        <f t="shared" si="757"/>
        <v/>
      </c>
      <c r="BM212" s="65" t="str">
        <f t="shared" si="757"/>
        <v/>
      </c>
      <c r="BN212" s="65" t="str">
        <f t="shared" si="757"/>
        <v/>
      </c>
      <c r="BO212" s="65" t="str">
        <f t="shared" si="757"/>
        <v/>
      </c>
      <c r="BP212" s="65" t="str">
        <f t="shared" si="757"/>
        <v/>
      </c>
      <c r="BQ212" s="65" t="str">
        <f t="shared" si="757"/>
        <v/>
      </c>
      <c r="BR212" s="65" t="str">
        <f t="shared" si="757"/>
        <v/>
      </c>
      <c r="BS212" s="65" t="str">
        <f t="shared" si="757"/>
        <v/>
      </c>
      <c r="BT212" s="65" t="str">
        <f t="shared" si="757"/>
        <v/>
      </c>
      <c r="BU212" s="65" t="str">
        <f t="shared" si="757"/>
        <v/>
      </c>
      <c r="BV212" s="65" t="str">
        <f t="shared" si="757"/>
        <v/>
      </c>
      <c r="BW212" s="65" t="str">
        <f t="shared" si="757"/>
        <v/>
      </c>
      <c r="BX212" s="65" t="str">
        <f t="shared" si="757"/>
        <v/>
      </c>
      <c r="BY212" s="65" t="str">
        <f t="shared" ref="BY212:EJ212" si="758">IF(BY195="","",-BY197+BY203+BY206)</f>
        <v/>
      </c>
      <c r="BZ212" s="65" t="str">
        <f t="shared" si="758"/>
        <v/>
      </c>
      <c r="CA212" s="65" t="str">
        <f t="shared" si="758"/>
        <v/>
      </c>
      <c r="CB212" s="65" t="str">
        <f t="shared" si="758"/>
        <v/>
      </c>
      <c r="CC212" s="65" t="str">
        <f t="shared" si="758"/>
        <v/>
      </c>
      <c r="CD212" s="65" t="str">
        <f t="shared" si="758"/>
        <v/>
      </c>
      <c r="CE212" s="65" t="str">
        <f t="shared" si="758"/>
        <v/>
      </c>
      <c r="CF212" s="65" t="str">
        <f t="shared" si="758"/>
        <v/>
      </c>
      <c r="CG212" s="65" t="str">
        <f t="shared" si="758"/>
        <v/>
      </c>
      <c r="CH212" s="65" t="str">
        <f t="shared" si="758"/>
        <v/>
      </c>
      <c r="CI212" s="65" t="str">
        <f t="shared" si="758"/>
        <v/>
      </c>
      <c r="CJ212" s="65" t="str">
        <f t="shared" si="758"/>
        <v/>
      </c>
      <c r="CK212" s="65" t="str">
        <f t="shared" si="758"/>
        <v/>
      </c>
      <c r="CL212" s="65" t="str">
        <f t="shared" si="758"/>
        <v/>
      </c>
      <c r="CM212" s="65" t="str">
        <f t="shared" si="758"/>
        <v/>
      </c>
      <c r="CN212" s="65" t="str">
        <f t="shared" si="758"/>
        <v/>
      </c>
      <c r="CO212" s="65" t="str">
        <f t="shared" si="758"/>
        <v/>
      </c>
      <c r="CP212" s="65" t="str">
        <f t="shared" si="758"/>
        <v/>
      </c>
      <c r="CQ212" s="65" t="str">
        <f t="shared" si="758"/>
        <v/>
      </c>
      <c r="CR212" s="65" t="str">
        <f t="shared" si="758"/>
        <v/>
      </c>
      <c r="CS212" s="65" t="str">
        <f t="shared" si="758"/>
        <v/>
      </c>
      <c r="CT212" s="65" t="str">
        <f t="shared" si="758"/>
        <v/>
      </c>
      <c r="CU212" s="65" t="str">
        <f t="shared" si="758"/>
        <v/>
      </c>
      <c r="CV212" s="65" t="str">
        <f t="shared" si="758"/>
        <v/>
      </c>
      <c r="CW212" s="65" t="str">
        <f t="shared" si="758"/>
        <v/>
      </c>
      <c r="CX212" s="65" t="str">
        <f t="shared" si="758"/>
        <v/>
      </c>
      <c r="CY212" s="65" t="str">
        <f t="shared" si="758"/>
        <v/>
      </c>
      <c r="CZ212" s="65" t="str">
        <f t="shared" si="758"/>
        <v/>
      </c>
      <c r="DA212" s="65" t="str">
        <f t="shared" si="758"/>
        <v/>
      </c>
      <c r="DB212" s="65" t="str">
        <f t="shared" si="758"/>
        <v/>
      </c>
      <c r="DC212" s="65" t="str">
        <f t="shared" si="758"/>
        <v/>
      </c>
      <c r="DD212" s="65" t="str">
        <f t="shared" si="758"/>
        <v/>
      </c>
      <c r="DE212" s="65" t="str">
        <f t="shared" si="758"/>
        <v/>
      </c>
      <c r="DF212" s="65" t="str">
        <f t="shared" si="758"/>
        <v/>
      </c>
      <c r="DG212" s="65" t="str">
        <f t="shared" si="758"/>
        <v/>
      </c>
      <c r="DH212" s="65" t="str">
        <f t="shared" si="758"/>
        <v/>
      </c>
      <c r="DI212" s="65" t="str">
        <f t="shared" si="758"/>
        <v/>
      </c>
      <c r="DJ212" s="65" t="str">
        <f t="shared" si="758"/>
        <v/>
      </c>
      <c r="DK212" s="65" t="str">
        <f t="shared" si="758"/>
        <v/>
      </c>
      <c r="DL212" s="65" t="str">
        <f t="shared" si="758"/>
        <v/>
      </c>
      <c r="DM212" s="65" t="str">
        <f t="shared" si="758"/>
        <v/>
      </c>
      <c r="DN212" s="65" t="str">
        <f t="shared" si="758"/>
        <v/>
      </c>
      <c r="DO212" s="65" t="str">
        <f t="shared" si="758"/>
        <v/>
      </c>
      <c r="DP212" s="65" t="str">
        <f t="shared" si="758"/>
        <v/>
      </c>
      <c r="DQ212" s="65" t="str">
        <f t="shared" si="758"/>
        <v/>
      </c>
      <c r="DR212" s="65" t="str">
        <f t="shared" si="758"/>
        <v/>
      </c>
      <c r="DS212" s="65" t="str">
        <f t="shared" si="758"/>
        <v/>
      </c>
      <c r="DT212" s="65" t="str">
        <f t="shared" si="758"/>
        <v/>
      </c>
      <c r="DU212" s="65" t="str">
        <f t="shared" si="758"/>
        <v/>
      </c>
      <c r="DV212" s="65" t="str">
        <f t="shared" si="758"/>
        <v/>
      </c>
      <c r="DW212" s="65" t="str">
        <f t="shared" si="758"/>
        <v/>
      </c>
      <c r="DX212" s="65" t="str">
        <f t="shared" si="758"/>
        <v/>
      </c>
      <c r="DY212" s="65" t="str">
        <f t="shared" si="758"/>
        <v/>
      </c>
      <c r="DZ212" s="65" t="str">
        <f t="shared" si="758"/>
        <v/>
      </c>
      <c r="EA212" s="65" t="str">
        <f t="shared" si="758"/>
        <v/>
      </c>
      <c r="EB212" s="65" t="str">
        <f t="shared" si="758"/>
        <v/>
      </c>
      <c r="EC212" s="65" t="str">
        <f t="shared" si="758"/>
        <v/>
      </c>
      <c r="ED212" s="65" t="str">
        <f t="shared" si="758"/>
        <v/>
      </c>
      <c r="EE212" s="65" t="str">
        <f t="shared" si="758"/>
        <v/>
      </c>
      <c r="EF212" s="65" t="str">
        <f t="shared" si="758"/>
        <v/>
      </c>
      <c r="EG212" s="65" t="str">
        <f t="shared" si="758"/>
        <v/>
      </c>
      <c r="EH212" s="65" t="str">
        <f t="shared" si="758"/>
        <v/>
      </c>
      <c r="EI212" s="65" t="str">
        <f t="shared" si="758"/>
        <v/>
      </c>
      <c r="EJ212" s="65" t="str">
        <f t="shared" si="758"/>
        <v/>
      </c>
      <c r="EK212" s="65" t="str">
        <f>IF(EK195="","",-EK197+EK203+EK206)</f>
        <v/>
      </c>
      <c r="EL212" s="65" t="str">
        <f>IF(EL195="","",-EL197+EL203+EL206)</f>
        <v/>
      </c>
      <c r="EM212" s="65" t="str">
        <f>IF(EM195="","",-EM197+EM203+EM206)</f>
        <v/>
      </c>
      <c r="EN212" s="65" t="str">
        <f>IF(EN195="","",-EN197+EN203+EN206)</f>
        <v/>
      </c>
      <c r="EP212" s="37"/>
      <c r="EQ212" s="24"/>
      <c r="ER212" s="24"/>
      <c r="ES212" s="24"/>
      <c r="ET212" s="33" t="s">
        <v>378</v>
      </c>
      <c r="EU212" s="33"/>
      <c r="EV212" s="222">
        <f t="shared" ref="EV212:GA212" ca="1" si="759">+EV208+EV202</f>
        <v>0</v>
      </c>
      <c r="EW212" s="222">
        <f t="shared" ca="1" si="759"/>
        <v>0</v>
      </c>
      <c r="EX212" s="222">
        <f t="shared" ca="1" si="759"/>
        <v>0</v>
      </c>
      <c r="EY212" s="222">
        <f t="shared" ca="1" si="759"/>
        <v>0</v>
      </c>
      <c r="EZ212" s="222">
        <f t="shared" ca="1" si="759"/>
        <v>0</v>
      </c>
      <c r="FA212" s="222">
        <f t="shared" ca="1" si="759"/>
        <v>0</v>
      </c>
      <c r="FB212" s="222">
        <f t="shared" ca="1" si="759"/>
        <v>0</v>
      </c>
      <c r="FC212" s="222">
        <f t="shared" ca="1" si="759"/>
        <v>0</v>
      </c>
      <c r="FD212" s="222">
        <f t="shared" ca="1" si="759"/>
        <v>0</v>
      </c>
      <c r="FE212" s="222">
        <f t="shared" ca="1" si="759"/>
        <v>0</v>
      </c>
      <c r="FF212" s="222">
        <f t="shared" ca="1" si="759"/>
        <v>0</v>
      </c>
      <c r="FG212" s="222">
        <f t="shared" ca="1" si="759"/>
        <v>0</v>
      </c>
      <c r="FH212" s="222">
        <f t="shared" ca="1" si="759"/>
        <v>0</v>
      </c>
      <c r="FI212" s="222">
        <f t="shared" ca="1" si="759"/>
        <v>0</v>
      </c>
      <c r="FJ212" s="222">
        <f t="shared" ca="1" si="759"/>
        <v>0</v>
      </c>
      <c r="FK212" s="222">
        <f t="shared" ca="1" si="759"/>
        <v>0</v>
      </c>
      <c r="FL212" s="222">
        <f t="shared" ca="1" si="759"/>
        <v>0</v>
      </c>
      <c r="FM212" s="222">
        <f t="shared" ca="1" si="759"/>
        <v>0</v>
      </c>
      <c r="FN212" s="222">
        <f t="shared" ca="1" si="759"/>
        <v>0</v>
      </c>
      <c r="FO212" s="222">
        <f t="shared" ca="1" si="759"/>
        <v>0</v>
      </c>
      <c r="FP212" s="222">
        <f t="shared" ca="1" si="759"/>
        <v>1.4551915228366852E-11</v>
      </c>
      <c r="FQ212" s="222">
        <f t="shared" ca="1" si="759"/>
        <v>0</v>
      </c>
      <c r="FR212" s="222">
        <f t="shared" ca="1" si="759"/>
        <v>0</v>
      </c>
      <c r="FS212" s="222">
        <f t="shared" ca="1" si="759"/>
        <v>9.0949470177292824E-12</v>
      </c>
      <c r="FT212" s="222">
        <f t="shared" ca="1" si="759"/>
        <v>0</v>
      </c>
      <c r="FU212" s="222">
        <f t="shared" ca="1" si="759"/>
        <v>0</v>
      </c>
      <c r="FV212" s="222">
        <f t="shared" ca="1" si="759"/>
        <v>0</v>
      </c>
      <c r="FW212" s="222">
        <f t="shared" ca="1" si="759"/>
        <v>0</v>
      </c>
      <c r="FX212" s="222">
        <f t="shared" ca="1" si="759"/>
        <v>0</v>
      </c>
      <c r="FY212" s="222">
        <f t="shared" ca="1" si="759"/>
        <v>0</v>
      </c>
      <c r="FZ212" s="222">
        <f t="shared" ca="1" si="759"/>
        <v>2097.4921349482902</v>
      </c>
      <c r="GA212" s="222">
        <f t="shared" ca="1" si="759"/>
        <v>18305.774212324439</v>
      </c>
      <c r="GB212" s="222">
        <f t="shared" ref="GB212:HG212" ca="1" si="760">+GB208+GB202</f>
        <v>50519.739807800041</v>
      </c>
      <c r="GC212" s="222">
        <f t="shared" ca="1" si="760"/>
        <v>89608.383249768522</v>
      </c>
      <c r="GD212" s="222">
        <f t="shared" ca="1" si="760"/>
        <v>90719.021124768537</v>
      </c>
      <c r="GE212" s="222">
        <f t="shared" ca="1" si="760"/>
        <v>91829.658999768537</v>
      </c>
      <c r="GF212" s="222">
        <f t="shared" ca="1" si="760"/>
        <v>92940.296874768566</v>
      </c>
      <c r="GG212" s="222">
        <f t="shared" ca="1" si="760"/>
        <v>94050.934749768523</v>
      </c>
      <c r="GH212" s="222">
        <f t="shared" ca="1" si="760"/>
        <v>95161.57262476848</v>
      </c>
      <c r="GI212" s="222">
        <f t="shared" ca="1" si="760"/>
        <v>96272.210499768553</v>
      </c>
      <c r="GJ212" s="222">
        <f t="shared" ca="1" si="760"/>
        <v>97382.84837476851</v>
      </c>
      <c r="GK212" s="222">
        <f t="shared" ca="1" si="760"/>
        <v>98493.48624976851</v>
      </c>
      <c r="GL212" s="222">
        <f t="shared" ca="1" si="760"/>
        <v>99604.124124768525</v>
      </c>
      <c r="GM212" s="222">
        <f t="shared" ca="1" si="760"/>
        <v>87001.109408082499</v>
      </c>
      <c r="GN212" s="222">
        <f t="shared" ca="1" si="760"/>
        <v>88145.066419332463</v>
      </c>
      <c r="GO212" s="222">
        <f t="shared" ca="1" si="760"/>
        <v>18437907.394013029</v>
      </c>
      <c r="GP212" s="222">
        <f t="shared" ca="1" si="760"/>
        <v>0</v>
      </c>
      <c r="GQ212" s="222">
        <f t="shared" ca="1" si="760"/>
        <v>0</v>
      </c>
      <c r="GR212" s="222">
        <f t="shared" ca="1" si="760"/>
        <v>0</v>
      </c>
      <c r="GS212" s="222">
        <f t="shared" ca="1" si="760"/>
        <v>0</v>
      </c>
      <c r="GT212" s="222">
        <f t="shared" ca="1" si="760"/>
        <v>0</v>
      </c>
      <c r="GU212" s="222">
        <f t="shared" ca="1" si="760"/>
        <v>0</v>
      </c>
      <c r="GV212" s="222">
        <f t="shared" ca="1" si="760"/>
        <v>0</v>
      </c>
      <c r="GW212" s="222">
        <f t="shared" ca="1" si="760"/>
        <v>0</v>
      </c>
      <c r="GX212" s="222">
        <f t="shared" ca="1" si="760"/>
        <v>0</v>
      </c>
      <c r="GY212" s="222">
        <f t="shared" ca="1" si="760"/>
        <v>0</v>
      </c>
      <c r="GZ212" s="222">
        <f t="shared" ca="1" si="760"/>
        <v>0</v>
      </c>
      <c r="HA212" s="222">
        <f t="shared" ca="1" si="760"/>
        <v>0</v>
      </c>
      <c r="HB212" s="222">
        <f t="shared" ca="1" si="760"/>
        <v>0</v>
      </c>
      <c r="HC212" s="222">
        <f t="shared" ca="1" si="760"/>
        <v>0</v>
      </c>
      <c r="HD212" s="222">
        <f t="shared" ca="1" si="760"/>
        <v>0</v>
      </c>
      <c r="HE212" s="222">
        <f t="shared" ca="1" si="760"/>
        <v>0</v>
      </c>
      <c r="HF212" s="222">
        <f t="shared" ca="1" si="760"/>
        <v>0</v>
      </c>
      <c r="HG212" s="222">
        <f t="shared" ca="1" si="760"/>
        <v>0</v>
      </c>
      <c r="HH212" s="222">
        <f t="shared" ref="HH212:IM212" ca="1" si="761">+HH208+HH202</f>
        <v>0</v>
      </c>
      <c r="HI212" s="222">
        <f t="shared" ca="1" si="761"/>
        <v>0</v>
      </c>
      <c r="HJ212" s="222">
        <f t="shared" ca="1" si="761"/>
        <v>0</v>
      </c>
      <c r="HK212" s="222">
        <f t="shared" ca="1" si="761"/>
        <v>0</v>
      </c>
      <c r="HL212" s="222">
        <f t="shared" ca="1" si="761"/>
        <v>0</v>
      </c>
      <c r="HM212" s="222">
        <f t="shared" ca="1" si="761"/>
        <v>0</v>
      </c>
      <c r="HN212" s="222">
        <f t="shared" ca="1" si="761"/>
        <v>0</v>
      </c>
      <c r="HO212" s="222">
        <f t="shared" ca="1" si="761"/>
        <v>0</v>
      </c>
      <c r="HP212" s="222">
        <f t="shared" ca="1" si="761"/>
        <v>0</v>
      </c>
      <c r="HQ212" s="222">
        <f t="shared" ca="1" si="761"/>
        <v>0</v>
      </c>
      <c r="HR212" s="222">
        <f t="shared" ca="1" si="761"/>
        <v>0</v>
      </c>
      <c r="HS212" s="222">
        <f t="shared" ca="1" si="761"/>
        <v>0</v>
      </c>
      <c r="HT212" s="222">
        <f t="shared" ca="1" si="761"/>
        <v>0</v>
      </c>
      <c r="HU212" s="222">
        <f t="shared" ca="1" si="761"/>
        <v>0</v>
      </c>
      <c r="HV212" s="222">
        <f t="shared" ca="1" si="761"/>
        <v>0</v>
      </c>
      <c r="HW212" s="222">
        <f t="shared" ca="1" si="761"/>
        <v>0</v>
      </c>
      <c r="HX212" s="222">
        <f t="shared" ca="1" si="761"/>
        <v>0</v>
      </c>
      <c r="HY212" s="222">
        <f t="shared" ca="1" si="761"/>
        <v>0</v>
      </c>
      <c r="HZ212" s="222">
        <f t="shared" ca="1" si="761"/>
        <v>0</v>
      </c>
      <c r="IA212" s="222">
        <f t="shared" ca="1" si="761"/>
        <v>0</v>
      </c>
      <c r="IB212" s="222">
        <f t="shared" ca="1" si="761"/>
        <v>0</v>
      </c>
      <c r="IC212" s="222">
        <f t="shared" ca="1" si="761"/>
        <v>0</v>
      </c>
      <c r="ID212" s="222">
        <f t="shared" ca="1" si="761"/>
        <v>0</v>
      </c>
      <c r="IE212" s="222">
        <f t="shared" ca="1" si="761"/>
        <v>0</v>
      </c>
      <c r="IF212" s="222">
        <f t="shared" ca="1" si="761"/>
        <v>0</v>
      </c>
      <c r="IG212" s="222">
        <f t="shared" ca="1" si="761"/>
        <v>0</v>
      </c>
      <c r="IH212" s="222">
        <f t="shared" ca="1" si="761"/>
        <v>0</v>
      </c>
      <c r="II212" s="222">
        <f t="shared" ca="1" si="761"/>
        <v>0</v>
      </c>
      <c r="IJ212" s="222">
        <f t="shared" ca="1" si="761"/>
        <v>0</v>
      </c>
      <c r="IK212" s="222">
        <f t="shared" ca="1" si="761"/>
        <v>0</v>
      </c>
      <c r="IL212" s="222">
        <f t="shared" ca="1" si="761"/>
        <v>0</v>
      </c>
      <c r="IM212" s="222">
        <f t="shared" ca="1" si="761"/>
        <v>0</v>
      </c>
      <c r="IN212" s="222">
        <f t="shared" ref="IN212:JX212" ca="1" si="762">+IN208+IN202</f>
        <v>0</v>
      </c>
      <c r="IO212" s="222">
        <f t="shared" ca="1" si="762"/>
        <v>0</v>
      </c>
      <c r="IP212" s="222">
        <f t="shared" ca="1" si="762"/>
        <v>0</v>
      </c>
      <c r="IQ212" s="222">
        <f t="shared" ca="1" si="762"/>
        <v>0</v>
      </c>
      <c r="IR212" s="222">
        <f t="shared" ca="1" si="762"/>
        <v>0</v>
      </c>
      <c r="IS212" s="222">
        <f t="shared" ca="1" si="762"/>
        <v>0</v>
      </c>
      <c r="IT212" s="222">
        <f t="shared" ca="1" si="762"/>
        <v>0</v>
      </c>
      <c r="IU212" s="222">
        <f t="shared" ca="1" si="762"/>
        <v>0</v>
      </c>
      <c r="IV212" s="222">
        <f t="shared" ca="1" si="762"/>
        <v>0</v>
      </c>
      <c r="IW212" s="222">
        <f t="shared" ca="1" si="762"/>
        <v>0</v>
      </c>
      <c r="IX212" s="222">
        <f t="shared" ca="1" si="762"/>
        <v>0</v>
      </c>
      <c r="IY212" s="222">
        <f t="shared" ca="1" si="762"/>
        <v>0</v>
      </c>
      <c r="IZ212" s="222">
        <f t="shared" ca="1" si="762"/>
        <v>0</v>
      </c>
      <c r="JA212" s="222">
        <f t="shared" ca="1" si="762"/>
        <v>0</v>
      </c>
      <c r="JB212" s="222">
        <f t="shared" ca="1" si="762"/>
        <v>0</v>
      </c>
      <c r="JC212" s="222">
        <f t="shared" ca="1" si="762"/>
        <v>0</v>
      </c>
      <c r="JD212" s="222">
        <f t="shared" ca="1" si="762"/>
        <v>0</v>
      </c>
      <c r="JE212" s="222">
        <f t="shared" ca="1" si="762"/>
        <v>0</v>
      </c>
      <c r="JF212" s="222">
        <f t="shared" ca="1" si="762"/>
        <v>0</v>
      </c>
      <c r="JG212" s="222">
        <f t="shared" ca="1" si="762"/>
        <v>0</v>
      </c>
      <c r="JH212" s="222">
        <f t="shared" ca="1" si="762"/>
        <v>0</v>
      </c>
      <c r="JI212" s="222">
        <f t="shared" ca="1" si="762"/>
        <v>0</v>
      </c>
      <c r="JJ212" s="222">
        <f t="shared" ca="1" si="762"/>
        <v>0</v>
      </c>
      <c r="JK212" s="222">
        <f t="shared" ca="1" si="762"/>
        <v>0</v>
      </c>
      <c r="JL212" s="222">
        <f t="shared" ca="1" si="762"/>
        <v>0</v>
      </c>
      <c r="JM212" s="222">
        <f t="shared" ca="1" si="762"/>
        <v>0</v>
      </c>
      <c r="JN212" s="222">
        <f t="shared" ca="1" si="762"/>
        <v>0</v>
      </c>
      <c r="JO212" s="222">
        <f t="shared" ca="1" si="762"/>
        <v>0</v>
      </c>
      <c r="JP212" s="222">
        <f t="shared" ca="1" si="762"/>
        <v>0</v>
      </c>
      <c r="JQ212" s="222">
        <f t="shared" ca="1" si="762"/>
        <v>0</v>
      </c>
      <c r="JR212" s="222">
        <f t="shared" ca="1" si="762"/>
        <v>0</v>
      </c>
      <c r="JS212" s="222">
        <f t="shared" ca="1" si="762"/>
        <v>0</v>
      </c>
      <c r="JT212" s="222">
        <f t="shared" ca="1" si="762"/>
        <v>0</v>
      </c>
      <c r="JU212" s="222">
        <f t="shared" ca="1" si="762"/>
        <v>0</v>
      </c>
      <c r="JV212" s="222">
        <f t="shared" ca="1" si="762"/>
        <v>0</v>
      </c>
      <c r="JW212" s="222">
        <f t="shared" ca="1" si="762"/>
        <v>0</v>
      </c>
      <c r="JX212" s="222">
        <f t="shared" ca="1" si="762"/>
        <v>0</v>
      </c>
    </row>
    <row r="213" spans="1:284" s="58" customFormat="1" x14ac:dyDescent="0.2">
      <c r="A213" s="409"/>
      <c r="B213" s="158" t="s">
        <v>194</v>
      </c>
      <c r="C213" s="159"/>
      <c r="D213" s="159"/>
      <c r="E213" s="159"/>
      <c r="F213" s="159"/>
      <c r="G213" s="184">
        <f ca="1">SUMIF(L213:EM213,"&gt;0")/-SUMIF(L213:EM213,"&lt;0")</f>
        <v>1.60213156386134</v>
      </c>
      <c r="H213" s="185">
        <f ca="1">IF($L$53=0,XIRR(OFFSET($M$213,0,0,1,Timing_Analysis_End_Month),OFFSET($M$196,0,0,1,Timing_Analysis_End_Month)),XIRR(OFFSET($L$213,0,0,1,Timing_Analysis_End_Month+1),OFFSET($L$196,0,0,1,Timing_Analysis_End_Month+1)))</f>
        <v>0.14798039793968204</v>
      </c>
      <c r="I213" s="182">
        <f ca="1">SUM(L213:EM213)</f>
        <v>8813528.720247278</v>
      </c>
      <c r="L213" s="65">
        <f ca="1">IF(L195="","",-L49-L197-L198+L200+L201+L203-L204+L206+L207+L208)</f>
        <v>-3753159.5276612928</v>
      </c>
      <c r="M213" s="65">
        <f t="shared" ref="M213:BX213" ca="1" si="763">IF(M195="","",-M49-M197-M198+M200+M201+M203-M204+M206+M207+M208)</f>
        <v>-434615.43632992054</v>
      </c>
      <c r="N213" s="65">
        <f t="shared" ca="1" si="763"/>
        <v>-595115.21586161223</v>
      </c>
      <c r="O213" s="65">
        <f t="shared" ca="1" si="763"/>
        <v>-913409.18359364895</v>
      </c>
      <c r="P213" s="65">
        <f t="shared" ca="1" si="763"/>
        <v>-1467820.9038815256</v>
      </c>
      <c r="Q213" s="65">
        <f t="shared" ca="1" si="763"/>
        <v>-2309629.6734741665</v>
      </c>
      <c r="R213" s="65">
        <f t="shared" ca="1" si="763"/>
        <v>-3409858.2075612606</v>
      </c>
      <c r="S213" s="65">
        <f t="shared" ca="1" si="763"/>
        <v>-1753606.1237601093</v>
      </c>
      <c r="T213" s="65">
        <f t="shared" ca="1" si="763"/>
        <v>0</v>
      </c>
      <c r="U213" s="65">
        <f t="shared" ca="1" si="763"/>
        <v>0</v>
      </c>
      <c r="V213" s="65">
        <f t="shared" ca="1" si="763"/>
        <v>0</v>
      </c>
      <c r="W213" s="65">
        <f t="shared" ca="1" si="763"/>
        <v>0</v>
      </c>
      <c r="X213" s="65">
        <f t="shared" ca="1" si="763"/>
        <v>0</v>
      </c>
      <c r="Y213" s="65">
        <f t="shared" ca="1" si="763"/>
        <v>0</v>
      </c>
      <c r="Z213" s="65">
        <f t="shared" ca="1" si="763"/>
        <v>0</v>
      </c>
      <c r="AA213" s="65">
        <f t="shared" ca="1" si="763"/>
        <v>0</v>
      </c>
      <c r="AB213" s="65">
        <f t="shared" ca="1" si="763"/>
        <v>0</v>
      </c>
      <c r="AC213" s="65">
        <f t="shared" ca="1" si="763"/>
        <v>0</v>
      </c>
      <c r="AD213" s="65">
        <f t="shared" ca="1" si="763"/>
        <v>0</v>
      </c>
      <c r="AE213" s="65">
        <f t="shared" ca="1" si="763"/>
        <v>0</v>
      </c>
      <c r="AF213" s="65">
        <f t="shared" ca="1" si="763"/>
        <v>1.4551915228366852E-11</v>
      </c>
      <c r="AG213" s="65">
        <f t="shared" ca="1" si="763"/>
        <v>0</v>
      </c>
      <c r="AH213" s="65">
        <f t="shared" ca="1" si="763"/>
        <v>0</v>
      </c>
      <c r="AI213" s="65">
        <f t="shared" ca="1" si="763"/>
        <v>9.0949470177292824E-12</v>
      </c>
      <c r="AJ213" s="65">
        <f t="shared" ca="1" si="763"/>
        <v>-1.0913936421275139E-11</v>
      </c>
      <c r="AK213" s="65">
        <f t="shared" ca="1" si="763"/>
        <v>0</v>
      </c>
      <c r="AL213" s="65">
        <f t="shared" ca="1" si="763"/>
        <v>0</v>
      </c>
      <c r="AM213" s="65">
        <f t="shared" ca="1" si="763"/>
        <v>0</v>
      </c>
      <c r="AN213" s="65">
        <f t="shared" ca="1" si="763"/>
        <v>0</v>
      </c>
      <c r="AO213" s="65">
        <f t="shared" ca="1" si="763"/>
        <v>0</v>
      </c>
      <c r="AP213" s="65">
        <f t="shared" ca="1" si="763"/>
        <v>2097.4921349482902</v>
      </c>
      <c r="AQ213" s="65">
        <f t="shared" ca="1" si="763"/>
        <v>18305.774212324439</v>
      </c>
      <c r="AR213" s="65">
        <f t="shared" ca="1" si="763"/>
        <v>50519.739807800041</v>
      </c>
      <c r="AS213" s="65">
        <f t="shared" ca="1" si="763"/>
        <v>89608.383249768522</v>
      </c>
      <c r="AT213" s="65">
        <f t="shared" ca="1" si="763"/>
        <v>90719.021124768537</v>
      </c>
      <c r="AU213" s="65">
        <f t="shared" ca="1" si="763"/>
        <v>91829.658999768551</v>
      </c>
      <c r="AV213" s="65">
        <f t="shared" ca="1" si="763"/>
        <v>92940.296874768566</v>
      </c>
      <c r="AW213" s="65">
        <f t="shared" ca="1" si="763"/>
        <v>94050.934749768523</v>
      </c>
      <c r="AX213" s="65">
        <f t="shared" ca="1" si="763"/>
        <v>95161.57262476848</v>
      </c>
      <c r="AY213" s="65">
        <f t="shared" ca="1" si="763"/>
        <v>96272.210499768553</v>
      </c>
      <c r="AZ213" s="65">
        <f t="shared" ca="1" si="763"/>
        <v>97382.84837476851</v>
      </c>
      <c r="BA213" s="65">
        <f t="shared" ca="1" si="763"/>
        <v>98493.486249768524</v>
      </c>
      <c r="BB213" s="65">
        <f t="shared" ca="1" si="763"/>
        <v>99604.124124768539</v>
      </c>
      <c r="BC213" s="65">
        <f t="shared" ca="1" si="763"/>
        <v>87001.109408082499</v>
      </c>
      <c r="BD213" s="65">
        <f t="shared" ca="1" si="763"/>
        <v>88145.066419332463</v>
      </c>
      <c r="BE213" s="65">
        <f t="shared" ca="1" si="763"/>
        <v>22258611.273515634</v>
      </c>
      <c r="BF213" s="65" t="str">
        <f t="shared" si="763"/>
        <v/>
      </c>
      <c r="BG213" s="65" t="str">
        <f t="shared" si="763"/>
        <v/>
      </c>
      <c r="BH213" s="65" t="str">
        <f t="shared" si="763"/>
        <v/>
      </c>
      <c r="BI213" s="65" t="str">
        <f t="shared" si="763"/>
        <v/>
      </c>
      <c r="BJ213" s="65" t="str">
        <f t="shared" si="763"/>
        <v/>
      </c>
      <c r="BK213" s="65" t="str">
        <f t="shared" si="763"/>
        <v/>
      </c>
      <c r="BL213" s="65" t="str">
        <f t="shared" si="763"/>
        <v/>
      </c>
      <c r="BM213" s="65" t="str">
        <f t="shared" si="763"/>
        <v/>
      </c>
      <c r="BN213" s="65" t="str">
        <f t="shared" si="763"/>
        <v/>
      </c>
      <c r="BO213" s="65" t="str">
        <f t="shared" si="763"/>
        <v/>
      </c>
      <c r="BP213" s="65" t="str">
        <f t="shared" si="763"/>
        <v/>
      </c>
      <c r="BQ213" s="65" t="str">
        <f t="shared" si="763"/>
        <v/>
      </c>
      <c r="BR213" s="65" t="str">
        <f t="shared" si="763"/>
        <v/>
      </c>
      <c r="BS213" s="65" t="str">
        <f t="shared" si="763"/>
        <v/>
      </c>
      <c r="BT213" s="65" t="str">
        <f t="shared" si="763"/>
        <v/>
      </c>
      <c r="BU213" s="65" t="str">
        <f t="shared" si="763"/>
        <v/>
      </c>
      <c r="BV213" s="65" t="str">
        <f t="shared" si="763"/>
        <v/>
      </c>
      <c r="BW213" s="65" t="str">
        <f t="shared" si="763"/>
        <v/>
      </c>
      <c r="BX213" s="65" t="str">
        <f t="shared" si="763"/>
        <v/>
      </c>
      <c r="BY213" s="65" t="str">
        <f t="shared" ref="BY213:EJ213" si="764">IF(BY195="","",-BY49-BY197-BY198+BY200+BY201+BY203-BY204+BY206+BY207+BY208)</f>
        <v/>
      </c>
      <c r="BZ213" s="65" t="str">
        <f t="shared" si="764"/>
        <v/>
      </c>
      <c r="CA213" s="65" t="str">
        <f t="shared" si="764"/>
        <v/>
      </c>
      <c r="CB213" s="65" t="str">
        <f t="shared" si="764"/>
        <v/>
      </c>
      <c r="CC213" s="65" t="str">
        <f t="shared" si="764"/>
        <v/>
      </c>
      <c r="CD213" s="65" t="str">
        <f t="shared" si="764"/>
        <v/>
      </c>
      <c r="CE213" s="65" t="str">
        <f t="shared" si="764"/>
        <v/>
      </c>
      <c r="CF213" s="65" t="str">
        <f t="shared" si="764"/>
        <v/>
      </c>
      <c r="CG213" s="65" t="str">
        <f t="shared" si="764"/>
        <v/>
      </c>
      <c r="CH213" s="65" t="str">
        <f t="shared" si="764"/>
        <v/>
      </c>
      <c r="CI213" s="65" t="str">
        <f t="shared" si="764"/>
        <v/>
      </c>
      <c r="CJ213" s="65" t="str">
        <f t="shared" si="764"/>
        <v/>
      </c>
      <c r="CK213" s="65" t="str">
        <f t="shared" si="764"/>
        <v/>
      </c>
      <c r="CL213" s="65" t="str">
        <f t="shared" si="764"/>
        <v/>
      </c>
      <c r="CM213" s="65" t="str">
        <f t="shared" si="764"/>
        <v/>
      </c>
      <c r="CN213" s="65" t="str">
        <f t="shared" si="764"/>
        <v/>
      </c>
      <c r="CO213" s="65" t="str">
        <f t="shared" si="764"/>
        <v/>
      </c>
      <c r="CP213" s="65" t="str">
        <f t="shared" si="764"/>
        <v/>
      </c>
      <c r="CQ213" s="65" t="str">
        <f t="shared" si="764"/>
        <v/>
      </c>
      <c r="CR213" s="65" t="str">
        <f t="shared" si="764"/>
        <v/>
      </c>
      <c r="CS213" s="65" t="str">
        <f t="shared" si="764"/>
        <v/>
      </c>
      <c r="CT213" s="65" t="str">
        <f t="shared" si="764"/>
        <v/>
      </c>
      <c r="CU213" s="65" t="str">
        <f t="shared" si="764"/>
        <v/>
      </c>
      <c r="CV213" s="65" t="str">
        <f t="shared" si="764"/>
        <v/>
      </c>
      <c r="CW213" s="65" t="str">
        <f t="shared" si="764"/>
        <v/>
      </c>
      <c r="CX213" s="65" t="str">
        <f t="shared" si="764"/>
        <v/>
      </c>
      <c r="CY213" s="65" t="str">
        <f t="shared" si="764"/>
        <v/>
      </c>
      <c r="CZ213" s="65" t="str">
        <f t="shared" si="764"/>
        <v/>
      </c>
      <c r="DA213" s="65" t="str">
        <f t="shared" si="764"/>
        <v/>
      </c>
      <c r="DB213" s="65" t="str">
        <f t="shared" si="764"/>
        <v/>
      </c>
      <c r="DC213" s="65" t="str">
        <f t="shared" si="764"/>
        <v/>
      </c>
      <c r="DD213" s="65" t="str">
        <f t="shared" si="764"/>
        <v/>
      </c>
      <c r="DE213" s="65" t="str">
        <f t="shared" si="764"/>
        <v/>
      </c>
      <c r="DF213" s="65" t="str">
        <f t="shared" si="764"/>
        <v/>
      </c>
      <c r="DG213" s="65" t="str">
        <f t="shared" si="764"/>
        <v/>
      </c>
      <c r="DH213" s="65" t="str">
        <f t="shared" si="764"/>
        <v/>
      </c>
      <c r="DI213" s="65" t="str">
        <f t="shared" si="764"/>
        <v/>
      </c>
      <c r="DJ213" s="65" t="str">
        <f t="shared" si="764"/>
        <v/>
      </c>
      <c r="DK213" s="65" t="str">
        <f t="shared" si="764"/>
        <v/>
      </c>
      <c r="DL213" s="65" t="str">
        <f t="shared" si="764"/>
        <v/>
      </c>
      <c r="DM213" s="65" t="str">
        <f t="shared" si="764"/>
        <v/>
      </c>
      <c r="DN213" s="65" t="str">
        <f t="shared" si="764"/>
        <v/>
      </c>
      <c r="DO213" s="65" t="str">
        <f t="shared" si="764"/>
        <v/>
      </c>
      <c r="DP213" s="65" t="str">
        <f t="shared" si="764"/>
        <v/>
      </c>
      <c r="DQ213" s="65" t="str">
        <f t="shared" si="764"/>
        <v/>
      </c>
      <c r="DR213" s="65" t="str">
        <f t="shared" si="764"/>
        <v/>
      </c>
      <c r="DS213" s="65" t="str">
        <f t="shared" si="764"/>
        <v/>
      </c>
      <c r="DT213" s="65" t="str">
        <f t="shared" si="764"/>
        <v/>
      </c>
      <c r="DU213" s="65" t="str">
        <f t="shared" si="764"/>
        <v/>
      </c>
      <c r="DV213" s="65" t="str">
        <f t="shared" si="764"/>
        <v/>
      </c>
      <c r="DW213" s="65" t="str">
        <f t="shared" si="764"/>
        <v/>
      </c>
      <c r="DX213" s="65" t="str">
        <f t="shared" si="764"/>
        <v/>
      </c>
      <c r="DY213" s="65" t="str">
        <f t="shared" si="764"/>
        <v/>
      </c>
      <c r="DZ213" s="65" t="str">
        <f t="shared" si="764"/>
        <v/>
      </c>
      <c r="EA213" s="65" t="str">
        <f t="shared" si="764"/>
        <v/>
      </c>
      <c r="EB213" s="65" t="str">
        <f t="shared" si="764"/>
        <v/>
      </c>
      <c r="EC213" s="65" t="str">
        <f t="shared" si="764"/>
        <v/>
      </c>
      <c r="ED213" s="65" t="str">
        <f t="shared" si="764"/>
        <v/>
      </c>
      <c r="EE213" s="65" t="str">
        <f t="shared" si="764"/>
        <v/>
      </c>
      <c r="EF213" s="65" t="str">
        <f t="shared" si="764"/>
        <v/>
      </c>
      <c r="EG213" s="65" t="str">
        <f t="shared" si="764"/>
        <v/>
      </c>
      <c r="EH213" s="65" t="str">
        <f t="shared" si="764"/>
        <v/>
      </c>
      <c r="EI213" s="65" t="str">
        <f t="shared" si="764"/>
        <v/>
      </c>
      <c r="EJ213" s="65" t="str">
        <f t="shared" si="764"/>
        <v/>
      </c>
      <c r="EK213" s="65" t="str">
        <f t="shared" ref="EK213:EN213" si="765">IF(EK195="","",-EK49-EK197-EK198+EK200+EK201+EK203-EK204+EK206+EK207+EK208)</f>
        <v/>
      </c>
      <c r="EL213" s="65" t="str">
        <f t="shared" si="765"/>
        <v/>
      </c>
      <c r="EM213" s="65" t="str">
        <f t="shared" si="765"/>
        <v/>
      </c>
      <c r="EN213" s="65" t="str">
        <f t="shared" si="765"/>
        <v/>
      </c>
      <c r="EP213" s="227"/>
      <c r="EQ213" s="228"/>
      <c r="ER213" s="228"/>
      <c r="ES213" s="228"/>
      <c r="ET213" s="229" t="s">
        <v>373</v>
      </c>
      <c r="EU213" s="229"/>
      <c r="EV213" s="230">
        <f t="shared" ref="EV213:GA213" ca="1" si="766">MAX(EV196-EV212,0)</f>
        <v>0</v>
      </c>
      <c r="EW213" s="230">
        <f t="shared" ca="1" si="766"/>
        <v>0</v>
      </c>
      <c r="EX213" s="230">
        <f t="shared" ca="1" si="766"/>
        <v>0</v>
      </c>
      <c r="EY213" s="230">
        <f t="shared" ca="1" si="766"/>
        <v>0</v>
      </c>
      <c r="EZ213" s="230">
        <f t="shared" ca="1" si="766"/>
        <v>0</v>
      </c>
      <c r="FA213" s="230">
        <f t="shared" ca="1" si="766"/>
        <v>0</v>
      </c>
      <c r="FB213" s="230">
        <f t="shared" ca="1" si="766"/>
        <v>0</v>
      </c>
      <c r="FC213" s="230">
        <f t="shared" ca="1" si="766"/>
        <v>0</v>
      </c>
      <c r="FD213" s="230">
        <f t="shared" ca="1" si="766"/>
        <v>0</v>
      </c>
      <c r="FE213" s="230">
        <f t="shared" ca="1" si="766"/>
        <v>0</v>
      </c>
      <c r="FF213" s="230">
        <f t="shared" ca="1" si="766"/>
        <v>0</v>
      </c>
      <c r="FG213" s="230">
        <f t="shared" ca="1" si="766"/>
        <v>0</v>
      </c>
      <c r="FH213" s="230">
        <f t="shared" ca="1" si="766"/>
        <v>0</v>
      </c>
      <c r="FI213" s="230">
        <f t="shared" ca="1" si="766"/>
        <v>0</v>
      </c>
      <c r="FJ213" s="230">
        <f t="shared" ca="1" si="766"/>
        <v>0</v>
      </c>
      <c r="FK213" s="230">
        <f t="shared" ca="1" si="766"/>
        <v>0</v>
      </c>
      <c r="FL213" s="230">
        <f t="shared" ca="1" si="766"/>
        <v>0</v>
      </c>
      <c r="FM213" s="230">
        <f t="shared" ca="1" si="766"/>
        <v>0</v>
      </c>
      <c r="FN213" s="230">
        <f t="shared" ca="1" si="766"/>
        <v>0</v>
      </c>
      <c r="FO213" s="230">
        <f t="shared" ca="1" si="766"/>
        <v>0</v>
      </c>
      <c r="FP213" s="230">
        <f t="shared" ca="1" si="766"/>
        <v>0</v>
      </c>
      <c r="FQ213" s="230">
        <f t="shared" ca="1" si="766"/>
        <v>0</v>
      </c>
      <c r="FR213" s="230">
        <f t="shared" ca="1" si="766"/>
        <v>0</v>
      </c>
      <c r="FS213" s="230">
        <f t="shared" ca="1" si="766"/>
        <v>0</v>
      </c>
      <c r="FT213" s="230">
        <f t="shared" ca="1" si="766"/>
        <v>0</v>
      </c>
      <c r="FU213" s="230">
        <f t="shared" ca="1" si="766"/>
        <v>0</v>
      </c>
      <c r="FV213" s="230">
        <f t="shared" ca="1" si="766"/>
        <v>0</v>
      </c>
      <c r="FW213" s="230">
        <f t="shared" ca="1" si="766"/>
        <v>0</v>
      </c>
      <c r="FX213" s="230">
        <f t="shared" ca="1" si="766"/>
        <v>0</v>
      </c>
      <c r="FY213" s="230">
        <f t="shared" ca="1" si="766"/>
        <v>0</v>
      </c>
      <c r="FZ213" s="230">
        <f t="shared" ca="1" si="766"/>
        <v>0</v>
      </c>
      <c r="GA213" s="230">
        <f t="shared" ca="1" si="766"/>
        <v>0</v>
      </c>
      <c r="GB213" s="230">
        <f t="shared" ref="GB213:HG213" ca="1" si="767">MAX(GB196-GB212,0)</f>
        <v>0</v>
      </c>
      <c r="GC213" s="230">
        <f t="shared" ca="1" si="767"/>
        <v>0</v>
      </c>
      <c r="GD213" s="230">
        <f t="shared" ca="1" si="767"/>
        <v>0</v>
      </c>
      <c r="GE213" s="230">
        <f t="shared" ca="1" si="767"/>
        <v>1.4551915228366852E-11</v>
      </c>
      <c r="GF213" s="230">
        <f t="shared" ca="1" si="767"/>
        <v>0</v>
      </c>
      <c r="GG213" s="230">
        <f t="shared" ca="1" si="767"/>
        <v>0</v>
      </c>
      <c r="GH213" s="230">
        <f t="shared" ca="1" si="767"/>
        <v>0</v>
      </c>
      <c r="GI213" s="230">
        <f t="shared" ca="1" si="767"/>
        <v>0</v>
      </c>
      <c r="GJ213" s="230">
        <f t="shared" ca="1" si="767"/>
        <v>0</v>
      </c>
      <c r="GK213" s="230">
        <f t="shared" ca="1" si="767"/>
        <v>1.4551915228366852E-11</v>
      </c>
      <c r="GL213" s="230">
        <f t="shared" ca="1" si="767"/>
        <v>1.4551915228366852E-11</v>
      </c>
      <c r="GM213" s="230">
        <f t="shared" ca="1" si="767"/>
        <v>0</v>
      </c>
      <c r="GN213" s="230">
        <f t="shared" ca="1" si="767"/>
        <v>0</v>
      </c>
      <c r="GO213" s="230">
        <f t="shared" ca="1" si="767"/>
        <v>3820703.8795026056</v>
      </c>
      <c r="GP213" s="230">
        <f t="shared" ca="1" si="767"/>
        <v>0</v>
      </c>
      <c r="GQ213" s="230">
        <f t="shared" ca="1" si="767"/>
        <v>0</v>
      </c>
      <c r="GR213" s="230">
        <f t="shared" ca="1" si="767"/>
        <v>0</v>
      </c>
      <c r="GS213" s="230">
        <f t="shared" ca="1" si="767"/>
        <v>0</v>
      </c>
      <c r="GT213" s="230">
        <f t="shared" ca="1" si="767"/>
        <v>0</v>
      </c>
      <c r="GU213" s="230">
        <f t="shared" ca="1" si="767"/>
        <v>0</v>
      </c>
      <c r="GV213" s="230">
        <f t="shared" ca="1" si="767"/>
        <v>0</v>
      </c>
      <c r="GW213" s="230">
        <f t="shared" ca="1" si="767"/>
        <v>0</v>
      </c>
      <c r="GX213" s="230">
        <f t="shared" ca="1" si="767"/>
        <v>0</v>
      </c>
      <c r="GY213" s="230">
        <f t="shared" ca="1" si="767"/>
        <v>0</v>
      </c>
      <c r="GZ213" s="230">
        <f t="shared" ca="1" si="767"/>
        <v>0</v>
      </c>
      <c r="HA213" s="230">
        <f t="shared" ca="1" si="767"/>
        <v>0</v>
      </c>
      <c r="HB213" s="230">
        <f t="shared" ca="1" si="767"/>
        <v>0</v>
      </c>
      <c r="HC213" s="230">
        <f t="shared" ca="1" si="767"/>
        <v>0</v>
      </c>
      <c r="HD213" s="230">
        <f t="shared" ca="1" si="767"/>
        <v>0</v>
      </c>
      <c r="HE213" s="230">
        <f t="shared" ca="1" si="767"/>
        <v>0</v>
      </c>
      <c r="HF213" s="230">
        <f t="shared" ca="1" si="767"/>
        <v>0</v>
      </c>
      <c r="HG213" s="230">
        <f t="shared" ca="1" si="767"/>
        <v>0</v>
      </c>
      <c r="HH213" s="230">
        <f t="shared" ref="HH213:IM213" ca="1" si="768">MAX(HH196-HH212,0)</f>
        <v>0</v>
      </c>
      <c r="HI213" s="230">
        <f t="shared" ca="1" si="768"/>
        <v>0</v>
      </c>
      <c r="HJ213" s="230">
        <f t="shared" ca="1" si="768"/>
        <v>0</v>
      </c>
      <c r="HK213" s="230">
        <f t="shared" ca="1" si="768"/>
        <v>0</v>
      </c>
      <c r="HL213" s="230">
        <f t="shared" ca="1" si="768"/>
        <v>0</v>
      </c>
      <c r="HM213" s="230">
        <f t="shared" ca="1" si="768"/>
        <v>0</v>
      </c>
      <c r="HN213" s="230">
        <f t="shared" ca="1" si="768"/>
        <v>0</v>
      </c>
      <c r="HO213" s="230">
        <f t="shared" ca="1" si="768"/>
        <v>0</v>
      </c>
      <c r="HP213" s="230">
        <f t="shared" ca="1" si="768"/>
        <v>0</v>
      </c>
      <c r="HQ213" s="230">
        <f t="shared" ca="1" si="768"/>
        <v>0</v>
      </c>
      <c r="HR213" s="230">
        <f t="shared" ca="1" si="768"/>
        <v>0</v>
      </c>
      <c r="HS213" s="230">
        <f t="shared" ca="1" si="768"/>
        <v>0</v>
      </c>
      <c r="HT213" s="230">
        <f t="shared" ca="1" si="768"/>
        <v>0</v>
      </c>
      <c r="HU213" s="230">
        <f t="shared" ca="1" si="768"/>
        <v>0</v>
      </c>
      <c r="HV213" s="230">
        <f t="shared" ca="1" si="768"/>
        <v>0</v>
      </c>
      <c r="HW213" s="230">
        <f t="shared" ca="1" si="768"/>
        <v>0</v>
      </c>
      <c r="HX213" s="230">
        <f t="shared" ca="1" si="768"/>
        <v>0</v>
      </c>
      <c r="HY213" s="230">
        <f t="shared" ca="1" si="768"/>
        <v>0</v>
      </c>
      <c r="HZ213" s="230">
        <f t="shared" ca="1" si="768"/>
        <v>0</v>
      </c>
      <c r="IA213" s="230">
        <f t="shared" ca="1" si="768"/>
        <v>0</v>
      </c>
      <c r="IB213" s="230">
        <f t="shared" ca="1" si="768"/>
        <v>0</v>
      </c>
      <c r="IC213" s="230">
        <f t="shared" ca="1" si="768"/>
        <v>0</v>
      </c>
      <c r="ID213" s="230">
        <f t="shared" ca="1" si="768"/>
        <v>0</v>
      </c>
      <c r="IE213" s="230">
        <f t="shared" ca="1" si="768"/>
        <v>0</v>
      </c>
      <c r="IF213" s="230">
        <f t="shared" ca="1" si="768"/>
        <v>0</v>
      </c>
      <c r="IG213" s="230">
        <f t="shared" ca="1" si="768"/>
        <v>0</v>
      </c>
      <c r="IH213" s="230">
        <f t="shared" ca="1" si="768"/>
        <v>0</v>
      </c>
      <c r="II213" s="230">
        <f t="shared" ca="1" si="768"/>
        <v>0</v>
      </c>
      <c r="IJ213" s="230">
        <f t="shared" ca="1" si="768"/>
        <v>0</v>
      </c>
      <c r="IK213" s="230">
        <f t="shared" ca="1" si="768"/>
        <v>0</v>
      </c>
      <c r="IL213" s="230">
        <f t="shared" ca="1" si="768"/>
        <v>0</v>
      </c>
      <c r="IM213" s="230">
        <f t="shared" ca="1" si="768"/>
        <v>0</v>
      </c>
      <c r="IN213" s="230">
        <f t="shared" ref="IN213:JS213" ca="1" si="769">MAX(IN196-IN212,0)</f>
        <v>0</v>
      </c>
      <c r="IO213" s="230">
        <f t="shared" ca="1" si="769"/>
        <v>0</v>
      </c>
      <c r="IP213" s="230">
        <f t="shared" ca="1" si="769"/>
        <v>0</v>
      </c>
      <c r="IQ213" s="230">
        <f t="shared" ca="1" si="769"/>
        <v>0</v>
      </c>
      <c r="IR213" s="230">
        <f t="shared" ca="1" si="769"/>
        <v>0</v>
      </c>
      <c r="IS213" s="230">
        <f t="shared" ca="1" si="769"/>
        <v>0</v>
      </c>
      <c r="IT213" s="230">
        <f t="shared" ca="1" si="769"/>
        <v>0</v>
      </c>
      <c r="IU213" s="230">
        <f t="shared" ca="1" si="769"/>
        <v>0</v>
      </c>
      <c r="IV213" s="230">
        <f t="shared" ca="1" si="769"/>
        <v>0</v>
      </c>
      <c r="IW213" s="230">
        <f t="shared" ca="1" si="769"/>
        <v>0</v>
      </c>
      <c r="IX213" s="230">
        <f t="shared" ca="1" si="769"/>
        <v>0</v>
      </c>
      <c r="IY213" s="230">
        <f t="shared" ca="1" si="769"/>
        <v>0</v>
      </c>
      <c r="IZ213" s="230">
        <f t="shared" ca="1" si="769"/>
        <v>0</v>
      </c>
      <c r="JA213" s="230">
        <f t="shared" ca="1" si="769"/>
        <v>0</v>
      </c>
      <c r="JB213" s="230">
        <f t="shared" ca="1" si="769"/>
        <v>0</v>
      </c>
      <c r="JC213" s="230">
        <f t="shared" ca="1" si="769"/>
        <v>0</v>
      </c>
      <c r="JD213" s="230">
        <f t="shared" ca="1" si="769"/>
        <v>0</v>
      </c>
      <c r="JE213" s="230">
        <f t="shared" ca="1" si="769"/>
        <v>0</v>
      </c>
      <c r="JF213" s="230">
        <f t="shared" ca="1" si="769"/>
        <v>0</v>
      </c>
      <c r="JG213" s="230">
        <f t="shared" ca="1" si="769"/>
        <v>0</v>
      </c>
      <c r="JH213" s="230">
        <f t="shared" ca="1" si="769"/>
        <v>0</v>
      </c>
      <c r="JI213" s="230">
        <f t="shared" ca="1" si="769"/>
        <v>0</v>
      </c>
      <c r="JJ213" s="230">
        <f t="shared" ca="1" si="769"/>
        <v>0</v>
      </c>
      <c r="JK213" s="230">
        <f t="shared" ca="1" si="769"/>
        <v>0</v>
      </c>
      <c r="JL213" s="230">
        <f t="shared" ca="1" si="769"/>
        <v>0</v>
      </c>
      <c r="JM213" s="230">
        <f t="shared" ca="1" si="769"/>
        <v>0</v>
      </c>
      <c r="JN213" s="230">
        <f t="shared" ca="1" si="769"/>
        <v>0</v>
      </c>
      <c r="JO213" s="230">
        <f t="shared" ca="1" si="769"/>
        <v>0</v>
      </c>
      <c r="JP213" s="230">
        <f t="shared" ca="1" si="769"/>
        <v>0</v>
      </c>
      <c r="JQ213" s="230">
        <f t="shared" ca="1" si="769"/>
        <v>0</v>
      </c>
      <c r="JR213" s="230">
        <f t="shared" ca="1" si="769"/>
        <v>0</v>
      </c>
      <c r="JS213" s="230">
        <f t="shared" ca="1" si="769"/>
        <v>0</v>
      </c>
      <c r="JT213" s="230">
        <f ca="1">MAX(JT196-JT212,0)</f>
        <v>0</v>
      </c>
      <c r="JU213" s="230">
        <f ca="1">MAX(JU196-JU212,0)</f>
        <v>0</v>
      </c>
      <c r="JV213" s="230">
        <f ca="1">MAX(JV196-JV212,0)</f>
        <v>0</v>
      </c>
      <c r="JW213" s="230">
        <f ca="1">MAX(JW196-JW212,0)</f>
        <v>0</v>
      </c>
      <c r="JX213" s="230">
        <f ca="1">MAX(JX196-JX212,0)</f>
        <v>0</v>
      </c>
    </row>
    <row r="214" spans="1:284" s="58" customFormat="1" ht="5.0999999999999996" customHeight="1" x14ac:dyDescent="0.2">
      <c r="A214" s="409"/>
      <c r="B214" s="158"/>
      <c r="C214" s="159"/>
      <c r="D214" s="159"/>
      <c r="E214" s="159"/>
      <c r="F214" s="159"/>
      <c r="G214" s="184"/>
      <c r="H214" s="185"/>
      <c r="I214" s="182"/>
      <c r="L214" s="65"/>
      <c r="M214" s="65"/>
      <c r="N214" s="65"/>
      <c r="O214" s="65"/>
      <c r="P214" s="65"/>
      <c r="Q214" s="65"/>
      <c r="R214" s="65"/>
      <c r="S214" s="65"/>
      <c r="T214" s="65"/>
      <c r="U214" s="65"/>
      <c r="V214" s="65"/>
      <c r="W214" s="65"/>
      <c r="X214" s="65"/>
      <c r="Y214" s="65"/>
      <c r="Z214" s="65"/>
      <c r="AA214" s="65"/>
      <c r="AB214" s="65"/>
      <c r="AC214" s="65"/>
      <c r="AD214" s="65"/>
      <c r="AE214" s="65"/>
      <c r="AF214" s="65"/>
      <c r="AG214" s="65"/>
      <c r="AH214" s="65"/>
      <c r="AI214" s="65"/>
      <c r="AJ214" s="65"/>
      <c r="AK214" s="65"/>
      <c r="AL214" s="65"/>
      <c r="AM214" s="65"/>
      <c r="AN214" s="65"/>
      <c r="AO214" s="65"/>
      <c r="AP214" s="65"/>
      <c r="AQ214" s="65"/>
      <c r="AR214" s="65"/>
      <c r="AS214" s="65"/>
      <c r="AT214" s="65"/>
      <c r="AU214" s="65"/>
      <c r="AV214" s="65"/>
      <c r="AW214" s="65"/>
      <c r="AX214" s="65"/>
      <c r="AY214" s="65"/>
      <c r="AZ214" s="65"/>
      <c r="BA214" s="65"/>
      <c r="BB214" s="65"/>
      <c r="BC214" s="65"/>
      <c r="BD214" s="65"/>
      <c r="BE214" s="65"/>
      <c r="BF214" s="65"/>
      <c r="BG214" s="65"/>
      <c r="BH214" s="65"/>
      <c r="BI214" s="65"/>
      <c r="BJ214" s="65"/>
      <c r="BK214" s="65"/>
      <c r="BL214" s="65"/>
      <c r="BM214" s="65"/>
      <c r="BN214" s="65"/>
      <c r="BO214" s="65"/>
      <c r="BP214" s="65"/>
      <c r="BQ214" s="65"/>
      <c r="BR214" s="65"/>
      <c r="BS214" s="65"/>
      <c r="BT214" s="65"/>
      <c r="BU214" s="65"/>
      <c r="BV214" s="65"/>
      <c r="BW214" s="65"/>
      <c r="BX214" s="65"/>
      <c r="BY214" s="65"/>
      <c r="BZ214" s="65"/>
      <c r="CA214" s="65"/>
      <c r="CB214" s="65"/>
      <c r="CC214" s="65"/>
      <c r="CD214" s="65"/>
      <c r="CE214" s="65"/>
      <c r="CF214" s="65"/>
      <c r="CG214" s="65"/>
      <c r="CH214" s="65"/>
      <c r="CI214" s="65"/>
      <c r="CJ214" s="65"/>
      <c r="CK214" s="65"/>
      <c r="CL214" s="65"/>
      <c r="CM214" s="65"/>
      <c r="CN214" s="65"/>
      <c r="CO214" s="65"/>
      <c r="CP214" s="65"/>
      <c r="CQ214" s="65"/>
      <c r="CR214" s="65"/>
      <c r="CS214" s="65"/>
      <c r="CT214" s="65"/>
      <c r="CU214" s="65"/>
      <c r="CV214" s="65"/>
      <c r="CW214" s="65"/>
      <c r="CX214" s="65"/>
      <c r="CY214" s="65"/>
      <c r="CZ214" s="65"/>
      <c r="DA214" s="65"/>
      <c r="DB214" s="65"/>
      <c r="DC214" s="65"/>
      <c r="DD214" s="65"/>
      <c r="DE214" s="65"/>
      <c r="DF214" s="65"/>
      <c r="DG214" s="65"/>
      <c r="DH214" s="65"/>
      <c r="DI214" s="65"/>
      <c r="DJ214" s="65"/>
      <c r="DK214" s="65"/>
      <c r="DL214" s="65"/>
      <c r="DM214" s="65"/>
      <c r="DN214" s="65"/>
      <c r="DO214" s="65"/>
      <c r="DP214" s="65"/>
      <c r="DQ214" s="65"/>
      <c r="DR214" s="65"/>
      <c r="DS214" s="65"/>
      <c r="DT214" s="65"/>
      <c r="DU214" s="65"/>
      <c r="DV214" s="65"/>
      <c r="DW214" s="65"/>
      <c r="DX214" s="65"/>
      <c r="DY214" s="65"/>
      <c r="DZ214" s="65"/>
      <c r="EA214" s="65"/>
      <c r="EB214" s="65"/>
      <c r="EC214" s="65"/>
      <c r="ED214" s="65"/>
      <c r="EE214" s="65"/>
      <c r="EF214" s="65"/>
      <c r="EG214" s="65"/>
      <c r="EH214" s="65"/>
      <c r="EI214" s="65"/>
      <c r="EJ214" s="65"/>
      <c r="EK214" s="65"/>
      <c r="EL214" s="65"/>
      <c r="EM214" s="65"/>
      <c r="EN214" s="65"/>
      <c r="EP214" s="415"/>
      <c r="EQ214" s="416"/>
      <c r="ER214" s="416"/>
      <c r="ES214" s="416"/>
      <c r="ET214" s="417"/>
      <c r="EU214" s="417"/>
      <c r="EV214" s="418"/>
      <c r="EW214" s="418"/>
      <c r="EX214" s="418"/>
      <c r="EY214" s="418"/>
      <c r="EZ214" s="418"/>
      <c r="FA214" s="418"/>
      <c r="FB214" s="418"/>
      <c r="FC214" s="418"/>
      <c r="FD214" s="418"/>
      <c r="FE214" s="418"/>
      <c r="FF214" s="418"/>
      <c r="FG214" s="418"/>
      <c r="FH214" s="418"/>
      <c r="FI214" s="418"/>
      <c r="FJ214" s="418"/>
      <c r="FK214" s="418"/>
      <c r="FL214" s="418"/>
      <c r="FM214" s="418"/>
      <c r="FN214" s="418"/>
      <c r="FO214" s="418"/>
      <c r="FP214" s="418"/>
      <c r="FQ214" s="418"/>
      <c r="FR214" s="418"/>
      <c r="FS214" s="418"/>
      <c r="FT214" s="418"/>
      <c r="FU214" s="418"/>
      <c r="FV214" s="418"/>
      <c r="FW214" s="418"/>
      <c r="FX214" s="418"/>
      <c r="FY214" s="418"/>
      <c r="FZ214" s="418"/>
      <c r="GA214" s="418"/>
      <c r="GB214" s="418"/>
      <c r="GC214" s="418"/>
      <c r="GD214" s="418"/>
      <c r="GE214" s="418"/>
      <c r="GF214" s="418"/>
      <c r="GG214" s="418"/>
      <c r="GH214" s="418"/>
      <c r="GI214" s="418"/>
      <c r="GJ214" s="418"/>
      <c r="GK214" s="418"/>
      <c r="GL214" s="418"/>
      <c r="GM214" s="418"/>
      <c r="GN214" s="418"/>
      <c r="GO214" s="418"/>
      <c r="GP214" s="418"/>
      <c r="GQ214" s="418"/>
      <c r="GR214" s="418"/>
      <c r="GS214" s="418"/>
      <c r="GT214" s="418"/>
      <c r="GU214" s="418"/>
      <c r="GV214" s="418"/>
      <c r="GW214" s="418"/>
      <c r="GX214" s="418"/>
      <c r="GY214" s="418"/>
      <c r="GZ214" s="418"/>
      <c r="HA214" s="418"/>
      <c r="HB214" s="418"/>
      <c r="HC214" s="418"/>
      <c r="HD214" s="418"/>
      <c r="HE214" s="418"/>
      <c r="HF214" s="418"/>
      <c r="HG214" s="418"/>
      <c r="HH214" s="418"/>
      <c r="HI214" s="418"/>
      <c r="HJ214" s="418"/>
      <c r="HK214" s="418"/>
      <c r="HL214" s="418"/>
      <c r="HM214" s="418"/>
      <c r="HN214" s="418"/>
      <c r="HO214" s="418"/>
      <c r="HP214" s="418"/>
      <c r="HQ214" s="418"/>
      <c r="HR214" s="418"/>
      <c r="HS214" s="418"/>
      <c r="HT214" s="418"/>
      <c r="HU214" s="418"/>
      <c r="HV214" s="418"/>
      <c r="HW214" s="418"/>
      <c r="HX214" s="418"/>
      <c r="HY214" s="418"/>
      <c r="HZ214" s="418"/>
      <c r="IA214" s="418"/>
      <c r="IB214" s="418"/>
      <c r="IC214" s="418"/>
      <c r="ID214" s="418"/>
      <c r="IE214" s="418"/>
      <c r="IF214" s="418"/>
      <c r="IG214" s="418"/>
      <c r="IH214" s="418"/>
      <c r="II214" s="418"/>
      <c r="IJ214" s="418"/>
      <c r="IK214" s="418"/>
      <c r="IL214" s="418"/>
      <c r="IM214" s="418"/>
      <c r="IN214" s="418"/>
      <c r="IO214" s="418"/>
      <c r="IP214" s="418"/>
      <c r="IQ214" s="418"/>
      <c r="IR214" s="418"/>
      <c r="IS214" s="418"/>
      <c r="IT214" s="418"/>
      <c r="IU214" s="418"/>
      <c r="IV214" s="418"/>
      <c r="IW214" s="418"/>
      <c r="IX214" s="418"/>
      <c r="IY214" s="418"/>
      <c r="IZ214" s="418"/>
      <c r="JA214" s="418"/>
      <c r="JB214" s="418"/>
      <c r="JC214" s="418"/>
      <c r="JD214" s="418"/>
      <c r="JE214" s="418"/>
      <c r="JF214" s="418"/>
      <c r="JG214" s="418"/>
      <c r="JH214" s="418"/>
      <c r="JI214" s="418"/>
      <c r="JJ214" s="418"/>
      <c r="JK214" s="418"/>
      <c r="JL214" s="418"/>
      <c r="JM214" s="418"/>
      <c r="JN214" s="418"/>
      <c r="JO214" s="418"/>
      <c r="JP214" s="418"/>
      <c r="JQ214" s="418"/>
      <c r="JR214" s="418"/>
      <c r="JS214" s="418"/>
      <c r="JT214" s="418"/>
      <c r="JU214" s="418"/>
      <c r="JV214" s="418"/>
      <c r="JW214" s="418"/>
      <c r="JX214" s="418"/>
    </row>
    <row r="215" spans="1:284" s="58" customFormat="1" ht="16.5" x14ac:dyDescent="0.35">
      <c r="A215" s="409"/>
      <c r="B215" s="158"/>
      <c r="C215" s="159"/>
      <c r="D215" s="159"/>
      <c r="E215" s="159"/>
      <c r="F215" s="159"/>
      <c r="G215" s="131" t="str">
        <f>G188</f>
        <v>UNTRENDED</v>
      </c>
      <c r="H215" s="131" t="str">
        <f>H188</f>
        <v>TRENDED</v>
      </c>
      <c r="I215" s="131" t="str">
        <f>I188</f>
        <v>SALE</v>
      </c>
      <c r="L215" s="65"/>
      <c r="M215" s="65"/>
      <c r="N215" s="65"/>
      <c r="O215" s="65"/>
      <c r="P215" s="65"/>
      <c r="Q215" s="65"/>
      <c r="R215" s="65"/>
      <c r="S215" s="65"/>
      <c r="T215" s="65"/>
      <c r="U215" s="65"/>
      <c r="V215" s="65"/>
      <c r="W215" s="65"/>
      <c r="X215" s="65"/>
      <c r="Y215" s="65"/>
      <c r="Z215" s="65"/>
      <c r="AA215" s="65"/>
      <c r="AB215" s="65"/>
      <c r="AC215" s="65"/>
      <c r="AD215" s="65"/>
      <c r="AE215" s="65"/>
      <c r="AF215" s="65"/>
      <c r="AG215" s="65"/>
      <c r="AH215" s="65"/>
      <c r="AI215" s="65"/>
      <c r="AJ215" s="65"/>
      <c r="AK215" s="65"/>
      <c r="AL215" s="65"/>
      <c r="AM215" s="65"/>
      <c r="AN215" s="65"/>
      <c r="AO215" s="65"/>
      <c r="AP215" s="65"/>
      <c r="AQ215" s="65"/>
      <c r="AR215" s="65"/>
      <c r="AS215" s="65"/>
      <c r="AT215" s="65"/>
      <c r="AU215" s="65"/>
      <c r="AV215" s="65"/>
      <c r="AW215" s="65"/>
      <c r="AX215" s="65"/>
      <c r="AY215" s="65"/>
      <c r="AZ215" s="65"/>
      <c r="BA215" s="65"/>
      <c r="BB215" s="65"/>
      <c r="BC215" s="65"/>
      <c r="BD215" s="65"/>
      <c r="BE215" s="65"/>
      <c r="BF215" s="65"/>
      <c r="BG215" s="65"/>
      <c r="BH215" s="65"/>
      <c r="BI215" s="65"/>
      <c r="BJ215" s="65"/>
      <c r="BK215" s="65"/>
      <c r="BL215" s="65"/>
      <c r="BM215" s="65"/>
      <c r="BN215" s="65"/>
      <c r="BO215" s="65"/>
      <c r="BP215" s="65"/>
      <c r="BQ215" s="65"/>
      <c r="BR215" s="65"/>
      <c r="BS215" s="65"/>
      <c r="BT215" s="65"/>
      <c r="BU215" s="65"/>
      <c r="BV215" s="65"/>
      <c r="BW215" s="65"/>
      <c r="BX215" s="65"/>
      <c r="BY215" s="65"/>
      <c r="BZ215" s="65"/>
      <c r="CA215" s="65"/>
      <c r="CB215" s="65"/>
      <c r="CC215" s="65"/>
      <c r="CD215" s="65"/>
      <c r="CE215" s="65"/>
      <c r="CF215" s="65"/>
      <c r="CG215" s="65"/>
      <c r="CH215" s="65"/>
      <c r="CI215" s="65"/>
      <c r="CJ215" s="65"/>
      <c r="CK215" s="65"/>
      <c r="CL215" s="65"/>
      <c r="CM215" s="65"/>
      <c r="CN215" s="65"/>
      <c r="CO215" s="65"/>
      <c r="CP215" s="65"/>
      <c r="CQ215" s="65"/>
      <c r="CR215" s="65"/>
      <c r="CS215" s="65"/>
      <c r="CT215" s="65"/>
      <c r="CU215" s="65"/>
      <c r="CV215" s="65"/>
      <c r="CW215" s="65"/>
      <c r="CX215" s="65"/>
      <c r="CY215" s="65"/>
      <c r="CZ215" s="65"/>
      <c r="DA215" s="65"/>
      <c r="DB215" s="65"/>
      <c r="DC215" s="65"/>
      <c r="DD215" s="65"/>
      <c r="DE215" s="65"/>
      <c r="DF215" s="65"/>
      <c r="DG215" s="65"/>
      <c r="DH215" s="65"/>
      <c r="DI215" s="65"/>
      <c r="DJ215" s="65"/>
      <c r="DK215" s="65"/>
      <c r="DL215" s="65"/>
      <c r="DM215" s="65"/>
      <c r="DN215" s="65"/>
      <c r="DO215" s="65"/>
      <c r="DP215" s="65"/>
      <c r="DQ215" s="65"/>
      <c r="DR215" s="65"/>
      <c r="DS215" s="65"/>
      <c r="DT215" s="65"/>
      <c r="DU215" s="65"/>
      <c r="DV215" s="65"/>
      <c r="DW215" s="65"/>
      <c r="DX215" s="65"/>
      <c r="DY215" s="65"/>
      <c r="DZ215" s="65"/>
      <c r="EA215" s="65"/>
      <c r="EB215" s="65"/>
      <c r="EC215" s="65"/>
      <c r="ED215" s="65"/>
      <c r="EE215" s="65"/>
      <c r="EF215" s="65"/>
      <c r="EG215" s="65"/>
      <c r="EH215" s="65"/>
      <c r="EI215" s="65"/>
      <c r="EJ215" s="65"/>
      <c r="EK215" s="65"/>
      <c r="EL215" s="65"/>
      <c r="EM215" s="65"/>
      <c r="EN215" s="65"/>
      <c r="EP215" s="37" t="s">
        <v>380</v>
      </c>
      <c r="EQ215" s="24"/>
      <c r="ER215" s="24"/>
      <c r="ES215" s="24"/>
      <c r="ET215" s="33" t="s">
        <v>368</v>
      </c>
      <c r="EU215" s="33"/>
      <c r="EV215" s="225">
        <f t="shared" ref="EV215:GA215" si="770">(EV$197&lt;=Timing_Reversion_Month)*EU219</f>
        <v>0</v>
      </c>
      <c r="EW215" s="225">
        <f t="shared" ca="1" si="770"/>
        <v>3565501.5512782279</v>
      </c>
      <c r="EX215" s="225">
        <f t="shared" ca="1" si="770"/>
        <v>4012218.5217196662</v>
      </c>
      <c r="EY215" s="225">
        <f t="shared" ca="1" si="770"/>
        <v>4615649.087549095</v>
      </c>
      <c r="EZ215" s="225">
        <f t="shared" ca="1" si="770"/>
        <v>5527184.7504135119</v>
      </c>
      <c r="FA215" s="225">
        <f t="shared" ca="1" si="770"/>
        <v>6974060.9207088202</v>
      </c>
      <c r="FB215" s="225">
        <f t="shared" ca="1" si="770"/>
        <v>9234384.5304990523</v>
      </c>
      <c r="FC215" s="225">
        <f t="shared" ca="1" si="770"/>
        <v>12561372.990370471</v>
      </c>
      <c r="FD215" s="225">
        <f t="shared" ca="1" si="770"/>
        <v>14346491.075222265</v>
      </c>
      <c r="FE215" s="225">
        <f t="shared" ca="1" si="770"/>
        <v>14482621.958372893</v>
      </c>
      <c r="FF215" s="225">
        <f t="shared" ca="1" si="770"/>
        <v>14620044.559285739</v>
      </c>
      <c r="FG215" s="225">
        <f t="shared" ca="1" si="770"/>
        <v>14758771.13480318</v>
      </c>
      <c r="FH215" s="225">
        <f t="shared" ca="1" si="770"/>
        <v>14898814.058070228</v>
      </c>
      <c r="FI215" s="225">
        <f t="shared" ca="1" si="770"/>
        <v>15040185.819638111</v>
      </c>
      <c r="FJ215" s="225">
        <f t="shared" ca="1" si="770"/>
        <v>15182899.028578309</v>
      </c>
      <c r="FK215" s="225">
        <f t="shared" ca="1" si="770"/>
        <v>15326966.413607171</v>
      </c>
      <c r="FL215" s="225">
        <f t="shared" ca="1" si="770"/>
        <v>15472400.824221198</v>
      </c>
      <c r="FM215" s="225">
        <f t="shared" ca="1" si="770"/>
        <v>15619215.231843105</v>
      </c>
      <c r="FN215" s="225">
        <f t="shared" ca="1" si="770"/>
        <v>15767422.73097875</v>
      </c>
      <c r="FO215" s="225">
        <f t="shared" ca="1" si="770"/>
        <v>15917036.540385045</v>
      </c>
      <c r="FP215" s="225">
        <f t="shared" ca="1" si="770"/>
        <v>16068070.004248951</v>
      </c>
      <c r="FQ215" s="225">
        <f t="shared" ca="1" si="770"/>
        <v>16220536.593377654</v>
      </c>
      <c r="FR215" s="225">
        <f t="shared" ca="1" si="770"/>
        <v>16374449.906400042</v>
      </c>
      <c r="FS215" s="225">
        <f t="shared" ca="1" si="770"/>
        <v>16529823.670979574</v>
      </c>
      <c r="FT215" s="225">
        <f t="shared" ca="1" si="770"/>
        <v>16686671.74503867</v>
      </c>
      <c r="FU215" s="225">
        <f t="shared" ca="1" si="770"/>
        <v>16845008.1179947</v>
      </c>
      <c r="FV215" s="225">
        <f t="shared" ca="1" si="770"/>
        <v>17004846.912007723</v>
      </c>
      <c r="FW215" s="225">
        <f t="shared" ca="1" si="770"/>
        <v>17166202.383240048</v>
      </c>
      <c r="FX215" s="225">
        <f t="shared" ca="1" si="770"/>
        <v>17329088.923127759</v>
      </c>
      <c r="FY215" s="225">
        <f t="shared" ca="1" si="770"/>
        <v>17493521.059664294</v>
      </c>
      <c r="FZ215" s="225">
        <f t="shared" ca="1" si="770"/>
        <v>17659513.458696216</v>
      </c>
      <c r="GA215" s="225">
        <f t="shared" ca="1" si="770"/>
        <v>17825088.307703067</v>
      </c>
      <c r="GB215" s="225">
        <f t="shared" ref="GB215:HG215" ca="1" si="771">(GB$197&lt;=Timing_Reversion_Month)*GA219</f>
        <v>17976836.394193813</v>
      </c>
      <c r="GC215" s="225">
        <f t="shared" ca="1" si="771"/>
        <v>18099421.119539782</v>
      </c>
      <c r="GD215" s="225">
        <f t="shared" ca="1" si="771"/>
        <v>18186034.814691633</v>
      </c>
      <c r="GE215" s="225">
        <f t="shared" ca="1" si="771"/>
        <v>18272415.263280831</v>
      </c>
      <c r="GF215" s="225">
        <f t="shared" ca="1" si="771"/>
        <v>18358560.252079036</v>
      </c>
      <c r="GG215" s="225">
        <f t="shared" ca="1" si="771"/>
        <v>18444467.546857052</v>
      </c>
      <c r="GH215" s="225">
        <f t="shared" ca="1" si="771"/>
        <v>18530134.892185535</v>
      </c>
      <c r="GI215" s="225">
        <f t="shared" ca="1" si="771"/>
        <v>18615560.011233844</v>
      </c>
      <c r="GJ215" s="225">
        <f t="shared" ca="1" si="771"/>
        <v>18700740.605566964</v>
      </c>
      <c r="GK215" s="225">
        <f t="shared" ca="1" si="771"/>
        <v>18785674.354940508</v>
      </c>
      <c r="GL215" s="225">
        <f t="shared" ca="1" si="771"/>
        <v>18870358.917093765</v>
      </c>
      <c r="GM215" s="225">
        <f t="shared" ca="1" si="771"/>
        <v>18954791.927540801</v>
      </c>
      <c r="GN215" s="225">
        <f t="shared" ca="1" si="771"/>
        <v>19051998.969321664</v>
      </c>
      <c r="GO215" s="225">
        <f t="shared" ca="1" si="771"/>
        <v>19149041.629433081</v>
      </c>
      <c r="GP215" s="225">
        <f t="shared" ca="1" si="771"/>
        <v>0</v>
      </c>
      <c r="GQ215" s="225">
        <f t="shared" ca="1" si="771"/>
        <v>0</v>
      </c>
      <c r="GR215" s="225">
        <f t="shared" ca="1" si="771"/>
        <v>0</v>
      </c>
      <c r="GS215" s="225">
        <f t="shared" ca="1" si="771"/>
        <v>0</v>
      </c>
      <c r="GT215" s="225">
        <f t="shared" ca="1" si="771"/>
        <v>0</v>
      </c>
      <c r="GU215" s="225">
        <f t="shared" ca="1" si="771"/>
        <v>0</v>
      </c>
      <c r="GV215" s="225">
        <f t="shared" ca="1" si="771"/>
        <v>0</v>
      </c>
      <c r="GW215" s="225">
        <f t="shared" ca="1" si="771"/>
        <v>0</v>
      </c>
      <c r="GX215" s="225">
        <f t="shared" ca="1" si="771"/>
        <v>0</v>
      </c>
      <c r="GY215" s="225">
        <f t="shared" ca="1" si="771"/>
        <v>0</v>
      </c>
      <c r="GZ215" s="225">
        <f t="shared" ca="1" si="771"/>
        <v>0</v>
      </c>
      <c r="HA215" s="225">
        <f t="shared" ca="1" si="771"/>
        <v>0</v>
      </c>
      <c r="HB215" s="225">
        <f t="shared" ca="1" si="771"/>
        <v>0</v>
      </c>
      <c r="HC215" s="225">
        <f t="shared" ca="1" si="771"/>
        <v>0</v>
      </c>
      <c r="HD215" s="225">
        <f t="shared" ca="1" si="771"/>
        <v>0</v>
      </c>
      <c r="HE215" s="225">
        <f t="shared" ca="1" si="771"/>
        <v>0</v>
      </c>
      <c r="HF215" s="225">
        <f t="shared" ca="1" si="771"/>
        <v>0</v>
      </c>
      <c r="HG215" s="225">
        <f t="shared" ca="1" si="771"/>
        <v>0</v>
      </c>
      <c r="HH215" s="225">
        <f t="shared" ref="HH215:IM215" ca="1" si="772">(HH$197&lt;=Timing_Reversion_Month)*HG219</f>
        <v>0</v>
      </c>
      <c r="HI215" s="225">
        <f t="shared" ca="1" si="772"/>
        <v>0</v>
      </c>
      <c r="HJ215" s="225">
        <f t="shared" ca="1" si="772"/>
        <v>0</v>
      </c>
      <c r="HK215" s="225">
        <f t="shared" ca="1" si="772"/>
        <v>0</v>
      </c>
      <c r="HL215" s="225">
        <f t="shared" ca="1" si="772"/>
        <v>0</v>
      </c>
      <c r="HM215" s="225">
        <f t="shared" ca="1" si="772"/>
        <v>0</v>
      </c>
      <c r="HN215" s="225">
        <f t="shared" ca="1" si="772"/>
        <v>0</v>
      </c>
      <c r="HO215" s="225">
        <f t="shared" ca="1" si="772"/>
        <v>0</v>
      </c>
      <c r="HP215" s="225">
        <f t="shared" ca="1" si="772"/>
        <v>0</v>
      </c>
      <c r="HQ215" s="225">
        <f t="shared" ca="1" si="772"/>
        <v>0</v>
      </c>
      <c r="HR215" s="225">
        <f t="shared" ca="1" si="772"/>
        <v>0</v>
      </c>
      <c r="HS215" s="225">
        <f t="shared" ca="1" si="772"/>
        <v>0</v>
      </c>
      <c r="HT215" s="225">
        <f t="shared" ca="1" si="772"/>
        <v>0</v>
      </c>
      <c r="HU215" s="225">
        <f t="shared" ca="1" si="772"/>
        <v>0</v>
      </c>
      <c r="HV215" s="225">
        <f t="shared" ca="1" si="772"/>
        <v>0</v>
      </c>
      <c r="HW215" s="225">
        <f t="shared" ca="1" si="772"/>
        <v>0</v>
      </c>
      <c r="HX215" s="225">
        <f t="shared" ca="1" si="772"/>
        <v>0</v>
      </c>
      <c r="HY215" s="225">
        <f t="shared" ca="1" si="772"/>
        <v>0</v>
      </c>
      <c r="HZ215" s="225">
        <f t="shared" ca="1" si="772"/>
        <v>0</v>
      </c>
      <c r="IA215" s="225">
        <f t="shared" ca="1" si="772"/>
        <v>0</v>
      </c>
      <c r="IB215" s="225">
        <f t="shared" ca="1" si="772"/>
        <v>0</v>
      </c>
      <c r="IC215" s="225">
        <f t="shared" ca="1" si="772"/>
        <v>0</v>
      </c>
      <c r="ID215" s="225">
        <f t="shared" ca="1" si="772"/>
        <v>0</v>
      </c>
      <c r="IE215" s="225">
        <f t="shared" ca="1" si="772"/>
        <v>0</v>
      </c>
      <c r="IF215" s="225">
        <f t="shared" ca="1" si="772"/>
        <v>0</v>
      </c>
      <c r="IG215" s="225">
        <f t="shared" ca="1" si="772"/>
        <v>0</v>
      </c>
      <c r="IH215" s="225">
        <f t="shared" ca="1" si="772"/>
        <v>0</v>
      </c>
      <c r="II215" s="225">
        <f t="shared" ca="1" si="772"/>
        <v>0</v>
      </c>
      <c r="IJ215" s="225">
        <f t="shared" ca="1" si="772"/>
        <v>0</v>
      </c>
      <c r="IK215" s="225">
        <f t="shared" ca="1" si="772"/>
        <v>0</v>
      </c>
      <c r="IL215" s="225">
        <f t="shared" ca="1" si="772"/>
        <v>0</v>
      </c>
      <c r="IM215" s="225">
        <f t="shared" ca="1" si="772"/>
        <v>0</v>
      </c>
      <c r="IN215" s="225">
        <f t="shared" ref="IN215:JX215" ca="1" si="773">(IN$197&lt;=Timing_Reversion_Month)*IM219</f>
        <v>0</v>
      </c>
      <c r="IO215" s="225">
        <f t="shared" ca="1" si="773"/>
        <v>0</v>
      </c>
      <c r="IP215" s="225">
        <f t="shared" ca="1" si="773"/>
        <v>0</v>
      </c>
      <c r="IQ215" s="225">
        <f t="shared" ca="1" si="773"/>
        <v>0</v>
      </c>
      <c r="IR215" s="225">
        <f t="shared" ca="1" si="773"/>
        <v>0</v>
      </c>
      <c r="IS215" s="225">
        <f t="shared" ca="1" si="773"/>
        <v>0</v>
      </c>
      <c r="IT215" s="225">
        <f t="shared" ca="1" si="773"/>
        <v>0</v>
      </c>
      <c r="IU215" s="225">
        <f t="shared" ca="1" si="773"/>
        <v>0</v>
      </c>
      <c r="IV215" s="225">
        <f t="shared" ca="1" si="773"/>
        <v>0</v>
      </c>
      <c r="IW215" s="225">
        <f t="shared" ca="1" si="773"/>
        <v>0</v>
      </c>
      <c r="IX215" s="225">
        <f t="shared" ca="1" si="773"/>
        <v>0</v>
      </c>
      <c r="IY215" s="225">
        <f t="shared" ca="1" si="773"/>
        <v>0</v>
      </c>
      <c r="IZ215" s="225">
        <f t="shared" ca="1" si="773"/>
        <v>0</v>
      </c>
      <c r="JA215" s="225">
        <f t="shared" ca="1" si="773"/>
        <v>0</v>
      </c>
      <c r="JB215" s="225">
        <f t="shared" ca="1" si="773"/>
        <v>0</v>
      </c>
      <c r="JC215" s="225">
        <f t="shared" ca="1" si="773"/>
        <v>0</v>
      </c>
      <c r="JD215" s="225">
        <f t="shared" ca="1" si="773"/>
        <v>0</v>
      </c>
      <c r="JE215" s="225">
        <f t="shared" ca="1" si="773"/>
        <v>0</v>
      </c>
      <c r="JF215" s="225">
        <f t="shared" ca="1" si="773"/>
        <v>0</v>
      </c>
      <c r="JG215" s="225">
        <f t="shared" ca="1" si="773"/>
        <v>0</v>
      </c>
      <c r="JH215" s="225">
        <f t="shared" ca="1" si="773"/>
        <v>0</v>
      </c>
      <c r="JI215" s="225">
        <f t="shared" ca="1" si="773"/>
        <v>0</v>
      </c>
      <c r="JJ215" s="225">
        <f t="shared" ca="1" si="773"/>
        <v>0</v>
      </c>
      <c r="JK215" s="225">
        <f t="shared" ca="1" si="773"/>
        <v>0</v>
      </c>
      <c r="JL215" s="225">
        <f t="shared" ca="1" si="773"/>
        <v>0</v>
      </c>
      <c r="JM215" s="225">
        <f t="shared" ca="1" si="773"/>
        <v>0</v>
      </c>
      <c r="JN215" s="225">
        <f t="shared" ca="1" si="773"/>
        <v>0</v>
      </c>
      <c r="JO215" s="225">
        <f t="shared" ca="1" si="773"/>
        <v>0</v>
      </c>
      <c r="JP215" s="225">
        <f t="shared" ca="1" si="773"/>
        <v>0</v>
      </c>
      <c r="JQ215" s="225">
        <f t="shared" ca="1" si="773"/>
        <v>0</v>
      </c>
      <c r="JR215" s="225">
        <f t="shared" ca="1" si="773"/>
        <v>0</v>
      </c>
      <c r="JS215" s="225">
        <f t="shared" ca="1" si="773"/>
        <v>0</v>
      </c>
      <c r="JT215" s="225">
        <f t="shared" ca="1" si="773"/>
        <v>0</v>
      </c>
      <c r="JU215" s="225">
        <f t="shared" ca="1" si="773"/>
        <v>0</v>
      </c>
      <c r="JV215" s="225">
        <f t="shared" ca="1" si="773"/>
        <v>0</v>
      </c>
      <c r="JW215" s="225">
        <f t="shared" ca="1" si="773"/>
        <v>0</v>
      </c>
      <c r="JX215" s="225">
        <f t="shared" ca="1" si="773"/>
        <v>0</v>
      </c>
    </row>
    <row r="216" spans="1:284" s="58" customFormat="1" x14ac:dyDescent="0.2">
      <c r="A216" s="409"/>
      <c r="B216" s="158" t="s">
        <v>306</v>
      </c>
      <c r="C216" s="159"/>
      <c r="D216" s="159"/>
      <c r="E216" s="159"/>
      <c r="F216" s="159"/>
      <c r="G216" s="185">
        <f>G178/Project_Cost_Total</f>
        <v>5.7642704654989316E-2</v>
      </c>
      <c r="H216" s="185">
        <f ca="1">H178/Project_Cost_Total</f>
        <v>5.8416295012986723E-2</v>
      </c>
      <c r="I216" s="185">
        <f ca="1">I178/Project_Cost_Total</f>
        <v>6.0168783863376332E-2</v>
      </c>
      <c r="L216" s="65"/>
      <c r="M216" s="65"/>
      <c r="N216" s="65"/>
      <c r="O216" s="65"/>
      <c r="P216" s="65"/>
      <c r="Q216" s="65"/>
      <c r="R216" s="65"/>
      <c r="S216" s="65"/>
      <c r="T216" s="65"/>
      <c r="U216" s="65"/>
      <c r="V216" s="65"/>
      <c r="W216" s="65"/>
      <c r="X216" s="65"/>
      <c r="Y216" s="65"/>
      <c r="Z216" s="65"/>
      <c r="AA216" s="65"/>
      <c r="AB216" s="65"/>
      <c r="AC216" s="65"/>
      <c r="AD216" s="65"/>
      <c r="AE216" s="65"/>
      <c r="AF216" s="65"/>
      <c r="AG216" s="65"/>
      <c r="AH216" s="65"/>
      <c r="AI216" s="65"/>
      <c r="AJ216" s="65"/>
      <c r="AK216" s="65"/>
      <c r="AL216" s="65"/>
      <c r="AM216" s="65"/>
      <c r="AN216" s="65"/>
      <c r="AO216" s="65"/>
      <c r="AP216" s="65"/>
      <c r="AQ216" s="65"/>
      <c r="AR216" s="65"/>
      <c r="AS216" s="65"/>
      <c r="AT216" s="65"/>
      <c r="AU216" s="65"/>
      <c r="AV216" s="65"/>
      <c r="AW216" s="65"/>
      <c r="AX216" s="65"/>
      <c r="AY216" s="65"/>
      <c r="AZ216" s="65"/>
      <c r="BA216" s="65"/>
      <c r="BB216" s="65"/>
      <c r="BC216" s="65"/>
      <c r="BD216" s="65"/>
      <c r="BE216" s="65"/>
      <c r="BF216" s="65"/>
      <c r="BG216" s="65"/>
      <c r="BH216" s="65"/>
      <c r="BI216" s="65"/>
      <c r="BJ216" s="65"/>
      <c r="BK216" s="65"/>
      <c r="BL216" s="65"/>
      <c r="BM216" s="65"/>
      <c r="BN216" s="65"/>
      <c r="BO216" s="65"/>
      <c r="BP216" s="65"/>
      <c r="BQ216" s="65"/>
      <c r="BR216" s="65"/>
      <c r="BS216" s="65"/>
      <c r="BT216" s="65"/>
      <c r="BU216" s="65"/>
      <c r="BV216" s="65"/>
      <c r="BW216" s="65"/>
      <c r="BX216" s="65"/>
      <c r="BY216" s="65"/>
      <c r="BZ216" s="65"/>
      <c r="CA216" s="65"/>
      <c r="CB216" s="65"/>
      <c r="CC216" s="65"/>
      <c r="CD216" s="65"/>
      <c r="CE216" s="65"/>
      <c r="CF216" s="65"/>
      <c r="CG216" s="65"/>
      <c r="CH216" s="65"/>
      <c r="CI216" s="65"/>
      <c r="CJ216" s="65"/>
      <c r="CK216" s="65"/>
      <c r="CL216" s="65"/>
      <c r="CM216" s="65"/>
      <c r="CN216" s="65"/>
      <c r="CO216" s="65"/>
      <c r="CP216" s="65"/>
      <c r="CQ216" s="65"/>
      <c r="CR216" s="65"/>
      <c r="CS216" s="65"/>
      <c r="CT216" s="65"/>
      <c r="CU216" s="65"/>
      <c r="CV216" s="65"/>
      <c r="CW216" s="65"/>
      <c r="CX216" s="65"/>
      <c r="CY216" s="65"/>
      <c r="CZ216" s="65"/>
      <c r="DA216" s="65"/>
      <c r="DB216" s="65"/>
      <c r="DC216" s="65"/>
      <c r="DD216" s="65"/>
      <c r="DE216" s="65"/>
      <c r="DF216" s="65"/>
      <c r="DG216" s="65"/>
      <c r="DH216" s="65"/>
      <c r="DI216" s="65"/>
      <c r="DJ216" s="65"/>
      <c r="DK216" s="65"/>
      <c r="DL216" s="65"/>
      <c r="DM216" s="65"/>
      <c r="DN216" s="65"/>
      <c r="DO216" s="65"/>
      <c r="DP216" s="65"/>
      <c r="DQ216" s="65"/>
      <c r="DR216" s="65"/>
      <c r="DS216" s="65"/>
      <c r="DT216" s="65"/>
      <c r="DU216" s="65"/>
      <c r="DV216" s="65"/>
      <c r="DW216" s="65"/>
      <c r="DX216" s="65"/>
      <c r="DY216" s="65"/>
      <c r="DZ216" s="65"/>
      <c r="EA216" s="65"/>
      <c r="EB216" s="65"/>
      <c r="EC216" s="65"/>
      <c r="ED216" s="65"/>
      <c r="EE216" s="65"/>
      <c r="EF216" s="65"/>
      <c r="EG216" s="65"/>
      <c r="EH216" s="65"/>
      <c r="EI216" s="65"/>
      <c r="EJ216" s="65"/>
      <c r="EK216" s="65"/>
      <c r="EL216" s="65"/>
      <c r="EM216" s="65"/>
      <c r="EN216" s="65"/>
      <c r="EP216" s="37"/>
      <c r="EQ216" s="24"/>
      <c r="ER216" s="24"/>
      <c r="ES216" s="24"/>
      <c r="ET216" s="33" t="s">
        <v>377</v>
      </c>
      <c r="EU216" s="33"/>
      <c r="EV216" s="225">
        <f t="shared" ref="EV216:GA216" si="774">(EV$197&lt;=Timing_Reversion_Month)*(EV215*((1+$EP217)^(1/12)-1))</f>
        <v>0</v>
      </c>
      <c r="EW216" s="225">
        <f t="shared" ca="1" si="774"/>
        <v>33832.305928013739</v>
      </c>
      <c r="EX216" s="225">
        <f t="shared" ca="1" si="774"/>
        <v>38071.110760896801</v>
      </c>
      <c r="EY216" s="225">
        <f t="shared" ca="1" si="774"/>
        <v>43796.938450450536</v>
      </c>
      <c r="EZ216" s="225">
        <f t="shared" ca="1" si="774"/>
        <v>52446.311607858886</v>
      </c>
      <c r="FA216" s="225">
        <f t="shared" ca="1" si="774"/>
        <v>66175.419989773582</v>
      </c>
      <c r="FB216" s="225">
        <f t="shared" ca="1" si="774"/>
        <v>87623.162688222379</v>
      </c>
      <c r="FC216" s="225">
        <f t="shared" ca="1" si="774"/>
        <v>119192.26727968964</v>
      </c>
      <c r="FD216" s="225">
        <f t="shared" ca="1" si="774"/>
        <v>136130.88315062775</v>
      </c>
      <c r="FE216" s="225">
        <f t="shared" ca="1" si="774"/>
        <v>137422.60091284598</v>
      </c>
      <c r="FF216" s="225">
        <f t="shared" ca="1" si="774"/>
        <v>138726.57551743984</v>
      </c>
      <c r="FG216" s="225">
        <f t="shared" ca="1" si="774"/>
        <v>140042.92326704861</v>
      </c>
      <c r="FH216" s="225">
        <f t="shared" ca="1" si="774"/>
        <v>141371.76156788334</v>
      </c>
      <c r="FI216" s="225">
        <f t="shared" ca="1" si="774"/>
        <v>142713.20894019821</v>
      </c>
      <c r="FJ216" s="225">
        <f t="shared" ca="1" si="774"/>
        <v>144067.38502886164</v>
      </c>
      <c r="FK216" s="225">
        <f t="shared" ca="1" si="774"/>
        <v>145434.41061402738</v>
      </c>
      <c r="FL216" s="225">
        <f t="shared" ca="1" si="774"/>
        <v>146814.40762190698</v>
      </c>
      <c r="FM216" s="225">
        <f t="shared" ca="1" si="774"/>
        <v>148207.49913564473</v>
      </c>
      <c r="FN216" s="225">
        <f t="shared" ca="1" si="774"/>
        <v>149613.80940629527</v>
      </c>
      <c r="FO216" s="225">
        <f t="shared" ca="1" si="774"/>
        <v>151033.46386390578</v>
      </c>
      <c r="FP216" s="225">
        <f t="shared" ca="1" si="774"/>
        <v>152466.5891287032</v>
      </c>
      <c r="FQ216" s="225">
        <f t="shared" ca="1" si="774"/>
        <v>153913.31302238762</v>
      </c>
      <c r="FR216" s="225">
        <f t="shared" ca="1" si="774"/>
        <v>155373.76457953273</v>
      </c>
      <c r="FS216" s="225">
        <f t="shared" ca="1" si="774"/>
        <v>156848.07405909456</v>
      </c>
      <c r="FT216" s="225">
        <f t="shared" ca="1" si="774"/>
        <v>158336.37295602946</v>
      </c>
      <c r="FU216" s="225">
        <f t="shared" ca="1" si="774"/>
        <v>159838.79401302215</v>
      </c>
      <c r="FV216" s="225">
        <f t="shared" ca="1" si="774"/>
        <v>161355.47123232522</v>
      </c>
      <c r="FW216" s="225">
        <f t="shared" ca="1" si="774"/>
        <v>162886.53988771079</v>
      </c>
      <c r="FX216" s="225">
        <f t="shared" ca="1" si="774"/>
        <v>164432.13653653601</v>
      </c>
      <c r="FY216" s="225">
        <f t="shared" ca="1" si="774"/>
        <v>165992.39903192228</v>
      </c>
      <c r="FZ216" s="225">
        <f t="shared" ca="1" si="774"/>
        <v>167567.46653505086</v>
      </c>
      <c r="GA216" s="225">
        <f t="shared" ca="1" si="774"/>
        <v>169138.57199245173</v>
      </c>
      <c r="GB216" s="225">
        <f t="shared" ref="GB216:HG216" ca="1" si="775">(GB$197&lt;=Timing_Reversion_Month)*(GB215*((1+$EP217)^(1/12)-1))</f>
        <v>170578.4781633816</v>
      </c>
      <c r="GC216" s="225">
        <f t="shared" ca="1" si="775"/>
        <v>171741.65923913225</v>
      </c>
      <c r="GD216" s="225">
        <f t="shared" ca="1" si="775"/>
        <v>172563.51865772725</v>
      </c>
      <c r="GE216" s="225">
        <f t="shared" ca="1" si="775"/>
        <v>173383.16484798657</v>
      </c>
      <c r="GF216" s="225">
        <f t="shared" ca="1" si="775"/>
        <v>174200.57680904469</v>
      </c>
      <c r="GG216" s="225">
        <f t="shared" ca="1" si="775"/>
        <v>175015.73334076349</v>
      </c>
      <c r="GH216" s="225">
        <f t="shared" ca="1" si="775"/>
        <v>175828.61304184087</v>
      </c>
      <c r="GI216" s="225">
        <f t="shared" ca="1" si="775"/>
        <v>176639.19430790239</v>
      </c>
      <c r="GJ216" s="225">
        <f t="shared" ca="1" si="775"/>
        <v>177447.45532957406</v>
      </c>
      <c r="GK216" s="225">
        <f t="shared" ca="1" si="775"/>
        <v>178253.3740905374</v>
      </c>
      <c r="GL216" s="225">
        <f t="shared" ca="1" si="775"/>
        <v>179056.92836556549</v>
      </c>
      <c r="GM216" s="225">
        <f t="shared" ca="1" si="775"/>
        <v>179858.09571854092</v>
      </c>
      <c r="GN216" s="225">
        <f t="shared" ca="1" si="775"/>
        <v>180780.47320978288</v>
      </c>
      <c r="GO216" s="225">
        <f t="shared" ca="1" si="775"/>
        <v>181701.29091740123</v>
      </c>
      <c r="GP216" s="225">
        <f t="shared" ca="1" si="775"/>
        <v>0</v>
      </c>
      <c r="GQ216" s="225">
        <f t="shared" ca="1" si="775"/>
        <v>0</v>
      </c>
      <c r="GR216" s="225">
        <f t="shared" ca="1" si="775"/>
        <v>0</v>
      </c>
      <c r="GS216" s="225">
        <f t="shared" ca="1" si="775"/>
        <v>0</v>
      </c>
      <c r="GT216" s="225">
        <f t="shared" ca="1" si="775"/>
        <v>0</v>
      </c>
      <c r="GU216" s="225">
        <f t="shared" ca="1" si="775"/>
        <v>0</v>
      </c>
      <c r="GV216" s="225">
        <f t="shared" ca="1" si="775"/>
        <v>0</v>
      </c>
      <c r="GW216" s="225">
        <f t="shared" ca="1" si="775"/>
        <v>0</v>
      </c>
      <c r="GX216" s="225">
        <f t="shared" ca="1" si="775"/>
        <v>0</v>
      </c>
      <c r="GY216" s="225">
        <f t="shared" ca="1" si="775"/>
        <v>0</v>
      </c>
      <c r="GZ216" s="225">
        <f t="shared" ca="1" si="775"/>
        <v>0</v>
      </c>
      <c r="HA216" s="225">
        <f t="shared" ca="1" si="775"/>
        <v>0</v>
      </c>
      <c r="HB216" s="225">
        <f t="shared" ca="1" si="775"/>
        <v>0</v>
      </c>
      <c r="HC216" s="225">
        <f t="shared" ca="1" si="775"/>
        <v>0</v>
      </c>
      <c r="HD216" s="225">
        <f t="shared" ca="1" si="775"/>
        <v>0</v>
      </c>
      <c r="HE216" s="225">
        <f t="shared" ca="1" si="775"/>
        <v>0</v>
      </c>
      <c r="HF216" s="225">
        <f t="shared" ca="1" si="775"/>
        <v>0</v>
      </c>
      <c r="HG216" s="225">
        <f t="shared" ca="1" si="775"/>
        <v>0</v>
      </c>
      <c r="HH216" s="225">
        <f t="shared" ref="HH216:IM216" ca="1" si="776">(HH$197&lt;=Timing_Reversion_Month)*(HH215*((1+$EP217)^(1/12)-1))</f>
        <v>0</v>
      </c>
      <c r="HI216" s="225">
        <f t="shared" ca="1" si="776"/>
        <v>0</v>
      </c>
      <c r="HJ216" s="225">
        <f t="shared" ca="1" si="776"/>
        <v>0</v>
      </c>
      <c r="HK216" s="225">
        <f t="shared" ca="1" si="776"/>
        <v>0</v>
      </c>
      <c r="HL216" s="225">
        <f t="shared" ca="1" si="776"/>
        <v>0</v>
      </c>
      <c r="HM216" s="225">
        <f t="shared" ca="1" si="776"/>
        <v>0</v>
      </c>
      <c r="HN216" s="225">
        <f t="shared" ca="1" si="776"/>
        <v>0</v>
      </c>
      <c r="HO216" s="225">
        <f t="shared" ca="1" si="776"/>
        <v>0</v>
      </c>
      <c r="HP216" s="225">
        <f t="shared" ca="1" si="776"/>
        <v>0</v>
      </c>
      <c r="HQ216" s="225">
        <f t="shared" ca="1" si="776"/>
        <v>0</v>
      </c>
      <c r="HR216" s="225">
        <f t="shared" ca="1" si="776"/>
        <v>0</v>
      </c>
      <c r="HS216" s="225">
        <f t="shared" ca="1" si="776"/>
        <v>0</v>
      </c>
      <c r="HT216" s="225">
        <f t="shared" ca="1" si="776"/>
        <v>0</v>
      </c>
      <c r="HU216" s="225">
        <f t="shared" ca="1" si="776"/>
        <v>0</v>
      </c>
      <c r="HV216" s="225">
        <f t="shared" ca="1" si="776"/>
        <v>0</v>
      </c>
      <c r="HW216" s="225">
        <f t="shared" ca="1" si="776"/>
        <v>0</v>
      </c>
      <c r="HX216" s="225">
        <f t="shared" ca="1" si="776"/>
        <v>0</v>
      </c>
      <c r="HY216" s="225">
        <f t="shared" ca="1" si="776"/>
        <v>0</v>
      </c>
      <c r="HZ216" s="225">
        <f t="shared" ca="1" si="776"/>
        <v>0</v>
      </c>
      <c r="IA216" s="225">
        <f t="shared" ca="1" si="776"/>
        <v>0</v>
      </c>
      <c r="IB216" s="225">
        <f t="shared" ca="1" si="776"/>
        <v>0</v>
      </c>
      <c r="IC216" s="225">
        <f t="shared" ca="1" si="776"/>
        <v>0</v>
      </c>
      <c r="ID216" s="225">
        <f t="shared" ca="1" si="776"/>
        <v>0</v>
      </c>
      <c r="IE216" s="225">
        <f t="shared" ca="1" si="776"/>
        <v>0</v>
      </c>
      <c r="IF216" s="225">
        <f t="shared" ca="1" si="776"/>
        <v>0</v>
      </c>
      <c r="IG216" s="225">
        <f t="shared" ca="1" si="776"/>
        <v>0</v>
      </c>
      <c r="IH216" s="225">
        <f t="shared" ca="1" si="776"/>
        <v>0</v>
      </c>
      <c r="II216" s="225">
        <f t="shared" ca="1" si="776"/>
        <v>0</v>
      </c>
      <c r="IJ216" s="225">
        <f t="shared" ca="1" si="776"/>
        <v>0</v>
      </c>
      <c r="IK216" s="225">
        <f t="shared" ca="1" si="776"/>
        <v>0</v>
      </c>
      <c r="IL216" s="225">
        <f t="shared" ca="1" si="776"/>
        <v>0</v>
      </c>
      <c r="IM216" s="225">
        <f t="shared" ca="1" si="776"/>
        <v>0</v>
      </c>
      <c r="IN216" s="225">
        <f t="shared" ref="IN216:JS216" ca="1" si="777">(IN$197&lt;=Timing_Reversion_Month)*(IN215*((1+$EP217)^(1/12)-1))</f>
        <v>0</v>
      </c>
      <c r="IO216" s="225">
        <f t="shared" ca="1" si="777"/>
        <v>0</v>
      </c>
      <c r="IP216" s="225">
        <f t="shared" ca="1" si="777"/>
        <v>0</v>
      </c>
      <c r="IQ216" s="225">
        <f t="shared" ca="1" si="777"/>
        <v>0</v>
      </c>
      <c r="IR216" s="225">
        <f t="shared" ca="1" si="777"/>
        <v>0</v>
      </c>
      <c r="IS216" s="225">
        <f t="shared" ca="1" si="777"/>
        <v>0</v>
      </c>
      <c r="IT216" s="225">
        <f t="shared" ca="1" si="777"/>
        <v>0</v>
      </c>
      <c r="IU216" s="225">
        <f t="shared" ca="1" si="777"/>
        <v>0</v>
      </c>
      <c r="IV216" s="225">
        <f t="shared" ca="1" si="777"/>
        <v>0</v>
      </c>
      <c r="IW216" s="225">
        <f t="shared" ca="1" si="777"/>
        <v>0</v>
      </c>
      <c r="IX216" s="225">
        <f t="shared" ca="1" si="777"/>
        <v>0</v>
      </c>
      <c r="IY216" s="225">
        <f t="shared" ca="1" si="777"/>
        <v>0</v>
      </c>
      <c r="IZ216" s="225">
        <f t="shared" ca="1" si="777"/>
        <v>0</v>
      </c>
      <c r="JA216" s="225">
        <f t="shared" ca="1" si="777"/>
        <v>0</v>
      </c>
      <c r="JB216" s="225">
        <f t="shared" ca="1" si="777"/>
        <v>0</v>
      </c>
      <c r="JC216" s="225">
        <f t="shared" ca="1" si="777"/>
        <v>0</v>
      </c>
      <c r="JD216" s="225">
        <f t="shared" ca="1" si="777"/>
        <v>0</v>
      </c>
      <c r="JE216" s="225">
        <f t="shared" ca="1" si="777"/>
        <v>0</v>
      </c>
      <c r="JF216" s="225">
        <f t="shared" ca="1" si="777"/>
        <v>0</v>
      </c>
      <c r="JG216" s="225">
        <f t="shared" ca="1" si="777"/>
        <v>0</v>
      </c>
      <c r="JH216" s="225">
        <f t="shared" ca="1" si="777"/>
        <v>0</v>
      </c>
      <c r="JI216" s="225">
        <f t="shared" ca="1" si="777"/>
        <v>0</v>
      </c>
      <c r="JJ216" s="225">
        <f t="shared" ca="1" si="777"/>
        <v>0</v>
      </c>
      <c r="JK216" s="225">
        <f t="shared" ca="1" si="777"/>
        <v>0</v>
      </c>
      <c r="JL216" s="225">
        <f t="shared" ca="1" si="777"/>
        <v>0</v>
      </c>
      <c r="JM216" s="225">
        <f t="shared" ca="1" si="777"/>
        <v>0</v>
      </c>
      <c r="JN216" s="225">
        <f t="shared" ca="1" si="777"/>
        <v>0</v>
      </c>
      <c r="JO216" s="225">
        <f t="shared" ca="1" si="777"/>
        <v>0</v>
      </c>
      <c r="JP216" s="225">
        <f t="shared" ca="1" si="777"/>
        <v>0</v>
      </c>
      <c r="JQ216" s="225">
        <f t="shared" ca="1" si="777"/>
        <v>0</v>
      </c>
      <c r="JR216" s="225">
        <f t="shared" ca="1" si="777"/>
        <v>0</v>
      </c>
      <c r="JS216" s="225">
        <f t="shared" ca="1" si="777"/>
        <v>0</v>
      </c>
      <c r="JT216" s="225">
        <f ca="1">(JT$197&lt;=Timing_Reversion_Month)*(JT215*((1+$EP217)^(1/12)-1))</f>
        <v>0</v>
      </c>
      <c r="JU216" s="225">
        <f ca="1">(JU$197&lt;=Timing_Reversion_Month)*(JU215*((1+$EP217)^(1/12)-1))</f>
        <v>0</v>
      </c>
      <c r="JV216" s="225">
        <f ca="1">(JV$197&lt;=Timing_Reversion_Month)*(JV215*((1+$EP217)^(1/12)-1))</f>
        <v>0</v>
      </c>
      <c r="JW216" s="225">
        <f ca="1">(JW$197&lt;=Timing_Reversion_Month)*(JW215*((1+$EP217)^(1/12)-1))</f>
        <v>0</v>
      </c>
      <c r="JX216" s="225">
        <f ca="1">(JX$197&lt;=Timing_Reversion_Month)*(JX215*((1+$EP217)^(1/12)-1))</f>
        <v>0</v>
      </c>
    </row>
    <row r="217" spans="1:284" s="58" customFormat="1" x14ac:dyDescent="0.2">
      <c r="A217" s="409"/>
      <c r="B217" s="158" t="s">
        <v>307</v>
      </c>
      <c r="C217" s="159"/>
      <c r="D217" s="159"/>
      <c r="E217" s="159"/>
      <c r="F217" s="159"/>
      <c r="G217" s="185">
        <f>G189</f>
        <v>4.7500000000000001E-2</v>
      </c>
      <c r="H217" s="185">
        <f>H189</f>
        <v>5.1166666666666666E-2</v>
      </c>
      <c r="I217" s="185">
        <f>I189</f>
        <v>5.2499999999999998E-2</v>
      </c>
      <c r="L217" s="65"/>
      <c r="M217" s="65"/>
      <c r="N217" s="65"/>
      <c r="O217" s="65"/>
      <c r="P217" s="65"/>
      <c r="Q217" s="65"/>
      <c r="R217" s="65"/>
      <c r="S217" s="65"/>
      <c r="T217" s="65"/>
      <c r="U217" s="65"/>
      <c r="V217" s="65"/>
      <c r="W217" s="65"/>
      <c r="X217" s="65"/>
      <c r="Y217" s="65"/>
      <c r="Z217" s="65"/>
      <c r="AA217" s="65"/>
      <c r="AB217" s="65"/>
      <c r="AC217" s="65"/>
      <c r="AD217" s="65"/>
      <c r="AE217" s="65"/>
      <c r="AF217" s="65"/>
      <c r="AG217" s="65"/>
      <c r="AH217" s="65"/>
      <c r="AI217" s="65"/>
      <c r="AJ217" s="65"/>
      <c r="AK217" s="65"/>
      <c r="AL217" s="65"/>
      <c r="AM217" s="65"/>
      <c r="AN217" s="65"/>
      <c r="AO217" s="65"/>
      <c r="AP217" s="65"/>
      <c r="AQ217" s="65"/>
      <c r="AR217" s="65"/>
      <c r="AS217" s="65"/>
      <c r="AT217" s="65"/>
      <c r="AU217" s="65"/>
      <c r="AV217" s="65"/>
      <c r="AW217" s="65"/>
      <c r="AX217" s="65"/>
      <c r="AY217" s="65"/>
      <c r="AZ217" s="65"/>
      <c r="BA217" s="65"/>
      <c r="BB217" s="65"/>
      <c r="BC217" s="65"/>
      <c r="BD217" s="65"/>
      <c r="BE217" s="65"/>
      <c r="BF217" s="65"/>
      <c r="BG217" s="65"/>
      <c r="BH217" s="65"/>
      <c r="BI217" s="65"/>
      <c r="BJ217" s="65"/>
      <c r="BK217" s="65"/>
      <c r="BL217" s="65"/>
      <c r="BM217" s="65"/>
      <c r="BN217" s="65"/>
      <c r="BO217" s="65"/>
      <c r="BP217" s="65"/>
      <c r="BQ217" s="65"/>
      <c r="BR217" s="65"/>
      <c r="BS217" s="65"/>
      <c r="BT217" s="65"/>
      <c r="BU217" s="65"/>
      <c r="BV217" s="65"/>
      <c r="BW217" s="65"/>
      <c r="BX217" s="65"/>
      <c r="BY217" s="65"/>
      <c r="BZ217" s="65"/>
      <c r="CA217" s="65"/>
      <c r="CB217" s="65"/>
      <c r="CC217" s="65"/>
      <c r="CD217" s="65"/>
      <c r="CE217" s="65"/>
      <c r="CF217" s="65"/>
      <c r="CG217" s="65"/>
      <c r="CH217" s="65"/>
      <c r="CI217" s="65"/>
      <c r="CJ217" s="65"/>
      <c r="CK217" s="65"/>
      <c r="CL217" s="65"/>
      <c r="CM217" s="65"/>
      <c r="CN217" s="65"/>
      <c r="CO217" s="65"/>
      <c r="CP217" s="65"/>
      <c r="CQ217" s="65"/>
      <c r="CR217" s="65"/>
      <c r="CS217" s="65"/>
      <c r="CT217" s="65"/>
      <c r="CU217" s="65"/>
      <c r="CV217" s="65"/>
      <c r="CW217" s="65"/>
      <c r="CX217" s="65"/>
      <c r="CY217" s="65"/>
      <c r="CZ217" s="65"/>
      <c r="DA217" s="65"/>
      <c r="DB217" s="65"/>
      <c r="DC217" s="65"/>
      <c r="DD217" s="65"/>
      <c r="DE217" s="65"/>
      <c r="DF217" s="65"/>
      <c r="DG217" s="65"/>
      <c r="DH217" s="65"/>
      <c r="DI217" s="65"/>
      <c r="DJ217" s="65"/>
      <c r="DK217" s="65"/>
      <c r="DL217" s="65"/>
      <c r="DM217" s="65"/>
      <c r="DN217" s="65"/>
      <c r="DO217" s="65"/>
      <c r="DP217" s="65"/>
      <c r="DQ217" s="65"/>
      <c r="DR217" s="65"/>
      <c r="DS217" s="65"/>
      <c r="DT217" s="65"/>
      <c r="DU217" s="65"/>
      <c r="DV217" s="65"/>
      <c r="DW217" s="65"/>
      <c r="DX217" s="65"/>
      <c r="DY217" s="65"/>
      <c r="DZ217" s="65"/>
      <c r="EA217" s="65"/>
      <c r="EB217" s="65"/>
      <c r="EC217" s="65"/>
      <c r="ED217" s="65"/>
      <c r="EE217" s="65"/>
      <c r="EF217" s="65"/>
      <c r="EG217" s="65"/>
      <c r="EH217" s="65"/>
      <c r="EI217" s="65"/>
      <c r="EJ217" s="65"/>
      <c r="EK217" s="65"/>
      <c r="EL217" s="65"/>
      <c r="EM217" s="65"/>
      <c r="EN217" s="65"/>
      <c r="EP217" s="220">
        <f>F234</f>
        <v>0.12</v>
      </c>
      <c r="EQ217" s="24" t="s">
        <v>376</v>
      </c>
      <c r="ER217" s="24"/>
      <c r="ES217" s="24"/>
      <c r="ET217" s="33" t="s">
        <v>383</v>
      </c>
      <c r="EU217" s="33"/>
      <c r="EV217" s="225">
        <f t="shared" ref="EV217:GA217" ca="1" si="778">EV202</f>
        <v>0</v>
      </c>
      <c r="EW217" s="225">
        <f t="shared" ca="1" si="778"/>
        <v>0</v>
      </c>
      <c r="EX217" s="225">
        <f t="shared" ca="1" si="778"/>
        <v>0</v>
      </c>
      <c r="EY217" s="225">
        <f t="shared" ca="1" si="778"/>
        <v>0</v>
      </c>
      <c r="EZ217" s="225">
        <f t="shared" ca="1" si="778"/>
        <v>0</v>
      </c>
      <c r="FA217" s="225">
        <f t="shared" ca="1" si="778"/>
        <v>0</v>
      </c>
      <c r="FB217" s="225">
        <f t="shared" ca="1" si="778"/>
        <v>0</v>
      </c>
      <c r="FC217" s="225">
        <f t="shared" ca="1" si="778"/>
        <v>0</v>
      </c>
      <c r="FD217" s="225">
        <f t="shared" ca="1" si="778"/>
        <v>0</v>
      </c>
      <c r="FE217" s="225">
        <f t="shared" ca="1" si="778"/>
        <v>0</v>
      </c>
      <c r="FF217" s="225">
        <f t="shared" ca="1" si="778"/>
        <v>0</v>
      </c>
      <c r="FG217" s="225">
        <f t="shared" ca="1" si="778"/>
        <v>0</v>
      </c>
      <c r="FH217" s="225">
        <f t="shared" ca="1" si="778"/>
        <v>0</v>
      </c>
      <c r="FI217" s="225">
        <f t="shared" ca="1" si="778"/>
        <v>0</v>
      </c>
      <c r="FJ217" s="225">
        <f t="shared" ca="1" si="778"/>
        <v>0</v>
      </c>
      <c r="FK217" s="225">
        <f t="shared" ca="1" si="778"/>
        <v>0</v>
      </c>
      <c r="FL217" s="225">
        <f t="shared" ca="1" si="778"/>
        <v>0</v>
      </c>
      <c r="FM217" s="225">
        <f t="shared" ca="1" si="778"/>
        <v>0</v>
      </c>
      <c r="FN217" s="225">
        <f t="shared" ca="1" si="778"/>
        <v>0</v>
      </c>
      <c r="FO217" s="225">
        <f t="shared" ca="1" si="778"/>
        <v>0</v>
      </c>
      <c r="FP217" s="225">
        <f t="shared" ca="1" si="778"/>
        <v>1.3824319466948509E-11</v>
      </c>
      <c r="FQ217" s="225">
        <f t="shared" ca="1" si="778"/>
        <v>0</v>
      </c>
      <c r="FR217" s="225">
        <f t="shared" ca="1" si="778"/>
        <v>0</v>
      </c>
      <c r="FS217" s="225">
        <f t="shared" ca="1" si="778"/>
        <v>8.6401996668428183E-12</v>
      </c>
      <c r="FT217" s="225">
        <f t="shared" ca="1" si="778"/>
        <v>0</v>
      </c>
      <c r="FU217" s="225">
        <f t="shared" ca="1" si="778"/>
        <v>0</v>
      </c>
      <c r="FV217" s="225">
        <f t="shared" ca="1" si="778"/>
        <v>0</v>
      </c>
      <c r="FW217" s="225">
        <f t="shared" ca="1" si="778"/>
        <v>0</v>
      </c>
      <c r="FX217" s="225">
        <f t="shared" ca="1" si="778"/>
        <v>0</v>
      </c>
      <c r="FY217" s="225">
        <f t="shared" ca="1" si="778"/>
        <v>0</v>
      </c>
      <c r="FZ217" s="225">
        <f t="shared" ca="1" si="778"/>
        <v>1992.6175282008755</v>
      </c>
      <c r="GA217" s="225">
        <f t="shared" ca="1" si="778"/>
        <v>17390.485501708215</v>
      </c>
      <c r="GB217" s="225">
        <f t="shared" ref="GB217:HG217" ca="1" si="779">GB202</f>
        <v>47993.752817410037</v>
      </c>
      <c r="GC217" s="225">
        <f t="shared" ca="1" si="779"/>
        <v>85127.964087280096</v>
      </c>
      <c r="GD217" s="225">
        <f t="shared" ca="1" si="779"/>
        <v>86183.070068530113</v>
      </c>
      <c r="GE217" s="225">
        <f t="shared" ca="1" si="779"/>
        <v>87238.176049780115</v>
      </c>
      <c r="GF217" s="225">
        <f t="shared" ca="1" si="779"/>
        <v>88293.282031030132</v>
      </c>
      <c r="GG217" s="225">
        <f t="shared" ca="1" si="779"/>
        <v>89348.388012280091</v>
      </c>
      <c r="GH217" s="225">
        <f t="shared" ca="1" si="779"/>
        <v>90403.49399353005</v>
      </c>
      <c r="GI217" s="225">
        <f t="shared" ca="1" si="779"/>
        <v>91458.599974780125</v>
      </c>
      <c r="GJ217" s="225">
        <f t="shared" ca="1" si="779"/>
        <v>92513.705956030084</v>
      </c>
      <c r="GK217" s="225">
        <f t="shared" ca="1" si="779"/>
        <v>93568.811937280087</v>
      </c>
      <c r="GL217" s="225">
        <f t="shared" ca="1" si="779"/>
        <v>94623.917918530104</v>
      </c>
      <c r="GM217" s="225">
        <f t="shared" ca="1" si="779"/>
        <v>82651.053937678371</v>
      </c>
      <c r="GN217" s="225">
        <f t="shared" ca="1" si="779"/>
        <v>83737.813098365834</v>
      </c>
      <c r="GO217" s="225">
        <f t="shared" ca="1" si="779"/>
        <v>17516012.024312377</v>
      </c>
      <c r="GP217" s="225">
        <f t="shared" ca="1" si="779"/>
        <v>0</v>
      </c>
      <c r="GQ217" s="225">
        <f t="shared" ca="1" si="779"/>
        <v>0</v>
      </c>
      <c r="GR217" s="225">
        <f t="shared" ca="1" si="779"/>
        <v>0</v>
      </c>
      <c r="GS217" s="225">
        <f t="shared" ca="1" si="779"/>
        <v>0</v>
      </c>
      <c r="GT217" s="225">
        <f t="shared" ca="1" si="779"/>
        <v>0</v>
      </c>
      <c r="GU217" s="225">
        <f t="shared" ca="1" si="779"/>
        <v>0</v>
      </c>
      <c r="GV217" s="225">
        <f t="shared" ca="1" si="779"/>
        <v>0</v>
      </c>
      <c r="GW217" s="225">
        <f t="shared" ca="1" si="779"/>
        <v>0</v>
      </c>
      <c r="GX217" s="225">
        <f t="shared" ca="1" si="779"/>
        <v>0</v>
      </c>
      <c r="GY217" s="225">
        <f t="shared" ca="1" si="779"/>
        <v>0</v>
      </c>
      <c r="GZ217" s="225">
        <f t="shared" ca="1" si="779"/>
        <v>0</v>
      </c>
      <c r="HA217" s="225">
        <f t="shared" ca="1" si="779"/>
        <v>0</v>
      </c>
      <c r="HB217" s="225">
        <f t="shared" ca="1" si="779"/>
        <v>0</v>
      </c>
      <c r="HC217" s="225">
        <f t="shared" ca="1" si="779"/>
        <v>0</v>
      </c>
      <c r="HD217" s="225">
        <f t="shared" ca="1" si="779"/>
        <v>0</v>
      </c>
      <c r="HE217" s="225">
        <f t="shared" ca="1" si="779"/>
        <v>0</v>
      </c>
      <c r="HF217" s="225">
        <f t="shared" ca="1" si="779"/>
        <v>0</v>
      </c>
      <c r="HG217" s="225">
        <f t="shared" ca="1" si="779"/>
        <v>0</v>
      </c>
      <c r="HH217" s="225">
        <f t="shared" ref="HH217:IM217" ca="1" si="780">HH202</f>
        <v>0</v>
      </c>
      <c r="HI217" s="225">
        <f t="shared" ca="1" si="780"/>
        <v>0</v>
      </c>
      <c r="HJ217" s="225">
        <f t="shared" ca="1" si="780"/>
        <v>0</v>
      </c>
      <c r="HK217" s="225">
        <f t="shared" ca="1" si="780"/>
        <v>0</v>
      </c>
      <c r="HL217" s="225">
        <f t="shared" ca="1" si="780"/>
        <v>0</v>
      </c>
      <c r="HM217" s="225">
        <f t="shared" ca="1" si="780"/>
        <v>0</v>
      </c>
      <c r="HN217" s="225">
        <f t="shared" ca="1" si="780"/>
        <v>0</v>
      </c>
      <c r="HO217" s="225">
        <f t="shared" ca="1" si="780"/>
        <v>0</v>
      </c>
      <c r="HP217" s="225">
        <f t="shared" ca="1" si="780"/>
        <v>0</v>
      </c>
      <c r="HQ217" s="225">
        <f t="shared" ca="1" si="780"/>
        <v>0</v>
      </c>
      <c r="HR217" s="225">
        <f t="shared" ca="1" si="780"/>
        <v>0</v>
      </c>
      <c r="HS217" s="225">
        <f t="shared" ca="1" si="780"/>
        <v>0</v>
      </c>
      <c r="HT217" s="225">
        <f t="shared" ca="1" si="780"/>
        <v>0</v>
      </c>
      <c r="HU217" s="225">
        <f t="shared" ca="1" si="780"/>
        <v>0</v>
      </c>
      <c r="HV217" s="225">
        <f t="shared" ca="1" si="780"/>
        <v>0</v>
      </c>
      <c r="HW217" s="225">
        <f t="shared" ca="1" si="780"/>
        <v>0</v>
      </c>
      <c r="HX217" s="225">
        <f t="shared" ca="1" si="780"/>
        <v>0</v>
      </c>
      <c r="HY217" s="225">
        <f t="shared" ca="1" si="780"/>
        <v>0</v>
      </c>
      <c r="HZ217" s="225">
        <f t="shared" ca="1" si="780"/>
        <v>0</v>
      </c>
      <c r="IA217" s="225">
        <f t="shared" ca="1" si="780"/>
        <v>0</v>
      </c>
      <c r="IB217" s="225">
        <f t="shared" ca="1" si="780"/>
        <v>0</v>
      </c>
      <c r="IC217" s="225">
        <f t="shared" ca="1" si="780"/>
        <v>0</v>
      </c>
      <c r="ID217" s="225">
        <f t="shared" ca="1" si="780"/>
        <v>0</v>
      </c>
      <c r="IE217" s="225">
        <f t="shared" ca="1" si="780"/>
        <v>0</v>
      </c>
      <c r="IF217" s="225">
        <f t="shared" ca="1" si="780"/>
        <v>0</v>
      </c>
      <c r="IG217" s="225">
        <f t="shared" ca="1" si="780"/>
        <v>0</v>
      </c>
      <c r="IH217" s="225">
        <f t="shared" ca="1" si="780"/>
        <v>0</v>
      </c>
      <c r="II217" s="225">
        <f t="shared" ca="1" si="780"/>
        <v>0</v>
      </c>
      <c r="IJ217" s="225">
        <f t="shared" ca="1" si="780"/>
        <v>0</v>
      </c>
      <c r="IK217" s="225">
        <f t="shared" ca="1" si="780"/>
        <v>0</v>
      </c>
      <c r="IL217" s="225">
        <f t="shared" ca="1" si="780"/>
        <v>0</v>
      </c>
      <c r="IM217" s="225">
        <f t="shared" ca="1" si="780"/>
        <v>0</v>
      </c>
      <c r="IN217" s="225">
        <f t="shared" ref="IN217:JX217" ca="1" si="781">IN202</f>
        <v>0</v>
      </c>
      <c r="IO217" s="225">
        <f t="shared" ca="1" si="781"/>
        <v>0</v>
      </c>
      <c r="IP217" s="225">
        <f t="shared" ca="1" si="781"/>
        <v>0</v>
      </c>
      <c r="IQ217" s="225">
        <f t="shared" ca="1" si="781"/>
        <v>0</v>
      </c>
      <c r="IR217" s="225">
        <f t="shared" ca="1" si="781"/>
        <v>0</v>
      </c>
      <c r="IS217" s="225">
        <f t="shared" ca="1" si="781"/>
        <v>0</v>
      </c>
      <c r="IT217" s="225">
        <f t="shared" ca="1" si="781"/>
        <v>0</v>
      </c>
      <c r="IU217" s="225">
        <f t="shared" ca="1" si="781"/>
        <v>0</v>
      </c>
      <c r="IV217" s="225">
        <f t="shared" ca="1" si="781"/>
        <v>0</v>
      </c>
      <c r="IW217" s="225">
        <f t="shared" ca="1" si="781"/>
        <v>0</v>
      </c>
      <c r="IX217" s="225">
        <f t="shared" ca="1" si="781"/>
        <v>0</v>
      </c>
      <c r="IY217" s="225">
        <f t="shared" ca="1" si="781"/>
        <v>0</v>
      </c>
      <c r="IZ217" s="225">
        <f t="shared" ca="1" si="781"/>
        <v>0</v>
      </c>
      <c r="JA217" s="225">
        <f t="shared" ca="1" si="781"/>
        <v>0</v>
      </c>
      <c r="JB217" s="225">
        <f t="shared" ca="1" si="781"/>
        <v>0</v>
      </c>
      <c r="JC217" s="225">
        <f t="shared" ca="1" si="781"/>
        <v>0</v>
      </c>
      <c r="JD217" s="225">
        <f t="shared" ca="1" si="781"/>
        <v>0</v>
      </c>
      <c r="JE217" s="225">
        <f t="shared" ca="1" si="781"/>
        <v>0</v>
      </c>
      <c r="JF217" s="225">
        <f t="shared" ca="1" si="781"/>
        <v>0</v>
      </c>
      <c r="JG217" s="225">
        <f t="shared" ca="1" si="781"/>
        <v>0</v>
      </c>
      <c r="JH217" s="225">
        <f t="shared" ca="1" si="781"/>
        <v>0</v>
      </c>
      <c r="JI217" s="225">
        <f t="shared" ca="1" si="781"/>
        <v>0</v>
      </c>
      <c r="JJ217" s="225">
        <f t="shared" ca="1" si="781"/>
        <v>0</v>
      </c>
      <c r="JK217" s="225">
        <f t="shared" ca="1" si="781"/>
        <v>0</v>
      </c>
      <c r="JL217" s="225">
        <f t="shared" ca="1" si="781"/>
        <v>0</v>
      </c>
      <c r="JM217" s="225">
        <f t="shared" ca="1" si="781"/>
        <v>0</v>
      </c>
      <c r="JN217" s="225">
        <f t="shared" ca="1" si="781"/>
        <v>0</v>
      </c>
      <c r="JO217" s="225">
        <f t="shared" ca="1" si="781"/>
        <v>0</v>
      </c>
      <c r="JP217" s="225">
        <f t="shared" ca="1" si="781"/>
        <v>0</v>
      </c>
      <c r="JQ217" s="225">
        <f t="shared" ca="1" si="781"/>
        <v>0</v>
      </c>
      <c r="JR217" s="225">
        <f t="shared" ca="1" si="781"/>
        <v>0</v>
      </c>
      <c r="JS217" s="225">
        <f t="shared" ca="1" si="781"/>
        <v>0</v>
      </c>
      <c r="JT217" s="225">
        <f t="shared" ca="1" si="781"/>
        <v>0</v>
      </c>
      <c r="JU217" s="225">
        <f t="shared" ca="1" si="781"/>
        <v>0</v>
      </c>
      <c r="JV217" s="225">
        <f t="shared" ca="1" si="781"/>
        <v>0</v>
      </c>
      <c r="JW217" s="225">
        <f t="shared" ca="1" si="781"/>
        <v>0</v>
      </c>
      <c r="JX217" s="225">
        <f t="shared" ca="1" si="781"/>
        <v>0</v>
      </c>
    </row>
    <row r="218" spans="1:284" s="58" customFormat="1" x14ac:dyDescent="0.2">
      <c r="A218" s="409"/>
      <c r="B218" s="158" t="s">
        <v>305</v>
      </c>
      <c r="C218" s="159"/>
      <c r="D218" s="159"/>
      <c r="E218" s="159"/>
      <c r="F218" s="159"/>
      <c r="G218" s="186">
        <f>(G216-G217)*10000</f>
        <v>101.42704654989315</v>
      </c>
      <c r="H218" s="186">
        <f ca="1">(H216-H217)*10000</f>
        <v>72.496283463200569</v>
      </c>
      <c r="I218" s="186">
        <f ca="1">(I216-I217)*10000</f>
        <v>76.687838633763349</v>
      </c>
      <c r="L218" s="65"/>
      <c r="M218" s="65"/>
      <c r="N218" s="65"/>
      <c r="O218" s="65"/>
      <c r="P218" s="65"/>
      <c r="Q218" s="65"/>
      <c r="R218" s="65"/>
      <c r="S218" s="65"/>
      <c r="T218" s="65"/>
      <c r="U218" s="65"/>
      <c r="V218" s="65"/>
      <c r="W218" s="65"/>
      <c r="X218" s="65"/>
      <c r="Y218" s="65"/>
      <c r="Z218" s="65"/>
      <c r="AA218" s="65"/>
      <c r="AB218" s="65"/>
      <c r="AC218" s="65"/>
      <c r="AD218" s="65"/>
      <c r="AE218" s="65"/>
      <c r="AF218" s="65"/>
      <c r="AG218" s="65"/>
      <c r="AH218" s="65"/>
      <c r="AI218" s="65"/>
      <c r="AJ218" s="65"/>
      <c r="AK218" s="65"/>
      <c r="AL218" s="65"/>
      <c r="AM218" s="65"/>
      <c r="AN218" s="65"/>
      <c r="AO218" s="65"/>
      <c r="AP218" s="65"/>
      <c r="AQ218" s="65"/>
      <c r="AR218" s="65"/>
      <c r="AS218" s="65"/>
      <c r="AT218" s="65"/>
      <c r="AU218" s="65"/>
      <c r="AV218" s="65"/>
      <c r="AW218" s="65"/>
      <c r="AX218" s="65"/>
      <c r="AY218" s="65"/>
      <c r="AZ218" s="65"/>
      <c r="BA218" s="65"/>
      <c r="BB218" s="65"/>
      <c r="BC218" s="65"/>
      <c r="BD218" s="65"/>
      <c r="BE218" s="65"/>
      <c r="BF218" s="65"/>
      <c r="BG218" s="65"/>
      <c r="BH218" s="65"/>
      <c r="BI218" s="65"/>
      <c r="BJ218" s="65"/>
      <c r="BK218" s="65"/>
      <c r="BL218" s="65"/>
      <c r="BM218" s="65"/>
      <c r="BN218" s="65"/>
      <c r="BO218" s="65"/>
      <c r="BP218" s="65"/>
      <c r="BQ218" s="65"/>
      <c r="BR218" s="65"/>
      <c r="BS218" s="65"/>
      <c r="BT218" s="65"/>
      <c r="BU218" s="65"/>
      <c r="BV218" s="65"/>
      <c r="BW218" s="65"/>
      <c r="BX218" s="65"/>
      <c r="BY218" s="65"/>
      <c r="BZ218" s="65"/>
      <c r="CA218" s="65"/>
      <c r="CB218" s="65"/>
      <c r="CC218" s="65"/>
      <c r="CD218" s="65"/>
      <c r="CE218" s="65"/>
      <c r="CF218" s="65"/>
      <c r="CG218" s="65"/>
      <c r="CH218" s="65"/>
      <c r="CI218" s="65"/>
      <c r="CJ218" s="65"/>
      <c r="CK218" s="65"/>
      <c r="CL218" s="65"/>
      <c r="CM218" s="65"/>
      <c r="CN218" s="65"/>
      <c r="CO218" s="65"/>
      <c r="CP218" s="65"/>
      <c r="CQ218" s="65"/>
      <c r="CR218" s="65"/>
      <c r="CS218" s="65"/>
      <c r="CT218" s="65"/>
      <c r="CU218" s="65"/>
      <c r="CV218" s="65"/>
      <c r="CW218" s="65"/>
      <c r="CX218" s="65"/>
      <c r="CY218" s="65"/>
      <c r="CZ218" s="65"/>
      <c r="DA218" s="65"/>
      <c r="DB218" s="65"/>
      <c r="DC218" s="65"/>
      <c r="DD218" s="65"/>
      <c r="DE218" s="65"/>
      <c r="DF218" s="65"/>
      <c r="DG218" s="65"/>
      <c r="DH218" s="65"/>
      <c r="DI218" s="65"/>
      <c r="DJ218" s="65"/>
      <c r="DK218" s="65"/>
      <c r="DL218" s="65"/>
      <c r="DM218" s="65"/>
      <c r="DN218" s="65"/>
      <c r="DO218" s="65"/>
      <c r="DP218" s="65"/>
      <c r="DQ218" s="65"/>
      <c r="DR218" s="65"/>
      <c r="DS218" s="65"/>
      <c r="DT218" s="65"/>
      <c r="DU218" s="65"/>
      <c r="DV218" s="65"/>
      <c r="DW218" s="65"/>
      <c r="DX218" s="65"/>
      <c r="DY218" s="65"/>
      <c r="DZ218" s="65"/>
      <c r="EA218" s="65"/>
      <c r="EB218" s="65"/>
      <c r="EC218" s="65"/>
      <c r="ED218" s="65"/>
      <c r="EE218" s="65"/>
      <c r="EF218" s="65"/>
      <c r="EG218" s="65"/>
      <c r="EH218" s="65"/>
      <c r="EI218" s="65"/>
      <c r="EJ218" s="65"/>
      <c r="EK218" s="65"/>
      <c r="EL218" s="65"/>
      <c r="EM218" s="65"/>
      <c r="EN218" s="65"/>
      <c r="EP218" s="37"/>
      <c r="EQ218" s="24"/>
      <c r="ER218" s="24"/>
      <c r="ES218" s="24"/>
      <c r="ET218" s="33" t="s">
        <v>385</v>
      </c>
      <c r="EU218" s="33"/>
      <c r="EV218" s="225">
        <f t="shared" ref="EV218:GA218" ca="1" si="782">(EV$197&lt;=Timing_Reversion_Month)*(MIN(EV215+EV216-EV217,MAX(EV213,0)*$I$234))</f>
        <v>0</v>
      </c>
      <c r="EW218" s="225">
        <f t="shared" ca="1" si="782"/>
        <v>0</v>
      </c>
      <c r="EX218" s="225">
        <f t="shared" ca="1" si="782"/>
        <v>0</v>
      </c>
      <c r="EY218" s="225">
        <f t="shared" ca="1" si="782"/>
        <v>0</v>
      </c>
      <c r="EZ218" s="225">
        <f t="shared" ca="1" si="782"/>
        <v>0</v>
      </c>
      <c r="FA218" s="225">
        <f t="shared" ca="1" si="782"/>
        <v>0</v>
      </c>
      <c r="FB218" s="225">
        <f t="shared" ca="1" si="782"/>
        <v>0</v>
      </c>
      <c r="FC218" s="225">
        <f t="shared" ca="1" si="782"/>
        <v>0</v>
      </c>
      <c r="FD218" s="225">
        <f t="shared" ca="1" si="782"/>
        <v>0</v>
      </c>
      <c r="FE218" s="225">
        <f t="shared" ca="1" si="782"/>
        <v>0</v>
      </c>
      <c r="FF218" s="225">
        <f t="shared" ca="1" si="782"/>
        <v>0</v>
      </c>
      <c r="FG218" s="225">
        <f t="shared" ca="1" si="782"/>
        <v>0</v>
      </c>
      <c r="FH218" s="225">
        <f t="shared" ca="1" si="782"/>
        <v>0</v>
      </c>
      <c r="FI218" s="225">
        <f t="shared" ca="1" si="782"/>
        <v>0</v>
      </c>
      <c r="FJ218" s="225">
        <f t="shared" ca="1" si="782"/>
        <v>0</v>
      </c>
      <c r="FK218" s="225">
        <f t="shared" ca="1" si="782"/>
        <v>0</v>
      </c>
      <c r="FL218" s="225">
        <f t="shared" ca="1" si="782"/>
        <v>0</v>
      </c>
      <c r="FM218" s="225">
        <f t="shared" ca="1" si="782"/>
        <v>0</v>
      </c>
      <c r="FN218" s="225">
        <f t="shared" ca="1" si="782"/>
        <v>0</v>
      </c>
      <c r="FO218" s="225">
        <f t="shared" ca="1" si="782"/>
        <v>0</v>
      </c>
      <c r="FP218" s="225">
        <f t="shared" ca="1" si="782"/>
        <v>0</v>
      </c>
      <c r="FQ218" s="225">
        <f t="shared" ca="1" si="782"/>
        <v>0</v>
      </c>
      <c r="FR218" s="225">
        <f t="shared" ca="1" si="782"/>
        <v>0</v>
      </c>
      <c r="FS218" s="225">
        <f t="shared" ca="1" si="782"/>
        <v>0</v>
      </c>
      <c r="FT218" s="225">
        <f t="shared" ca="1" si="782"/>
        <v>0</v>
      </c>
      <c r="FU218" s="225">
        <f t="shared" ca="1" si="782"/>
        <v>0</v>
      </c>
      <c r="FV218" s="225">
        <f t="shared" ca="1" si="782"/>
        <v>0</v>
      </c>
      <c r="FW218" s="225">
        <f t="shared" ca="1" si="782"/>
        <v>0</v>
      </c>
      <c r="FX218" s="225">
        <f t="shared" ca="1" si="782"/>
        <v>0</v>
      </c>
      <c r="FY218" s="225">
        <f t="shared" ca="1" si="782"/>
        <v>0</v>
      </c>
      <c r="FZ218" s="225">
        <f t="shared" ca="1" si="782"/>
        <v>0</v>
      </c>
      <c r="GA218" s="225">
        <f t="shared" ca="1" si="782"/>
        <v>0</v>
      </c>
      <c r="GB218" s="225">
        <f t="shared" ref="GB218:HG218" ca="1" si="783">(GB$197&lt;=Timing_Reversion_Month)*(MIN(GB215+GB216-GB217,MAX(GB213,0)*$I$234))</f>
        <v>0</v>
      </c>
      <c r="GC218" s="225">
        <f t="shared" ca="1" si="783"/>
        <v>0</v>
      </c>
      <c r="GD218" s="225">
        <f t="shared" ca="1" si="783"/>
        <v>0</v>
      </c>
      <c r="GE218" s="225">
        <f t="shared" ca="1" si="783"/>
        <v>1.1750671546906233E-11</v>
      </c>
      <c r="GF218" s="225">
        <f t="shared" ca="1" si="783"/>
        <v>0</v>
      </c>
      <c r="GG218" s="225">
        <f t="shared" ca="1" si="783"/>
        <v>0</v>
      </c>
      <c r="GH218" s="225">
        <f t="shared" ca="1" si="783"/>
        <v>0</v>
      </c>
      <c r="GI218" s="225">
        <f t="shared" ca="1" si="783"/>
        <v>0</v>
      </c>
      <c r="GJ218" s="225">
        <f t="shared" ca="1" si="783"/>
        <v>0</v>
      </c>
      <c r="GK218" s="225">
        <f t="shared" ca="1" si="783"/>
        <v>1.1750671546906233E-11</v>
      </c>
      <c r="GL218" s="225">
        <f t="shared" ca="1" si="783"/>
        <v>1.1750671546906233E-11</v>
      </c>
      <c r="GM218" s="225">
        <f t="shared" ca="1" si="783"/>
        <v>0</v>
      </c>
      <c r="GN218" s="225">
        <f t="shared" ca="1" si="783"/>
        <v>0</v>
      </c>
      <c r="GO218" s="225">
        <f t="shared" ca="1" si="783"/>
        <v>1814730.8960381038</v>
      </c>
      <c r="GP218" s="225">
        <f t="shared" ca="1" si="783"/>
        <v>0</v>
      </c>
      <c r="GQ218" s="225">
        <f t="shared" ca="1" si="783"/>
        <v>0</v>
      </c>
      <c r="GR218" s="225">
        <f t="shared" ca="1" si="783"/>
        <v>0</v>
      </c>
      <c r="GS218" s="225">
        <f t="shared" ca="1" si="783"/>
        <v>0</v>
      </c>
      <c r="GT218" s="225">
        <f t="shared" ca="1" si="783"/>
        <v>0</v>
      </c>
      <c r="GU218" s="225">
        <f t="shared" ca="1" si="783"/>
        <v>0</v>
      </c>
      <c r="GV218" s="225">
        <f t="shared" ca="1" si="783"/>
        <v>0</v>
      </c>
      <c r="GW218" s="225">
        <f t="shared" ca="1" si="783"/>
        <v>0</v>
      </c>
      <c r="GX218" s="225">
        <f t="shared" ca="1" si="783"/>
        <v>0</v>
      </c>
      <c r="GY218" s="225">
        <f t="shared" ca="1" si="783"/>
        <v>0</v>
      </c>
      <c r="GZ218" s="225">
        <f t="shared" ca="1" si="783"/>
        <v>0</v>
      </c>
      <c r="HA218" s="225">
        <f t="shared" ca="1" si="783"/>
        <v>0</v>
      </c>
      <c r="HB218" s="225">
        <f t="shared" ca="1" si="783"/>
        <v>0</v>
      </c>
      <c r="HC218" s="225">
        <f t="shared" ca="1" si="783"/>
        <v>0</v>
      </c>
      <c r="HD218" s="225">
        <f t="shared" ca="1" si="783"/>
        <v>0</v>
      </c>
      <c r="HE218" s="225">
        <f t="shared" ca="1" si="783"/>
        <v>0</v>
      </c>
      <c r="HF218" s="225">
        <f t="shared" ca="1" si="783"/>
        <v>0</v>
      </c>
      <c r="HG218" s="225">
        <f t="shared" ca="1" si="783"/>
        <v>0</v>
      </c>
      <c r="HH218" s="225">
        <f t="shared" ref="HH218:IM218" ca="1" si="784">(HH$197&lt;=Timing_Reversion_Month)*(MIN(HH215+HH216-HH217,MAX(HH213,0)*$I$234))</f>
        <v>0</v>
      </c>
      <c r="HI218" s="225">
        <f t="shared" ca="1" si="784"/>
        <v>0</v>
      </c>
      <c r="HJ218" s="225">
        <f t="shared" ca="1" si="784"/>
        <v>0</v>
      </c>
      <c r="HK218" s="225">
        <f t="shared" ca="1" si="784"/>
        <v>0</v>
      </c>
      <c r="HL218" s="225">
        <f t="shared" ca="1" si="784"/>
        <v>0</v>
      </c>
      <c r="HM218" s="225">
        <f t="shared" ca="1" si="784"/>
        <v>0</v>
      </c>
      <c r="HN218" s="225">
        <f t="shared" ca="1" si="784"/>
        <v>0</v>
      </c>
      <c r="HO218" s="225">
        <f t="shared" ca="1" si="784"/>
        <v>0</v>
      </c>
      <c r="HP218" s="225">
        <f t="shared" ca="1" si="784"/>
        <v>0</v>
      </c>
      <c r="HQ218" s="225">
        <f t="shared" ca="1" si="784"/>
        <v>0</v>
      </c>
      <c r="HR218" s="225">
        <f t="shared" ca="1" si="784"/>
        <v>0</v>
      </c>
      <c r="HS218" s="225">
        <f t="shared" ca="1" si="784"/>
        <v>0</v>
      </c>
      <c r="HT218" s="225">
        <f t="shared" ca="1" si="784"/>
        <v>0</v>
      </c>
      <c r="HU218" s="225">
        <f t="shared" ca="1" si="784"/>
        <v>0</v>
      </c>
      <c r="HV218" s="225">
        <f t="shared" ca="1" si="784"/>
        <v>0</v>
      </c>
      <c r="HW218" s="225">
        <f t="shared" ca="1" si="784"/>
        <v>0</v>
      </c>
      <c r="HX218" s="225">
        <f t="shared" ca="1" si="784"/>
        <v>0</v>
      </c>
      <c r="HY218" s="225">
        <f t="shared" ca="1" si="784"/>
        <v>0</v>
      </c>
      <c r="HZ218" s="225">
        <f t="shared" ca="1" si="784"/>
        <v>0</v>
      </c>
      <c r="IA218" s="225">
        <f t="shared" ca="1" si="784"/>
        <v>0</v>
      </c>
      <c r="IB218" s="225">
        <f t="shared" ca="1" si="784"/>
        <v>0</v>
      </c>
      <c r="IC218" s="225">
        <f t="shared" ca="1" si="784"/>
        <v>0</v>
      </c>
      <c r="ID218" s="225">
        <f t="shared" ca="1" si="784"/>
        <v>0</v>
      </c>
      <c r="IE218" s="225">
        <f t="shared" ca="1" si="784"/>
        <v>0</v>
      </c>
      <c r="IF218" s="225">
        <f t="shared" ca="1" si="784"/>
        <v>0</v>
      </c>
      <c r="IG218" s="225">
        <f t="shared" ca="1" si="784"/>
        <v>0</v>
      </c>
      <c r="IH218" s="225">
        <f t="shared" ca="1" si="784"/>
        <v>0</v>
      </c>
      <c r="II218" s="225">
        <f t="shared" ca="1" si="784"/>
        <v>0</v>
      </c>
      <c r="IJ218" s="225">
        <f t="shared" ca="1" si="784"/>
        <v>0</v>
      </c>
      <c r="IK218" s="225">
        <f t="shared" ca="1" si="784"/>
        <v>0</v>
      </c>
      <c r="IL218" s="225">
        <f t="shared" ca="1" si="784"/>
        <v>0</v>
      </c>
      <c r="IM218" s="225">
        <f t="shared" ca="1" si="784"/>
        <v>0</v>
      </c>
      <c r="IN218" s="225">
        <f t="shared" ref="IN218:JS218" ca="1" si="785">(IN$197&lt;=Timing_Reversion_Month)*(MIN(IN215+IN216-IN217,MAX(IN213,0)*$I$234))</f>
        <v>0</v>
      </c>
      <c r="IO218" s="225">
        <f t="shared" ca="1" si="785"/>
        <v>0</v>
      </c>
      <c r="IP218" s="225">
        <f t="shared" ca="1" si="785"/>
        <v>0</v>
      </c>
      <c r="IQ218" s="225">
        <f t="shared" ca="1" si="785"/>
        <v>0</v>
      </c>
      <c r="IR218" s="225">
        <f t="shared" ca="1" si="785"/>
        <v>0</v>
      </c>
      <c r="IS218" s="225">
        <f t="shared" ca="1" si="785"/>
        <v>0</v>
      </c>
      <c r="IT218" s="225">
        <f t="shared" ca="1" si="785"/>
        <v>0</v>
      </c>
      <c r="IU218" s="225">
        <f t="shared" ca="1" si="785"/>
        <v>0</v>
      </c>
      <c r="IV218" s="225">
        <f t="shared" ca="1" si="785"/>
        <v>0</v>
      </c>
      <c r="IW218" s="225">
        <f t="shared" ca="1" si="785"/>
        <v>0</v>
      </c>
      <c r="IX218" s="225">
        <f t="shared" ca="1" si="785"/>
        <v>0</v>
      </c>
      <c r="IY218" s="225">
        <f t="shared" ca="1" si="785"/>
        <v>0</v>
      </c>
      <c r="IZ218" s="225">
        <f t="shared" ca="1" si="785"/>
        <v>0</v>
      </c>
      <c r="JA218" s="225">
        <f t="shared" ca="1" si="785"/>
        <v>0</v>
      </c>
      <c r="JB218" s="225">
        <f t="shared" ca="1" si="785"/>
        <v>0</v>
      </c>
      <c r="JC218" s="225">
        <f t="shared" ca="1" si="785"/>
        <v>0</v>
      </c>
      <c r="JD218" s="225">
        <f t="shared" ca="1" si="785"/>
        <v>0</v>
      </c>
      <c r="JE218" s="225">
        <f t="shared" ca="1" si="785"/>
        <v>0</v>
      </c>
      <c r="JF218" s="225">
        <f t="shared" ca="1" si="785"/>
        <v>0</v>
      </c>
      <c r="JG218" s="225">
        <f t="shared" ca="1" si="785"/>
        <v>0</v>
      </c>
      <c r="JH218" s="225">
        <f t="shared" ca="1" si="785"/>
        <v>0</v>
      </c>
      <c r="JI218" s="225">
        <f t="shared" ca="1" si="785"/>
        <v>0</v>
      </c>
      <c r="JJ218" s="225">
        <f t="shared" ca="1" si="785"/>
        <v>0</v>
      </c>
      <c r="JK218" s="225">
        <f t="shared" ca="1" si="785"/>
        <v>0</v>
      </c>
      <c r="JL218" s="225">
        <f t="shared" ca="1" si="785"/>
        <v>0</v>
      </c>
      <c r="JM218" s="225">
        <f t="shared" ca="1" si="785"/>
        <v>0</v>
      </c>
      <c r="JN218" s="225">
        <f t="shared" ca="1" si="785"/>
        <v>0</v>
      </c>
      <c r="JO218" s="225">
        <f t="shared" ca="1" si="785"/>
        <v>0</v>
      </c>
      <c r="JP218" s="225">
        <f t="shared" ca="1" si="785"/>
        <v>0</v>
      </c>
      <c r="JQ218" s="225">
        <f t="shared" ca="1" si="785"/>
        <v>0</v>
      </c>
      <c r="JR218" s="225">
        <f t="shared" ca="1" si="785"/>
        <v>0</v>
      </c>
      <c r="JS218" s="225">
        <f t="shared" ca="1" si="785"/>
        <v>0</v>
      </c>
      <c r="JT218" s="225">
        <f ca="1">(JT$197&lt;=Timing_Reversion_Month)*(MIN(JT215+JT216-JT217,MAX(JT213,0)*$I$234))</f>
        <v>0</v>
      </c>
      <c r="JU218" s="225">
        <f ca="1">(JU$197&lt;=Timing_Reversion_Month)*(MIN(JU215+JU216-JU217,MAX(JU213,0)*$I$234))</f>
        <v>0</v>
      </c>
      <c r="JV218" s="225">
        <f ca="1">(JV$197&lt;=Timing_Reversion_Month)*(MIN(JV215+JV216-JV217,MAX(JV213,0)*$I$234))</f>
        <v>0</v>
      </c>
      <c r="JW218" s="225">
        <f ca="1">(JW$197&lt;=Timing_Reversion_Month)*(MIN(JW215+JW216-JW217,MAX(JW213,0)*$I$234))</f>
        <v>0</v>
      </c>
      <c r="JX218" s="225">
        <f ca="1">(JX$197&lt;=Timing_Reversion_Month)*(MIN(JX215+JX216-JX217,MAX(JX213,0)*$I$234))</f>
        <v>0</v>
      </c>
    </row>
    <row r="219" spans="1:284" s="7" customFormat="1" x14ac:dyDescent="0.2">
      <c r="A219" s="406"/>
      <c r="B219" s="72" t="s">
        <v>200</v>
      </c>
      <c r="C219" s="73"/>
      <c r="D219" s="73"/>
      <c r="E219" s="73"/>
      <c r="F219" s="73"/>
      <c r="G219" s="73"/>
      <c r="H219" s="73"/>
      <c r="I219" s="73"/>
      <c r="EP219" s="37"/>
      <c r="EQ219" s="24"/>
      <c r="ER219" s="24"/>
      <c r="ES219" s="24"/>
      <c r="ET219" s="33" t="s">
        <v>371</v>
      </c>
      <c r="EU219" s="33"/>
      <c r="EV219" s="225">
        <f t="shared" ref="EV219:GA219" ca="1" si="786">(EV$197&lt;=Timing_Reversion_Month)*(EV215+EV216+EV201-EV217-EV218)</f>
        <v>3565501.5512782279</v>
      </c>
      <c r="EW219" s="225">
        <f t="shared" ca="1" si="786"/>
        <v>4012218.5217196662</v>
      </c>
      <c r="EX219" s="225">
        <f t="shared" ca="1" si="786"/>
        <v>4615649.087549095</v>
      </c>
      <c r="EY219" s="225">
        <f t="shared" ca="1" si="786"/>
        <v>5527184.7504135119</v>
      </c>
      <c r="EZ219" s="225">
        <f t="shared" ca="1" si="786"/>
        <v>6974060.9207088202</v>
      </c>
      <c r="FA219" s="225">
        <f t="shared" ca="1" si="786"/>
        <v>9234384.5304990523</v>
      </c>
      <c r="FB219" s="225">
        <f t="shared" ca="1" si="786"/>
        <v>12561372.990370471</v>
      </c>
      <c r="FC219" s="225">
        <f t="shared" ca="1" si="786"/>
        <v>14346491.075222265</v>
      </c>
      <c r="FD219" s="225">
        <f t="shared" ca="1" si="786"/>
        <v>14482621.958372893</v>
      </c>
      <c r="FE219" s="225">
        <f t="shared" ca="1" si="786"/>
        <v>14620044.559285739</v>
      </c>
      <c r="FF219" s="225">
        <f t="shared" ca="1" si="786"/>
        <v>14758771.13480318</v>
      </c>
      <c r="FG219" s="225">
        <f t="shared" ca="1" si="786"/>
        <v>14898814.058070228</v>
      </c>
      <c r="FH219" s="225">
        <f t="shared" ca="1" si="786"/>
        <v>15040185.819638111</v>
      </c>
      <c r="FI219" s="225">
        <f t="shared" ca="1" si="786"/>
        <v>15182899.028578309</v>
      </c>
      <c r="FJ219" s="225">
        <f t="shared" ca="1" si="786"/>
        <v>15326966.413607171</v>
      </c>
      <c r="FK219" s="225">
        <f t="shared" ca="1" si="786"/>
        <v>15472400.824221198</v>
      </c>
      <c r="FL219" s="225">
        <f t="shared" ca="1" si="786"/>
        <v>15619215.231843105</v>
      </c>
      <c r="FM219" s="225">
        <f t="shared" ca="1" si="786"/>
        <v>15767422.73097875</v>
      </c>
      <c r="FN219" s="225">
        <f t="shared" ca="1" si="786"/>
        <v>15917036.540385045</v>
      </c>
      <c r="FO219" s="225">
        <f t="shared" ca="1" si="786"/>
        <v>16068070.004248951</v>
      </c>
      <c r="FP219" s="225">
        <f t="shared" ca="1" si="786"/>
        <v>16220536.593377654</v>
      </c>
      <c r="FQ219" s="225">
        <f t="shared" ca="1" si="786"/>
        <v>16374449.906400042</v>
      </c>
      <c r="FR219" s="225">
        <f t="shared" ca="1" si="786"/>
        <v>16529823.670979574</v>
      </c>
      <c r="FS219" s="225">
        <f t="shared" ca="1" si="786"/>
        <v>16686671.74503867</v>
      </c>
      <c r="FT219" s="225">
        <f t="shared" ca="1" si="786"/>
        <v>16845008.1179947</v>
      </c>
      <c r="FU219" s="225">
        <f t="shared" ca="1" si="786"/>
        <v>17004846.912007723</v>
      </c>
      <c r="FV219" s="225">
        <f t="shared" ca="1" si="786"/>
        <v>17166202.383240048</v>
      </c>
      <c r="FW219" s="225">
        <f t="shared" ca="1" si="786"/>
        <v>17329088.923127759</v>
      </c>
      <c r="FX219" s="225">
        <f t="shared" ca="1" si="786"/>
        <v>17493521.059664294</v>
      </c>
      <c r="FY219" s="225">
        <f t="shared" ca="1" si="786"/>
        <v>17659513.458696216</v>
      </c>
      <c r="FZ219" s="225">
        <f t="shared" ca="1" si="786"/>
        <v>17825088.307703067</v>
      </c>
      <c r="GA219" s="225">
        <f t="shared" ca="1" si="786"/>
        <v>17976836.394193813</v>
      </c>
      <c r="GB219" s="225">
        <f t="shared" ref="GB219:HG219" ca="1" si="787">(GB$197&lt;=Timing_Reversion_Month)*(GB215+GB216+GB201-GB217-GB218)</f>
        <v>18099421.119539782</v>
      </c>
      <c r="GC219" s="225">
        <f t="shared" ca="1" si="787"/>
        <v>18186034.814691633</v>
      </c>
      <c r="GD219" s="225">
        <f t="shared" ca="1" si="787"/>
        <v>18272415.263280831</v>
      </c>
      <c r="GE219" s="225">
        <f t="shared" ca="1" si="787"/>
        <v>18358560.252079036</v>
      </c>
      <c r="GF219" s="225">
        <f t="shared" ca="1" si="787"/>
        <v>18444467.546857052</v>
      </c>
      <c r="GG219" s="225">
        <f t="shared" ca="1" si="787"/>
        <v>18530134.892185535</v>
      </c>
      <c r="GH219" s="225">
        <f t="shared" ca="1" si="787"/>
        <v>18615560.011233844</v>
      </c>
      <c r="GI219" s="225">
        <f t="shared" ca="1" si="787"/>
        <v>18700740.605566964</v>
      </c>
      <c r="GJ219" s="225">
        <f t="shared" ca="1" si="787"/>
        <v>18785674.354940508</v>
      </c>
      <c r="GK219" s="225">
        <f t="shared" ca="1" si="787"/>
        <v>18870358.917093765</v>
      </c>
      <c r="GL219" s="225">
        <f t="shared" ca="1" si="787"/>
        <v>18954791.927540801</v>
      </c>
      <c r="GM219" s="225">
        <f t="shared" ca="1" si="787"/>
        <v>19051998.969321664</v>
      </c>
      <c r="GN219" s="225">
        <f t="shared" ca="1" si="787"/>
        <v>19149041.629433081</v>
      </c>
      <c r="GO219" s="225">
        <f t="shared" ca="1" si="787"/>
        <v>0</v>
      </c>
      <c r="GP219" s="225">
        <f t="shared" ca="1" si="787"/>
        <v>0</v>
      </c>
      <c r="GQ219" s="225">
        <f t="shared" ca="1" si="787"/>
        <v>0</v>
      </c>
      <c r="GR219" s="225">
        <f t="shared" ca="1" si="787"/>
        <v>0</v>
      </c>
      <c r="GS219" s="225">
        <f t="shared" ca="1" si="787"/>
        <v>0</v>
      </c>
      <c r="GT219" s="225">
        <f t="shared" ca="1" si="787"/>
        <v>0</v>
      </c>
      <c r="GU219" s="225">
        <f t="shared" ca="1" si="787"/>
        <v>0</v>
      </c>
      <c r="GV219" s="225">
        <f t="shared" ca="1" si="787"/>
        <v>0</v>
      </c>
      <c r="GW219" s="225">
        <f t="shared" ca="1" si="787"/>
        <v>0</v>
      </c>
      <c r="GX219" s="225">
        <f t="shared" ca="1" si="787"/>
        <v>0</v>
      </c>
      <c r="GY219" s="225">
        <f t="shared" ca="1" si="787"/>
        <v>0</v>
      </c>
      <c r="GZ219" s="225">
        <f t="shared" ca="1" si="787"/>
        <v>0</v>
      </c>
      <c r="HA219" s="225">
        <f t="shared" ca="1" si="787"/>
        <v>0</v>
      </c>
      <c r="HB219" s="225">
        <f t="shared" ca="1" si="787"/>
        <v>0</v>
      </c>
      <c r="HC219" s="225">
        <f t="shared" ca="1" si="787"/>
        <v>0</v>
      </c>
      <c r="HD219" s="225">
        <f t="shared" ca="1" si="787"/>
        <v>0</v>
      </c>
      <c r="HE219" s="225">
        <f t="shared" ca="1" si="787"/>
        <v>0</v>
      </c>
      <c r="HF219" s="225">
        <f t="shared" ca="1" si="787"/>
        <v>0</v>
      </c>
      <c r="HG219" s="225">
        <f t="shared" ca="1" si="787"/>
        <v>0</v>
      </c>
      <c r="HH219" s="225">
        <f t="shared" ref="HH219:IM219" ca="1" si="788">(HH$197&lt;=Timing_Reversion_Month)*(HH215+HH216+HH201-HH217-HH218)</f>
        <v>0</v>
      </c>
      <c r="HI219" s="225">
        <f t="shared" ca="1" si="788"/>
        <v>0</v>
      </c>
      <c r="HJ219" s="225">
        <f t="shared" ca="1" si="788"/>
        <v>0</v>
      </c>
      <c r="HK219" s="225">
        <f t="shared" ca="1" si="788"/>
        <v>0</v>
      </c>
      <c r="HL219" s="225">
        <f t="shared" ca="1" si="788"/>
        <v>0</v>
      </c>
      <c r="HM219" s="225">
        <f t="shared" ca="1" si="788"/>
        <v>0</v>
      </c>
      <c r="HN219" s="225">
        <f t="shared" ca="1" si="788"/>
        <v>0</v>
      </c>
      <c r="HO219" s="225">
        <f t="shared" ca="1" si="788"/>
        <v>0</v>
      </c>
      <c r="HP219" s="225">
        <f t="shared" ca="1" si="788"/>
        <v>0</v>
      </c>
      <c r="HQ219" s="225">
        <f t="shared" ca="1" si="788"/>
        <v>0</v>
      </c>
      <c r="HR219" s="225">
        <f t="shared" ca="1" si="788"/>
        <v>0</v>
      </c>
      <c r="HS219" s="225">
        <f t="shared" ca="1" si="788"/>
        <v>0</v>
      </c>
      <c r="HT219" s="225">
        <f t="shared" ca="1" si="788"/>
        <v>0</v>
      </c>
      <c r="HU219" s="225">
        <f t="shared" ca="1" si="788"/>
        <v>0</v>
      </c>
      <c r="HV219" s="225">
        <f t="shared" ca="1" si="788"/>
        <v>0</v>
      </c>
      <c r="HW219" s="225">
        <f t="shared" ca="1" si="788"/>
        <v>0</v>
      </c>
      <c r="HX219" s="225">
        <f t="shared" ca="1" si="788"/>
        <v>0</v>
      </c>
      <c r="HY219" s="225">
        <f t="shared" ca="1" si="788"/>
        <v>0</v>
      </c>
      <c r="HZ219" s="225">
        <f t="shared" ca="1" si="788"/>
        <v>0</v>
      </c>
      <c r="IA219" s="225">
        <f t="shared" ca="1" si="788"/>
        <v>0</v>
      </c>
      <c r="IB219" s="225">
        <f t="shared" ca="1" si="788"/>
        <v>0</v>
      </c>
      <c r="IC219" s="225">
        <f t="shared" ca="1" si="788"/>
        <v>0</v>
      </c>
      <c r="ID219" s="225">
        <f t="shared" ca="1" si="788"/>
        <v>0</v>
      </c>
      <c r="IE219" s="225">
        <f t="shared" ca="1" si="788"/>
        <v>0</v>
      </c>
      <c r="IF219" s="225">
        <f t="shared" ca="1" si="788"/>
        <v>0</v>
      </c>
      <c r="IG219" s="225">
        <f t="shared" ca="1" si="788"/>
        <v>0</v>
      </c>
      <c r="IH219" s="225">
        <f t="shared" ca="1" si="788"/>
        <v>0</v>
      </c>
      <c r="II219" s="225">
        <f t="shared" ca="1" si="788"/>
        <v>0</v>
      </c>
      <c r="IJ219" s="225">
        <f t="shared" ca="1" si="788"/>
        <v>0</v>
      </c>
      <c r="IK219" s="225">
        <f t="shared" ca="1" si="788"/>
        <v>0</v>
      </c>
      <c r="IL219" s="225">
        <f t="shared" ca="1" si="788"/>
        <v>0</v>
      </c>
      <c r="IM219" s="225">
        <f t="shared" ca="1" si="788"/>
        <v>0</v>
      </c>
      <c r="IN219" s="225">
        <f t="shared" ref="IN219:JS219" ca="1" si="789">(IN$197&lt;=Timing_Reversion_Month)*(IN215+IN216+IN201-IN217-IN218)</f>
        <v>0</v>
      </c>
      <c r="IO219" s="225">
        <f t="shared" ca="1" si="789"/>
        <v>0</v>
      </c>
      <c r="IP219" s="225">
        <f t="shared" ca="1" si="789"/>
        <v>0</v>
      </c>
      <c r="IQ219" s="225">
        <f t="shared" ca="1" si="789"/>
        <v>0</v>
      </c>
      <c r="IR219" s="225">
        <f t="shared" ca="1" si="789"/>
        <v>0</v>
      </c>
      <c r="IS219" s="225">
        <f t="shared" ca="1" si="789"/>
        <v>0</v>
      </c>
      <c r="IT219" s="225">
        <f t="shared" ca="1" si="789"/>
        <v>0</v>
      </c>
      <c r="IU219" s="225">
        <f t="shared" ca="1" si="789"/>
        <v>0</v>
      </c>
      <c r="IV219" s="225">
        <f t="shared" ca="1" si="789"/>
        <v>0</v>
      </c>
      <c r="IW219" s="225">
        <f t="shared" ca="1" si="789"/>
        <v>0</v>
      </c>
      <c r="IX219" s="225">
        <f t="shared" ca="1" si="789"/>
        <v>0</v>
      </c>
      <c r="IY219" s="225">
        <f t="shared" ca="1" si="789"/>
        <v>0</v>
      </c>
      <c r="IZ219" s="225">
        <f t="shared" ca="1" si="789"/>
        <v>0</v>
      </c>
      <c r="JA219" s="225">
        <f t="shared" ca="1" si="789"/>
        <v>0</v>
      </c>
      <c r="JB219" s="225">
        <f t="shared" ca="1" si="789"/>
        <v>0</v>
      </c>
      <c r="JC219" s="225">
        <f t="shared" ca="1" si="789"/>
        <v>0</v>
      </c>
      <c r="JD219" s="225">
        <f t="shared" ca="1" si="789"/>
        <v>0</v>
      </c>
      <c r="JE219" s="225">
        <f t="shared" ca="1" si="789"/>
        <v>0</v>
      </c>
      <c r="JF219" s="225">
        <f t="shared" ca="1" si="789"/>
        <v>0</v>
      </c>
      <c r="JG219" s="225">
        <f t="shared" ca="1" si="789"/>
        <v>0</v>
      </c>
      <c r="JH219" s="225">
        <f t="shared" ca="1" si="789"/>
        <v>0</v>
      </c>
      <c r="JI219" s="225">
        <f t="shared" ca="1" si="789"/>
        <v>0</v>
      </c>
      <c r="JJ219" s="225">
        <f t="shared" ca="1" si="789"/>
        <v>0</v>
      </c>
      <c r="JK219" s="225">
        <f t="shared" ca="1" si="789"/>
        <v>0</v>
      </c>
      <c r="JL219" s="225">
        <f t="shared" ca="1" si="789"/>
        <v>0</v>
      </c>
      <c r="JM219" s="225">
        <f t="shared" ca="1" si="789"/>
        <v>0</v>
      </c>
      <c r="JN219" s="225">
        <f t="shared" ca="1" si="789"/>
        <v>0</v>
      </c>
      <c r="JO219" s="225">
        <f t="shared" ca="1" si="789"/>
        <v>0</v>
      </c>
      <c r="JP219" s="225">
        <f t="shared" ca="1" si="789"/>
        <v>0</v>
      </c>
      <c r="JQ219" s="225">
        <f t="shared" ca="1" si="789"/>
        <v>0</v>
      </c>
      <c r="JR219" s="225">
        <f t="shared" ca="1" si="789"/>
        <v>0</v>
      </c>
      <c r="JS219" s="225">
        <f t="shared" ca="1" si="789"/>
        <v>0</v>
      </c>
      <c r="JT219" s="225">
        <f t="shared" ref="JT219:JX219" ca="1" si="790">(JT$197&lt;=Timing_Reversion_Month)*(JT215+JT216+JT201-JT217-JT218)</f>
        <v>0</v>
      </c>
      <c r="JU219" s="225">
        <f t="shared" ca="1" si="790"/>
        <v>0</v>
      </c>
      <c r="JV219" s="225">
        <f t="shared" ca="1" si="790"/>
        <v>0</v>
      </c>
      <c r="JW219" s="225">
        <f t="shared" ca="1" si="790"/>
        <v>0</v>
      </c>
      <c r="JX219" s="225">
        <f t="shared" ca="1" si="790"/>
        <v>0</v>
      </c>
    </row>
    <row r="220" spans="1:284" s="7" customFormat="1" ht="5.0999999999999996" customHeight="1" x14ac:dyDescent="0.2">
      <c r="A220" s="406"/>
      <c r="B220" s="92"/>
      <c r="C220" s="120"/>
      <c r="D220" s="120"/>
      <c r="E220" s="120"/>
      <c r="F220" s="120"/>
      <c r="G220" s="120"/>
      <c r="H220" s="120"/>
      <c r="I220" s="120"/>
      <c r="L220" s="52"/>
      <c r="M220" s="52"/>
      <c r="N220" s="52"/>
      <c r="O220" s="52"/>
      <c r="P220" s="52"/>
      <c r="Q220" s="52"/>
      <c r="R220" s="52"/>
      <c r="S220" s="52"/>
      <c r="T220" s="52"/>
      <c r="U220" s="52"/>
      <c r="V220" s="52"/>
      <c r="W220" s="52"/>
      <c r="X220" s="52"/>
      <c r="Y220" s="52"/>
      <c r="Z220" s="52"/>
      <c r="AA220" s="52"/>
      <c r="AB220" s="52"/>
      <c r="AC220" s="52"/>
      <c r="AD220" s="52"/>
      <c r="AE220" s="52"/>
      <c r="AF220" s="52"/>
      <c r="AG220" s="52"/>
      <c r="AH220" s="52"/>
      <c r="AI220" s="52"/>
      <c r="AJ220" s="52"/>
      <c r="AK220" s="52"/>
      <c r="AL220" s="52"/>
      <c r="AM220" s="52"/>
      <c r="AN220" s="52"/>
      <c r="AO220" s="52"/>
      <c r="AP220" s="52"/>
      <c r="AQ220" s="52"/>
      <c r="AR220" s="52"/>
      <c r="AS220" s="52"/>
      <c r="AT220" s="52"/>
      <c r="AU220" s="52"/>
      <c r="AV220" s="52"/>
      <c r="AW220" s="52"/>
      <c r="AX220" s="52"/>
      <c r="AY220" s="52"/>
      <c r="AZ220" s="52"/>
      <c r="BA220" s="52"/>
      <c r="BB220" s="52"/>
      <c r="BC220" s="52"/>
      <c r="BD220" s="52"/>
      <c r="BE220" s="52"/>
      <c r="BF220" s="52"/>
      <c r="BG220" s="52"/>
      <c r="BH220" s="52"/>
      <c r="BI220" s="52"/>
      <c r="BJ220" s="52"/>
      <c r="BK220" s="52"/>
      <c r="BL220" s="52"/>
      <c r="BM220" s="52"/>
      <c r="BN220" s="52"/>
      <c r="BO220" s="52"/>
      <c r="BP220" s="52"/>
      <c r="BQ220" s="52"/>
      <c r="BR220" s="52"/>
      <c r="BS220" s="52"/>
      <c r="BT220" s="52"/>
      <c r="BU220" s="52"/>
      <c r="BV220" s="52"/>
      <c r="BW220" s="52"/>
      <c r="BX220" s="52"/>
      <c r="BY220" s="52"/>
      <c r="BZ220" s="52"/>
      <c r="CA220" s="52"/>
      <c r="CB220" s="52"/>
      <c r="CC220" s="52"/>
      <c r="CD220" s="52"/>
      <c r="CE220" s="52"/>
      <c r="CF220" s="52"/>
      <c r="CG220" s="52"/>
      <c r="CH220" s="52"/>
      <c r="CI220" s="52"/>
      <c r="CJ220" s="52"/>
      <c r="CK220" s="52"/>
      <c r="CL220" s="52"/>
      <c r="CM220" s="52"/>
      <c r="CN220" s="52"/>
      <c r="CO220" s="52"/>
      <c r="CP220" s="52"/>
      <c r="CQ220" s="52"/>
      <c r="CR220" s="52"/>
      <c r="CS220" s="52"/>
      <c r="CT220" s="52"/>
      <c r="CU220" s="52"/>
      <c r="CV220" s="52"/>
      <c r="CW220" s="52"/>
      <c r="CX220" s="52"/>
      <c r="CY220" s="52"/>
      <c r="CZ220" s="52"/>
      <c r="DA220" s="52"/>
      <c r="DB220" s="52"/>
      <c r="DC220" s="52"/>
      <c r="DD220" s="52"/>
      <c r="DE220" s="52"/>
      <c r="DF220" s="52"/>
      <c r="DG220" s="52"/>
      <c r="DH220" s="52"/>
      <c r="DI220" s="52"/>
      <c r="DJ220" s="52"/>
      <c r="DK220" s="52"/>
      <c r="DL220" s="52"/>
      <c r="DM220" s="52"/>
      <c r="DN220" s="52"/>
      <c r="DO220" s="52"/>
      <c r="DP220" s="52"/>
      <c r="DQ220" s="52"/>
      <c r="DR220" s="52"/>
      <c r="DS220" s="52"/>
      <c r="DT220" s="52"/>
      <c r="DU220" s="52"/>
      <c r="DV220" s="52"/>
      <c r="DW220" s="52"/>
      <c r="DX220" s="52"/>
      <c r="DY220" s="52"/>
      <c r="DZ220" s="52"/>
      <c r="EA220" s="52"/>
      <c r="EB220" s="52"/>
      <c r="EC220" s="52"/>
      <c r="ED220" s="52"/>
      <c r="EE220" s="52"/>
      <c r="EF220" s="52"/>
      <c r="EG220" s="52"/>
      <c r="EH220" s="52"/>
      <c r="EI220" s="52"/>
      <c r="EJ220" s="52"/>
      <c r="EK220" s="52"/>
      <c r="EL220" s="52"/>
      <c r="EM220" s="52"/>
      <c r="EN220" s="52"/>
      <c r="EP220" s="37"/>
      <c r="EQ220" s="24"/>
      <c r="ER220" s="24"/>
      <c r="ES220" s="33" t="s">
        <v>379</v>
      </c>
      <c r="ET220" s="223">
        <f ca="1">XIRR(OFFSET(EV220,,,1,Timing_Reversion_Month+1),OFFSET($EV$23,,,1,Timing_Reversion_Month+1))</f>
        <v>0.11988095641136168</v>
      </c>
      <c r="EU220" s="33"/>
      <c r="EV220" s="222">
        <f t="shared" ref="EV220:GA220" ca="1" si="791">+-EV201+EV217+EV218</f>
        <v>-3565501.5512782279</v>
      </c>
      <c r="EW220" s="222">
        <f t="shared" ca="1" si="791"/>
        <v>-412884.6645134245</v>
      </c>
      <c r="EX220" s="222">
        <f t="shared" ca="1" si="791"/>
        <v>-565359.45506853156</v>
      </c>
      <c r="EY220" s="222">
        <f t="shared" ca="1" si="791"/>
        <v>-867738.72441396641</v>
      </c>
      <c r="EZ220" s="222">
        <f t="shared" ca="1" si="791"/>
        <v>-1394429.8586874492</v>
      </c>
      <c r="FA220" s="222">
        <f t="shared" ca="1" si="791"/>
        <v>-2194148.189800458</v>
      </c>
      <c r="FB220" s="222">
        <f t="shared" ca="1" si="791"/>
        <v>-3239365.2971831975</v>
      </c>
      <c r="FC220" s="222">
        <f t="shared" ca="1" si="791"/>
        <v>-1665925.8175721038</v>
      </c>
      <c r="FD220" s="222">
        <f t="shared" ca="1" si="791"/>
        <v>0</v>
      </c>
      <c r="FE220" s="222">
        <f t="shared" ca="1" si="791"/>
        <v>0</v>
      </c>
      <c r="FF220" s="222">
        <f t="shared" ca="1" si="791"/>
        <v>0</v>
      </c>
      <c r="FG220" s="222">
        <f t="shared" ca="1" si="791"/>
        <v>0</v>
      </c>
      <c r="FH220" s="222">
        <f t="shared" ca="1" si="791"/>
        <v>0</v>
      </c>
      <c r="FI220" s="222">
        <f t="shared" ca="1" si="791"/>
        <v>0</v>
      </c>
      <c r="FJ220" s="222">
        <f t="shared" ca="1" si="791"/>
        <v>0</v>
      </c>
      <c r="FK220" s="222">
        <f t="shared" ca="1" si="791"/>
        <v>0</v>
      </c>
      <c r="FL220" s="222">
        <f t="shared" ca="1" si="791"/>
        <v>0</v>
      </c>
      <c r="FM220" s="222">
        <f t="shared" ca="1" si="791"/>
        <v>0</v>
      </c>
      <c r="FN220" s="222">
        <f t="shared" ca="1" si="791"/>
        <v>0</v>
      </c>
      <c r="FO220" s="222">
        <f t="shared" ca="1" si="791"/>
        <v>0</v>
      </c>
      <c r="FP220" s="222">
        <f t="shared" ca="1" si="791"/>
        <v>1.3824319466948509E-11</v>
      </c>
      <c r="FQ220" s="222">
        <f t="shared" ca="1" si="791"/>
        <v>0</v>
      </c>
      <c r="FR220" s="222">
        <f t="shared" ca="1" si="791"/>
        <v>0</v>
      </c>
      <c r="FS220" s="222">
        <f t="shared" ca="1" si="791"/>
        <v>8.6401996668428183E-12</v>
      </c>
      <c r="FT220" s="222">
        <f t="shared" ca="1" si="791"/>
        <v>-1.0368239600211381E-11</v>
      </c>
      <c r="FU220" s="222">
        <f t="shared" ca="1" si="791"/>
        <v>0</v>
      </c>
      <c r="FV220" s="222">
        <f t="shared" ca="1" si="791"/>
        <v>0</v>
      </c>
      <c r="FW220" s="222">
        <f t="shared" ca="1" si="791"/>
        <v>0</v>
      </c>
      <c r="FX220" s="222">
        <f t="shared" ca="1" si="791"/>
        <v>0</v>
      </c>
      <c r="FY220" s="222">
        <f t="shared" ca="1" si="791"/>
        <v>0</v>
      </c>
      <c r="FZ220" s="222">
        <f t="shared" ca="1" si="791"/>
        <v>1992.6175282008755</v>
      </c>
      <c r="GA220" s="222">
        <f t="shared" ca="1" si="791"/>
        <v>17390.485501708215</v>
      </c>
      <c r="GB220" s="222">
        <f t="shared" ref="GB220:HG220" ca="1" si="792">+-GB201+GB217+GB218</f>
        <v>47993.752817410037</v>
      </c>
      <c r="GC220" s="222">
        <f t="shared" ca="1" si="792"/>
        <v>85127.964087280096</v>
      </c>
      <c r="GD220" s="222">
        <f t="shared" ca="1" si="792"/>
        <v>86183.070068530113</v>
      </c>
      <c r="GE220" s="222">
        <f t="shared" ca="1" si="792"/>
        <v>87238.17604978013</v>
      </c>
      <c r="GF220" s="222">
        <f t="shared" ca="1" si="792"/>
        <v>88293.282031030132</v>
      </c>
      <c r="GG220" s="222">
        <f t="shared" ca="1" si="792"/>
        <v>89348.388012280091</v>
      </c>
      <c r="GH220" s="222">
        <f t="shared" ca="1" si="792"/>
        <v>90403.49399353005</v>
      </c>
      <c r="GI220" s="222">
        <f t="shared" ca="1" si="792"/>
        <v>91458.599974780125</v>
      </c>
      <c r="GJ220" s="222">
        <f t="shared" ca="1" si="792"/>
        <v>92513.705956030084</v>
      </c>
      <c r="GK220" s="222">
        <f t="shared" ca="1" si="792"/>
        <v>93568.811937280101</v>
      </c>
      <c r="GL220" s="222">
        <f t="shared" ca="1" si="792"/>
        <v>94623.917918530118</v>
      </c>
      <c r="GM220" s="222">
        <f t="shared" ca="1" si="792"/>
        <v>82651.053937678371</v>
      </c>
      <c r="GN220" s="222">
        <f t="shared" ca="1" si="792"/>
        <v>83737.813098365834</v>
      </c>
      <c r="GO220" s="222">
        <f t="shared" ca="1" si="792"/>
        <v>19330742.920350481</v>
      </c>
      <c r="GP220" s="222">
        <f t="shared" ca="1" si="792"/>
        <v>0</v>
      </c>
      <c r="GQ220" s="222">
        <f t="shared" ca="1" si="792"/>
        <v>0</v>
      </c>
      <c r="GR220" s="222">
        <f t="shared" ca="1" si="792"/>
        <v>0</v>
      </c>
      <c r="GS220" s="222">
        <f t="shared" ca="1" si="792"/>
        <v>0</v>
      </c>
      <c r="GT220" s="222">
        <f t="shared" ca="1" si="792"/>
        <v>0</v>
      </c>
      <c r="GU220" s="222">
        <f t="shared" ca="1" si="792"/>
        <v>0</v>
      </c>
      <c r="GV220" s="222">
        <f t="shared" ca="1" si="792"/>
        <v>0</v>
      </c>
      <c r="GW220" s="222">
        <f t="shared" ca="1" si="792"/>
        <v>0</v>
      </c>
      <c r="GX220" s="222">
        <f t="shared" ca="1" si="792"/>
        <v>0</v>
      </c>
      <c r="GY220" s="222">
        <f t="shared" ca="1" si="792"/>
        <v>0</v>
      </c>
      <c r="GZ220" s="222">
        <f t="shared" ca="1" si="792"/>
        <v>0</v>
      </c>
      <c r="HA220" s="222">
        <f t="shared" ca="1" si="792"/>
        <v>0</v>
      </c>
      <c r="HB220" s="222">
        <f t="shared" ca="1" si="792"/>
        <v>0</v>
      </c>
      <c r="HC220" s="222">
        <f t="shared" ca="1" si="792"/>
        <v>0</v>
      </c>
      <c r="HD220" s="222">
        <f t="shared" ca="1" si="792"/>
        <v>0</v>
      </c>
      <c r="HE220" s="222">
        <f t="shared" ca="1" si="792"/>
        <v>0</v>
      </c>
      <c r="HF220" s="222">
        <f t="shared" ca="1" si="792"/>
        <v>0</v>
      </c>
      <c r="HG220" s="222">
        <f t="shared" ca="1" si="792"/>
        <v>0</v>
      </c>
      <c r="HH220" s="222">
        <f t="shared" ref="HH220:IM220" ca="1" si="793">+-HH201+HH217+HH218</f>
        <v>0</v>
      </c>
      <c r="HI220" s="222">
        <f t="shared" ca="1" si="793"/>
        <v>0</v>
      </c>
      <c r="HJ220" s="222">
        <f t="shared" ca="1" si="793"/>
        <v>0</v>
      </c>
      <c r="HK220" s="222">
        <f t="shared" ca="1" si="793"/>
        <v>0</v>
      </c>
      <c r="HL220" s="222">
        <f t="shared" ca="1" si="793"/>
        <v>0</v>
      </c>
      <c r="HM220" s="222">
        <f t="shared" ca="1" si="793"/>
        <v>0</v>
      </c>
      <c r="HN220" s="222">
        <f t="shared" ca="1" si="793"/>
        <v>0</v>
      </c>
      <c r="HO220" s="222">
        <f t="shared" ca="1" si="793"/>
        <v>0</v>
      </c>
      <c r="HP220" s="222">
        <f t="shared" ca="1" si="793"/>
        <v>0</v>
      </c>
      <c r="HQ220" s="222">
        <f t="shared" ca="1" si="793"/>
        <v>0</v>
      </c>
      <c r="HR220" s="222">
        <f t="shared" ca="1" si="793"/>
        <v>0</v>
      </c>
      <c r="HS220" s="222">
        <f t="shared" ca="1" si="793"/>
        <v>0</v>
      </c>
      <c r="HT220" s="222">
        <f t="shared" ca="1" si="793"/>
        <v>0</v>
      </c>
      <c r="HU220" s="222">
        <f t="shared" ca="1" si="793"/>
        <v>0</v>
      </c>
      <c r="HV220" s="222">
        <f t="shared" ca="1" si="793"/>
        <v>0</v>
      </c>
      <c r="HW220" s="222">
        <f t="shared" ca="1" si="793"/>
        <v>0</v>
      </c>
      <c r="HX220" s="222">
        <f t="shared" ca="1" si="793"/>
        <v>0</v>
      </c>
      <c r="HY220" s="222">
        <f t="shared" ca="1" si="793"/>
        <v>0</v>
      </c>
      <c r="HZ220" s="222">
        <f t="shared" ca="1" si="793"/>
        <v>0</v>
      </c>
      <c r="IA220" s="222">
        <f t="shared" ca="1" si="793"/>
        <v>0</v>
      </c>
      <c r="IB220" s="222">
        <f t="shared" ca="1" si="793"/>
        <v>0</v>
      </c>
      <c r="IC220" s="222">
        <f t="shared" ca="1" si="793"/>
        <v>0</v>
      </c>
      <c r="ID220" s="222">
        <f t="shared" ca="1" si="793"/>
        <v>0</v>
      </c>
      <c r="IE220" s="222">
        <f t="shared" ca="1" si="793"/>
        <v>0</v>
      </c>
      <c r="IF220" s="222">
        <f t="shared" ca="1" si="793"/>
        <v>0</v>
      </c>
      <c r="IG220" s="222">
        <f t="shared" ca="1" si="793"/>
        <v>0</v>
      </c>
      <c r="IH220" s="222">
        <f t="shared" ca="1" si="793"/>
        <v>0</v>
      </c>
      <c r="II220" s="222">
        <f t="shared" ca="1" si="793"/>
        <v>0</v>
      </c>
      <c r="IJ220" s="222">
        <f t="shared" ca="1" si="793"/>
        <v>0</v>
      </c>
      <c r="IK220" s="222">
        <f t="shared" ca="1" si="793"/>
        <v>0</v>
      </c>
      <c r="IL220" s="222">
        <f t="shared" ca="1" si="793"/>
        <v>0</v>
      </c>
      <c r="IM220" s="222">
        <f t="shared" ca="1" si="793"/>
        <v>0</v>
      </c>
      <c r="IN220" s="222">
        <f t="shared" ref="IN220:JX220" ca="1" si="794">+-IN201+IN217+IN218</f>
        <v>0</v>
      </c>
      <c r="IO220" s="222">
        <f t="shared" ca="1" si="794"/>
        <v>0</v>
      </c>
      <c r="IP220" s="222">
        <f t="shared" ca="1" si="794"/>
        <v>0</v>
      </c>
      <c r="IQ220" s="222">
        <f t="shared" ca="1" si="794"/>
        <v>0</v>
      </c>
      <c r="IR220" s="222">
        <f t="shared" ca="1" si="794"/>
        <v>0</v>
      </c>
      <c r="IS220" s="222">
        <f t="shared" ca="1" si="794"/>
        <v>0</v>
      </c>
      <c r="IT220" s="222">
        <f t="shared" ca="1" si="794"/>
        <v>0</v>
      </c>
      <c r="IU220" s="222">
        <f t="shared" ca="1" si="794"/>
        <v>0</v>
      </c>
      <c r="IV220" s="222">
        <f t="shared" ca="1" si="794"/>
        <v>0</v>
      </c>
      <c r="IW220" s="222">
        <f t="shared" ca="1" si="794"/>
        <v>0</v>
      </c>
      <c r="IX220" s="222">
        <f t="shared" ca="1" si="794"/>
        <v>0</v>
      </c>
      <c r="IY220" s="222">
        <f t="shared" ca="1" si="794"/>
        <v>0</v>
      </c>
      <c r="IZ220" s="222">
        <f t="shared" ca="1" si="794"/>
        <v>0</v>
      </c>
      <c r="JA220" s="222">
        <f t="shared" ca="1" si="794"/>
        <v>0</v>
      </c>
      <c r="JB220" s="222">
        <f t="shared" ca="1" si="794"/>
        <v>0</v>
      </c>
      <c r="JC220" s="222">
        <f t="shared" ca="1" si="794"/>
        <v>0</v>
      </c>
      <c r="JD220" s="222">
        <f t="shared" ca="1" si="794"/>
        <v>0</v>
      </c>
      <c r="JE220" s="222">
        <f t="shared" ca="1" si="794"/>
        <v>0</v>
      </c>
      <c r="JF220" s="222">
        <f t="shared" ca="1" si="794"/>
        <v>0</v>
      </c>
      <c r="JG220" s="222">
        <f t="shared" ca="1" si="794"/>
        <v>0</v>
      </c>
      <c r="JH220" s="222">
        <f t="shared" ca="1" si="794"/>
        <v>0</v>
      </c>
      <c r="JI220" s="222">
        <f t="shared" ca="1" si="794"/>
        <v>0</v>
      </c>
      <c r="JJ220" s="222">
        <f t="shared" ca="1" si="794"/>
        <v>0</v>
      </c>
      <c r="JK220" s="222">
        <f t="shared" ca="1" si="794"/>
        <v>0</v>
      </c>
      <c r="JL220" s="222">
        <f t="shared" ca="1" si="794"/>
        <v>0</v>
      </c>
      <c r="JM220" s="222">
        <f t="shared" ca="1" si="794"/>
        <v>0</v>
      </c>
      <c r="JN220" s="222">
        <f t="shared" ca="1" si="794"/>
        <v>0</v>
      </c>
      <c r="JO220" s="222">
        <f t="shared" ca="1" si="794"/>
        <v>0</v>
      </c>
      <c r="JP220" s="222">
        <f t="shared" ca="1" si="794"/>
        <v>0</v>
      </c>
      <c r="JQ220" s="222">
        <f t="shared" ca="1" si="794"/>
        <v>0</v>
      </c>
      <c r="JR220" s="222">
        <f t="shared" ca="1" si="794"/>
        <v>0</v>
      </c>
      <c r="JS220" s="222">
        <f t="shared" ca="1" si="794"/>
        <v>0</v>
      </c>
      <c r="JT220" s="222">
        <f t="shared" ca="1" si="794"/>
        <v>0</v>
      </c>
      <c r="JU220" s="222">
        <f t="shared" ca="1" si="794"/>
        <v>0</v>
      </c>
      <c r="JV220" s="222">
        <f t="shared" ca="1" si="794"/>
        <v>0</v>
      </c>
      <c r="JW220" s="222">
        <f t="shared" ca="1" si="794"/>
        <v>0</v>
      </c>
      <c r="JX220" s="222">
        <f t="shared" ca="1" si="794"/>
        <v>0</v>
      </c>
    </row>
    <row r="221" spans="1:284" x14ac:dyDescent="0.2">
      <c r="A221" s="410">
        <v>0</v>
      </c>
      <c r="B221" s="196" t="s">
        <v>355</v>
      </c>
      <c r="C221" s="82" t="s">
        <v>354</v>
      </c>
      <c r="D221" s="120"/>
      <c r="E221" s="120"/>
      <c r="F221" s="120" t="s">
        <v>381</v>
      </c>
      <c r="G221" s="180" t="s">
        <v>382</v>
      </c>
      <c r="H221" s="120" t="str">
        <f>IF(G221="No","","Dev. Fee Amount")</f>
        <v/>
      </c>
      <c r="I221" s="262" t="str">
        <f>IF(G221="No","",I42)</f>
        <v/>
      </c>
      <c r="L221" s="213"/>
      <c r="M221" s="213"/>
      <c r="N221" s="213"/>
      <c r="O221" s="213"/>
      <c r="P221" s="213"/>
      <c r="Q221" s="213"/>
      <c r="R221" s="213"/>
      <c r="S221" s="213"/>
      <c r="T221" s="213"/>
      <c r="U221" s="213"/>
      <c r="V221" s="213"/>
      <c r="W221" s="213"/>
      <c r="X221" s="213"/>
      <c r="Y221" s="213"/>
      <c r="Z221" s="213"/>
      <c r="AA221" s="213"/>
      <c r="AB221" s="213"/>
      <c r="AC221" s="213"/>
      <c r="AD221" s="213"/>
      <c r="AE221" s="213"/>
      <c r="AF221" s="213"/>
      <c r="AG221" s="213"/>
      <c r="AH221" s="213"/>
      <c r="AI221" s="213"/>
      <c r="AJ221" s="213"/>
      <c r="AK221" s="213"/>
      <c r="AL221" s="213"/>
      <c r="AM221" s="213"/>
      <c r="AN221" s="213"/>
      <c r="AO221" s="213"/>
      <c r="AP221" s="213"/>
      <c r="AQ221" s="213"/>
      <c r="AR221" s="213"/>
      <c r="AS221" s="213"/>
      <c r="AT221" s="213"/>
      <c r="AU221" s="213"/>
      <c r="AV221" s="213"/>
      <c r="AW221" s="213"/>
      <c r="AX221" s="213"/>
      <c r="AY221" s="213"/>
      <c r="AZ221" s="213"/>
      <c r="BA221" s="213"/>
      <c r="BB221" s="213"/>
      <c r="BC221" s="213"/>
      <c r="BD221" s="213"/>
      <c r="BE221" s="213"/>
      <c r="BF221" s="213"/>
      <c r="BG221" s="213"/>
      <c r="BH221" s="213"/>
      <c r="BI221" s="213"/>
      <c r="BJ221" s="213"/>
      <c r="BK221" s="213"/>
      <c r="BL221" s="213"/>
      <c r="BM221" s="213"/>
      <c r="BN221" s="213"/>
      <c r="BO221" s="213"/>
      <c r="BP221" s="213"/>
      <c r="BQ221" s="213"/>
      <c r="BR221" s="213"/>
      <c r="BS221" s="213"/>
      <c r="BT221" s="213"/>
      <c r="BU221" s="213"/>
      <c r="BV221" s="213"/>
      <c r="BW221" s="213"/>
      <c r="BX221" s="213"/>
      <c r="BY221" s="213"/>
      <c r="BZ221" s="213"/>
      <c r="CA221" s="213"/>
      <c r="CB221" s="213"/>
      <c r="CC221" s="213"/>
      <c r="CD221" s="213"/>
      <c r="CE221" s="213"/>
      <c r="CF221" s="213"/>
      <c r="CG221" s="213"/>
      <c r="CH221" s="213"/>
      <c r="CI221" s="213"/>
      <c r="CJ221" s="213"/>
      <c r="CK221" s="213"/>
      <c r="CL221" s="213"/>
      <c r="CM221" s="213"/>
      <c r="CN221" s="213"/>
      <c r="CO221" s="213"/>
      <c r="CP221" s="213"/>
      <c r="CQ221" s="213"/>
      <c r="CR221" s="213"/>
      <c r="CS221" s="213"/>
      <c r="CT221" s="213"/>
      <c r="CU221" s="213"/>
      <c r="CV221" s="213"/>
      <c r="CW221" s="213"/>
      <c r="CX221" s="213"/>
      <c r="CY221" s="213"/>
      <c r="CZ221" s="213"/>
      <c r="DA221" s="213"/>
      <c r="DB221" s="213"/>
      <c r="DC221" s="213"/>
      <c r="DD221" s="213"/>
      <c r="DE221" s="213"/>
      <c r="DF221" s="213"/>
      <c r="DG221" s="213"/>
      <c r="DH221" s="213"/>
      <c r="DI221" s="213"/>
      <c r="DJ221" s="213"/>
      <c r="DK221" s="213"/>
      <c r="DL221" s="213"/>
      <c r="DM221" s="213"/>
      <c r="DN221" s="213"/>
      <c r="DO221" s="213"/>
      <c r="DP221" s="213"/>
      <c r="DQ221" s="213"/>
      <c r="DR221" s="213"/>
      <c r="DS221" s="213"/>
      <c r="DT221" s="213"/>
      <c r="DU221" s="213"/>
      <c r="DV221" s="213"/>
      <c r="DW221" s="213"/>
      <c r="DX221" s="213"/>
      <c r="DY221" s="213"/>
      <c r="DZ221" s="213"/>
      <c r="EA221" s="213"/>
      <c r="EB221" s="213"/>
      <c r="EC221" s="213"/>
      <c r="ED221" s="213"/>
      <c r="EE221" s="213"/>
      <c r="EF221" s="213"/>
      <c r="EG221" s="213"/>
      <c r="EH221" s="213"/>
      <c r="EI221" s="213"/>
      <c r="EJ221" s="213"/>
      <c r="EK221" s="213"/>
      <c r="EL221" s="213"/>
      <c r="EM221" s="213"/>
      <c r="EN221" s="213"/>
      <c r="EP221" s="37"/>
      <c r="EQ221" s="24"/>
      <c r="ER221" s="24"/>
      <c r="ES221" s="24"/>
      <c r="ET221" s="33" t="s">
        <v>398</v>
      </c>
      <c r="EU221" s="33"/>
      <c r="EV221" s="225">
        <f t="shared" ref="EV221:GA221" ca="1" si="795">(EV$197&lt;=Timing_Reversion_Month)*(EV218/$I$234*$H$234)</f>
        <v>0</v>
      </c>
      <c r="EW221" s="225">
        <f t="shared" ca="1" si="795"/>
        <v>0</v>
      </c>
      <c r="EX221" s="225">
        <f t="shared" ca="1" si="795"/>
        <v>0</v>
      </c>
      <c r="EY221" s="225">
        <f t="shared" ca="1" si="795"/>
        <v>0</v>
      </c>
      <c r="EZ221" s="225">
        <f t="shared" ca="1" si="795"/>
        <v>0</v>
      </c>
      <c r="FA221" s="225">
        <f t="shared" ca="1" si="795"/>
        <v>0</v>
      </c>
      <c r="FB221" s="225">
        <f t="shared" ca="1" si="795"/>
        <v>0</v>
      </c>
      <c r="FC221" s="225">
        <f t="shared" ca="1" si="795"/>
        <v>0</v>
      </c>
      <c r="FD221" s="225">
        <f t="shared" ca="1" si="795"/>
        <v>0</v>
      </c>
      <c r="FE221" s="225">
        <f t="shared" ca="1" si="795"/>
        <v>0</v>
      </c>
      <c r="FF221" s="225">
        <f t="shared" ca="1" si="795"/>
        <v>0</v>
      </c>
      <c r="FG221" s="225">
        <f t="shared" ca="1" si="795"/>
        <v>0</v>
      </c>
      <c r="FH221" s="225">
        <f t="shared" ca="1" si="795"/>
        <v>0</v>
      </c>
      <c r="FI221" s="225">
        <f t="shared" ca="1" si="795"/>
        <v>0</v>
      </c>
      <c r="FJ221" s="225">
        <f t="shared" ca="1" si="795"/>
        <v>0</v>
      </c>
      <c r="FK221" s="225">
        <f t="shared" ca="1" si="795"/>
        <v>0</v>
      </c>
      <c r="FL221" s="225">
        <f t="shared" ca="1" si="795"/>
        <v>0</v>
      </c>
      <c r="FM221" s="225">
        <f t="shared" ca="1" si="795"/>
        <v>0</v>
      </c>
      <c r="FN221" s="225">
        <f t="shared" ca="1" si="795"/>
        <v>0</v>
      </c>
      <c r="FO221" s="225">
        <f t="shared" ca="1" si="795"/>
        <v>0</v>
      </c>
      <c r="FP221" s="225">
        <f t="shared" ca="1" si="795"/>
        <v>0</v>
      </c>
      <c r="FQ221" s="225">
        <f t="shared" ca="1" si="795"/>
        <v>0</v>
      </c>
      <c r="FR221" s="225">
        <f t="shared" ca="1" si="795"/>
        <v>0</v>
      </c>
      <c r="FS221" s="225">
        <f t="shared" ca="1" si="795"/>
        <v>0</v>
      </c>
      <c r="FT221" s="225">
        <f t="shared" ca="1" si="795"/>
        <v>0</v>
      </c>
      <c r="FU221" s="225">
        <f t="shared" ca="1" si="795"/>
        <v>0</v>
      </c>
      <c r="FV221" s="225">
        <f t="shared" ca="1" si="795"/>
        <v>0</v>
      </c>
      <c r="FW221" s="225">
        <f t="shared" ca="1" si="795"/>
        <v>0</v>
      </c>
      <c r="FX221" s="225">
        <f t="shared" ca="1" si="795"/>
        <v>0</v>
      </c>
      <c r="FY221" s="225">
        <f t="shared" ca="1" si="795"/>
        <v>0</v>
      </c>
      <c r="FZ221" s="225">
        <f t="shared" ca="1" si="795"/>
        <v>0</v>
      </c>
      <c r="GA221" s="225">
        <f t="shared" ca="1" si="795"/>
        <v>0</v>
      </c>
      <c r="GB221" s="225">
        <f t="shared" ref="GB221:HG221" ca="1" si="796">(GB$197&lt;=Timing_Reversion_Month)*(GB218/$I$234*$H$234)</f>
        <v>0</v>
      </c>
      <c r="GC221" s="225">
        <f t="shared" ca="1" si="796"/>
        <v>0</v>
      </c>
      <c r="GD221" s="225">
        <f t="shared" ca="1" si="796"/>
        <v>0</v>
      </c>
      <c r="GE221" s="225">
        <f t="shared" ca="1" si="796"/>
        <v>2.801243681460619E-12</v>
      </c>
      <c r="GF221" s="225">
        <f t="shared" ca="1" si="796"/>
        <v>0</v>
      </c>
      <c r="GG221" s="225">
        <f t="shared" ca="1" si="796"/>
        <v>0</v>
      </c>
      <c r="GH221" s="225">
        <f t="shared" ca="1" si="796"/>
        <v>0</v>
      </c>
      <c r="GI221" s="225">
        <f t="shared" ca="1" si="796"/>
        <v>0</v>
      </c>
      <c r="GJ221" s="225">
        <f t="shared" ca="1" si="796"/>
        <v>0</v>
      </c>
      <c r="GK221" s="225">
        <f t="shared" ca="1" si="796"/>
        <v>2.801243681460619E-12</v>
      </c>
      <c r="GL221" s="225">
        <f t="shared" ca="1" si="796"/>
        <v>2.801243681460619E-12</v>
      </c>
      <c r="GM221" s="225">
        <f t="shared" ca="1" si="796"/>
        <v>0</v>
      </c>
      <c r="GN221" s="225">
        <f t="shared" ca="1" si="796"/>
        <v>0</v>
      </c>
      <c r="GO221" s="225">
        <f t="shared" ca="1" si="796"/>
        <v>432613.86685738078</v>
      </c>
      <c r="GP221" s="225">
        <f t="shared" ca="1" si="796"/>
        <v>0</v>
      </c>
      <c r="GQ221" s="225">
        <f t="shared" ca="1" si="796"/>
        <v>0</v>
      </c>
      <c r="GR221" s="225">
        <f t="shared" ca="1" si="796"/>
        <v>0</v>
      </c>
      <c r="GS221" s="225">
        <f t="shared" ca="1" si="796"/>
        <v>0</v>
      </c>
      <c r="GT221" s="225">
        <f t="shared" ca="1" si="796"/>
        <v>0</v>
      </c>
      <c r="GU221" s="225">
        <f t="shared" ca="1" si="796"/>
        <v>0</v>
      </c>
      <c r="GV221" s="225">
        <f t="shared" ca="1" si="796"/>
        <v>0</v>
      </c>
      <c r="GW221" s="225">
        <f t="shared" ca="1" si="796"/>
        <v>0</v>
      </c>
      <c r="GX221" s="225">
        <f t="shared" ca="1" si="796"/>
        <v>0</v>
      </c>
      <c r="GY221" s="225">
        <f t="shared" ca="1" si="796"/>
        <v>0</v>
      </c>
      <c r="GZ221" s="225">
        <f t="shared" ca="1" si="796"/>
        <v>0</v>
      </c>
      <c r="HA221" s="225">
        <f t="shared" ca="1" si="796"/>
        <v>0</v>
      </c>
      <c r="HB221" s="225">
        <f t="shared" ca="1" si="796"/>
        <v>0</v>
      </c>
      <c r="HC221" s="225">
        <f t="shared" ca="1" si="796"/>
        <v>0</v>
      </c>
      <c r="HD221" s="225">
        <f t="shared" ca="1" si="796"/>
        <v>0</v>
      </c>
      <c r="HE221" s="225">
        <f t="shared" ca="1" si="796"/>
        <v>0</v>
      </c>
      <c r="HF221" s="225">
        <f t="shared" ca="1" si="796"/>
        <v>0</v>
      </c>
      <c r="HG221" s="225">
        <f t="shared" ca="1" si="796"/>
        <v>0</v>
      </c>
      <c r="HH221" s="225">
        <f t="shared" ref="HH221:IM221" ca="1" si="797">(HH$197&lt;=Timing_Reversion_Month)*(HH218/$I$234*$H$234)</f>
        <v>0</v>
      </c>
      <c r="HI221" s="225">
        <f t="shared" ca="1" si="797"/>
        <v>0</v>
      </c>
      <c r="HJ221" s="225">
        <f t="shared" ca="1" si="797"/>
        <v>0</v>
      </c>
      <c r="HK221" s="225">
        <f t="shared" ca="1" si="797"/>
        <v>0</v>
      </c>
      <c r="HL221" s="225">
        <f t="shared" ca="1" si="797"/>
        <v>0</v>
      </c>
      <c r="HM221" s="225">
        <f t="shared" ca="1" si="797"/>
        <v>0</v>
      </c>
      <c r="HN221" s="225">
        <f t="shared" ca="1" si="797"/>
        <v>0</v>
      </c>
      <c r="HO221" s="225">
        <f t="shared" ca="1" si="797"/>
        <v>0</v>
      </c>
      <c r="HP221" s="225">
        <f t="shared" ca="1" si="797"/>
        <v>0</v>
      </c>
      <c r="HQ221" s="225">
        <f t="shared" ca="1" si="797"/>
        <v>0</v>
      </c>
      <c r="HR221" s="225">
        <f t="shared" ca="1" si="797"/>
        <v>0</v>
      </c>
      <c r="HS221" s="225">
        <f t="shared" ca="1" si="797"/>
        <v>0</v>
      </c>
      <c r="HT221" s="225">
        <f t="shared" ca="1" si="797"/>
        <v>0</v>
      </c>
      <c r="HU221" s="225">
        <f t="shared" ca="1" si="797"/>
        <v>0</v>
      </c>
      <c r="HV221" s="225">
        <f t="shared" ca="1" si="797"/>
        <v>0</v>
      </c>
      <c r="HW221" s="225">
        <f t="shared" ca="1" si="797"/>
        <v>0</v>
      </c>
      <c r="HX221" s="225">
        <f t="shared" ca="1" si="797"/>
        <v>0</v>
      </c>
      <c r="HY221" s="225">
        <f t="shared" ca="1" si="797"/>
        <v>0</v>
      </c>
      <c r="HZ221" s="225">
        <f t="shared" ca="1" si="797"/>
        <v>0</v>
      </c>
      <c r="IA221" s="225">
        <f t="shared" ca="1" si="797"/>
        <v>0</v>
      </c>
      <c r="IB221" s="225">
        <f t="shared" ca="1" si="797"/>
        <v>0</v>
      </c>
      <c r="IC221" s="225">
        <f t="shared" ca="1" si="797"/>
        <v>0</v>
      </c>
      <c r="ID221" s="225">
        <f t="shared" ca="1" si="797"/>
        <v>0</v>
      </c>
      <c r="IE221" s="225">
        <f t="shared" ca="1" si="797"/>
        <v>0</v>
      </c>
      <c r="IF221" s="225">
        <f t="shared" ca="1" si="797"/>
        <v>0</v>
      </c>
      <c r="IG221" s="225">
        <f t="shared" ca="1" si="797"/>
        <v>0</v>
      </c>
      <c r="IH221" s="225">
        <f t="shared" ca="1" si="797"/>
        <v>0</v>
      </c>
      <c r="II221" s="225">
        <f t="shared" ca="1" si="797"/>
        <v>0</v>
      </c>
      <c r="IJ221" s="225">
        <f t="shared" ca="1" si="797"/>
        <v>0</v>
      </c>
      <c r="IK221" s="225">
        <f t="shared" ca="1" si="797"/>
        <v>0</v>
      </c>
      <c r="IL221" s="225">
        <f t="shared" ca="1" si="797"/>
        <v>0</v>
      </c>
      <c r="IM221" s="225">
        <f t="shared" ca="1" si="797"/>
        <v>0</v>
      </c>
      <c r="IN221" s="225">
        <f t="shared" ref="IN221:JX221" ca="1" si="798">(IN$197&lt;=Timing_Reversion_Month)*(IN218/$I$234*$H$234)</f>
        <v>0</v>
      </c>
      <c r="IO221" s="225">
        <f t="shared" ca="1" si="798"/>
        <v>0</v>
      </c>
      <c r="IP221" s="225">
        <f t="shared" ca="1" si="798"/>
        <v>0</v>
      </c>
      <c r="IQ221" s="225">
        <f t="shared" ca="1" si="798"/>
        <v>0</v>
      </c>
      <c r="IR221" s="225">
        <f t="shared" ca="1" si="798"/>
        <v>0</v>
      </c>
      <c r="IS221" s="225">
        <f t="shared" ca="1" si="798"/>
        <v>0</v>
      </c>
      <c r="IT221" s="225">
        <f t="shared" ca="1" si="798"/>
        <v>0</v>
      </c>
      <c r="IU221" s="225">
        <f t="shared" ca="1" si="798"/>
        <v>0</v>
      </c>
      <c r="IV221" s="225">
        <f t="shared" ca="1" si="798"/>
        <v>0</v>
      </c>
      <c r="IW221" s="225">
        <f t="shared" ca="1" si="798"/>
        <v>0</v>
      </c>
      <c r="IX221" s="225">
        <f t="shared" ca="1" si="798"/>
        <v>0</v>
      </c>
      <c r="IY221" s="225">
        <f t="shared" ca="1" si="798"/>
        <v>0</v>
      </c>
      <c r="IZ221" s="225">
        <f t="shared" ca="1" si="798"/>
        <v>0</v>
      </c>
      <c r="JA221" s="225">
        <f t="shared" ca="1" si="798"/>
        <v>0</v>
      </c>
      <c r="JB221" s="225">
        <f t="shared" ca="1" si="798"/>
        <v>0</v>
      </c>
      <c r="JC221" s="225">
        <f t="shared" ca="1" si="798"/>
        <v>0</v>
      </c>
      <c r="JD221" s="225">
        <f t="shared" ca="1" si="798"/>
        <v>0</v>
      </c>
      <c r="JE221" s="225">
        <f t="shared" ca="1" si="798"/>
        <v>0</v>
      </c>
      <c r="JF221" s="225">
        <f t="shared" ca="1" si="798"/>
        <v>0</v>
      </c>
      <c r="JG221" s="225">
        <f t="shared" ca="1" si="798"/>
        <v>0</v>
      </c>
      <c r="JH221" s="225">
        <f t="shared" ca="1" si="798"/>
        <v>0</v>
      </c>
      <c r="JI221" s="225">
        <f t="shared" ca="1" si="798"/>
        <v>0</v>
      </c>
      <c r="JJ221" s="225">
        <f t="shared" ca="1" si="798"/>
        <v>0</v>
      </c>
      <c r="JK221" s="225">
        <f t="shared" ca="1" si="798"/>
        <v>0</v>
      </c>
      <c r="JL221" s="225">
        <f t="shared" ca="1" si="798"/>
        <v>0</v>
      </c>
      <c r="JM221" s="225">
        <f t="shared" ca="1" si="798"/>
        <v>0</v>
      </c>
      <c r="JN221" s="225">
        <f t="shared" ca="1" si="798"/>
        <v>0</v>
      </c>
      <c r="JO221" s="225">
        <f t="shared" ca="1" si="798"/>
        <v>0</v>
      </c>
      <c r="JP221" s="225">
        <f t="shared" ca="1" si="798"/>
        <v>0</v>
      </c>
      <c r="JQ221" s="225">
        <f t="shared" ca="1" si="798"/>
        <v>0</v>
      </c>
      <c r="JR221" s="225">
        <f t="shared" ca="1" si="798"/>
        <v>0</v>
      </c>
      <c r="JS221" s="225">
        <f t="shared" ca="1" si="798"/>
        <v>0</v>
      </c>
      <c r="JT221" s="225">
        <f t="shared" ca="1" si="798"/>
        <v>0</v>
      </c>
      <c r="JU221" s="225">
        <f t="shared" ca="1" si="798"/>
        <v>0</v>
      </c>
      <c r="JV221" s="225">
        <f t="shared" ca="1" si="798"/>
        <v>0</v>
      </c>
      <c r="JW221" s="225">
        <f t="shared" ca="1" si="798"/>
        <v>0</v>
      </c>
      <c r="JX221" s="225">
        <f t="shared" ca="1" si="798"/>
        <v>0</v>
      </c>
    </row>
    <row r="222" spans="1:284" x14ac:dyDescent="0.2">
      <c r="B222" s="101" t="s">
        <v>416</v>
      </c>
      <c r="C222" s="120"/>
      <c r="D222" s="102" t="s">
        <v>417</v>
      </c>
      <c r="E222" s="102" t="s">
        <v>198</v>
      </c>
      <c r="F222" s="102"/>
      <c r="G222" s="102" t="s">
        <v>415</v>
      </c>
      <c r="H222" s="102" t="s">
        <v>391</v>
      </c>
      <c r="I222" s="102" t="s">
        <v>195</v>
      </c>
      <c r="L222" s="213"/>
      <c r="M222" s="213"/>
      <c r="N222" s="213"/>
      <c r="O222" s="213"/>
      <c r="P222" s="213"/>
      <c r="Q222" s="213"/>
      <c r="R222" s="213"/>
      <c r="S222" s="213"/>
      <c r="T222" s="213"/>
      <c r="U222" s="213"/>
      <c r="V222" s="213"/>
      <c r="W222" s="213"/>
      <c r="X222" s="213"/>
      <c r="Y222" s="213"/>
      <c r="Z222" s="213"/>
      <c r="AA222" s="213"/>
      <c r="AB222" s="213"/>
      <c r="AC222" s="213"/>
      <c r="AD222" s="213"/>
      <c r="AE222" s="213"/>
      <c r="AF222" s="213"/>
      <c r="AG222" s="213"/>
      <c r="AH222" s="213"/>
      <c r="AI222" s="213"/>
      <c r="AJ222" s="213"/>
      <c r="AK222" s="213"/>
      <c r="AL222" s="213"/>
      <c r="AM222" s="213"/>
      <c r="AN222" s="213"/>
      <c r="AO222" s="213"/>
      <c r="AP222" s="213"/>
      <c r="AQ222" s="213"/>
      <c r="AR222" s="213"/>
      <c r="AS222" s="213"/>
      <c r="AT222" s="213"/>
      <c r="AU222" s="213"/>
      <c r="AV222" s="213"/>
      <c r="AW222" s="213"/>
      <c r="AX222" s="213"/>
      <c r="AY222" s="213"/>
      <c r="AZ222" s="213"/>
      <c r="BA222" s="213"/>
      <c r="BB222" s="213"/>
      <c r="BC222" s="213"/>
      <c r="BD222" s="213"/>
      <c r="BE222" s="213"/>
      <c r="BF222" s="213"/>
      <c r="BG222" s="213"/>
      <c r="BH222" s="213"/>
      <c r="BI222" s="213"/>
      <c r="BJ222" s="213"/>
      <c r="BK222" s="213"/>
      <c r="BL222" s="213"/>
      <c r="BM222" s="213"/>
      <c r="BN222" s="213"/>
      <c r="BO222" s="213"/>
      <c r="BP222" s="213"/>
      <c r="BQ222" s="213"/>
      <c r="BR222" s="213"/>
      <c r="BS222" s="213"/>
      <c r="BT222" s="213"/>
      <c r="BU222" s="213"/>
      <c r="BV222" s="213"/>
      <c r="BW222" s="213"/>
      <c r="BX222" s="213"/>
      <c r="BY222" s="213"/>
      <c r="BZ222" s="213"/>
      <c r="CA222" s="213"/>
      <c r="CB222" s="213"/>
      <c r="CC222" s="213"/>
      <c r="CD222" s="213"/>
      <c r="CE222" s="213"/>
      <c r="CF222" s="213"/>
      <c r="CG222" s="213"/>
      <c r="CH222" s="213"/>
      <c r="CI222" s="213"/>
      <c r="CJ222" s="213"/>
      <c r="CK222" s="213"/>
      <c r="CL222" s="213"/>
      <c r="CM222" s="213"/>
      <c r="CN222" s="213"/>
      <c r="CO222" s="213"/>
      <c r="CP222" s="213"/>
      <c r="CQ222" s="213"/>
      <c r="CR222" s="213"/>
      <c r="CS222" s="213"/>
      <c r="CT222" s="213"/>
      <c r="CU222" s="213"/>
      <c r="CV222" s="213"/>
      <c r="CW222" s="213"/>
      <c r="CX222" s="213"/>
      <c r="CY222" s="213"/>
      <c r="CZ222" s="213"/>
      <c r="DA222" s="213"/>
      <c r="DB222" s="213"/>
      <c r="DC222" s="213"/>
      <c r="DD222" s="213"/>
      <c r="DE222" s="213"/>
      <c r="DF222" s="213"/>
      <c r="DG222" s="213"/>
      <c r="DH222" s="213"/>
      <c r="DI222" s="213"/>
      <c r="DJ222" s="213"/>
      <c r="DK222" s="213"/>
      <c r="DL222" s="213"/>
      <c r="DM222" s="213"/>
      <c r="DN222" s="213"/>
      <c r="DO222" s="213"/>
      <c r="DP222" s="213"/>
      <c r="DQ222" s="213"/>
      <c r="DR222" s="213"/>
      <c r="DS222" s="213"/>
      <c r="DT222" s="213"/>
      <c r="DU222" s="213"/>
      <c r="DV222" s="213"/>
      <c r="DW222" s="213"/>
      <c r="DX222" s="213"/>
      <c r="DY222" s="213"/>
      <c r="DZ222" s="213"/>
      <c r="EA222" s="213"/>
      <c r="EB222" s="213"/>
      <c r="EC222" s="213"/>
      <c r="ED222" s="213"/>
      <c r="EE222" s="213"/>
      <c r="EF222" s="213"/>
      <c r="EG222" s="213"/>
      <c r="EH222" s="213"/>
      <c r="EI222" s="213"/>
      <c r="EJ222" s="213"/>
      <c r="EK222" s="213"/>
      <c r="EL222" s="213"/>
      <c r="EM222" s="213"/>
      <c r="EN222" s="213"/>
      <c r="EP222" s="37"/>
      <c r="EQ222" s="24"/>
      <c r="ER222" s="24"/>
      <c r="ES222" s="24"/>
      <c r="ET222" s="33" t="s">
        <v>384</v>
      </c>
      <c r="EU222" s="33"/>
      <c r="EV222" s="222">
        <f ca="1">+EV221+EV218</f>
        <v>0</v>
      </c>
      <c r="EW222" s="222">
        <f t="shared" ref="EW222:HH222" ca="1" si="799">+EW221+EW218</f>
        <v>0</v>
      </c>
      <c r="EX222" s="222">
        <f t="shared" ca="1" si="799"/>
        <v>0</v>
      </c>
      <c r="EY222" s="222">
        <f t="shared" ca="1" si="799"/>
        <v>0</v>
      </c>
      <c r="EZ222" s="222">
        <f t="shared" ca="1" si="799"/>
        <v>0</v>
      </c>
      <c r="FA222" s="222">
        <f t="shared" ca="1" si="799"/>
        <v>0</v>
      </c>
      <c r="FB222" s="222">
        <f t="shared" ca="1" si="799"/>
        <v>0</v>
      </c>
      <c r="FC222" s="222">
        <f t="shared" ca="1" si="799"/>
        <v>0</v>
      </c>
      <c r="FD222" s="222">
        <f t="shared" ca="1" si="799"/>
        <v>0</v>
      </c>
      <c r="FE222" s="222">
        <f t="shared" ca="1" si="799"/>
        <v>0</v>
      </c>
      <c r="FF222" s="222">
        <f t="shared" ca="1" si="799"/>
        <v>0</v>
      </c>
      <c r="FG222" s="222">
        <f t="shared" ca="1" si="799"/>
        <v>0</v>
      </c>
      <c r="FH222" s="222">
        <f t="shared" ca="1" si="799"/>
        <v>0</v>
      </c>
      <c r="FI222" s="222">
        <f t="shared" ca="1" si="799"/>
        <v>0</v>
      </c>
      <c r="FJ222" s="222">
        <f t="shared" ca="1" si="799"/>
        <v>0</v>
      </c>
      <c r="FK222" s="222">
        <f t="shared" ca="1" si="799"/>
        <v>0</v>
      </c>
      <c r="FL222" s="222">
        <f t="shared" ca="1" si="799"/>
        <v>0</v>
      </c>
      <c r="FM222" s="222">
        <f t="shared" ca="1" si="799"/>
        <v>0</v>
      </c>
      <c r="FN222" s="222">
        <f t="shared" ca="1" si="799"/>
        <v>0</v>
      </c>
      <c r="FO222" s="222">
        <f t="shared" ca="1" si="799"/>
        <v>0</v>
      </c>
      <c r="FP222" s="222">
        <f t="shared" ca="1" si="799"/>
        <v>0</v>
      </c>
      <c r="FQ222" s="222">
        <f t="shared" ca="1" si="799"/>
        <v>0</v>
      </c>
      <c r="FR222" s="222">
        <f t="shared" ca="1" si="799"/>
        <v>0</v>
      </c>
      <c r="FS222" s="222">
        <f t="shared" ca="1" si="799"/>
        <v>0</v>
      </c>
      <c r="FT222" s="222">
        <f t="shared" ca="1" si="799"/>
        <v>0</v>
      </c>
      <c r="FU222" s="222">
        <f t="shared" ca="1" si="799"/>
        <v>0</v>
      </c>
      <c r="FV222" s="222">
        <f t="shared" ca="1" si="799"/>
        <v>0</v>
      </c>
      <c r="FW222" s="222">
        <f t="shared" ca="1" si="799"/>
        <v>0</v>
      </c>
      <c r="FX222" s="222">
        <f t="shared" ca="1" si="799"/>
        <v>0</v>
      </c>
      <c r="FY222" s="222">
        <f t="shared" ca="1" si="799"/>
        <v>0</v>
      </c>
      <c r="FZ222" s="222">
        <f t="shared" ca="1" si="799"/>
        <v>0</v>
      </c>
      <c r="GA222" s="222">
        <f t="shared" ca="1" si="799"/>
        <v>0</v>
      </c>
      <c r="GB222" s="222">
        <f t="shared" ca="1" si="799"/>
        <v>0</v>
      </c>
      <c r="GC222" s="222">
        <f t="shared" ca="1" si="799"/>
        <v>0</v>
      </c>
      <c r="GD222" s="222">
        <f t="shared" ca="1" si="799"/>
        <v>0</v>
      </c>
      <c r="GE222" s="222">
        <f t="shared" ca="1" si="799"/>
        <v>1.4551915228366852E-11</v>
      </c>
      <c r="GF222" s="222">
        <f t="shared" ca="1" si="799"/>
        <v>0</v>
      </c>
      <c r="GG222" s="222">
        <f t="shared" ca="1" si="799"/>
        <v>0</v>
      </c>
      <c r="GH222" s="222">
        <f t="shared" ca="1" si="799"/>
        <v>0</v>
      </c>
      <c r="GI222" s="222">
        <f t="shared" ca="1" si="799"/>
        <v>0</v>
      </c>
      <c r="GJ222" s="222">
        <f t="shared" ca="1" si="799"/>
        <v>0</v>
      </c>
      <c r="GK222" s="222">
        <f t="shared" ca="1" si="799"/>
        <v>1.4551915228366852E-11</v>
      </c>
      <c r="GL222" s="222">
        <f t="shared" ca="1" si="799"/>
        <v>1.4551915228366852E-11</v>
      </c>
      <c r="GM222" s="222">
        <f t="shared" ca="1" si="799"/>
        <v>0</v>
      </c>
      <c r="GN222" s="222">
        <f t="shared" ca="1" si="799"/>
        <v>0</v>
      </c>
      <c r="GO222" s="222">
        <f t="shared" ca="1" si="799"/>
        <v>2247344.7628954845</v>
      </c>
      <c r="GP222" s="222">
        <f t="shared" ca="1" si="799"/>
        <v>0</v>
      </c>
      <c r="GQ222" s="222">
        <f t="shared" ca="1" si="799"/>
        <v>0</v>
      </c>
      <c r="GR222" s="222">
        <f t="shared" ca="1" si="799"/>
        <v>0</v>
      </c>
      <c r="GS222" s="222">
        <f t="shared" ca="1" si="799"/>
        <v>0</v>
      </c>
      <c r="GT222" s="222">
        <f t="shared" ca="1" si="799"/>
        <v>0</v>
      </c>
      <c r="GU222" s="222">
        <f t="shared" ca="1" si="799"/>
        <v>0</v>
      </c>
      <c r="GV222" s="222">
        <f t="shared" ca="1" si="799"/>
        <v>0</v>
      </c>
      <c r="GW222" s="222">
        <f t="shared" ca="1" si="799"/>
        <v>0</v>
      </c>
      <c r="GX222" s="222">
        <f t="shared" ca="1" si="799"/>
        <v>0</v>
      </c>
      <c r="GY222" s="222">
        <f t="shared" ca="1" si="799"/>
        <v>0</v>
      </c>
      <c r="GZ222" s="222">
        <f t="shared" ca="1" si="799"/>
        <v>0</v>
      </c>
      <c r="HA222" s="222">
        <f t="shared" ca="1" si="799"/>
        <v>0</v>
      </c>
      <c r="HB222" s="222">
        <f t="shared" ca="1" si="799"/>
        <v>0</v>
      </c>
      <c r="HC222" s="222">
        <f t="shared" ca="1" si="799"/>
        <v>0</v>
      </c>
      <c r="HD222" s="222">
        <f t="shared" ca="1" si="799"/>
        <v>0</v>
      </c>
      <c r="HE222" s="222">
        <f t="shared" ca="1" si="799"/>
        <v>0</v>
      </c>
      <c r="HF222" s="222">
        <f t="shared" ca="1" si="799"/>
        <v>0</v>
      </c>
      <c r="HG222" s="222">
        <f t="shared" ca="1" si="799"/>
        <v>0</v>
      </c>
      <c r="HH222" s="222">
        <f t="shared" ca="1" si="799"/>
        <v>0</v>
      </c>
      <c r="HI222" s="222">
        <f t="shared" ref="HI222:JT222" ca="1" si="800">+HI221+HI218</f>
        <v>0</v>
      </c>
      <c r="HJ222" s="222">
        <f t="shared" ca="1" si="800"/>
        <v>0</v>
      </c>
      <c r="HK222" s="222">
        <f t="shared" ca="1" si="800"/>
        <v>0</v>
      </c>
      <c r="HL222" s="222">
        <f t="shared" ca="1" si="800"/>
        <v>0</v>
      </c>
      <c r="HM222" s="222">
        <f t="shared" ca="1" si="800"/>
        <v>0</v>
      </c>
      <c r="HN222" s="222">
        <f t="shared" ca="1" si="800"/>
        <v>0</v>
      </c>
      <c r="HO222" s="222">
        <f t="shared" ca="1" si="800"/>
        <v>0</v>
      </c>
      <c r="HP222" s="222">
        <f t="shared" ca="1" si="800"/>
        <v>0</v>
      </c>
      <c r="HQ222" s="222">
        <f t="shared" ca="1" si="800"/>
        <v>0</v>
      </c>
      <c r="HR222" s="222">
        <f t="shared" ca="1" si="800"/>
        <v>0</v>
      </c>
      <c r="HS222" s="222">
        <f t="shared" ca="1" si="800"/>
        <v>0</v>
      </c>
      <c r="HT222" s="222">
        <f t="shared" ca="1" si="800"/>
        <v>0</v>
      </c>
      <c r="HU222" s="222">
        <f t="shared" ca="1" si="800"/>
        <v>0</v>
      </c>
      <c r="HV222" s="222">
        <f t="shared" ca="1" si="800"/>
        <v>0</v>
      </c>
      <c r="HW222" s="222">
        <f t="shared" ca="1" si="800"/>
        <v>0</v>
      </c>
      <c r="HX222" s="222">
        <f t="shared" ca="1" si="800"/>
        <v>0</v>
      </c>
      <c r="HY222" s="222">
        <f t="shared" ca="1" si="800"/>
        <v>0</v>
      </c>
      <c r="HZ222" s="222">
        <f t="shared" ca="1" si="800"/>
        <v>0</v>
      </c>
      <c r="IA222" s="222">
        <f t="shared" ca="1" si="800"/>
        <v>0</v>
      </c>
      <c r="IB222" s="222">
        <f t="shared" ca="1" si="800"/>
        <v>0</v>
      </c>
      <c r="IC222" s="222">
        <f t="shared" ca="1" si="800"/>
        <v>0</v>
      </c>
      <c r="ID222" s="222">
        <f t="shared" ca="1" si="800"/>
        <v>0</v>
      </c>
      <c r="IE222" s="222">
        <f t="shared" ca="1" si="800"/>
        <v>0</v>
      </c>
      <c r="IF222" s="222">
        <f t="shared" ca="1" si="800"/>
        <v>0</v>
      </c>
      <c r="IG222" s="222">
        <f t="shared" ca="1" si="800"/>
        <v>0</v>
      </c>
      <c r="IH222" s="222">
        <f t="shared" ca="1" si="800"/>
        <v>0</v>
      </c>
      <c r="II222" s="222">
        <f t="shared" ca="1" si="800"/>
        <v>0</v>
      </c>
      <c r="IJ222" s="222">
        <f t="shared" ca="1" si="800"/>
        <v>0</v>
      </c>
      <c r="IK222" s="222">
        <f t="shared" ca="1" si="800"/>
        <v>0</v>
      </c>
      <c r="IL222" s="222">
        <f t="shared" ca="1" si="800"/>
        <v>0</v>
      </c>
      <c r="IM222" s="222">
        <f t="shared" ca="1" si="800"/>
        <v>0</v>
      </c>
      <c r="IN222" s="222">
        <f t="shared" ca="1" si="800"/>
        <v>0</v>
      </c>
      <c r="IO222" s="222">
        <f t="shared" ca="1" si="800"/>
        <v>0</v>
      </c>
      <c r="IP222" s="222">
        <f t="shared" ca="1" si="800"/>
        <v>0</v>
      </c>
      <c r="IQ222" s="222">
        <f t="shared" ca="1" si="800"/>
        <v>0</v>
      </c>
      <c r="IR222" s="222">
        <f t="shared" ca="1" si="800"/>
        <v>0</v>
      </c>
      <c r="IS222" s="222">
        <f t="shared" ca="1" si="800"/>
        <v>0</v>
      </c>
      <c r="IT222" s="222">
        <f t="shared" ca="1" si="800"/>
        <v>0</v>
      </c>
      <c r="IU222" s="222">
        <f t="shared" ca="1" si="800"/>
        <v>0</v>
      </c>
      <c r="IV222" s="222">
        <f t="shared" ca="1" si="800"/>
        <v>0</v>
      </c>
      <c r="IW222" s="222">
        <f t="shared" ca="1" si="800"/>
        <v>0</v>
      </c>
      <c r="IX222" s="222">
        <f t="shared" ca="1" si="800"/>
        <v>0</v>
      </c>
      <c r="IY222" s="222">
        <f t="shared" ca="1" si="800"/>
        <v>0</v>
      </c>
      <c r="IZ222" s="222">
        <f t="shared" ca="1" si="800"/>
        <v>0</v>
      </c>
      <c r="JA222" s="222">
        <f t="shared" ca="1" si="800"/>
        <v>0</v>
      </c>
      <c r="JB222" s="222">
        <f t="shared" ca="1" si="800"/>
        <v>0</v>
      </c>
      <c r="JC222" s="222">
        <f t="shared" ca="1" si="800"/>
        <v>0</v>
      </c>
      <c r="JD222" s="222">
        <f t="shared" ca="1" si="800"/>
        <v>0</v>
      </c>
      <c r="JE222" s="222">
        <f t="shared" ca="1" si="800"/>
        <v>0</v>
      </c>
      <c r="JF222" s="222">
        <f t="shared" ca="1" si="800"/>
        <v>0</v>
      </c>
      <c r="JG222" s="222">
        <f t="shared" ca="1" si="800"/>
        <v>0</v>
      </c>
      <c r="JH222" s="222">
        <f t="shared" ca="1" si="800"/>
        <v>0</v>
      </c>
      <c r="JI222" s="222">
        <f t="shared" ca="1" si="800"/>
        <v>0</v>
      </c>
      <c r="JJ222" s="222">
        <f t="shared" ca="1" si="800"/>
        <v>0</v>
      </c>
      <c r="JK222" s="222">
        <f t="shared" ca="1" si="800"/>
        <v>0</v>
      </c>
      <c r="JL222" s="222">
        <f t="shared" ca="1" si="800"/>
        <v>0</v>
      </c>
      <c r="JM222" s="222">
        <f t="shared" ca="1" si="800"/>
        <v>0</v>
      </c>
      <c r="JN222" s="222">
        <f t="shared" ca="1" si="800"/>
        <v>0</v>
      </c>
      <c r="JO222" s="222">
        <f t="shared" ca="1" si="800"/>
        <v>0</v>
      </c>
      <c r="JP222" s="222">
        <f t="shared" ca="1" si="800"/>
        <v>0</v>
      </c>
      <c r="JQ222" s="222">
        <f t="shared" ca="1" si="800"/>
        <v>0</v>
      </c>
      <c r="JR222" s="222">
        <f t="shared" ca="1" si="800"/>
        <v>0</v>
      </c>
      <c r="JS222" s="222">
        <f t="shared" ca="1" si="800"/>
        <v>0</v>
      </c>
      <c r="JT222" s="222">
        <f t="shared" ca="1" si="800"/>
        <v>0</v>
      </c>
      <c r="JU222" s="222">
        <f ca="1">+JU221+JU218</f>
        <v>0</v>
      </c>
      <c r="JV222" s="222">
        <f ca="1">+JV221+JV218</f>
        <v>0</v>
      </c>
      <c r="JW222" s="222">
        <f ca="1">+JW221+JW218</f>
        <v>0</v>
      </c>
      <c r="JX222" s="222">
        <f ca="1">+JX221+JX218</f>
        <v>0</v>
      </c>
    </row>
    <row r="223" spans="1:284" x14ac:dyDescent="0.2">
      <c r="B223" s="154" t="str">
        <f>C229</f>
        <v>[Limited Partner Name]</v>
      </c>
      <c r="C223" s="120"/>
      <c r="D223" s="123">
        <f ca="1">I229</f>
        <v>13905353.558517359</v>
      </c>
      <c r="E223" s="123">
        <f ca="1">I245</f>
        <v>7604198.3072892688</v>
      </c>
      <c r="F223" s="123"/>
      <c r="G223" s="153">
        <f ca="1">E223/D223</f>
        <v>0.54685400664490957</v>
      </c>
      <c r="H223" s="259">
        <f ca="1">F245</f>
        <v>1.5468540066449099</v>
      </c>
      <c r="I223" s="122">
        <f ca="1">G245</f>
        <v>0.13629054427146911</v>
      </c>
      <c r="L223" s="213"/>
      <c r="M223" s="213"/>
      <c r="N223" s="213"/>
      <c r="O223" s="213"/>
      <c r="P223" s="213"/>
      <c r="Q223" s="213"/>
      <c r="R223" s="213"/>
      <c r="S223" s="213"/>
      <c r="T223" s="213"/>
      <c r="U223" s="213"/>
      <c r="V223" s="213"/>
      <c r="W223" s="213"/>
      <c r="X223" s="213"/>
      <c r="Y223" s="213"/>
      <c r="Z223" s="213"/>
      <c r="AA223" s="213"/>
      <c r="AB223" s="213"/>
      <c r="AC223" s="213"/>
      <c r="AD223" s="213"/>
      <c r="AE223" s="213"/>
      <c r="AF223" s="213"/>
      <c r="AG223" s="213"/>
      <c r="AH223" s="213"/>
      <c r="AI223" s="213"/>
      <c r="AJ223" s="213"/>
      <c r="AK223" s="213"/>
      <c r="AL223" s="213"/>
      <c r="AM223" s="213"/>
      <c r="AN223" s="213"/>
      <c r="AO223" s="213"/>
      <c r="AP223" s="213"/>
      <c r="AQ223" s="213"/>
      <c r="AR223" s="213"/>
      <c r="AS223" s="213"/>
      <c r="AT223" s="213"/>
      <c r="AU223" s="213"/>
      <c r="AV223" s="213"/>
      <c r="AW223" s="213"/>
      <c r="AX223" s="213"/>
      <c r="AY223" s="213"/>
      <c r="AZ223" s="213"/>
      <c r="BA223" s="213"/>
      <c r="BB223" s="213"/>
      <c r="BC223" s="213"/>
      <c r="BD223" s="213"/>
      <c r="BE223" s="213"/>
      <c r="BF223" s="213"/>
      <c r="BG223" s="213"/>
      <c r="BH223" s="213"/>
      <c r="BI223" s="213"/>
      <c r="BJ223" s="213"/>
      <c r="BK223" s="213"/>
      <c r="BL223" s="213"/>
      <c r="BM223" s="213"/>
      <c r="BN223" s="213"/>
      <c r="BO223" s="213"/>
      <c r="BP223" s="213"/>
      <c r="BQ223" s="213"/>
      <c r="BR223" s="213"/>
      <c r="BS223" s="213"/>
      <c r="BT223" s="213"/>
      <c r="BU223" s="213"/>
      <c r="BV223" s="213"/>
      <c r="BW223" s="213"/>
      <c r="BX223" s="213"/>
      <c r="BY223" s="213"/>
      <c r="BZ223" s="213"/>
      <c r="CA223" s="213"/>
      <c r="CB223" s="213"/>
      <c r="CC223" s="213"/>
      <c r="CD223" s="213"/>
      <c r="CE223" s="213"/>
      <c r="CF223" s="213"/>
      <c r="CG223" s="213"/>
      <c r="CH223" s="213"/>
      <c r="CI223" s="213"/>
      <c r="CJ223" s="213"/>
      <c r="CK223" s="213"/>
      <c r="CL223" s="213"/>
      <c r="CM223" s="213"/>
      <c r="CN223" s="213"/>
      <c r="CO223" s="213"/>
      <c r="CP223" s="213"/>
      <c r="CQ223" s="213"/>
      <c r="CR223" s="213"/>
      <c r="CS223" s="213"/>
      <c r="CT223" s="213"/>
      <c r="CU223" s="213"/>
      <c r="CV223" s="213"/>
      <c r="CW223" s="213"/>
      <c r="CX223" s="213"/>
      <c r="CY223" s="213"/>
      <c r="CZ223" s="213"/>
      <c r="DA223" s="213"/>
      <c r="DB223" s="213"/>
      <c r="DC223" s="213"/>
      <c r="DD223" s="213"/>
      <c r="DE223" s="213"/>
      <c r="DF223" s="213"/>
      <c r="DG223" s="213"/>
      <c r="DH223" s="213"/>
      <c r="DI223" s="213"/>
      <c r="DJ223" s="213"/>
      <c r="DK223" s="213"/>
      <c r="DL223" s="213"/>
      <c r="DM223" s="213"/>
      <c r="DN223" s="213"/>
      <c r="DO223" s="213"/>
      <c r="DP223" s="213"/>
      <c r="DQ223" s="213"/>
      <c r="DR223" s="213"/>
      <c r="DS223" s="213"/>
      <c r="DT223" s="213"/>
      <c r="DU223" s="213"/>
      <c r="DV223" s="213"/>
      <c r="DW223" s="213"/>
      <c r="DX223" s="213"/>
      <c r="DY223" s="213"/>
      <c r="DZ223" s="213"/>
      <c r="EA223" s="213"/>
      <c r="EB223" s="213"/>
      <c r="EC223" s="213"/>
      <c r="ED223" s="213"/>
      <c r="EE223" s="213"/>
      <c r="EF223" s="213"/>
      <c r="EG223" s="213"/>
      <c r="EH223" s="213"/>
      <c r="EI223" s="213"/>
      <c r="EJ223" s="213"/>
      <c r="EK223" s="213"/>
      <c r="EL223" s="213"/>
      <c r="EM223" s="213"/>
      <c r="EN223" s="213"/>
      <c r="EP223" s="228"/>
      <c r="EQ223" s="228"/>
      <c r="ER223" s="228"/>
      <c r="ES223" s="228"/>
      <c r="ET223" s="229" t="s">
        <v>373</v>
      </c>
      <c r="EU223" s="229"/>
      <c r="EV223" s="230">
        <f t="shared" ref="EV223:GA223" ca="1" si="801">MAX(EV196-EV212-EV222,0)</f>
        <v>0</v>
      </c>
      <c r="EW223" s="230">
        <f t="shared" ca="1" si="801"/>
        <v>0</v>
      </c>
      <c r="EX223" s="230">
        <f t="shared" ca="1" si="801"/>
        <v>0</v>
      </c>
      <c r="EY223" s="230">
        <f t="shared" ca="1" si="801"/>
        <v>0</v>
      </c>
      <c r="EZ223" s="230">
        <f t="shared" ca="1" si="801"/>
        <v>0</v>
      </c>
      <c r="FA223" s="230">
        <f t="shared" ca="1" si="801"/>
        <v>0</v>
      </c>
      <c r="FB223" s="230">
        <f t="shared" ca="1" si="801"/>
        <v>0</v>
      </c>
      <c r="FC223" s="230">
        <f t="shared" ca="1" si="801"/>
        <v>0</v>
      </c>
      <c r="FD223" s="230">
        <f t="shared" ca="1" si="801"/>
        <v>0</v>
      </c>
      <c r="FE223" s="230">
        <f t="shared" ca="1" si="801"/>
        <v>0</v>
      </c>
      <c r="FF223" s="230">
        <f t="shared" ca="1" si="801"/>
        <v>0</v>
      </c>
      <c r="FG223" s="230">
        <f t="shared" ca="1" si="801"/>
        <v>0</v>
      </c>
      <c r="FH223" s="230">
        <f t="shared" ca="1" si="801"/>
        <v>0</v>
      </c>
      <c r="FI223" s="230">
        <f t="shared" ca="1" si="801"/>
        <v>0</v>
      </c>
      <c r="FJ223" s="230">
        <f t="shared" ca="1" si="801"/>
        <v>0</v>
      </c>
      <c r="FK223" s="230">
        <f t="shared" ca="1" si="801"/>
        <v>0</v>
      </c>
      <c r="FL223" s="230">
        <f t="shared" ca="1" si="801"/>
        <v>0</v>
      </c>
      <c r="FM223" s="230">
        <f t="shared" ca="1" si="801"/>
        <v>0</v>
      </c>
      <c r="FN223" s="230">
        <f t="shared" ca="1" si="801"/>
        <v>0</v>
      </c>
      <c r="FO223" s="230">
        <f t="shared" ca="1" si="801"/>
        <v>0</v>
      </c>
      <c r="FP223" s="230">
        <f t="shared" ca="1" si="801"/>
        <v>0</v>
      </c>
      <c r="FQ223" s="230">
        <f t="shared" ca="1" si="801"/>
        <v>0</v>
      </c>
      <c r="FR223" s="230">
        <f t="shared" ca="1" si="801"/>
        <v>0</v>
      </c>
      <c r="FS223" s="230">
        <f t="shared" ca="1" si="801"/>
        <v>0</v>
      </c>
      <c r="FT223" s="230">
        <f t="shared" ca="1" si="801"/>
        <v>0</v>
      </c>
      <c r="FU223" s="230">
        <f t="shared" ca="1" si="801"/>
        <v>0</v>
      </c>
      <c r="FV223" s="230">
        <f t="shared" ca="1" si="801"/>
        <v>0</v>
      </c>
      <c r="FW223" s="230">
        <f t="shared" ca="1" si="801"/>
        <v>0</v>
      </c>
      <c r="FX223" s="230">
        <f t="shared" ca="1" si="801"/>
        <v>0</v>
      </c>
      <c r="FY223" s="230">
        <f t="shared" ca="1" si="801"/>
        <v>0</v>
      </c>
      <c r="FZ223" s="230">
        <f t="shared" ca="1" si="801"/>
        <v>0</v>
      </c>
      <c r="GA223" s="230">
        <f t="shared" ca="1" si="801"/>
        <v>0</v>
      </c>
      <c r="GB223" s="230">
        <f t="shared" ref="GB223:HG223" ca="1" si="802">MAX(GB196-GB212-GB222,0)</f>
        <v>0</v>
      </c>
      <c r="GC223" s="230">
        <f t="shared" ca="1" si="802"/>
        <v>0</v>
      </c>
      <c r="GD223" s="230">
        <f t="shared" ca="1" si="802"/>
        <v>0</v>
      </c>
      <c r="GE223" s="230">
        <f t="shared" ca="1" si="802"/>
        <v>0</v>
      </c>
      <c r="GF223" s="230">
        <f t="shared" ca="1" si="802"/>
        <v>0</v>
      </c>
      <c r="GG223" s="230">
        <f t="shared" ca="1" si="802"/>
        <v>0</v>
      </c>
      <c r="GH223" s="230">
        <f t="shared" ca="1" si="802"/>
        <v>0</v>
      </c>
      <c r="GI223" s="230">
        <f t="shared" ca="1" si="802"/>
        <v>0</v>
      </c>
      <c r="GJ223" s="230">
        <f t="shared" ca="1" si="802"/>
        <v>0</v>
      </c>
      <c r="GK223" s="230">
        <f t="shared" ca="1" si="802"/>
        <v>0</v>
      </c>
      <c r="GL223" s="230">
        <f t="shared" ca="1" si="802"/>
        <v>0</v>
      </c>
      <c r="GM223" s="230">
        <f t="shared" ca="1" si="802"/>
        <v>0</v>
      </c>
      <c r="GN223" s="230">
        <f t="shared" ca="1" si="802"/>
        <v>0</v>
      </c>
      <c r="GO223" s="230">
        <f t="shared" ca="1" si="802"/>
        <v>1573359.1166071212</v>
      </c>
      <c r="GP223" s="230">
        <f t="shared" ca="1" si="802"/>
        <v>0</v>
      </c>
      <c r="GQ223" s="230">
        <f t="shared" ca="1" si="802"/>
        <v>0</v>
      </c>
      <c r="GR223" s="230">
        <f t="shared" ca="1" si="802"/>
        <v>0</v>
      </c>
      <c r="GS223" s="230">
        <f t="shared" ca="1" si="802"/>
        <v>0</v>
      </c>
      <c r="GT223" s="230">
        <f t="shared" ca="1" si="802"/>
        <v>0</v>
      </c>
      <c r="GU223" s="230">
        <f t="shared" ca="1" si="802"/>
        <v>0</v>
      </c>
      <c r="GV223" s="230">
        <f t="shared" ca="1" si="802"/>
        <v>0</v>
      </c>
      <c r="GW223" s="230">
        <f t="shared" ca="1" si="802"/>
        <v>0</v>
      </c>
      <c r="GX223" s="230">
        <f t="shared" ca="1" si="802"/>
        <v>0</v>
      </c>
      <c r="GY223" s="230">
        <f t="shared" ca="1" si="802"/>
        <v>0</v>
      </c>
      <c r="GZ223" s="230">
        <f t="shared" ca="1" si="802"/>
        <v>0</v>
      </c>
      <c r="HA223" s="230">
        <f t="shared" ca="1" si="802"/>
        <v>0</v>
      </c>
      <c r="HB223" s="230">
        <f t="shared" ca="1" si="802"/>
        <v>0</v>
      </c>
      <c r="HC223" s="230">
        <f t="shared" ca="1" si="802"/>
        <v>0</v>
      </c>
      <c r="HD223" s="230">
        <f t="shared" ca="1" si="802"/>
        <v>0</v>
      </c>
      <c r="HE223" s="230">
        <f t="shared" ca="1" si="802"/>
        <v>0</v>
      </c>
      <c r="HF223" s="230">
        <f t="shared" ca="1" si="802"/>
        <v>0</v>
      </c>
      <c r="HG223" s="230">
        <f t="shared" ca="1" si="802"/>
        <v>0</v>
      </c>
      <c r="HH223" s="230">
        <f t="shared" ref="HH223:IM223" ca="1" si="803">MAX(HH196-HH212-HH222,0)</f>
        <v>0</v>
      </c>
      <c r="HI223" s="230">
        <f t="shared" ca="1" si="803"/>
        <v>0</v>
      </c>
      <c r="HJ223" s="230">
        <f t="shared" ca="1" si="803"/>
        <v>0</v>
      </c>
      <c r="HK223" s="230">
        <f t="shared" ca="1" si="803"/>
        <v>0</v>
      </c>
      <c r="HL223" s="230">
        <f t="shared" ca="1" si="803"/>
        <v>0</v>
      </c>
      <c r="HM223" s="230">
        <f t="shared" ca="1" si="803"/>
        <v>0</v>
      </c>
      <c r="HN223" s="230">
        <f t="shared" ca="1" si="803"/>
        <v>0</v>
      </c>
      <c r="HO223" s="230">
        <f t="shared" ca="1" si="803"/>
        <v>0</v>
      </c>
      <c r="HP223" s="230">
        <f t="shared" ca="1" si="803"/>
        <v>0</v>
      </c>
      <c r="HQ223" s="230">
        <f t="shared" ca="1" si="803"/>
        <v>0</v>
      </c>
      <c r="HR223" s="230">
        <f t="shared" ca="1" si="803"/>
        <v>0</v>
      </c>
      <c r="HS223" s="230">
        <f t="shared" ca="1" si="803"/>
        <v>0</v>
      </c>
      <c r="HT223" s="230">
        <f t="shared" ca="1" si="803"/>
        <v>0</v>
      </c>
      <c r="HU223" s="230">
        <f t="shared" ca="1" si="803"/>
        <v>0</v>
      </c>
      <c r="HV223" s="230">
        <f t="shared" ca="1" si="803"/>
        <v>0</v>
      </c>
      <c r="HW223" s="230">
        <f t="shared" ca="1" si="803"/>
        <v>0</v>
      </c>
      <c r="HX223" s="230">
        <f t="shared" ca="1" si="803"/>
        <v>0</v>
      </c>
      <c r="HY223" s="230">
        <f t="shared" ca="1" si="803"/>
        <v>0</v>
      </c>
      <c r="HZ223" s="230">
        <f t="shared" ca="1" si="803"/>
        <v>0</v>
      </c>
      <c r="IA223" s="230">
        <f t="shared" ca="1" si="803"/>
        <v>0</v>
      </c>
      <c r="IB223" s="230">
        <f t="shared" ca="1" si="803"/>
        <v>0</v>
      </c>
      <c r="IC223" s="230">
        <f t="shared" ca="1" si="803"/>
        <v>0</v>
      </c>
      <c r="ID223" s="230">
        <f t="shared" ca="1" si="803"/>
        <v>0</v>
      </c>
      <c r="IE223" s="230">
        <f t="shared" ca="1" si="803"/>
        <v>0</v>
      </c>
      <c r="IF223" s="230">
        <f t="shared" ca="1" si="803"/>
        <v>0</v>
      </c>
      <c r="IG223" s="230">
        <f t="shared" ca="1" si="803"/>
        <v>0</v>
      </c>
      <c r="IH223" s="230">
        <f t="shared" ca="1" si="803"/>
        <v>0</v>
      </c>
      <c r="II223" s="230">
        <f t="shared" ca="1" si="803"/>
        <v>0</v>
      </c>
      <c r="IJ223" s="230">
        <f t="shared" ca="1" si="803"/>
        <v>0</v>
      </c>
      <c r="IK223" s="230">
        <f t="shared" ca="1" si="803"/>
        <v>0</v>
      </c>
      <c r="IL223" s="230">
        <f t="shared" ca="1" si="803"/>
        <v>0</v>
      </c>
      <c r="IM223" s="230">
        <f t="shared" ca="1" si="803"/>
        <v>0</v>
      </c>
      <c r="IN223" s="230">
        <f t="shared" ref="IN223:JS223" ca="1" si="804">MAX(IN196-IN212-IN222,0)</f>
        <v>0</v>
      </c>
      <c r="IO223" s="230">
        <f t="shared" ca="1" si="804"/>
        <v>0</v>
      </c>
      <c r="IP223" s="230">
        <f t="shared" ca="1" si="804"/>
        <v>0</v>
      </c>
      <c r="IQ223" s="230">
        <f t="shared" ca="1" si="804"/>
        <v>0</v>
      </c>
      <c r="IR223" s="230">
        <f t="shared" ca="1" si="804"/>
        <v>0</v>
      </c>
      <c r="IS223" s="230">
        <f t="shared" ca="1" si="804"/>
        <v>0</v>
      </c>
      <c r="IT223" s="230">
        <f t="shared" ca="1" si="804"/>
        <v>0</v>
      </c>
      <c r="IU223" s="230">
        <f t="shared" ca="1" si="804"/>
        <v>0</v>
      </c>
      <c r="IV223" s="230">
        <f t="shared" ca="1" si="804"/>
        <v>0</v>
      </c>
      <c r="IW223" s="230">
        <f t="shared" ca="1" si="804"/>
        <v>0</v>
      </c>
      <c r="IX223" s="230">
        <f t="shared" ca="1" si="804"/>
        <v>0</v>
      </c>
      <c r="IY223" s="230">
        <f t="shared" ca="1" si="804"/>
        <v>0</v>
      </c>
      <c r="IZ223" s="230">
        <f t="shared" ca="1" si="804"/>
        <v>0</v>
      </c>
      <c r="JA223" s="230">
        <f t="shared" ca="1" si="804"/>
        <v>0</v>
      </c>
      <c r="JB223" s="230">
        <f t="shared" ca="1" si="804"/>
        <v>0</v>
      </c>
      <c r="JC223" s="230">
        <f t="shared" ca="1" si="804"/>
        <v>0</v>
      </c>
      <c r="JD223" s="230">
        <f t="shared" ca="1" si="804"/>
        <v>0</v>
      </c>
      <c r="JE223" s="230">
        <f t="shared" ca="1" si="804"/>
        <v>0</v>
      </c>
      <c r="JF223" s="230">
        <f t="shared" ca="1" si="804"/>
        <v>0</v>
      </c>
      <c r="JG223" s="230">
        <f t="shared" ca="1" si="804"/>
        <v>0</v>
      </c>
      <c r="JH223" s="230">
        <f t="shared" ca="1" si="804"/>
        <v>0</v>
      </c>
      <c r="JI223" s="230">
        <f t="shared" ca="1" si="804"/>
        <v>0</v>
      </c>
      <c r="JJ223" s="230">
        <f t="shared" ca="1" si="804"/>
        <v>0</v>
      </c>
      <c r="JK223" s="230">
        <f t="shared" ca="1" si="804"/>
        <v>0</v>
      </c>
      <c r="JL223" s="230">
        <f t="shared" ca="1" si="804"/>
        <v>0</v>
      </c>
      <c r="JM223" s="230">
        <f t="shared" ca="1" si="804"/>
        <v>0</v>
      </c>
      <c r="JN223" s="230">
        <f t="shared" ca="1" si="804"/>
        <v>0</v>
      </c>
      <c r="JO223" s="230">
        <f t="shared" ca="1" si="804"/>
        <v>0</v>
      </c>
      <c r="JP223" s="230">
        <f t="shared" ca="1" si="804"/>
        <v>0</v>
      </c>
      <c r="JQ223" s="230">
        <f t="shared" ca="1" si="804"/>
        <v>0</v>
      </c>
      <c r="JR223" s="230">
        <f t="shared" ca="1" si="804"/>
        <v>0</v>
      </c>
      <c r="JS223" s="230">
        <f t="shared" ca="1" si="804"/>
        <v>0</v>
      </c>
      <c r="JT223" s="230">
        <f ca="1">MAX(JT196-JT212-JT222,0)</f>
        <v>0</v>
      </c>
      <c r="JU223" s="230">
        <f ca="1">MAX(JU196-JU212-JU222,0)</f>
        <v>0</v>
      </c>
      <c r="JV223" s="230">
        <f ca="1">MAX(JV196-JV212-JV222,0)</f>
        <v>0</v>
      </c>
      <c r="JW223" s="230">
        <f ca="1">MAX(JW196-JW212-JW222,0)</f>
        <v>0</v>
      </c>
      <c r="JX223" s="230">
        <f ca="1">MAX(JX196-JX212-JX222,0)</f>
        <v>0</v>
      </c>
    </row>
    <row r="224" spans="1:284" x14ac:dyDescent="0.2">
      <c r="B224" s="154" t="str">
        <f>IF(Dbl_Promote?=1,C260,C228)</f>
        <v>[General Partner Name]</v>
      </c>
      <c r="C224" s="120"/>
      <c r="D224" s="123">
        <f ca="1">IF(Dbl_Promote?=1,I249,I228)</f>
        <v>731860.7136061769</v>
      </c>
      <c r="E224" s="123">
        <f ca="1">IF(Dbl_Promote?=1,I265,I244)</f>
        <v>1209330.4129579994</v>
      </c>
      <c r="F224" s="123"/>
      <c r="G224" s="153">
        <f ca="1">IFERROR(E224/D224,"NA")</f>
        <v>1.6524051509735154</v>
      </c>
      <c r="H224" s="260">
        <f ca="1">IF(Dbl_Promote?=1,F265,F244)</f>
        <v>2.6524051509735158</v>
      </c>
      <c r="I224" s="122">
        <f ca="1">IF(Dbl_Promote?=1,G265,G244)</f>
        <v>0.32897186875343332</v>
      </c>
      <c r="EP224" s="37" t="s">
        <v>386</v>
      </c>
      <c r="EQ224" s="24"/>
      <c r="ER224" s="24"/>
      <c r="ES224" s="24"/>
      <c r="ET224" s="33" t="s">
        <v>368</v>
      </c>
      <c r="EU224" s="33"/>
      <c r="EV224" s="225">
        <f t="shared" ref="EV224:GA224" si="805">(EV$197&lt;=Timing_Reversion_Month)*EU228</f>
        <v>0</v>
      </c>
      <c r="EW224" s="225">
        <f t="shared" ca="1" si="805"/>
        <v>3565501.5512782279</v>
      </c>
      <c r="EX224" s="225">
        <f t="shared" ca="1" si="805"/>
        <v>4020155.7702424852</v>
      </c>
      <c r="EY224" s="225">
        <f t="shared" ca="1" si="805"/>
        <v>4632611.0161642767</v>
      </c>
      <c r="EZ224" s="225">
        <f t="shared" ca="1" si="805"/>
        <v>5554620.3937546052</v>
      </c>
      <c r="FA224" s="225">
        <f t="shared" ca="1" si="805"/>
        <v>7014122.168876213</v>
      </c>
      <c r="FB224" s="225">
        <f t="shared" ca="1" si="805"/>
        <v>9290440.217150759</v>
      </c>
      <c r="FC224" s="225">
        <f t="shared" ca="1" si="805"/>
        <v>12638642.249626741</v>
      </c>
      <c r="FD224" s="225">
        <f t="shared" ca="1" si="805"/>
        <v>14452628.711132972</v>
      </c>
      <c r="FE224" s="225">
        <f t="shared" ca="1" si="805"/>
        <v>14621940.055757381</v>
      </c>
      <c r="FF224" s="225">
        <f t="shared" ca="1" si="805"/>
        <v>14793234.868717656</v>
      </c>
      <c r="FG224" s="225">
        <f t="shared" ca="1" si="805"/>
        <v>14966536.386180561</v>
      </c>
      <c r="FH224" s="225">
        <f t="shared" ca="1" si="805"/>
        <v>15141868.116522629</v>
      </c>
      <c r="FI224" s="225">
        <f t="shared" ca="1" si="805"/>
        <v>15319253.843519067</v>
      </c>
      <c r="FJ224" s="225">
        <f t="shared" ca="1" si="805"/>
        <v>15498717.629570037</v>
      </c>
      <c r="FK224" s="225">
        <f t="shared" ca="1" si="805"/>
        <v>15680283.818964718</v>
      </c>
      <c r="FL224" s="225">
        <f t="shared" ca="1" si="805"/>
        <v>15863977.041183611</v>
      </c>
      <c r="FM224" s="225">
        <f t="shared" ca="1" si="805"/>
        <v>16049822.21423954</v>
      </c>
      <c r="FN224" s="225">
        <f t="shared" ca="1" si="805"/>
        <v>16237844.548057772</v>
      </c>
      <c r="FO224" s="225">
        <f t="shared" ca="1" si="805"/>
        <v>16428069.547895763</v>
      </c>
      <c r="FP224" s="225">
        <f t="shared" ca="1" si="805"/>
        <v>16620523.017802935</v>
      </c>
      <c r="FQ224" s="225">
        <f t="shared" ca="1" si="805"/>
        <v>16815231.064121008</v>
      </c>
      <c r="FR224" s="225">
        <f t="shared" ca="1" si="805"/>
        <v>17012220.099025324</v>
      </c>
      <c r="FS224" s="225">
        <f t="shared" ca="1" si="805"/>
        <v>17211516.844107665</v>
      </c>
      <c r="FT224" s="225">
        <f t="shared" ca="1" si="805"/>
        <v>17413148.334001042</v>
      </c>
      <c r="FU224" s="225">
        <f t="shared" ca="1" si="805"/>
        <v>17617141.920046948</v>
      </c>
      <c r="FV224" s="225">
        <f t="shared" ca="1" si="805"/>
        <v>17823525.274005566</v>
      </c>
      <c r="FW224" s="225">
        <f t="shared" ca="1" si="805"/>
        <v>18032326.391809449</v>
      </c>
      <c r="FX224" s="225">
        <f t="shared" ca="1" si="805"/>
        <v>18243573.597361177</v>
      </c>
      <c r="FY224" s="225">
        <f t="shared" ca="1" si="805"/>
        <v>18457295.546375494</v>
      </c>
      <c r="FZ224" s="225">
        <f t="shared" ca="1" si="805"/>
        <v>18673521.230266463</v>
      </c>
      <c r="GA224" s="225">
        <f t="shared" ca="1" si="805"/>
        <v>18890287.362551954</v>
      </c>
      <c r="GB224" s="225">
        <f t="shared" ref="GB224:HG224" ca="1" si="806">(GB$197&lt;=Timing_Reversion_Month)*GA228</f>
        <v>19094195.024094701</v>
      </c>
      <c r="GC224" s="225">
        <f t="shared" ca="1" si="806"/>
        <v>19269888.179636039</v>
      </c>
      <c r="GD224" s="225">
        <f t="shared" ca="1" si="806"/>
        <v>19410505.35462806</v>
      </c>
      <c r="GE224" s="225">
        <f t="shared" ca="1" si="806"/>
        <v>19551714.742161367</v>
      </c>
      <c r="GF224" s="225">
        <f t="shared" ca="1" si="806"/>
        <v>19693523.27995668</v>
      </c>
      <c r="GG224" s="225">
        <f t="shared" ca="1" si="806"/>
        <v>19835937.98700954</v>
      </c>
      <c r="GH224" s="225">
        <f t="shared" ca="1" si="806"/>
        <v>19978965.964542441</v>
      </c>
      <c r="GI224" s="225">
        <f t="shared" ca="1" si="806"/>
        <v>20122614.396968104</v>
      </c>
      <c r="GJ224" s="225">
        <f t="shared" ca="1" si="806"/>
        <v>20266890.552864049</v>
      </c>
      <c r="GK224" s="225">
        <f t="shared" ca="1" si="806"/>
        <v>20411801.785958581</v>
      </c>
      <c r="GL224" s="225">
        <f t="shared" ca="1" si="806"/>
        <v>20557355.53612832</v>
      </c>
      <c r="GM224" s="225">
        <f t="shared" ca="1" si="806"/>
        <v>20703559.330407422</v>
      </c>
      <c r="GN224" s="225">
        <f t="shared" ca="1" si="806"/>
        <v>20863448.753970724</v>
      </c>
      <c r="GO224" s="225">
        <f t="shared" ca="1" si="806"/>
        <v>21024124.509686742</v>
      </c>
      <c r="GP224" s="225">
        <f t="shared" ca="1" si="806"/>
        <v>0</v>
      </c>
      <c r="GQ224" s="225">
        <f t="shared" ca="1" si="806"/>
        <v>0</v>
      </c>
      <c r="GR224" s="225">
        <f t="shared" ca="1" si="806"/>
        <v>0</v>
      </c>
      <c r="GS224" s="225">
        <f t="shared" ca="1" si="806"/>
        <v>0</v>
      </c>
      <c r="GT224" s="225">
        <f t="shared" ca="1" si="806"/>
        <v>0</v>
      </c>
      <c r="GU224" s="225">
        <f t="shared" ca="1" si="806"/>
        <v>0</v>
      </c>
      <c r="GV224" s="225">
        <f t="shared" ca="1" si="806"/>
        <v>0</v>
      </c>
      <c r="GW224" s="225">
        <f t="shared" ca="1" si="806"/>
        <v>0</v>
      </c>
      <c r="GX224" s="225">
        <f t="shared" ca="1" si="806"/>
        <v>0</v>
      </c>
      <c r="GY224" s="225">
        <f t="shared" ca="1" si="806"/>
        <v>0</v>
      </c>
      <c r="GZ224" s="225">
        <f t="shared" ca="1" si="806"/>
        <v>0</v>
      </c>
      <c r="HA224" s="225">
        <f t="shared" ca="1" si="806"/>
        <v>0</v>
      </c>
      <c r="HB224" s="225">
        <f t="shared" ca="1" si="806"/>
        <v>0</v>
      </c>
      <c r="HC224" s="225">
        <f t="shared" ca="1" si="806"/>
        <v>0</v>
      </c>
      <c r="HD224" s="225">
        <f t="shared" ca="1" si="806"/>
        <v>0</v>
      </c>
      <c r="HE224" s="225">
        <f t="shared" ca="1" si="806"/>
        <v>0</v>
      </c>
      <c r="HF224" s="225">
        <f t="shared" ca="1" si="806"/>
        <v>0</v>
      </c>
      <c r="HG224" s="225">
        <f t="shared" ca="1" si="806"/>
        <v>0</v>
      </c>
      <c r="HH224" s="225">
        <f t="shared" ref="HH224:IM224" ca="1" si="807">(HH$197&lt;=Timing_Reversion_Month)*HG228</f>
        <v>0</v>
      </c>
      <c r="HI224" s="225">
        <f t="shared" ca="1" si="807"/>
        <v>0</v>
      </c>
      <c r="HJ224" s="225">
        <f t="shared" ca="1" si="807"/>
        <v>0</v>
      </c>
      <c r="HK224" s="225">
        <f t="shared" ca="1" si="807"/>
        <v>0</v>
      </c>
      <c r="HL224" s="225">
        <f t="shared" ca="1" si="807"/>
        <v>0</v>
      </c>
      <c r="HM224" s="225">
        <f t="shared" ca="1" si="807"/>
        <v>0</v>
      </c>
      <c r="HN224" s="225">
        <f t="shared" ca="1" si="807"/>
        <v>0</v>
      </c>
      <c r="HO224" s="225">
        <f t="shared" ca="1" si="807"/>
        <v>0</v>
      </c>
      <c r="HP224" s="225">
        <f t="shared" ca="1" si="807"/>
        <v>0</v>
      </c>
      <c r="HQ224" s="225">
        <f t="shared" ca="1" si="807"/>
        <v>0</v>
      </c>
      <c r="HR224" s="225">
        <f t="shared" ca="1" si="807"/>
        <v>0</v>
      </c>
      <c r="HS224" s="225">
        <f t="shared" ca="1" si="807"/>
        <v>0</v>
      </c>
      <c r="HT224" s="225">
        <f t="shared" ca="1" si="807"/>
        <v>0</v>
      </c>
      <c r="HU224" s="225">
        <f t="shared" ca="1" si="807"/>
        <v>0</v>
      </c>
      <c r="HV224" s="225">
        <f t="shared" ca="1" si="807"/>
        <v>0</v>
      </c>
      <c r="HW224" s="225">
        <f t="shared" ca="1" si="807"/>
        <v>0</v>
      </c>
      <c r="HX224" s="225">
        <f t="shared" ca="1" si="807"/>
        <v>0</v>
      </c>
      <c r="HY224" s="225">
        <f t="shared" ca="1" si="807"/>
        <v>0</v>
      </c>
      <c r="HZ224" s="225">
        <f t="shared" ca="1" si="807"/>
        <v>0</v>
      </c>
      <c r="IA224" s="225">
        <f t="shared" ca="1" si="807"/>
        <v>0</v>
      </c>
      <c r="IB224" s="225">
        <f t="shared" ca="1" si="807"/>
        <v>0</v>
      </c>
      <c r="IC224" s="225">
        <f t="shared" ca="1" si="807"/>
        <v>0</v>
      </c>
      <c r="ID224" s="225">
        <f t="shared" ca="1" si="807"/>
        <v>0</v>
      </c>
      <c r="IE224" s="225">
        <f t="shared" ca="1" si="807"/>
        <v>0</v>
      </c>
      <c r="IF224" s="225">
        <f t="shared" ca="1" si="807"/>
        <v>0</v>
      </c>
      <c r="IG224" s="225">
        <f t="shared" ca="1" si="807"/>
        <v>0</v>
      </c>
      <c r="IH224" s="225">
        <f t="shared" ca="1" si="807"/>
        <v>0</v>
      </c>
      <c r="II224" s="225">
        <f t="shared" ca="1" si="807"/>
        <v>0</v>
      </c>
      <c r="IJ224" s="225">
        <f t="shared" ca="1" si="807"/>
        <v>0</v>
      </c>
      <c r="IK224" s="225">
        <f t="shared" ca="1" si="807"/>
        <v>0</v>
      </c>
      <c r="IL224" s="225">
        <f t="shared" ca="1" si="807"/>
        <v>0</v>
      </c>
      <c r="IM224" s="225">
        <f t="shared" ca="1" si="807"/>
        <v>0</v>
      </c>
      <c r="IN224" s="225">
        <f t="shared" ref="IN224:JX224" ca="1" si="808">(IN$197&lt;=Timing_Reversion_Month)*IM228</f>
        <v>0</v>
      </c>
      <c r="IO224" s="225">
        <f t="shared" ca="1" si="808"/>
        <v>0</v>
      </c>
      <c r="IP224" s="225">
        <f t="shared" ca="1" si="808"/>
        <v>0</v>
      </c>
      <c r="IQ224" s="225">
        <f t="shared" ca="1" si="808"/>
        <v>0</v>
      </c>
      <c r="IR224" s="225">
        <f t="shared" ca="1" si="808"/>
        <v>0</v>
      </c>
      <c r="IS224" s="225">
        <f t="shared" ca="1" si="808"/>
        <v>0</v>
      </c>
      <c r="IT224" s="225">
        <f t="shared" ca="1" si="808"/>
        <v>0</v>
      </c>
      <c r="IU224" s="225">
        <f t="shared" ca="1" si="808"/>
        <v>0</v>
      </c>
      <c r="IV224" s="225">
        <f t="shared" ca="1" si="808"/>
        <v>0</v>
      </c>
      <c r="IW224" s="225">
        <f t="shared" ca="1" si="808"/>
        <v>0</v>
      </c>
      <c r="IX224" s="225">
        <f t="shared" ca="1" si="808"/>
        <v>0</v>
      </c>
      <c r="IY224" s="225">
        <f t="shared" ca="1" si="808"/>
        <v>0</v>
      </c>
      <c r="IZ224" s="225">
        <f t="shared" ca="1" si="808"/>
        <v>0</v>
      </c>
      <c r="JA224" s="225">
        <f t="shared" ca="1" si="808"/>
        <v>0</v>
      </c>
      <c r="JB224" s="225">
        <f t="shared" ca="1" si="808"/>
        <v>0</v>
      </c>
      <c r="JC224" s="225">
        <f t="shared" ca="1" si="808"/>
        <v>0</v>
      </c>
      <c r="JD224" s="225">
        <f t="shared" ca="1" si="808"/>
        <v>0</v>
      </c>
      <c r="JE224" s="225">
        <f t="shared" ca="1" si="808"/>
        <v>0</v>
      </c>
      <c r="JF224" s="225">
        <f t="shared" ca="1" si="808"/>
        <v>0</v>
      </c>
      <c r="JG224" s="225">
        <f t="shared" ca="1" si="808"/>
        <v>0</v>
      </c>
      <c r="JH224" s="225">
        <f t="shared" ca="1" si="808"/>
        <v>0</v>
      </c>
      <c r="JI224" s="225">
        <f t="shared" ca="1" si="808"/>
        <v>0</v>
      </c>
      <c r="JJ224" s="225">
        <f t="shared" ca="1" si="808"/>
        <v>0</v>
      </c>
      <c r="JK224" s="225">
        <f t="shared" ca="1" si="808"/>
        <v>0</v>
      </c>
      <c r="JL224" s="225">
        <f t="shared" ca="1" si="808"/>
        <v>0</v>
      </c>
      <c r="JM224" s="225">
        <f t="shared" ca="1" si="808"/>
        <v>0</v>
      </c>
      <c r="JN224" s="225">
        <f t="shared" ca="1" si="808"/>
        <v>0</v>
      </c>
      <c r="JO224" s="225">
        <f t="shared" ca="1" si="808"/>
        <v>0</v>
      </c>
      <c r="JP224" s="225">
        <f t="shared" ca="1" si="808"/>
        <v>0</v>
      </c>
      <c r="JQ224" s="225">
        <f t="shared" ca="1" si="808"/>
        <v>0</v>
      </c>
      <c r="JR224" s="225">
        <f t="shared" ca="1" si="808"/>
        <v>0</v>
      </c>
      <c r="JS224" s="225">
        <f t="shared" ca="1" si="808"/>
        <v>0</v>
      </c>
      <c r="JT224" s="225">
        <f t="shared" ca="1" si="808"/>
        <v>0</v>
      </c>
      <c r="JU224" s="225">
        <f t="shared" ca="1" si="808"/>
        <v>0</v>
      </c>
      <c r="JV224" s="225">
        <f t="shared" ca="1" si="808"/>
        <v>0</v>
      </c>
      <c r="JW224" s="225">
        <f t="shared" ca="1" si="808"/>
        <v>0</v>
      </c>
      <c r="JX224" s="225">
        <f t="shared" ca="1" si="808"/>
        <v>0</v>
      </c>
    </row>
    <row r="225" spans="1:284" x14ac:dyDescent="0.2">
      <c r="B225" s="154" t="str">
        <f>IF(Dbl_Promote?=1,C250,"")</f>
        <v/>
      </c>
      <c r="C225" s="120"/>
      <c r="D225" s="123" t="str">
        <f>IF(Dbl_Promote?=1,I250,"")</f>
        <v/>
      </c>
      <c r="E225" s="123" t="str">
        <f>IF(Dbl_Promote?=1,I266,"")</f>
        <v/>
      </c>
      <c r="F225" s="123"/>
      <c r="G225" s="153" t="str">
        <f>IF(Dbl_Promote?=1,IFERROR(E225/D225,"NA"),"")</f>
        <v/>
      </c>
      <c r="H225" s="261" t="str">
        <f>IF(Dbl_Promote?=1,F266,"")</f>
        <v/>
      </c>
      <c r="I225" s="122" t="str">
        <f>IF(Dbl_Promote?=1,G266,"")</f>
        <v/>
      </c>
      <c r="J225" s="385"/>
      <c r="K225" s="385"/>
      <c r="L225" s="385"/>
      <c r="M225" s="385"/>
      <c r="N225" s="385"/>
      <c r="O225" s="385"/>
      <c r="P225" s="385"/>
      <c r="Q225" s="385"/>
      <c r="R225" s="385"/>
      <c r="S225" s="385"/>
      <c r="T225" s="385"/>
      <c r="U225" s="385"/>
      <c r="V225" s="385"/>
      <c r="W225" s="385"/>
      <c r="X225" s="385"/>
      <c r="Y225" s="385"/>
      <c r="Z225" s="385"/>
      <c r="AA225" s="385"/>
      <c r="AB225" s="385"/>
      <c r="AC225" s="385"/>
      <c r="AD225" s="385"/>
      <c r="AE225" s="385"/>
      <c r="AF225" s="385"/>
      <c r="AG225" s="385"/>
      <c r="AH225" s="385"/>
      <c r="AI225" s="385"/>
      <c r="AJ225" s="385"/>
      <c r="AK225" s="385"/>
      <c r="AL225" s="385"/>
      <c r="AM225" s="385"/>
      <c r="AN225" s="385"/>
      <c r="AO225" s="385"/>
      <c r="AP225" s="385"/>
      <c r="AQ225" s="385"/>
      <c r="AR225" s="385"/>
      <c r="AS225" s="385"/>
      <c r="AT225" s="385"/>
      <c r="AU225" s="385"/>
      <c r="AV225" s="385"/>
      <c r="AW225" s="385"/>
      <c r="AX225" s="385"/>
      <c r="AY225" s="385"/>
      <c r="AZ225" s="385"/>
      <c r="BA225" s="385"/>
      <c r="BB225" s="385"/>
      <c r="BC225" s="385"/>
      <c r="BD225" s="385"/>
      <c r="BE225" s="385"/>
      <c r="BF225" s="385"/>
      <c r="BG225" s="385"/>
      <c r="BH225" s="385"/>
      <c r="BI225" s="385"/>
      <c r="BJ225" s="385"/>
      <c r="BK225" s="385"/>
      <c r="BL225" s="385"/>
      <c r="BM225" s="385"/>
      <c r="BN225" s="385"/>
      <c r="BO225" s="385"/>
      <c r="BP225" s="385"/>
      <c r="BQ225" s="385"/>
      <c r="BR225" s="385"/>
      <c r="BS225" s="385"/>
      <c r="BT225" s="385"/>
      <c r="BU225" s="385"/>
      <c r="BV225" s="385"/>
      <c r="BW225" s="385"/>
      <c r="BX225" s="385"/>
      <c r="BY225" s="385"/>
      <c r="BZ225" s="385"/>
      <c r="CA225" s="385"/>
      <c r="CB225" s="385"/>
      <c r="CC225" s="385"/>
      <c r="CD225" s="385"/>
      <c r="CE225" s="385"/>
      <c r="CF225" s="385"/>
      <c r="CG225" s="385"/>
      <c r="CH225" s="385"/>
      <c r="CI225" s="385"/>
      <c r="CJ225" s="385"/>
      <c r="CK225" s="385"/>
      <c r="CL225" s="385"/>
      <c r="CM225" s="385"/>
      <c r="CN225" s="385"/>
      <c r="CO225" s="385"/>
      <c r="CP225" s="385"/>
      <c r="CQ225" s="385"/>
      <c r="CR225" s="385"/>
      <c r="CS225" s="385"/>
      <c r="CT225" s="385"/>
      <c r="CU225" s="385"/>
      <c r="CV225" s="385"/>
      <c r="CW225" s="385"/>
      <c r="CX225" s="385"/>
      <c r="CY225" s="385"/>
      <c r="CZ225" s="385"/>
      <c r="DA225" s="385"/>
      <c r="DB225" s="385"/>
      <c r="DC225" s="385"/>
      <c r="DD225" s="385"/>
      <c r="DE225" s="385"/>
      <c r="DF225" s="385"/>
      <c r="DG225" s="385"/>
      <c r="DH225" s="385"/>
      <c r="DI225" s="385"/>
      <c r="DJ225" s="385"/>
      <c r="DK225" s="385"/>
      <c r="DL225" s="385"/>
      <c r="DM225" s="385"/>
      <c r="DN225" s="385"/>
      <c r="DO225" s="385"/>
      <c r="DP225" s="385"/>
      <c r="DQ225" s="385"/>
      <c r="DR225" s="385"/>
      <c r="DS225" s="385"/>
      <c r="DT225" s="385"/>
      <c r="DU225" s="385"/>
      <c r="DV225" s="385"/>
      <c r="DW225" s="385"/>
      <c r="DX225" s="385"/>
      <c r="DY225" s="385"/>
      <c r="DZ225" s="385"/>
      <c r="EA225" s="385"/>
      <c r="EB225" s="385"/>
      <c r="EC225" s="385"/>
      <c r="ED225" s="385"/>
      <c r="EE225" s="385"/>
      <c r="EF225" s="385"/>
      <c r="EG225" s="385"/>
      <c r="EH225" s="385"/>
      <c r="EI225" s="385"/>
      <c r="EJ225" s="385"/>
      <c r="EK225" s="385"/>
      <c r="EL225" s="385"/>
      <c r="EM225" s="385"/>
      <c r="EN225" s="385"/>
      <c r="EO225" s="385"/>
      <c r="EP225" s="37"/>
      <c r="EQ225" s="24"/>
      <c r="ER225" s="24"/>
      <c r="ES225" s="24"/>
      <c r="ET225" s="33" t="s">
        <v>377</v>
      </c>
      <c r="EU225" s="33"/>
      <c r="EV225" s="225">
        <f t="shared" ref="EV225:GA225" si="809">(EV$197&lt;=Timing_Reversion_Month)*(EV224*((1+$EP226)^(1/12)-1))</f>
        <v>0</v>
      </c>
      <c r="EW225" s="225">
        <f t="shared" ca="1" si="809"/>
        <v>41769.554450832788</v>
      </c>
      <c r="EX225" s="225">
        <f t="shared" ca="1" si="809"/>
        <v>47095.790853259889</v>
      </c>
      <c r="EY225" s="225">
        <f t="shared" ca="1" si="809"/>
        <v>54270.653176362044</v>
      </c>
      <c r="EZ225" s="225">
        <f t="shared" ca="1" si="809"/>
        <v>65071.916434158469</v>
      </c>
      <c r="FA225" s="225">
        <f t="shared" ca="1" si="809"/>
        <v>82169.858474086635</v>
      </c>
      <c r="FB225" s="225">
        <f t="shared" ca="1" si="809"/>
        <v>108836.73529278573</v>
      </c>
      <c r="FC225" s="225">
        <f t="shared" ca="1" si="809"/>
        <v>148060.6439341261</v>
      </c>
      <c r="FD225" s="225">
        <f t="shared" ca="1" si="809"/>
        <v>169311.34462441038</v>
      </c>
      <c r="FE225" s="225">
        <f t="shared" ca="1" si="809"/>
        <v>171294.81296027402</v>
      </c>
      <c r="FF225" s="225">
        <f t="shared" ca="1" si="809"/>
        <v>173301.51746290547</v>
      </c>
      <c r="FG225" s="225">
        <f t="shared" ca="1" si="809"/>
        <v>175331.73034206792</v>
      </c>
      <c r="FH225" s="225">
        <f t="shared" ca="1" si="809"/>
        <v>177385.72699643936</v>
      </c>
      <c r="FI225" s="225">
        <f t="shared" ca="1" si="809"/>
        <v>179463.78605097043</v>
      </c>
      <c r="FJ225" s="225">
        <f t="shared" ca="1" si="809"/>
        <v>181566.18939467988</v>
      </c>
      <c r="FK225" s="225">
        <f t="shared" ca="1" si="809"/>
        <v>183693.22221889294</v>
      </c>
      <c r="FL225" s="225">
        <f t="shared" ca="1" si="809"/>
        <v>185845.17305592744</v>
      </c>
      <c r="FM225" s="225">
        <f t="shared" ca="1" si="809"/>
        <v>188022.33381823343</v>
      </c>
      <c r="FN225" s="225">
        <f t="shared" ca="1" si="809"/>
        <v>190224.99983799097</v>
      </c>
      <c r="FO225" s="225">
        <f t="shared" ca="1" si="809"/>
        <v>192453.46990717214</v>
      </c>
      <c r="FP225" s="225">
        <f t="shared" ca="1" si="809"/>
        <v>194708.04631807216</v>
      </c>
      <c r="FQ225" s="225">
        <f t="shared" ca="1" si="809"/>
        <v>196989.03490431534</v>
      </c>
      <c r="FR225" s="225">
        <f t="shared" ca="1" si="809"/>
        <v>199296.74508234151</v>
      </c>
      <c r="FS225" s="225">
        <f t="shared" ca="1" si="809"/>
        <v>201631.48989337834</v>
      </c>
      <c r="FT225" s="225">
        <f t="shared" ca="1" si="809"/>
        <v>203993.58604590551</v>
      </c>
      <c r="FU225" s="225">
        <f t="shared" ca="1" si="809"/>
        <v>206383.35395861624</v>
      </c>
      <c r="FV225" s="225">
        <f t="shared" ca="1" si="809"/>
        <v>208801.11780388214</v>
      </c>
      <c r="FW225" s="225">
        <f t="shared" ca="1" si="809"/>
        <v>211247.20555172715</v>
      </c>
      <c r="FX225" s="225">
        <f t="shared" ca="1" si="809"/>
        <v>213721.94901431684</v>
      </c>
      <c r="FY225" s="225">
        <f t="shared" ca="1" si="809"/>
        <v>216225.68389096871</v>
      </c>
      <c r="FZ225" s="225">
        <f t="shared" ca="1" si="809"/>
        <v>218758.74981368988</v>
      </c>
      <c r="GA225" s="225">
        <f t="shared" ca="1" si="809"/>
        <v>221298.14704445234</v>
      </c>
      <c r="GB225" s="225">
        <f t="shared" ref="GB225:HG225" ca="1" si="810">(GB$197&lt;=Timing_Reversion_Month)*(GB224*((1+$EP226)^(1/12)-1))</f>
        <v>223686.90835874723</v>
      </c>
      <c r="GC225" s="225">
        <f t="shared" ca="1" si="810"/>
        <v>225745.13907930086</v>
      </c>
      <c r="GD225" s="225">
        <f t="shared" ca="1" si="810"/>
        <v>227392.45760183688</v>
      </c>
      <c r="GE225" s="225">
        <f t="shared" ca="1" si="810"/>
        <v>229046.71384509295</v>
      </c>
      <c r="GF225" s="225">
        <f t="shared" ca="1" si="810"/>
        <v>230707.98908389095</v>
      </c>
      <c r="GG225" s="225">
        <f t="shared" ca="1" si="810"/>
        <v>232376.36554518045</v>
      </c>
      <c r="GH225" s="225">
        <f t="shared" ca="1" si="810"/>
        <v>234051.92641919304</v>
      </c>
      <c r="GI225" s="225">
        <f t="shared" ca="1" si="810"/>
        <v>235734.75587072686</v>
      </c>
      <c r="GJ225" s="225">
        <f t="shared" ca="1" si="810"/>
        <v>237424.93905056367</v>
      </c>
      <c r="GK225" s="225">
        <f t="shared" ca="1" si="810"/>
        <v>239122.56210701962</v>
      </c>
      <c r="GL225" s="225">
        <f t="shared" ca="1" si="810"/>
        <v>240827.71219763119</v>
      </c>
      <c r="GM225" s="225">
        <f t="shared" ca="1" si="810"/>
        <v>242540.47750097822</v>
      </c>
      <c r="GN225" s="225">
        <f t="shared" ca="1" si="810"/>
        <v>244413.56881438554</v>
      </c>
      <c r="GO225" s="225">
        <f t="shared" ca="1" si="810"/>
        <v>246295.87194363336</v>
      </c>
      <c r="GP225" s="225">
        <f t="shared" ca="1" si="810"/>
        <v>0</v>
      </c>
      <c r="GQ225" s="225">
        <f t="shared" ca="1" si="810"/>
        <v>0</v>
      </c>
      <c r="GR225" s="225">
        <f t="shared" ca="1" si="810"/>
        <v>0</v>
      </c>
      <c r="GS225" s="225">
        <f t="shared" ca="1" si="810"/>
        <v>0</v>
      </c>
      <c r="GT225" s="225">
        <f t="shared" ca="1" si="810"/>
        <v>0</v>
      </c>
      <c r="GU225" s="225">
        <f t="shared" ca="1" si="810"/>
        <v>0</v>
      </c>
      <c r="GV225" s="225">
        <f t="shared" ca="1" si="810"/>
        <v>0</v>
      </c>
      <c r="GW225" s="225">
        <f t="shared" ca="1" si="810"/>
        <v>0</v>
      </c>
      <c r="GX225" s="225">
        <f t="shared" ca="1" si="810"/>
        <v>0</v>
      </c>
      <c r="GY225" s="225">
        <f t="shared" ca="1" si="810"/>
        <v>0</v>
      </c>
      <c r="GZ225" s="225">
        <f t="shared" ca="1" si="810"/>
        <v>0</v>
      </c>
      <c r="HA225" s="225">
        <f t="shared" ca="1" si="810"/>
        <v>0</v>
      </c>
      <c r="HB225" s="225">
        <f t="shared" ca="1" si="810"/>
        <v>0</v>
      </c>
      <c r="HC225" s="225">
        <f t="shared" ca="1" si="810"/>
        <v>0</v>
      </c>
      <c r="HD225" s="225">
        <f t="shared" ca="1" si="810"/>
        <v>0</v>
      </c>
      <c r="HE225" s="225">
        <f t="shared" ca="1" si="810"/>
        <v>0</v>
      </c>
      <c r="HF225" s="225">
        <f t="shared" ca="1" si="810"/>
        <v>0</v>
      </c>
      <c r="HG225" s="225">
        <f t="shared" ca="1" si="810"/>
        <v>0</v>
      </c>
      <c r="HH225" s="225">
        <f t="shared" ref="HH225:IM225" ca="1" si="811">(HH$197&lt;=Timing_Reversion_Month)*(HH224*((1+$EP226)^(1/12)-1))</f>
        <v>0</v>
      </c>
      <c r="HI225" s="225">
        <f t="shared" ca="1" si="811"/>
        <v>0</v>
      </c>
      <c r="HJ225" s="225">
        <f t="shared" ca="1" si="811"/>
        <v>0</v>
      </c>
      <c r="HK225" s="225">
        <f t="shared" ca="1" si="811"/>
        <v>0</v>
      </c>
      <c r="HL225" s="225">
        <f t="shared" ca="1" si="811"/>
        <v>0</v>
      </c>
      <c r="HM225" s="225">
        <f t="shared" ca="1" si="811"/>
        <v>0</v>
      </c>
      <c r="HN225" s="225">
        <f t="shared" ca="1" si="811"/>
        <v>0</v>
      </c>
      <c r="HO225" s="225">
        <f t="shared" ca="1" si="811"/>
        <v>0</v>
      </c>
      <c r="HP225" s="225">
        <f t="shared" ca="1" si="811"/>
        <v>0</v>
      </c>
      <c r="HQ225" s="225">
        <f t="shared" ca="1" si="811"/>
        <v>0</v>
      </c>
      <c r="HR225" s="225">
        <f t="shared" ca="1" si="811"/>
        <v>0</v>
      </c>
      <c r="HS225" s="225">
        <f t="shared" ca="1" si="811"/>
        <v>0</v>
      </c>
      <c r="HT225" s="225">
        <f t="shared" ca="1" si="811"/>
        <v>0</v>
      </c>
      <c r="HU225" s="225">
        <f t="shared" ca="1" si="811"/>
        <v>0</v>
      </c>
      <c r="HV225" s="225">
        <f t="shared" ca="1" si="811"/>
        <v>0</v>
      </c>
      <c r="HW225" s="225">
        <f t="shared" ca="1" si="811"/>
        <v>0</v>
      </c>
      <c r="HX225" s="225">
        <f t="shared" ca="1" si="811"/>
        <v>0</v>
      </c>
      <c r="HY225" s="225">
        <f t="shared" ca="1" si="811"/>
        <v>0</v>
      </c>
      <c r="HZ225" s="225">
        <f t="shared" ca="1" si="811"/>
        <v>0</v>
      </c>
      <c r="IA225" s="225">
        <f t="shared" ca="1" si="811"/>
        <v>0</v>
      </c>
      <c r="IB225" s="225">
        <f t="shared" ca="1" si="811"/>
        <v>0</v>
      </c>
      <c r="IC225" s="225">
        <f t="shared" ca="1" si="811"/>
        <v>0</v>
      </c>
      <c r="ID225" s="225">
        <f t="shared" ca="1" si="811"/>
        <v>0</v>
      </c>
      <c r="IE225" s="225">
        <f t="shared" ca="1" si="811"/>
        <v>0</v>
      </c>
      <c r="IF225" s="225">
        <f t="shared" ca="1" si="811"/>
        <v>0</v>
      </c>
      <c r="IG225" s="225">
        <f t="shared" ca="1" si="811"/>
        <v>0</v>
      </c>
      <c r="IH225" s="225">
        <f t="shared" ca="1" si="811"/>
        <v>0</v>
      </c>
      <c r="II225" s="225">
        <f t="shared" ca="1" si="811"/>
        <v>0</v>
      </c>
      <c r="IJ225" s="225">
        <f t="shared" ca="1" si="811"/>
        <v>0</v>
      </c>
      <c r="IK225" s="225">
        <f t="shared" ca="1" si="811"/>
        <v>0</v>
      </c>
      <c r="IL225" s="225">
        <f t="shared" ca="1" si="811"/>
        <v>0</v>
      </c>
      <c r="IM225" s="225">
        <f t="shared" ca="1" si="811"/>
        <v>0</v>
      </c>
      <c r="IN225" s="225">
        <f t="shared" ref="IN225:JS225" ca="1" si="812">(IN$197&lt;=Timing_Reversion_Month)*(IN224*((1+$EP226)^(1/12)-1))</f>
        <v>0</v>
      </c>
      <c r="IO225" s="225">
        <f t="shared" ca="1" si="812"/>
        <v>0</v>
      </c>
      <c r="IP225" s="225">
        <f t="shared" ca="1" si="812"/>
        <v>0</v>
      </c>
      <c r="IQ225" s="225">
        <f t="shared" ca="1" si="812"/>
        <v>0</v>
      </c>
      <c r="IR225" s="225">
        <f t="shared" ca="1" si="812"/>
        <v>0</v>
      </c>
      <c r="IS225" s="225">
        <f t="shared" ca="1" si="812"/>
        <v>0</v>
      </c>
      <c r="IT225" s="225">
        <f t="shared" ca="1" si="812"/>
        <v>0</v>
      </c>
      <c r="IU225" s="225">
        <f t="shared" ca="1" si="812"/>
        <v>0</v>
      </c>
      <c r="IV225" s="225">
        <f t="shared" ca="1" si="812"/>
        <v>0</v>
      </c>
      <c r="IW225" s="225">
        <f t="shared" ca="1" si="812"/>
        <v>0</v>
      </c>
      <c r="IX225" s="225">
        <f t="shared" ca="1" si="812"/>
        <v>0</v>
      </c>
      <c r="IY225" s="225">
        <f t="shared" ca="1" si="812"/>
        <v>0</v>
      </c>
      <c r="IZ225" s="225">
        <f t="shared" ca="1" si="812"/>
        <v>0</v>
      </c>
      <c r="JA225" s="225">
        <f t="shared" ca="1" si="812"/>
        <v>0</v>
      </c>
      <c r="JB225" s="225">
        <f t="shared" ca="1" si="812"/>
        <v>0</v>
      </c>
      <c r="JC225" s="225">
        <f t="shared" ca="1" si="812"/>
        <v>0</v>
      </c>
      <c r="JD225" s="225">
        <f t="shared" ca="1" si="812"/>
        <v>0</v>
      </c>
      <c r="JE225" s="225">
        <f t="shared" ca="1" si="812"/>
        <v>0</v>
      </c>
      <c r="JF225" s="225">
        <f t="shared" ca="1" si="812"/>
        <v>0</v>
      </c>
      <c r="JG225" s="225">
        <f t="shared" ca="1" si="812"/>
        <v>0</v>
      </c>
      <c r="JH225" s="225">
        <f t="shared" ca="1" si="812"/>
        <v>0</v>
      </c>
      <c r="JI225" s="225">
        <f t="shared" ca="1" si="812"/>
        <v>0</v>
      </c>
      <c r="JJ225" s="225">
        <f t="shared" ca="1" si="812"/>
        <v>0</v>
      </c>
      <c r="JK225" s="225">
        <f t="shared" ca="1" si="812"/>
        <v>0</v>
      </c>
      <c r="JL225" s="225">
        <f t="shared" ca="1" si="812"/>
        <v>0</v>
      </c>
      <c r="JM225" s="225">
        <f t="shared" ca="1" si="812"/>
        <v>0</v>
      </c>
      <c r="JN225" s="225">
        <f t="shared" ca="1" si="812"/>
        <v>0</v>
      </c>
      <c r="JO225" s="225">
        <f t="shared" ca="1" si="812"/>
        <v>0</v>
      </c>
      <c r="JP225" s="225">
        <f t="shared" ca="1" si="812"/>
        <v>0</v>
      </c>
      <c r="JQ225" s="225">
        <f t="shared" ca="1" si="812"/>
        <v>0</v>
      </c>
      <c r="JR225" s="225">
        <f t="shared" ca="1" si="812"/>
        <v>0</v>
      </c>
      <c r="JS225" s="225">
        <f t="shared" ca="1" si="812"/>
        <v>0</v>
      </c>
      <c r="JT225" s="225">
        <f ca="1">(JT$197&lt;=Timing_Reversion_Month)*(JT224*((1+$EP226)^(1/12)-1))</f>
        <v>0</v>
      </c>
      <c r="JU225" s="225">
        <f ca="1">(JU$197&lt;=Timing_Reversion_Month)*(JU224*((1+$EP226)^(1/12)-1))</f>
        <v>0</v>
      </c>
      <c r="JV225" s="225">
        <f ca="1">(JV$197&lt;=Timing_Reversion_Month)*(JV224*((1+$EP226)^(1/12)-1))</f>
        <v>0</v>
      </c>
      <c r="JW225" s="225">
        <f ca="1">(JW$197&lt;=Timing_Reversion_Month)*(JW224*((1+$EP226)^(1/12)-1))</f>
        <v>0</v>
      </c>
      <c r="JX225" s="225">
        <f ca="1">(JX$197&lt;=Timing_Reversion_Month)*(JX224*((1+$EP226)^(1/12)-1))</f>
        <v>0</v>
      </c>
    </row>
    <row r="226" spans="1:284" x14ac:dyDescent="0.2">
      <c r="B226" s="257" t="str">
        <f>IF(Dbl_Promote?=0,"WATERFALL (GP AND LP)","1ST WATERFALL (GP AND LP)")</f>
        <v>WATERFALL (GP AND LP)</v>
      </c>
      <c r="C226" s="257"/>
      <c r="D226" s="257"/>
      <c r="E226" s="257"/>
      <c r="F226" s="257"/>
      <c r="G226" s="257"/>
      <c r="H226" s="257"/>
      <c r="I226" s="257"/>
      <c r="EP226" s="220">
        <f>F235</f>
        <v>0.15</v>
      </c>
      <c r="EQ226" s="24" t="s">
        <v>376</v>
      </c>
      <c r="ER226" s="24"/>
      <c r="ES226" s="24"/>
      <c r="ET226" s="33" t="s">
        <v>383</v>
      </c>
      <c r="EU226" s="33"/>
      <c r="EV226" s="225">
        <f t="shared" ref="EV226:GA226" ca="1" si="813">EV202+EV218</f>
        <v>0</v>
      </c>
      <c r="EW226" s="225">
        <f t="shared" ca="1" si="813"/>
        <v>0</v>
      </c>
      <c r="EX226" s="225">
        <f t="shared" ca="1" si="813"/>
        <v>0</v>
      </c>
      <c r="EY226" s="225">
        <f t="shared" ca="1" si="813"/>
        <v>0</v>
      </c>
      <c r="EZ226" s="225">
        <f t="shared" ca="1" si="813"/>
        <v>0</v>
      </c>
      <c r="FA226" s="225">
        <f t="shared" ca="1" si="813"/>
        <v>0</v>
      </c>
      <c r="FB226" s="225">
        <f t="shared" ca="1" si="813"/>
        <v>0</v>
      </c>
      <c r="FC226" s="225">
        <f t="shared" ca="1" si="813"/>
        <v>0</v>
      </c>
      <c r="FD226" s="225">
        <f t="shared" ca="1" si="813"/>
        <v>0</v>
      </c>
      <c r="FE226" s="225">
        <f t="shared" ca="1" si="813"/>
        <v>0</v>
      </c>
      <c r="FF226" s="225">
        <f t="shared" ca="1" si="813"/>
        <v>0</v>
      </c>
      <c r="FG226" s="225">
        <f t="shared" ca="1" si="813"/>
        <v>0</v>
      </c>
      <c r="FH226" s="225">
        <f t="shared" ca="1" si="813"/>
        <v>0</v>
      </c>
      <c r="FI226" s="225">
        <f t="shared" ca="1" si="813"/>
        <v>0</v>
      </c>
      <c r="FJ226" s="225">
        <f t="shared" ca="1" si="813"/>
        <v>0</v>
      </c>
      <c r="FK226" s="225">
        <f t="shared" ca="1" si="813"/>
        <v>0</v>
      </c>
      <c r="FL226" s="225">
        <f t="shared" ca="1" si="813"/>
        <v>0</v>
      </c>
      <c r="FM226" s="225">
        <f t="shared" ca="1" si="813"/>
        <v>0</v>
      </c>
      <c r="FN226" s="225">
        <f t="shared" ca="1" si="813"/>
        <v>0</v>
      </c>
      <c r="FO226" s="225">
        <f t="shared" ca="1" si="813"/>
        <v>0</v>
      </c>
      <c r="FP226" s="225">
        <f t="shared" ca="1" si="813"/>
        <v>1.3824319466948509E-11</v>
      </c>
      <c r="FQ226" s="225">
        <f t="shared" ca="1" si="813"/>
        <v>0</v>
      </c>
      <c r="FR226" s="225">
        <f t="shared" ca="1" si="813"/>
        <v>0</v>
      </c>
      <c r="FS226" s="225">
        <f t="shared" ca="1" si="813"/>
        <v>8.6401996668428183E-12</v>
      </c>
      <c r="FT226" s="225">
        <f t="shared" ca="1" si="813"/>
        <v>0</v>
      </c>
      <c r="FU226" s="225">
        <f t="shared" ca="1" si="813"/>
        <v>0</v>
      </c>
      <c r="FV226" s="225">
        <f t="shared" ca="1" si="813"/>
        <v>0</v>
      </c>
      <c r="FW226" s="225">
        <f t="shared" ca="1" si="813"/>
        <v>0</v>
      </c>
      <c r="FX226" s="225">
        <f t="shared" ca="1" si="813"/>
        <v>0</v>
      </c>
      <c r="FY226" s="225">
        <f t="shared" ca="1" si="813"/>
        <v>0</v>
      </c>
      <c r="FZ226" s="225">
        <f t="shared" ca="1" si="813"/>
        <v>1992.6175282008755</v>
      </c>
      <c r="GA226" s="225">
        <f t="shared" ca="1" si="813"/>
        <v>17390.485501708215</v>
      </c>
      <c r="GB226" s="225">
        <f t="shared" ref="GB226:HG226" ca="1" si="814">GB202+GB218</f>
        <v>47993.752817410037</v>
      </c>
      <c r="GC226" s="225">
        <f t="shared" ca="1" si="814"/>
        <v>85127.964087280096</v>
      </c>
      <c r="GD226" s="225">
        <f t="shared" ca="1" si="814"/>
        <v>86183.070068530113</v>
      </c>
      <c r="GE226" s="225">
        <f t="shared" ca="1" si="814"/>
        <v>87238.17604978013</v>
      </c>
      <c r="GF226" s="225">
        <f t="shared" ca="1" si="814"/>
        <v>88293.282031030132</v>
      </c>
      <c r="GG226" s="225">
        <f t="shared" ca="1" si="814"/>
        <v>89348.388012280091</v>
      </c>
      <c r="GH226" s="225">
        <f t="shared" ca="1" si="814"/>
        <v>90403.49399353005</v>
      </c>
      <c r="GI226" s="225">
        <f t="shared" ca="1" si="814"/>
        <v>91458.599974780125</v>
      </c>
      <c r="GJ226" s="225">
        <f t="shared" ca="1" si="814"/>
        <v>92513.705956030084</v>
      </c>
      <c r="GK226" s="225">
        <f t="shared" ca="1" si="814"/>
        <v>93568.811937280101</v>
      </c>
      <c r="GL226" s="225">
        <f t="shared" ca="1" si="814"/>
        <v>94623.917918530118</v>
      </c>
      <c r="GM226" s="225">
        <f t="shared" ca="1" si="814"/>
        <v>82651.053937678371</v>
      </c>
      <c r="GN226" s="225">
        <f t="shared" ca="1" si="814"/>
        <v>83737.813098365834</v>
      </c>
      <c r="GO226" s="225">
        <f t="shared" ca="1" si="814"/>
        <v>19330742.920350481</v>
      </c>
      <c r="GP226" s="225">
        <f t="shared" ca="1" si="814"/>
        <v>0</v>
      </c>
      <c r="GQ226" s="225">
        <f t="shared" ca="1" si="814"/>
        <v>0</v>
      </c>
      <c r="GR226" s="225">
        <f t="shared" ca="1" si="814"/>
        <v>0</v>
      </c>
      <c r="GS226" s="225">
        <f t="shared" ca="1" si="814"/>
        <v>0</v>
      </c>
      <c r="GT226" s="225">
        <f t="shared" ca="1" si="814"/>
        <v>0</v>
      </c>
      <c r="GU226" s="225">
        <f t="shared" ca="1" si="814"/>
        <v>0</v>
      </c>
      <c r="GV226" s="225">
        <f t="shared" ca="1" si="814"/>
        <v>0</v>
      </c>
      <c r="GW226" s="225">
        <f t="shared" ca="1" si="814"/>
        <v>0</v>
      </c>
      <c r="GX226" s="225">
        <f t="shared" ca="1" si="814"/>
        <v>0</v>
      </c>
      <c r="GY226" s="225">
        <f t="shared" ca="1" si="814"/>
        <v>0</v>
      </c>
      <c r="GZ226" s="225">
        <f t="shared" ca="1" si="814"/>
        <v>0</v>
      </c>
      <c r="HA226" s="225">
        <f t="shared" ca="1" si="814"/>
        <v>0</v>
      </c>
      <c r="HB226" s="225">
        <f t="shared" ca="1" si="814"/>
        <v>0</v>
      </c>
      <c r="HC226" s="225">
        <f t="shared" ca="1" si="814"/>
        <v>0</v>
      </c>
      <c r="HD226" s="225">
        <f t="shared" ca="1" si="814"/>
        <v>0</v>
      </c>
      <c r="HE226" s="225">
        <f t="shared" ca="1" si="814"/>
        <v>0</v>
      </c>
      <c r="HF226" s="225">
        <f t="shared" ca="1" si="814"/>
        <v>0</v>
      </c>
      <c r="HG226" s="225">
        <f t="shared" ca="1" si="814"/>
        <v>0</v>
      </c>
      <c r="HH226" s="225">
        <f t="shared" ref="HH226:IM226" ca="1" si="815">HH202+HH218</f>
        <v>0</v>
      </c>
      <c r="HI226" s="225">
        <f t="shared" ca="1" si="815"/>
        <v>0</v>
      </c>
      <c r="HJ226" s="225">
        <f t="shared" ca="1" si="815"/>
        <v>0</v>
      </c>
      <c r="HK226" s="225">
        <f t="shared" ca="1" si="815"/>
        <v>0</v>
      </c>
      <c r="HL226" s="225">
        <f t="shared" ca="1" si="815"/>
        <v>0</v>
      </c>
      <c r="HM226" s="225">
        <f t="shared" ca="1" si="815"/>
        <v>0</v>
      </c>
      <c r="HN226" s="225">
        <f t="shared" ca="1" si="815"/>
        <v>0</v>
      </c>
      <c r="HO226" s="225">
        <f t="shared" ca="1" si="815"/>
        <v>0</v>
      </c>
      <c r="HP226" s="225">
        <f t="shared" ca="1" si="815"/>
        <v>0</v>
      </c>
      <c r="HQ226" s="225">
        <f t="shared" ca="1" si="815"/>
        <v>0</v>
      </c>
      <c r="HR226" s="225">
        <f t="shared" ca="1" si="815"/>
        <v>0</v>
      </c>
      <c r="HS226" s="225">
        <f t="shared" ca="1" si="815"/>
        <v>0</v>
      </c>
      <c r="HT226" s="225">
        <f t="shared" ca="1" si="815"/>
        <v>0</v>
      </c>
      <c r="HU226" s="225">
        <f t="shared" ca="1" si="815"/>
        <v>0</v>
      </c>
      <c r="HV226" s="225">
        <f t="shared" ca="1" si="815"/>
        <v>0</v>
      </c>
      <c r="HW226" s="225">
        <f t="shared" ca="1" si="815"/>
        <v>0</v>
      </c>
      <c r="HX226" s="225">
        <f t="shared" ca="1" si="815"/>
        <v>0</v>
      </c>
      <c r="HY226" s="225">
        <f t="shared" ca="1" si="815"/>
        <v>0</v>
      </c>
      <c r="HZ226" s="225">
        <f t="shared" ca="1" si="815"/>
        <v>0</v>
      </c>
      <c r="IA226" s="225">
        <f t="shared" ca="1" si="815"/>
        <v>0</v>
      </c>
      <c r="IB226" s="225">
        <f t="shared" ca="1" si="815"/>
        <v>0</v>
      </c>
      <c r="IC226" s="225">
        <f t="shared" ca="1" si="815"/>
        <v>0</v>
      </c>
      <c r="ID226" s="225">
        <f t="shared" ca="1" si="815"/>
        <v>0</v>
      </c>
      <c r="IE226" s="225">
        <f t="shared" ca="1" si="815"/>
        <v>0</v>
      </c>
      <c r="IF226" s="225">
        <f t="shared" ca="1" si="815"/>
        <v>0</v>
      </c>
      <c r="IG226" s="225">
        <f t="shared" ca="1" si="815"/>
        <v>0</v>
      </c>
      <c r="IH226" s="225">
        <f t="shared" ca="1" si="815"/>
        <v>0</v>
      </c>
      <c r="II226" s="225">
        <f t="shared" ca="1" si="815"/>
        <v>0</v>
      </c>
      <c r="IJ226" s="225">
        <f t="shared" ca="1" si="815"/>
        <v>0</v>
      </c>
      <c r="IK226" s="225">
        <f t="shared" ca="1" si="815"/>
        <v>0</v>
      </c>
      <c r="IL226" s="225">
        <f t="shared" ca="1" si="815"/>
        <v>0</v>
      </c>
      <c r="IM226" s="225">
        <f t="shared" ca="1" si="815"/>
        <v>0</v>
      </c>
      <c r="IN226" s="225">
        <f t="shared" ref="IN226:JX226" ca="1" si="816">IN202+IN218</f>
        <v>0</v>
      </c>
      <c r="IO226" s="225">
        <f t="shared" ca="1" si="816"/>
        <v>0</v>
      </c>
      <c r="IP226" s="225">
        <f t="shared" ca="1" si="816"/>
        <v>0</v>
      </c>
      <c r="IQ226" s="225">
        <f t="shared" ca="1" si="816"/>
        <v>0</v>
      </c>
      <c r="IR226" s="225">
        <f t="shared" ca="1" si="816"/>
        <v>0</v>
      </c>
      <c r="IS226" s="225">
        <f t="shared" ca="1" si="816"/>
        <v>0</v>
      </c>
      <c r="IT226" s="225">
        <f t="shared" ca="1" si="816"/>
        <v>0</v>
      </c>
      <c r="IU226" s="225">
        <f t="shared" ca="1" si="816"/>
        <v>0</v>
      </c>
      <c r="IV226" s="225">
        <f t="shared" ca="1" si="816"/>
        <v>0</v>
      </c>
      <c r="IW226" s="225">
        <f t="shared" ca="1" si="816"/>
        <v>0</v>
      </c>
      <c r="IX226" s="225">
        <f t="shared" ca="1" si="816"/>
        <v>0</v>
      </c>
      <c r="IY226" s="225">
        <f t="shared" ca="1" si="816"/>
        <v>0</v>
      </c>
      <c r="IZ226" s="225">
        <f t="shared" ca="1" si="816"/>
        <v>0</v>
      </c>
      <c r="JA226" s="225">
        <f t="shared" ca="1" si="816"/>
        <v>0</v>
      </c>
      <c r="JB226" s="225">
        <f t="shared" ca="1" si="816"/>
        <v>0</v>
      </c>
      <c r="JC226" s="225">
        <f t="shared" ca="1" si="816"/>
        <v>0</v>
      </c>
      <c r="JD226" s="225">
        <f t="shared" ca="1" si="816"/>
        <v>0</v>
      </c>
      <c r="JE226" s="225">
        <f t="shared" ca="1" si="816"/>
        <v>0</v>
      </c>
      <c r="JF226" s="225">
        <f t="shared" ca="1" si="816"/>
        <v>0</v>
      </c>
      <c r="JG226" s="225">
        <f t="shared" ca="1" si="816"/>
        <v>0</v>
      </c>
      <c r="JH226" s="225">
        <f t="shared" ca="1" si="816"/>
        <v>0</v>
      </c>
      <c r="JI226" s="225">
        <f t="shared" ca="1" si="816"/>
        <v>0</v>
      </c>
      <c r="JJ226" s="225">
        <f t="shared" ca="1" si="816"/>
        <v>0</v>
      </c>
      <c r="JK226" s="225">
        <f t="shared" ca="1" si="816"/>
        <v>0</v>
      </c>
      <c r="JL226" s="225">
        <f t="shared" ca="1" si="816"/>
        <v>0</v>
      </c>
      <c r="JM226" s="225">
        <f t="shared" ca="1" si="816"/>
        <v>0</v>
      </c>
      <c r="JN226" s="225">
        <f t="shared" ca="1" si="816"/>
        <v>0</v>
      </c>
      <c r="JO226" s="225">
        <f t="shared" ca="1" si="816"/>
        <v>0</v>
      </c>
      <c r="JP226" s="225">
        <f t="shared" ca="1" si="816"/>
        <v>0</v>
      </c>
      <c r="JQ226" s="225">
        <f t="shared" ca="1" si="816"/>
        <v>0</v>
      </c>
      <c r="JR226" s="225">
        <f t="shared" ca="1" si="816"/>
        <v>0</v>
      </c>
      <c r="JS226" s="225">
        <f t="shared" ca="1" si="816"/>
        <v>0</v>
      </c>
      <c r="JT226" s="225">
        <f t="shared" ca="1" si="816"/>
        <v>0</v>
      </c>
      <c r="JU226" s="225">
        <f t="shared" ca="1" si="816"/>
        <v>0</v>
      </c>
      <c r="JV226" s="225">
        <f t="shared" ca="1" si="816"/>
        <v>0</v>
      </c>
      <c r="JW226" s="225">
        <f t="shared" ca="1" si="816"/>
        <v>0</v>
      </c>
      <c r="JX226" s="225">
        <f t="shared" ca="1" si="816"/>
        <v>0</v>
      </c>
    </row>
    <row r="227" spans="1:284" x14ac:dyDescent="0.2">
      <c r="B227" s="238" t="s">
        <v>215</v>
      </c>
      <c r="C227" s="233"/>
      <c r="D227" s="233"/>
      <c r="E227" s="235"/>
      <c r="F227" s="235"/>
      <c r="G227" s="235"/>
      <c r="H227" s="256" t="s">
        <v>214</v>
      </c>
      <c r="I227" s="256" t="s">
        <v>46</v>
      </c>
      <c r="J227" s="208"/>
      <c r="K227" s="208" t="s">
        <v>504</v>
      </c>
      <c r="L227" s="52">
        <f t="shared" ref="L227:AQ227" si="817">L195</f>
        <v>0</v>
      </c>
      <c r="M227" s="52">
        <f t="shared" si="817"/>
        <v>1</v>
      </c>
      <c r="N227" s="52">
        <f t="shared" si="817"/>
        <v>2</v>
      </c>
      <c r="O227" s="52">
        <f t="shared" si="817"/>
        <v>3</v>
      </c>
      <c r="P227" s="52">
        <f t="shared" si="817"/>
        <v>4</v>
      </c>
      <c r="Q227" s="52">
        <f t="shared" si="817"/>
        <v>5</v>
      </c>
      <c r="R227" s="52">
        <f t="shared" si="817"/>
        <v>6</v>
      </c>
      <c r="S227" s="52">
        <f t="shared" si="817"/>
        <v>7</v>
      </c>
      <c r="T227" s="52">
        <f t="shared" si="817"/>
        <v>8</v>
      </c>
      <c r="U227" s="52">
        <f t="shared" si="817"/>
        <v>9</v>
      </c>
      <c r="V227" s="52">
        <f t="shared" si="817"/>
        <v>10</v>
      </c>
      <c r="W227" s="52">
        <f t="shared" si="817"/>
        <v>11</v>
      </c>
      <c r="X227" s="52">
        <f t="shared" si="817"/>
        <v>12</v>
      </c>
      <c r="Y227" s="52">
        <f t="shared" si="817"/>
        <v>13</v>
      </c>
      <c r="Z227" s="52">
        <f t="shared" si="817"/>
        <v>14</v>
      </c>
      <c r="AA227" s="52">
        <f t="shared" si="817"/>
        <v>15</v>
      </c>
      <c r="AB227" s="52">
        <f t="shared" si="817"/>
        <v>16</v>
      </c>
      <c r="AC227" s="52">
        <f t="shared" si="817"/>
        <v>17</v>
      </c>
      <c r="AD227" s="52">
        <f t="shared" si="817"/>
        <v>18</v>
      </c>
      <c r="AE227" s="52">
        <f t="shared" si="817"/>
        <v>19</v>
      </c>
      <c r="AF227" s="52">
        <f t="shared" si="817"/>
        <v>20</v>
      </c>
      <c r="AG227" s="52">
        <f t="shared" si="817"/>
        <v>21</v>
      </c>
      <c r="AH227" s="52">
        <f t="shared" si="817"/>
        <v>22</v>
      </c>
      <c r="AI227" s="52">
        <f t="shared" si="817"/>
        <v>23</v>
      </c>
      <c r="AJ227" s="52">
        <f t="shared" si="817"/>
        <v>24</v>
      </c>
      <c r="AK227" s="52">
        <f t="shared" si="817"/>
        <v>25</v>
      </c>
      <c r="AL227" s="52">
        <f t="shared" si="817"/>
        <v>26</v>
      </c>
      <c r="AM227" s="52">
        <f t="shared" si="817"/>
        <v>27</v>
      </c>
      <c r="AN227" s="52">
        <f t="shared" si="817"/>
        <v>28</v>
      </c>
      <c r="AO227" s="52">
        <f t="shared" si="817"/>
        <v>29</v>
      </c>
      <c r="AP227" s="52">
        <f t="shared" si="817"/>
        <v>30</v>
      </c>
      <c r="AQ227" s="52">
        <f t="shared" si="817"/>
        <v>31</v>
      </c>
      <c r="AR227" s="52">
        <f t="shared" ref="AR227:BW227" si="818">AR195</f>
        <v>32</v>
      </c>
      <c r="AS227" s="52">
        <f t="shared" si="818"/>
        <v>33</v>
      </c>
      <c r="AT227" s="52">
        <f t="shared" si="818"/>
        <v>34</v>
      </c>
      <c r="AU227" s="52">
        <f t="shared" si="818"/>
        <v>35</v>
      </c>
      <c r="AV227" s="52">
        <f t="shared" si="818"/>
        <v>36</v>
      </c>
      <c r="AW227" s="52">
        <f t="shared" si="818"/>
        <v>37</v>
      </c>
      <c r="AX227" s="52">
        <f t="shared" si="818"/>
        <v>38</v>
      </c>
      <c r="AY227" s="52">
        <f t="shared" si="818"/>
        <v>39</v>
      </c>
      <c r="AZ227" s="52">
        <f t="shared" si="818"/>
        <v>40</v>
      </c>
      <c r="BA227" s="52">
        <f t="shared" si="818"/>
        <v>41</v>
      </c>
      <c r="BB227" s="52">
        <f t="shared" si="818"/>
        <v>42</v>
      </c>
      <c r="BC227" s="52">
        <f t="shared" si="818"/>
        <v>43</v>
      </c>
      <c r="BD227" s="52">
        <f t="shared" si="818"/>
        <v>44</v>
      </c>
      <c r="BE227" s="52">
        <f t="shared" si="818"/>
        <v>45</v>
      </c>
      <c r="BF227" s="52" t="str">
        <f t="shared" si="818"/>
        <v/>
      </c>
      <c r="BG227" s="52" t="str">
        <f t="shared" si="818"/>
        <v/>
      </c>
      <c r="BH227" s="52" t="str">
        <f t="shared" si="818"/>
        <v/>
      </c>
      <c r="BI227" s="52" t="str">
        <f t="shared" si="818"/>
        <v/>
      </c>
      <c r="BJ227" s="52" t="str">
        <f t="shared" si="818"/>
        <v/>
      </c>
      <c r="BK227" s="52" t="str">
        <f t="shared" si="818"/>
        <v/>
      </c>
      <c r="BL227" s="52" t="str">
        <f t="shared" si="818"/>
        <v/>
      </c>
      <c r="BM227" s="52" t="str">
        <f t="shared" si="818"/>
        <v/>
      </c>
      <c r="BN227" s="52" t="str">
        <f t="shared" si="818"/>
        <v/>
      </c>
      <c r="BO227" s="52" t="str">
        <f t="shared" si="818"/>
        <v/>
      </c>
      <c r="BP227" s="52" t="str">
        <f t="shared" si="818"/>
        <v/>
      </c>
      <c r="BQ227" s="52" t="str">
        <f t="shared" si="818"/>
        <v/>
      </c>
      <c r="BR227" s="52" t="str">
        <f t="shared" si="818"/>
        <v/>
      </c>
      <c r="BS227" s="52" t="str">
        <f t="shared" si="818"/>
        <v/>
      </c>
      <c r="BT227" s="52" t="str">
        <f t="shared" si="818"/>
        <v/>
      </c>
      <c r="BU227" s="52" t="str">
        <f t="shared" si="818"/>
        <v/>
      </c>
      <c r="BV227" s="52" t="str">
        <f t="shared" si="818"/>
        <v/>
      </c>
      <c r="BW227" s="52" t="str">
        <f t="shared" si="818"/>
        <v/>
      </c>
      <c r="BX227" s="52" t="str">
        <f t="shared" ref="BX227:DC227" si="819">BX195</f>
        <v/>
      </c>
      <c r="BY227" s="52" t="str">
        <f t="shared" si="819"/>
        <v/>
      </c>
      <c r="BZ227" s="52" t="str">
        <f t="shared" si="819"/>
        <v/>
      </c>
      <c r="CA227" s="52" t="str">
        <f t="shared" si="819"/>
        <v/>
      </c>
      <c r="CB227" s="52" t="str">
        <f t="shared" si="819"/>
        <v/>
      </c>
      <c r="CC227" s="52" t="str">
        <f t="shared" si="819"/>
        <v/>
      </c>
      <c r="CD227" s="52" t="str">
        <f t="shared" si="819"/>
        <v/>
      </c>
      <c r="CE227" s="52" t="str">
        <f t="shared" si="819"/>
        <v/>
      </c>
      <c r="CF227" s="52" t="str">
        <f t="shared" si="819"/>
        <v/>
      </c>
      <c r="CG227" s="52" t="str">
        <f t="shared" si="819"/>
        <v/>
      </c>
      <c r="CH227" s="52" t="str">
        <f t="shared" si="819"/>
        <v/>
      </c>
      <c r="CI227" s="52" t="str">
        <f t="shared" si="819"/>
        <v/>
      </c>
      <c r="CJ227" s="52" t="str">
        <f t="shared" si="819"/>
        <v/>
      </c>
      <c r="CK227" s="52" t="str">
        <f t="shared" si="819"/>
        <v/>
      </c>
      <c r="CL227" s="52" t="str">
        <f t="shared" si="819"/>
        <v/>
      </c>
      <c r="CM227" s="52" t="str">
        <f t="shared" si="819"/>
        <v/>
      </c>
      <c r="CN227" s="52" t="str">
        <f t="shared" si="819"/>
        <v/>
      </c>
      <c r="CO227" s="52" t="str">
        <f t="shared" si="819"/>
        <v/>
      </c>
      <c r="CP227" s="52" t="str">
        <f t="shared" si="819"/>
        <v/>
      </c>
      <c r="CQ227" s="52" t="str">
        <f t="shared" si="819"/>
        <v/>
      </c>
      <c r="CR227" s="52" t="str">
        <f t="shared" si="819"/>
        <v/>
      </c>
      <c r="CS227" s="52" t="str">
        <f t="shared" si="819"/>
        <v/>
      </c>
      <c r="CT227" s="52" t="str">
        <f t="shared" si="819"/>
        <v/>
      </c>
      <c r="CU227" s="52" t="str">
        <f t="shared" si="819"/>
        <v/>
      </c>
      <c r="CV227" s="52" t="str">
        <f t="shared" si="819"/>
        <v/>
      </c>
      <c r="CW227" s="52" t="str">
        <f t="shared" si="819"/>
        <v/>
      </c>
      <c r="CX227" s="52" t="str">
        <f t="shared" si="819"/>
        <v/>
      </c>
      <c r="CY227" s="52" t="str">
        <f t="shared" si="819"/>
        <v/>
      </c>
      <c r="CZ227" s="52" t="str">
        <f t="shared" si="819"/>
        <v/>
      </c>
      <c r="DA227" s="52" t="str">
        <f t="shared" si="819"/>
        <v/>
      </c>
      <c r="DB227" s="52" t="str">
        <f t="shared" si="819"/>
        <v/>
      </c>
      <c r="DC227" s="52" t="str">
        <f t="shared" si="819"/>
        <v/>
      </c>
      <c r="DD227" s="52" t="str">
        <f t="shared" ref="DD227:EN227" si="820">DD195</f>
        <v/>
      </c>
      <c r="DE227" s="52" t="str">
        <f t="shared" si="820"/>
        <v/>
      </c>
      <c r="DF227" s="52" t="str">
        <f t="shared" si="820"/>
        <v/>
      </c>
      <c r="DG227" s="52" t="str">
        <f t="shared" si="820"/>
        <v/>
      </c>
      <c r="DH227" s="52" t="str">
        <f t="shared" si="820"/>
        <v/>
      </c>
      <c r="DI227" s="52" t="str">
        <f t="shared" si="820"/>
        <v/>
      </c>
      <c r="DJ227" s="52" t="str">
        <f t="shared" si="820"/>
        <v/>
      </c>
      <c r="DK227" s="52" t="str">
        <f t="shared" si="820"/>
        <v/>
      </c>
      <c r="DL227" s="52" t="str">
        <f t="shared" si="820"/>
        <v/>
      </c>
      <c r="DM227" s="52" t="str">
        <f t="shared" si="820"/>
        <v/>
      </c>
      <c r="DN227" s="52" t="str">
        <f t="shared" si="820"/>
        <v/>
      </c>
      <c r="DO227" s="52" t="str">
        <f t="shared" si="820"/>
        <v/>
      </c>
      <c r="DP227" s="52" t="str">
        <f t="shared" si="820"/>
        <v/>
      </c>
      <c r="DQ227" s="52" t="str">
        <f t="shared" si="820"/>
        <v/>
      </c>
      <c r="DR227" s="52" t="str">
        <f t="shared" si="820"/>
        <v/>
      </c>
      <c r="DS227" s="52" t="str">
        <f t="shared" si="820"/>
        <v/>
      </c>
      <c r="DT227" s="52" t="str">
        <f t="shared" si="820"/>
        <v/>
      </c>
      <c r="DU227" s="52" t="str">
        <f t="shared" si="820"/>
        <v/>
      </c>
      <c r="DV227" s="52" t="str">
        <f t="shared" si="820"/>
        <v/>
      </c>
      <c r="DW227" s="52" t="str">
        <f t="shared" si="820"/>
        <v/>
      </c>
      <c r="DX227" s="52" t="str">
        <f t="shared" si="820"/>
        <v/>
      </c>
      <c r="DY227" s="52" t="str">
        <f t="shared" si="820"/>
        <v/>
      </c>
      <c r="DZ227" s="52" t="str">
        <f t="shared" si="820"/>
        <v/>
      </c>
      <c r="EA227" s="52" t="str">
        <f t="shared" si="820"/>
        <v/>
      </c>
      <c r="EB227" s="52" t="str">
        <f t="shared" si="820"/>
        <v/>
      </c>
      <c r="EC227" s="52" t="str">
        <f t="shared" si="820"/>
        <v/>
      </c>
      <c r="ED227" s="52" t="str">
        <f t="shared" si="820"/>
        <v/>
      </c>
      <c r="EE227" s="52" t="str">
        <f t="shared" si="820"/>
        <v/>
      </c>
      <c r="EF227" s="52" t="str">
        <f t="shared" si="820"/>
        <v/>
      </c>
      <c r="EG227" s="52" t="str">
        <f t="shared" si="820"/>
        <v/>
      </c>
      <c r="EH227" s="52" t="str">
        <f t="shared" si="820"/>
        <v/>
      </c>
      <c r="EI227" s="52" t="str">
        <f t="shared" si="820"/>
        <v/>
      </c>
      <c r="EJ227" s="52" t="str">
        <f t="shared" si="820"/>
        <v/>
      </c>
      <c r="EK227" s="52" t="str">
        <f t="shared" si="820"/>
        <v/>
      </c>
      <c r="EL227" s="52" t="str">
        <f t="shared" si="820"/>
        <v/>
      </c>
      <c r="EM227" s="52" t="str">
        <f t="shared" si="820"/>
        <v/>
      </c>
      <c r="EN227" s="52" t="str">
        <f t="shared" si="820"/>
        <v/>
      </c>
      <c r="EP227" s="37"/>
      <c r="EQ227" s="24"/>
      <c r="ER227" s="24"/>
      <c r="ES227" s="24"/>
      <c r="ET227" s="33" t="s">
        <v>389</v>
      </c>
      <c r="EU227" s="33"/>
      <c r="EV227" s="225">
        <f t="shared" ref="EV227:GA227" ca="1" si="821">(EV$197&lt;=Timing_Reversion_Month)*(MIN(EV224+EV225-EV226,MAX(EV223,0)*$I$235))</f>
        <v>0</v>
      </c>
      <c r="EW227" s="225">
        <f t="shared" ca="1" si="821"/>
        <v>0</v>
      </c>
      <c r="EX227" s="225">
        <f t="shared" ca="1" si="821"/>
        <v>0</v>
      </c>
      <c r="EY227" s="225">
        <f t="shared" ca="1" si="821"/>
        <v>0</v>
      </c>
      <c r="EZ227" s="225">
        <f t="shared" ca="1" si="821"/>
        <v>0</v>
      </c>
      <c r="FA227" s="225">
        <f t="shared" ca="1" si="821"/>
        <v>0</v>
      </c>
      <c r="FB227" s="225">
        <f t="shared" ca="1" si="821"/>
        <v>0</v>
      </c>
      <c r="FC227" s="225">
        <f t="shared" ca="1" si="821"/>
        <v>0</v>
      </c>
      <c r="FD227" s="225">
        <f t="shared" ca="1" si="821"/>
        <v>0</v>
      </c>
      <c r="FE227" s="225">
        <f t="shared" ca="1" si="821"/>
        <v>0</v>
      </c>
      <c r="FF227" s="225">
        <f t="shared" ca="1" si="821"/>
        <v>0</v>
      </c>
      <c r="FG227" s="225">
        <f t="shared" ca="1" si="821"/>
        <v>0</v>
      </c>
      <c r="FH227" s="225">
        <f t="shared" ca="1" si="821"/>
        <v>0</v>
      </c>
      <c r="FI227" s="225">
        <f t="shared" ca="1" si="821"/>
        <v>0</v>
      </c>
      <c r="FJ227" s="225">
        <f t="shared" ca="1" si="821"/>
        <v>0</v>
      </c>
      <c r="FK227" s="225">
        <f t="shared" ca="1" si="821"/>
        <v>0</v>
      </c>
      <c r="FL227" s="225">
        <f t="shared" ca="1" si="821"/>
        <v>0</v>
      </c>
      <c r="FM227" s="225">
        <f t="shared" ca="1" si="821"/>
        <v>0</v>
      </c>
      <c r="FN227" s="225">
        <f t="shared" ca="1" si="821"/>
        <v>0</v>
      </c>
      <c r="FO227" s="225">
        <f t="shared" ca="1" si="821"/>
        <v>0</v>
      </c>
      <c r="FP227" s="225">
        <f t="shared" ca="1" si="821"/>
        <v>0</v>
      </c>
      <c r="FQ227" s="225">
        <f t="shared" ca="1" si="821"/>
        <v>0</v>
      </c>
      <c r="FR227" s="225">
        <f t="shared" ca="1" si="821"/>
        <v>0</v>
      </c>
      <c r="FS227" s="225">
        <f t="shared" ca="1" si="821"/>
        <v>0</v>
      </c>
      <c r="FT227" s="225">
        <f t="shared" ca="1" si="821"/>
        <v>0</v>
      </c>
      <c r="FU227" s="225">
        <f t="shared" ca="1" si="821"/>
        <v>0</v>
      </c>
      <c r="FV227" s="225">
        <f t="shared" ca="1" si="821"/>
        <v>0</v>
      </c>
      <c r="FW227" s="225">
        <f t="shared" ca="1" si="821"/>
        <v>0</v>
      </c>
      <c r="FX227" s="225">
        <f t="shared" ca="1" si="821"/>
        <v>0</v>
      </c>
      <c r="FY227" s="225">
        <f t="shared" ca="1" si="821"/>
        <v>0</v>
      </c>
      <c r="FZ227" s="225">
        <f t="shared" ca="1" si="821"/>
        <v>0</v>
      </c>
      <c r="GA227" s="225">
        <f t="shared" ca="1" si="821"/>
        <v>0</v>
      </c>
      <c r="GB227" s="225">
        <f t="shared" ref="GB227:HG227" ca="1" si="822">(GB$197&lt;=Timing_Reversion_Month)*(MIN(GB224+GB225-GB226,MAX(GB223,0)*$I$235))</f>
        <v>0</v>
      </c>
      <c r="GC227" s="225">
        <f t="shared" ca="1" si="822"/>
        <v>0</v>
      </c>
      <c r="GD227" s="225">
        <f t="shared" ca="1" si="822"/>
        <v>0</v>
      </c>
      <c r="GE227" s="225">
        <f t="shared" ca="1" si="822"/>
        <v>0</v>
      </c>
      <c r="GF227" s="225">
        <f t="shared" ca="1" si="822"/>
        <v>0</v>
      </c>
      <c r="GG227" s="225">
        <f t="shared" ca="1" si="822"/>
        <v>0</v>
      </c>
      <c r="GH227" s="225">
        <f t="shared" ca="1" si="822"/>
        <v>0</v>
      </c>
      <c r="GI227" s="225">
        <f t="shared" ca="1" si="822"/>
        <v>0</v>
      </c>
      <c r="GJ227" s="225">
        <f t="shared" ca="1" si="822"/>
        <v>0</v>
      </c>
      <c r="GK227" s="225">
        <f t="shared" ca="1" si="822"/>
        <v>0</v>
      </c>
      <c r="GL227" s="225">
        <f t="shared" ca="1" si="822"/>
        <v>0</v>
      </c>
      <c r="GM227" s="225">
        <f t="shared" ca="1" si="822"/>
        <v>0</v>
      </c>
      <c r="GN227" s="225">
        <f t="shared" ca="1" si="822"/>
        <v>0</v>
      </c>
      <c r="GO227" s="225">
        <f t="shared" ca="1" si="822"/>
        <v>1046283.8125437356</v>
      </c>
      <c r="GP227" s="225">
        <f t="shared" ca="1" si="822"/>
        <v>0</v>
      </c>
      <c r="GQ227" s="225">
        <f t="shared" ca="1" si="822"/>
        <v>0</v>
      </c>
      <c r="GR227" s="225">
        <f t="shared" ca="1" si="822"/>
        <v>0</v>
      </c>
      <c r="GS227" s="225">
        <f t="shared" ca="1" si="822"/>
        <v>0</v>
      </c>
      <c r="GT227" s="225">
        <f t="shared" ca="1" si="822"/>
        <v>0</v>
      </c>
      <c r="GU227" s="225">
        <f t="shared" ca="1" si="822"/>
        <v>0</v>
      </c>
      <c r="GV227" s="225">
        <f t="shared" ca="1" si="822"/>
        <v>0</v>
      </c>
      <c r="GW227" s="225">
        <f t="shared" ca="1" si="822"/>
        <v>0</v>
      </c>
      <c r="GX227" s="225">
        <f t="shared" ca="1" si="822"/>
        <v>0</v>
      </c>
      <c r="GY227" s="225">
        <f t="shared" ca="1" si="822"/>
        <v>0</v>
      </c>
      <c r="GZ227" s="225">
        <f t="shared" ca="1" si="822"/>
        <v>0</v>
      </c>
      <c r="HA227" s="225">
        <f t="shared" ca="1" si="822"/>
        <v>0</v>
      </c>
      <c r="HB227" s="225">
        <f t="shared" ca="1" si="822"/>
        <v>0</v>
      </c>
      <c r="HC227" s="225">
        <f t="shared" ca="1" si="822"/>
        <v>0</v>
      </c>
      <c r="HD227" s="225">
        <f t="shared" ca="1" si="822"/>
        <v>0</v>
      </c>
      <c r="HE227" s="225">
        <f t="shared" ca="1" si="822"/>
        <v>0</v>
      </c>
      <c r="HF227" s="225">
        <f t="shared" ca="1" si="822"/>
        <v>0</v>
      </c>
      <c r="HG227" s="225">
        <f t="shared" ca="1" si="822"/>
        <v>0</v>
      </c>
      <c r="HH227" s="225">
        <f t="shared" ref="HH227:IM227" ca="1" si="823">(HH$197&lt;=Timing_Reversion_Month)*(MIN(HH224+HH225-HH226,MAX(HH223,0)*$I$235))</f>
        <v>0</v>
      </c>
      <c r="HI227" s="225">
        <f t="shared" ca="1" si="823"/>
        <v>0</v>
      </c>
      <c r="HJ227" s="225">
        <f t="shared" ca="1" si="823"/>
        <v>0</v>
      </c>
      <c r="HK227" s="225">
        <f t="shared" ca="1" si="823"/>
        <v>0</v>
      </c>
      <c r="HL227" s="225">
        <f t="shared" ca="1" si="823"/>
        <v>0</v>
      </c>
      <c r="HM227" s="225">
        <f t="shared" ca="1" si="823"/>
        <v>0</v>
      </c>
      <c r="HN227" s="225">
        <f t="shared" ca="1" si="823"/>
        <v>0</v>
      </c>
      <c r="HO227" s="225">
        <f t="shared" ca="1" si="823"/>
        <v>0</v>
      </c>
      <c r="HP227" s="225">
        <f t="shared" ca="1" si="823"/>
        <v>0</v>
      </c>
      <c r="HQ227" s="225">
        <f t="shared" ca="1" si="823"/>
        <v>0</v>
      </c>
      <c r="HR227" s="225">
        <f t="shared" ca="1" si="823"/>
        <v>0</v>
      </c>
      <c r="HS227" s="225">
        <f t="shared" ca="1" si="823"/>
        <v>0</v>
      </c>
      <c r="HT227" s="225">
        <f t="shared" ca="1" si="823"/>
        <v>0</v>
      </c>
      <c r="HU227" s="225">
        <f t="shared" ca="1" si="823"/>
        <v>0</v>
      </c>
      <c r="HV227" s="225">
        <f t="shared" ca="1" si="823"/>
        <v>0</v>
      </c>
      <c r="HW227" s="225">
        <f t="shared" ca="1" si="823"/>
        <v>0</v>
      </c>
      <c r="HX227" s="225">
        <f t="shared" ca="1" si="823"/>
        <v>0</v>
      </c>
      <c r="HY227" s="225">
        <f t="shared" ca="1" si="823"/>
        <v>0</v>
      </c>
      <c r="HZ227" s="225">
        <f t="shared" ca="1" si="823"/>
        <v>0</v>
      </c>
      <c r="IA227" s="225">
        <f t="shared" ca="1" si="823"/>
        <v>0</v>
      </c>
      <c r="IB227" s="225">
        <f t="shared" ca="1" si="823"/>
        <v>0</v>
      </c>
      <c r="IC227" s="225">
        <f t="shared" ca="1" si="823"/>
        <v>0</v>
      </c>
      <c r="ID227" s="225">
        <f t="shared" ca="1" si="823"/>
        <v>0</v>
      </c>
      <c r="IE227" s="225">
        <f t="shared" ca="1" si="823"/>
        <v>0</v>
      </c>
      <c r="IF227" s="225">
        <f t="shared" ca="1" si="823"/>
        <v>0</v>
      </c>
      <c r="IG227" s="225">
        <f t="shared" ca="1" si="823"/>
        <v>0</v>
      </c>
      <c r="IH227" s="225">
        <f t="shared" ca="1" si="823"/>
        <v>0</v>
      </c>
      <c r="II227" s="225">
        <f t="shared" ca="1" si="823"/>
        <v>0</v>
      </c>
      <c r="IJ227" s="225">
        <f t="shared" ca="1" si="823"/>
        <v>0</v>
      </c>
      <c r="IK227" s="225">
        <f t="shared" ca="1" si="823"/>
        <v>0</v>
      </c>
      <c r="IL227" s="225">
        <f t="shared" ca="1" si="823"/>
        <v>0</v>
      </c>
      <c r="IM227" s="225">
        <f t="shared" ca="1" si="823"/>
        <v>0</v>
      </c>
      <c r="IN227" s="225">
        <f t="shared" ref="IN227:JS227" ca="1" si="824">(IN$197&lt;=Timing_Reversion_Month)*(MIN(IN224+IN225-IN226,MAX(IN223,0)*$I$235))</f>
        <v>0</v>
      </c>
      <c r="IO227" s="225">
        <f t="shared" ca="1" si="824"/>
        <v>0</v>
      </c>
      <c r="IP227" s="225">
        <f t="shared" ca="1" si="824"/>
        <v>0</v>
      </c>
      <c r="IQ227" s="225">
        <f t="shared" ca="1" si="824"/>
        <v>0</v>
      </c>
      <c r="IR227" s="225">
        <f t="shared" ca="1" si="824"/>
        <v>0</v>
      </c>
      <c r="IS227" s="225">
        <f t="shared" ca="1" si="824"/>
        <v>0</v>
      </c>
      <c r="IT227" s="225">
        <f t="shared" ca="1" si="824"/>
        <v>0</v>
      </c>
      <c r="IU227" s="225">
        <f t="shared" ca="1" si="824"/>
        <v>0</v>
      </c>
      <c r="IV227" s="225">
        <f t="shared" ca="1" si="824"/>
        <v>0</v>
      </c>
      <c r="IW227" s="225">
        <f t="shared" ca="1" si="824"/>
        <v>0</v>
      </c>
      <c r="IX227" s="225">
        <f t="shared" ca="1" si="824"/>
        <v>0</v>
      </c>
      <c r="IY227" s="225">
        <f t="shared" ca="1" si="824"/>
        <v>0</v>
      </c>
      <c r="IZ227" s="225">
        <f t="shared" ca="1" si="824"/>
        <v>0</v>
      </c>
      <c r="JA227" s="225">
        <f t="shared" ca="1" si="824"/>
        <v>0</v>
      </c>
      <c r="JB227" s="225">
        <f t="shared" ca="1" si="824"/>
        <v>0</v>
      </c>
      <c r="JC227" s="225">
        <f t="shared" ca="1" si="824"/>
        <v>0</v>
      </c>
      <c r="JD227" s="225">
        <f t="shared" ca="1" si="824"/>
        <v>0</v>
      </c>
      <c r="JE227" s="225">
        <f t="shared" ca="1" si="824"/>
        <v>0</v>
      </c>
      <c r="JF227" s="225">
        <f t="shared" ca="1" si="824"/>
        <v>0</v>
      </c>
      <c r="JG227" s="225">
        <f t="shared" ca="1" si="824"/>
        <v>0</v>
      </c>
      <c r="JH227" s="225">
        <f t="shared" ca="1" si="824"/>
        <v>0</v>
      </c>
      <c r="JI227" s="225">
        <f t="shared" ca="1" si="824"/>
        <v>0</v>
      </c>
      <c r="JJ227" s="225">
        <f t="shared" ca="1" si="824"/>
        <v>0</v>
      </c>
      <c r="JK227" s="225">
        <f t="shared" ca="1" si="824"/>
        <v>0</v>
      </c>
      <c r="JL227" s="225">
        <f t="shared" ca="1" si="824"/>
        <v>0</v>
      </c>
      <c r="JM227" s="225">
        <f t="shared" ca="1" si="824"/>
        <v>0</v>
      </c>
      <c r="JN227" s="225">
        <f t="shared" ca="1" si="824"/>
        <v>0</v>
      </c>
      <c r="JO227" s="225">
        <f t="shared" ca="1" si="824"/>
        <v>0</v>
      </c>
      <c r="JP227" s="225">
        <f t="shared" ca="1" si="824"/>
        <v>0</v>
      </c>
      <c r="JQ227" s="225">
        <f t="shared" ca="1" si="824"/>
        <v>0</v>
      </c>
      <c r="JR227" s="225">
        <f t="shared" ca="1" si="824"/>
        <v>0</v>
      </c>
      <c r="JS227" s="225">
        <f t="shared" ca="1" si="824"/>
        <v>0</v>
      </c>
      <c r="JT227" s="225">
        <f ca="1">(JT$197&lt;=Timing_Reversion_Month)*(MIN(JT224+JT225-JT226,MAX(JT223,0)*$I$235))</f>
        <v>0</v>
      </c>
      <c r="JU227" s="225">
        <f ca="1">(JU$197&lt;=Timing_Reversion_Month)*(MIN(JU224+JU225-JU226,MAX(JU223,0)*$I$235))</f>
        <v>0</v>
      </c>
      <c r="JV227" s="225">
        <f ca="1">(JV$197&lt;=Timing_Reversion_Month)*(MIN(JV224+JV225-JV226,MAX(JV223,0)*$I$235))</f>
        <v>0</v>
      </c>
      <c r="JW227" s="225">
        <f ca="1">(JW$197&lt;=Timing_Reversion_Month)*(MIN(JW224+JW225-JW226,MAX(JW223,0)*$I$235))</f>
        <v>0</v>
      </c>
      <c r="JX227" s="225">
        <f ca="1">(JX$197&lt;=Timing_Reversion_Month)*(MIN(JX224+JX225-JX226,MAX(JX223,0)*$I$235))</f>
        <v>0</v>
      </c>
    </row>
    <row r="228" spans="1:284" s="7" customFormat="1" x14ac:dyDescent="0.2">
      <c r="A228" s="406"/>
      <c r="B228" s="231" t="s">
        <v>211</v>
      </c>
      <c r="C228" s="232" t="s">
        <v>356</v>
      </c>
      <c r="D228" s="233"/>
      <c r="E228" s="234"/>
      <c r="F228" s="234"/>
      <c r="G228" s="235"/>
      <c r="H228" s="236">
        <v>0.05</v>
      </c>
      <c r="I228" s="237">
        <f ca="1">SUM(L228:EN228)</f>
        <v>731860.7136061769</v>
      </c>
      <c r="J228" s="43"/>
      <c r="K228" s="43"/>
      <c r="L228" s="38">
        <f t="shared" ref="L228:U229" ca="1" si="825">IF(L$227="","",-MIN(L$213,0)*$H228)</f>
        <v>187657.97638306464</v>
      </c>
      <c r="M228" s="38">
        <f t="shared" ca="1" si="825"/>
        <v>21730.771816496028</v>
      </c>
      <c r="N228" s="38">
        <f t="shared" ca="1" si="825"/>
        <v>29755.760793080612</v>
      </c>
      <c r="O228" s="38">
        <f t="shared" ca="1" si="825"/>
        <v>45670.459179682453</v>
      </c>
      <c r="P228" s="38">
        <f t="shared" ca="1" si="825"/>
        <v>73391.045194076287</v>
      </c>
      <c r="Q228" s="38">
        <f t="shared" ca="1" si="825"/>
        <v>115481.48367370834</v>
      </c>
      <c r="R228" s="38">
        <f t="shared" ca="1" si="825"/>
        <v>170492.91037806304</v>
      </c>
      <c r="S228" s="38">
        <f t="shared" ca="1" si="825"/>
        <v>87680.306188005474</v>
      </c>
      <c r="T228" s="38">
        <f t="shared" ca="1" si="825"/>
        <v>0</v>
      </c>
      <c r="U228" s="38">
        <f t="shared" ca="1" si="825"/>
        <v>0</v>
      </c>
      <c r="V228" s="38">
        <f t="shared" ref="V228:AE229" ca="1" si="826">IF(V$227="","",-MIN(V$213,0)*$H228)</f>
        <v>0</v>
      </c>
      <c r="W228" s="38">
        <f t="shared" ca="1" si="826"/>
        <v>0</v>
      </c>
      <c r="X228" s="38">
        <f t="shared" ca="1" si="826"/>
        <v>0</v>
      </c>
      <c r="Y228" s="38">
        <f t="shared" ca="1" si="826"/>
        <v>0</v>
      </c>
      <c r="Z228" s="38">
        <f t="shared" ca="1" si="826"/>
        <v>0</v>
      </c>
      <c r="AA228" s="38">
        <f t="shared" ca="1" si="826"/>
        <v>0</v>
      </c>
      <c r="AB228" s="38">
        <f t="shared" ca="1" si="826"/>
        <v>0</v>
      </c>
      <c r="AC228" s="38">
        <f t="shared" ca="1" si="826"/>
        <v>0</v>
      </c>
      <c r="AD228" s="38">
        <f t="shared" ca="1" si="826"/>
        <v>0</v>
      </c>
      <c r="AE228" s="38">
        <f t="shared" ca="1" si="826"/>
        <v>0</v>
      </c>
      <c r="AF228" s="38">
        <f t="shared" ref="AF228:AO229" ca="1" si="827">IF(AF$227="","",-MIN(AF$213,0)*$H228)</f>
        <v>0</v>
      </c>
      <c r="AG228" s="38">
        <f t="shared" ca="1" si="827"/>
        <v>0</v>
      </c>
      <c r="AH228" s="38">
        <f t="shared" ca="1" si="827"/>
        <v>0</v>
      </c>
      <c r="AI228" s="38">
        <f t="shared" ca="1" si="827"/>
        <v>0</v>
      </c>
      <c r="AJ228" s="38">
        <f t="shared" ca="1" si="827"/>
        <v>5.4569682106375702E-13</v>
      </c>
      <c r="AK228" s="38">
        <f t="shared" ca="1" si="827"/>
        <v>0</v>
      </c>
      <c r="AL228" s="38">
        <f t="shared" ca="1" si="827"/>
        <v>0</v>
      </c>
      <c r="AM228" s="38">
        <f t="shared" ca="1" si="827"/>
        <v>0</v>
      </c>
      <c r="AN228" s="38">
        <f t="shared" ca="1" si="827"/>
        <v>0</v>
      </c>
      <c r="AO228" s="38">
        <f t="shared" ca="1" si="827"/>
        <v>0</v>
      </c>
      <c r="AP228" s="38">
        <f t="shared" ref="AP228:AY229" ca="1" si="828">IF(AP$227="","",-MIN(AP$213,0)*$H228)</f>
        <v>0</v>
      </c>
      <c r="AQ228" s="38">
        <f t="shared" ca="1" si="828"/>
        <v>0</v>
      </c>
      <c r="AR228" s="38">
        <f t="shared" ca="1" si="828"/>
        <v>0</v>
      </c>
      <c r="AS228" s="38">
        <f t="shared" ca="1" si="828"/>
        <v>0</v>
      </c>
      <c r="AT228" s="38">
        <f t="shared" ca="1" si="828"/>
        <v>0</v>
      </c>
      <c r="AU228" s="38">
        <f t="shared" ca="1" si="828"/>
        <v>0</v>
      </c>
      <c r="AV228" s="38">
        <f t="shared" ca="1" si="828"/>
        <v>0</v>
      </c>
      <c r="AW228" s="38">
        <f t="shared" ca="1" si="828"/>
        <v>0</v>
      </c>
      <c r="AX228" s="38">
        <f t="shared" ca="1" si="828"/>
        <v>0</v>
      </c>
      <c r="AY228" s="38">
        <f t="shared" ca="1" si="828"/>
        <v>0</v>
      </c>
      <c r="AZ228" s="38">
        <f t="shared" ref="AZ228:BI229" ca="1" si="829">IF(AZ$227="","",-MIN(AZ$213,0)*$H228)</f>
        <v>0</v>
      </c>
      <c r="BA228" s="38">
        <f t="shared" ca="1" si="829"/>
        <v>0</v>
      </c>
      <c r="BB228" s="38">
        <f t="shared" ca="1" si="829"/>
        <v>0</v>
      </c>
      <c r="BC228" s="38">
        <f t="shared" ca="1" si="829"/>
        <v>0</v>
      </c>
      <c r="BD228" s="38">
        <f t="shared" ca="1" si="829"/>
        <v>0</v>
      </c>
      <c r="BE228" s="38">
        <f t="shared" ca="1" si="829"/>
        <v>0</v>
      </c>
      <c r="BF228" s="38" t="str">
        <f t="shared" si="829"/>
        <v/>
      </c>
      <c r="BG228" s="38" t="str">
        <f t="shared" si="829"/>
        <v/>
      </c>
      <c r="BH228" s="38" t="str">
        <f t="shared" si="829"/>
        <v/>
      </c>
      <c r="BI228" s="38" t="str">
        <f t="shared" si="829"/>
        <v/>
      </c>
      <c r="BJ228" s="38" t="str">
        <f t="shared" ref="BJ228:BS229" si="830">IF(BJ$227="","",-MIN(BJ$213,0)*$H228)</f>
        <v/>
      </c>
      <c r="BK228" s="38" t="str">
        <f t="shared" si="830"/>
        <v/>
      </c>
      <c r="BL228" s="38" t="str">
        <f t="shared" si="830"/>
        <v/>
      </c>
      <c r="BM228" s="38" t="str">
        <f t="shared" si="830"/>
        <v/>
      </c>
      <c r="BN228" s="38" t="str">
        <f t="shared" si="830"/>
        <v/>
      </c>
      <c r="BO228" s="38" t="str">
        <f t="shared" si="830"/>
        <v/>
      </c>
      <c r="BP228" s="38" t="str">
        <f t="shared" si="830"/>
        <v/>
      </c>
      <c r="BQ228" s="38" t="str">
        <f t="shared" si="830"/>
        <v/>
      </c>
      <c r="BR228" s="38" t="str">
        <f t="shared" si="830"/>
        <v/>
      </c>
      <c r="BS228" s="38" t="str">
        <f t="shared" si="830"/>
        <v/>
      </c>
      <c r="BT228" s="38" t="str">
        <f t="shared" ref="BT228:CC229" si="831">IF(BT$227="","",-MIN(BT$213,0)*$H228)</f>
        <v/>
      </c>
      <c r="BU228" s="38" t="str">
        <f t="shared" si="831"/>
        <v/>
      </c>
      <c r="BV228" s="38" t="str">
        <f t="shared" si="831"/>
        <v/>
      </c>
      <c r="BW228" s="38" t="str">
        <f t="shared" si="831"/>
        <v/>
      </c>
      <c r="BX228" s="38" t="str">
        <f t="shared" si="831"/>
        <v/>
      </c>
      <c r="BY228" s="38" t="str">
        <f t="shared" si="831"/>
        <v/>
      </c>
      <c r="BZ228" s="38" t="str">
        <f t="shared" si="831"/>
        <v/>
      </c>
      <c r="CA228" s="38" t="str">
        <f t="shared" si="831"/>
        <v/>
      </c>
      <c r="CB228" s="38" t="str">
        <f t="shared" si="831"/>
        <v/>
      </c>
      <c r="CC228" s="38" t="str">
        <f t="shared" si="831"/>
        <v/>
      </c>
      <c r="CD228" s="38" t="str">
        <f t="shared" ref="CD228:CM229" si="832">IF(CD$227="","",-MIN(CD$213,0)*$H228)</f>
        <v/>
      </c>
      <c r="CE228" s="38" t="str">
        <f t="shared" si="832"/>
        <v/>
      </c>
      <c r="CF228" s="38" t="str">
        <f t="shared" si="832"/>
        <v/>
      </c>
      <c r="CG228" s="38" t="str">
        <f t="shared" si="832"/>
        <v/>
      </c>
      <c r="CH228" s="38" t="str">
        <f t="shared" si="832"/>
        <v/>
      </c>
      <c r="CI228" s="38" t="str">
        <f t="shared" si="832"/>
        <v/>
      </c>
      <c r="CJ228" s="38" t="str">
        <f t="shared" si="832"/>
        <v/>
      </c>
      <c r="CK228" s="38" t="str">
        <f t="shared" si="832"/>
        <v/>
      </c>
      <c r="CL228" s="38" t="str">
        <f t="shared" si="832"/>
        <v/>
      </c>
      <c r="CM228" s="38" t="str">
        <f t="shared" si="832"/>
        <v/>
      </c>
      <c r="CN228" s="38" t="str">
        <f t="shared" ref="CN228:CW229" si="833">IF(CN$227="","",-MIN(CN$213,0)*$H228)</f>
        <v/>
      </c>
      <c r="CO228" s="38" t="str">
        <f t="shared" si="833"/>
        <v/>
      </c>
      <c r="CP228" s="38" t="str">
        <f t="shared" si="833"/>
        <v/>
      </c>
      <c r="CQ228" s="38" t="str">
        <f t="shared" si="833"/>
        <v/>
      </c>
      <c r="CR228" s="38" t="str">
        <f t="shared" si="833"/>
        <v/>
      </c>
      <c r="CS228" s="38" t="str">
        <f t="shared" si="833"/>
        <v/>
      </c>
      <c r="CT228" s="38" t="str">
        <f t="shared" si="833"/>
        <v/>
      </c>
      <c r="CU228" s="38" t="str">
        <f t="shared" si="833"/>
        <v/>
      </c>
      <c r="CV228" s="38" t="str">
        <f t="shared" si="833"/>
        <v/>
      </c>
      <c r="CW228" s="38" t="str">
        <f t="shared" si="833"/>
        <v/>
      </c>
      <c r="CX228" s="38" t="str">
        <f t="shared" ref="CX228:DG229" si="834">IF(CX$227="","",-MIN(CX$213,0)*$H228)</f>
        <v/>
      </c>
      <c r="CY228" s="38" t="str">
        <f t="shared" si="834"/>
        <v/>
      </c>
      <c r="CZ228" s="38" t="str">
        <f t="shared" si="834"/>
        <v/>
      </c>
      <c r="DA228" s="38" t="str">
        <f t="shared" si="834"/>
        <v/>
      </c>
      <c r="DB228" s="38" t="str">
        <f t="shared" si="834"/>
        <v/>
      </c>
      <c r="DC228" s="38" t="str">
        <f t="shared" si="834"/>
        <v/>
      </c>
      <c r="DD228" s="38" t="str">
        <f t="shared" si="834"/>
        <v/>
      </c>
      <c r="DE228" s="38" t="str">
        <f t="shared" si="834"/>
        <v/>
      </c>
      <c r="DF228" s="38" t="str">
        <f t="shared" si="834"/>
        <v/>
      </c>
      <c r="DG228" s="38" t="str">
        <f t="shared" si="834"/>
        <v/>
      </c>
      <c r="DH228" s="38" t="str">
        <f t="shared" ref="DH228:DQ229" si="835">IF(DH$227="","",-MIN(DH$213,0)*$H228)</f>
        <v/>
      </c>
      <c r="DI228" s="38" t="str">
        <f t="shared" si="835"/>
        <v/>
      </c>
      <c r="DJ228" s="38" t="str">
        <f t="shared" si="835"/>
        <v/>
      </c>
      <c r="DK228" s="38" t="str">
        <f t="shared" si="835"/>
        <v/>
      </c>
      <c r="DL228" s="38" t="str">
        <f t="shared" si="835"/>
        <v/>
      </c>
      <c r="DM228" s="38" t="str">
        <f t="shared" si="835"/>
        <v/>
      </c>
      <c r="DN228" s="38" t="str">
        <f t="shared" si="835"/>
        <v/>
      </c>
      <c r="DO228" s="38" t="str">
        <f t="shared" si="835"/>
        <v/>
      </c>
      <c r="DP228" s="38" t="str">
        <f t="shared" si="835"/>
        <v/>
      </c>
      <c r="DQ228" s="38" t="str">
        <f t="shared" si="835"/>
        <v/>
      </c>
      <c r="DR228" s="38" t="str">
        <f t="shared" ref="DR228:EA229" si="836">IF(DR$227="","",-MIN(DR$213,0)*$H228)</f>
        <v/>
      </c>
      <c r="DS228" s="38" t="str">
        <f t="shared" si="836"/>
        <v/>
      </c>
      <c r="DT228" s="38" t="str">
        <f t="shared" si="836"/>
        <v/>
      </c>
      <c r="DU228" s="38" t="str">
        <f t="shared" si="836"/>
        <v/>
      </c>
      <c r="DV228" s="38" t="str">
        <f t="shared" si="836"/>
        <v/>
      </c>
      <c r="DW228" s="38" t="str">
        <f t="shared" si="836"/>
        <v/>
      </c>
      <c r="DX228" s="38" t="str">
        <f t="shared" si="836"/>
        <v/>
      </c>
      <c r="DY228" s="38" t="str">
        <f t="shared" si="836"/>
        <v/>
      </c>
      <c r="DZ228" s="38" t="str">
        <f t="shared" si="836"/>
        <v/>
      </c>
      <c r="EA228" s="38" t="str">
        <f t="shared" si="836"/>
        <v/>
      </c>
      <c r="EB228" s="38" t="str">
        <f t="shared" ref="EB228:EN229" si="837">IF(EB$227="","",-MIN(EB$213,0)*$H228)</f>
        <v/>
      </c>
      <c r="EC228" s="38" t="str">
        <f t="shared" si="837"/>
        <v/>
      </c>
      <c r="ED228" s="38" t="str">
        <f t="shared" si="837"/>
        <v/>
      </c>
      <c r="EE228" s="38" t="str">
        <f t="shared" si="837"/>
        <v/>
      </c>
      <c r="EF228" s="38" t="str">
        <f t="shared" si="837"/>
        <v/>
      </c>
      <c r="EG228" s="38" t="str">
        <f t="shared" si="837"/>
        <v/>
      </c>
      <c r="EH228" s="38" t="str">
        <f t="shared" si="837"/>
        <v/>
      </c>
      <c r="EI228" s="38" t="str">
        <f t="shared" si="837"/>
        <v/>
      </c>
      <c r="EJ228" s="38" t="str">
        <f t="shared" si="837"/>
        <v/>
      </c>
      <c r="EK228" s="38" t="str">
        <f t="shared" si="837"/>
        <v/>
      </c>
      <c r="EL228" s="38" t="str">
        <f t="shared" si="837"/>
        <v/>
      </c>
      <c r="EM228" s="38" t="str">
        <f t="shared" si="837"/>
        <v/>
      </c>
      <c r="EN228" s="38" t="str">
        <f t="shared" si="837"/>
        <v/>
      </c>
      <c r="EP228" s="37"/>
      <c r="EQ228" s="24"/>
      <c r="ER228" s="24"/>
      <c r="ES228" s="24"/>
      <c r="ET228" s="33" t="s">
        <v>371</v>
      </c>
      <c r="EU228" s="33"/>
      <c r="EV228" s="225">
        <f t="shared" ref="EV228:GA228" ca="1" si="838">(EV$197&lt;=Timing_Reversion_Month)*(EV224+EV225+EV201-EV226-EV227)</f>
        <v>3565501.5512782279</v>
      </c>
      <c r="EW228" s="225">
        <f t="shared" ca="1" si="838"/>
        <v>4020155.7702424852</v>
      </c>
      <c r="EX228" s="225">
        <f t="shared" ca="1" si="838"/>
        <v>4632611.0161642767</v>
      </c>
      <c r="EY228" s="225">
        <f t="shared" ca="1" si="838"/>
        <v>5554620.3937546052</v>
      </c>
      <c r="EZ228" s="225">
        <f t="shared" ca="1" si="838"/>
        <v>7014122.168876213</v>
      </c>
      <c r="FA228" s="225">
        <f t="shared" ca="1" si="838"/>
        <v>9290440.217150759</v>
      </c>
      <c r="FB228" s="225">
        <f t="shared" ca="1" si="838"/>
        <v>12638642.249626741</v>
      </c>
      <c r="FC228" s="225">
        <f t="shared" ca="1" si="838"/>
        <v>14452628.711132972</v>
      </c>
      <c r="FD228" s="225">
        <f t="shared" ca="1" si="838"/>
        <v>14621940.055757381</v>
      </c>
      <c r="FE228" s="225">
        <f t="shared" ca="1" si="838"/>
        <v>14793234.868717656</v>
      </c>
      <c r="FF228" s="225">
        <f t="shared" ca="1" si="838"/>
        <v>14966536.386180561</v>
      </c>
      <c r="FG228" s="225">
        <f t="shared" ca="1" si="838"/>
        <v>15141868.116522629</v>
      </c>
      <c r="FH228" s="225">
        <f t="shared" ca="1" si="838"/>
        <v>15319253.843519067</v>
      </c>
      <c r="FI228" s="225">
        <f t="shared" ca="1" si="838"/>
        <v>15498717.629570037</v>
      </c>
      <c r="FJ228" s="225">
        <f t="shared" ca="1" si="838"/>
        <v>15680283.818964718</v>
      </c>
      <c r="FK228" s="225">
        <f t="shared" ca="1" si="838"/>
        <v>15863977.041183611</v>
      </c>
      <c r="FL228" s="225">
        <f t="shared" ca="1" si="838"/>
        <v>16049822.21423954</v>
      </c>
      <c r="FM228" s="225">
        <f t="shared" ca="1" si="838"/>
        <v>16237844.548057772</v>
      </c>
      <c r="FN228" s="225">
        <f t="shared" ca="1" si="838"/>
        <v>16428069.547895763</v>
      </c>
      <c r="FO228" s="225">
        <f t="shared" ca="1" si="838"/>
        <v>16620523.017802935</v>
      </c>
      <c r="FP228" s="225">
        <f t="shared" ca="1" si="838"/>
        <v>16815231.064121008</v>
      </c>
      <c r="FQ228" s="225">
        <f t="shared" ca="1" si="838"/>
        <v>17012220.099025324</v>
      </c>
      <c r="FR228" s="225">
        <f t="shared" ca="1" si="838"/>
        <v>17211516.844107665</v>
      </c>
      <c r="FS228" s="225">
        <f t="shared" ca="1" si="838"/>
        <v>17413148.334001042</v>
      </c>
      <c r="FT228" s="225">
        <f t="shared" ca="1" si="838"/>
        <v>17617141.920046948</v>
      </c>
      <c r="FU228" s="225">
        <f t="shared" ca="1" si="838"/>
        <v>17823525.274005566</v>
      </c>
      <c r="FV228" s="225">
        <f t="shared" ca="1" si="838"/>
        <v>18032326.391809449</v>
      </c>
      <c r="FW228" s="225">
        <f t="shared" ca="1" si="838"/>
        <v>18243573.597361177</v>
      </c>
      <c r="FX228" s="225">
        <f t="shared" ca="1" si="838"/>
        <v>18457295.546375494</v>
      </c>
      <c r="FY228" s="225">
        <f t="shared" ca="1" si="838"/>
        <v>18673521.230266463</v>
      </c>
      <c r="FZ228" s="225">
        <f t="shared" ca="1" si="838"/>
        <v>18890287.362551954</v>
      </c>
      <c r="GA228" s="225">
        <f t="shared" ca="1" si="838"/>
        <v>19094195.024094701</v>
      </c>
      <c r="GB228" s="225">
        <f t="shared" ref="GB228:HG228" ca="1" si="839">(GB$197&lt;=Timing_Reversion_Month)*(GB224+GB225+GB201-GB226-GB227)</f>
        <v>19269888.179636039</v>
      </c>
      <c r="GC228" s="225">
        <f t="shared" ca="1" si="839"/>
        <v>19410505.35462806</v>
      </c>
      <c r="GD228" s="225">
        <f t="shared" ca="1" si="839"/>
        <v>19551714.742161367</v>
      </c>
      <c r="GE228" s="225">
        <f t="shared" ca="1" si="839"/>
        <v>19693523.27995668</v>
      </c>
      <c r="GF228" s="225">
        <f t="shared" ca="1" si="839"/>
        <v>19835937.98700954</v>
      </c>
      <c r="GG228" s="225">
        <f t="shared" ca="1" si="839"/>
        <v>19978965.964542441</v>
      </c>
      <c r="GH228" s="225">
        <f t="shared" ca="1" si="839"/>
        <v>20122614.396968104</v>
      </c>
      <c r="GI228" s="225">
        <f t="shared" ca="1" si="839"/>
        <v>20266890.552864049</v>
      </c>
      <c r="GJ228" s="225">
        <f t="shared" ca="1" si="839"/>
        <v>20411801.785958581</v>
      </c>
      <c r="GK228" s="225">
        <f t="shared" ca="1" si="839"/>
        <v>20557355.53612832</v>
      </c>
      <c r="GL228" s="225">
        <f t="shared" ca="1" si="839"/>
        <v>20703559.330407422</v>
      </c>
      <c r="GM228" s="225">
        <f t="shared" ca="1" si="839"/>
        <v>20863448.753970724</v>
      </c>
      <c r="GN228" s="225">
        <f t="shared" ca="1" si="839"/>
        <v>21024124.509686742</v>
      </c>
      <c r="GO228" s="225">
        <f t="shared" ca="1" si="839"/>
        <v>893393.64873615955</v>
      </c>
      <c r="GP228" s="225">
        <f t="shared" ca="1" si="839"/>
        <v>0</v>
      </c>
      <c r="GQ228" s="225">
        <f t="shared" ca="1" si="839"/>
        <v>0</v>
      </c>
      <c r="GR228" s="225">
        <f t="shared" ca="1" si="839"/>
        <v>0</v>
      </c>
      <c r="GS228" s="225">
        <f t="shared" ca="1" si="839"/>
        <v>0</v>
      </c>
      <c r="GT228" s="225">
        <f t="shared" ca="1" si="839"/>
        <v>0</v>
      </c>
      <c r="GU228" s="225">
        <f t="shared" ca="1" si="839"/>
        <v>0</v>
      </c>
      <c r="GV228" s="225">
        <f t="shared" ca="1" si="839"/>
        <v>0</v>
      </c>
      <c r="GW228" s="225">
        <f t="shared" ca="1" si="839"/>
        <v>0</v>
      </c>
      <c r="GX228" s="225">
        <f t="shared" ca="1" si="839"/>
        <v>0</v>
      </c>
      <c r="GY228" s="225">
        <f t="shared" ca="1" si="839"/>
        <v>0</v>
      </c>
      <c r="GZ228" s="225">
        <f t="shared" ca="1" si="839"/>
        <v>0</v>
      </c>
      <c r="HA228" s="225">
        <f t="shared" ca="1" si="839"/>
        <v>0</v>
      </c>
      <c r="HB228" s="225">
        <f t="shared" ca="1" si="839"/>
        <v>0</v>
      </c>
      <c r="HC228" s="225">
        <f t="shared" ca="1" si="839"/>
        <v>0</v>
      </c>
      <c r="HD228" s="225">
        <f t="shared" ca="1" si="839"/>
        <v>0</v>
      </c>
      <c r="HE228" s="225">
        <f t="shared" ca="1" si="839"/>
        <v>0</v>
      </c>
      <c r="HF228" s="225">
        <f t="shared" ca="1" si="839"/>
        <v>0</v>
      </c>
      <c r="HG228" s="225">
        <f t="shared" ca="1" si="839"/>
        <v>0</v>
      </c>
      <c r="HH228" s="225">
        <f t="shared" ref="HH228:IM228" ca="1" si="840">(HH$197&lt;=Timing_Reversion_Month)*(HH224+HH225+HH201-HH226-HH227)</f>
        <v>0</v>
      </c>
      <c r="HI228" s="225">
        <f t="shared" ca="1" si="840"/>
        <v>0</v>
      </c>
      <c r="HJ228" s="225">
        <f t="shared" ca="1" si="840"/>
        <v>0</v>
      </c>
      <c r="HK228" s="225">
        <f t="shared" ca="1" si="840"/>
        <v>0</v>
      </c>
      <c r="HL228" s="225">
        <f t="shared" ca="1" si="840"/>
        <v>0</v>
      </c>
      <c r="HM228" s="225">
        <f t="shared" ca="1" si="840"/>
        <v>0</v>
      </c>
      <c r="HN228" s="225">
        <f t="shared" ca="1" si="840"/>
        <v>0</v>
      </c>
      <c r="HO228" s="225">
        <f t="shared" ca="1" si="840"/>
        <v>0</v>
      </c>
      <c r="HP228" s="225">
        <f t="shared" ca="1" si="840"/>
        <v>0</v>
      </c>
      <c r="HQ228" s="225">
        <f t="shared" ca="1" si="840"/>
        <v>0</v>
      </c>
      <c r="HR228" s="225">
        <f t="shared" ca="1" si="840"/>
        <v>0</v>
      </c>
      <c r="HS228" s="225">
        <f t="shared" ca="1" si="840"/>
        <v>0</v>
      </c>
      <c r="HT228" s="225">
        <f t="shared" ca="1" si="840"/>
        <v>0</v>
      </c>
      <c r="HU228" s="225">
        <f t="shared" ca="1" si="840"/>
        <v>0</v>
      </c>
      <c r="HV228" s="225">
        <f t="shared" ca="1" si="840"/>
        <v>0</v>
      </c>
      <c r="HW228" s="225">
        <f t="shared" ca="1" si="840"/>
        <v>0</v>
      </c>
      <c r="HX228" s="225">
        <f t="shared" ca="1" si="840"/>
        <v>0</v>
      </c>
      <c r="HY228" s="225">
        <f t="shared" ca="1" si="840"/>
        <v>0</v>
      </c>
      <c r="HZ228" s="225">
        <f t="shared" ca="1" si="840"/>
        <v>0</v>
      </c>
      <c r="IA228" s="225">
        <f t="shared" ca="1" si="840"/>
        <v>0</v>
      </c>
      <c r="IB228" s="225">
        <f t="shared" ca="1" si="840"/>
        <v>0</v>
      </c>
      <c r="IC228" s="225">
        <f t="shared" ca="1" si="840"/>
        <v>0</v>
      </c>
      <c r="ID228" s="225">
        <f t="shared" ca="1" si="840"/>
        <v>0</v>
      </c>
      <c r="IE228" s="225">
        <f t="shared" ca="1" si="840"/>
        <v>0</v>
      </c>
      <c r="IF228" s="225">
        <f t="shared" ca="1" si="840"/>
        <v>0</v>
      </c>
      <c r="IG228" s="225">
        <f t="shared" ca="1" si="840"/>
        <v>0</v>
      </c>
      <c r="IH228" s="225">
        <f t="shared" ca="1" si="840"/>
        <v>0</v>
      </c>
      <c r="II228" s="225">
        <f t="shared" ca="1" si="840"/>
        <v>0</v>
      </c>
      <c r="IJ228" s="225">
        <f t="shared" ca="1" si="840"/>
        <v>0</v>
      </c>
      <c r="IK228" s="225">
        <f t="shared" ca="1" si="840"/>
        <v>0</v>
      </c>
      <c r="IL228" s="225">
        <f t="shared" ca="1" si="840"/>
        <v>0</v>
      </c>
      <c r="IM228" s="225">
        <f t="shared" ca="1" si="840"/>
        <v>0</v>
      </c>
      <c r="IN228" s="225">
        <f t="shared" ref="IN228:JS228" ca="1" si="841">(IN$197&lt;=Timing_Reversion_Month)*(IN224+IN225+IN201-IN226-IN227)</f>
        <v>0</v>
      </c>
      <c r="IO228" s="225">
        <f t="shared" ca="1" si="841"/>
        <v>0</v>
      </c>
      <c r="IP228" s="225">
        <f t="shared" ca="1" si="841"/>
        <v>0</v>
      </c>
      <c r="IQ228" s="225">
        <f t="shared" ca="1" si="841"/>
        <v>0</v>
      </c>
      <c r="IR228" s="225">
        <f t="shared" ca="1" si="841"/>
        <v>0</v>
      </c>
      <c r="IS228" s="225">
        <f t="shared" ca="1" si="841"/>
        <v>0</v>
      </c>
      <c r="IT228" s="225">
        <f t="shared" ca="1" si="841"/>
        <v>0</v>
      </c>
      <c r="IU228" s="225">
        <f t="shared" ca="1" si="841"/>
        <v>0</v>
      </c>
      <c r="IV228" s="225">
        <f t="shared" ca="1" si="841"/>
        <v>0</v>
      </c>
      <c r="IW228" s="225">
        <f t="shared" ca="1" si="841"/>
        <v>0</v>
      </c>
      <c r="IX228" s="225">
        <f t="shared" ca="1" si="841"/>
        <v>0</v>
      </c>
      <c r="IY228" s="225">
        <f t="shared" ca="1" si="841"/>
        <v>0</v>
      </c>
      <c r="IZ228" s="225">
        <f t="shared" ca="1" si="841"/>
        <v>0</v>
      </c>
      <c r="JA228" s="225">
        <f t="shared" ca="1" si="841"/>
        <v>0</v>
      </c>
      <c r="JB228" s="225">
        <f t="shared" ca="1" si="841"/>
        <v>0</v>
      </c>
      <c r="JC228" s="225">
        <f t="shared" ca="1" si="841"/>
        <v>0</v>
      </c>
      <c r="JD228" s="225">
        <f t="shared" ca="1" si="841"/>
        <v>0</v>
      </c>
      <c r="JE228" s="225">
        <f t="shared" ca="1" si="841"/>
        <v>0</v>
      </c>
      <c r="JF228" s="225">
        <f t="shared" ca="1" si="841"/>
        <v>0</v>
      </c>
      <c r="JG228" s="225">
        <f t="shared" ca="1" si="841"/>
        <v>0</v>
      </c>
      <c r="JH228" s="225">
        <f t="shared" ca="1" si="841"/>
        <v>0</v>
      </c>
      <c r="JI228" s="225">
        <f t="shared" ca="1" si="841"/>
        <v>0</v>
      </c>
      <c r="JJ228" s="225">
        <f t="shared" ca="1" si="841"/>
        <v>0</v>
      </c>
      <c r="JK228" s="225">
        <f t="shared" ca="1" si="841"/>
        <v>0</v>
      </c>
      <c r="JL228" s="225">
        <f t="shared" ca="1" si="841"/>
        <v>0</v>
      </c>
      <c r="JM228" s="225">
        <f t="shared" ca="1" si="841"/>
        <v>0</v>
      </c>
      <c r="JN228" s="225">
        <f t="shared" ca="1" si="841"/>
        <v>0</v>
      </c>
      <c r="JO228" s="225">
        <f t="shared" ca="1" si="841"/>
        <v>0</v>
      </c>
      <c r="JP228" s="225">
        <f t="shared" ca="1" si="841"/>
        <v>0</v>
      </c>
      <c r="JQ228" s="225">
        <f t="shared" ca="1" si="841"/>
        <v>0</v>
      </c>
      <c r="JR228" s="225">
        <f t="shared" ca="1" si="841"/>
        <v>0</v>
      </c>
      <c r="JS228" s="225">
        <f t="shared" ca="1" si="841"/>
        <v>0</v>
      </c>
      <c r="JT228" s="225">
        <f t="shared" ref="JT228:JX228" ca="1" si="842">(JT$197&lt;=Timing_Reversion_Month)*(JT224+JT225+JT201-JT226-JT227)</f>
        <v>0</v>
      </c>
      <c r="JU228" s="225">
        <f t="shared" ca="1" si="842"/>
        <v>0</v>
      </c>
      <c r="JV228" s="225">
        <f t="shared" ca="1" si="842"/>
        <v>0</v>
      </c>
      <c r="JW228" s="225">
        <f t="shared" ca="1" si="842"/>
        <v>0</v>
      </c>
      <c r="JX228" s="225">
        <f t="shared" ca="1" si="842"/>
        <v>0</v>
      </c>
    </row>
    <row r="229" spans="1:284" s="7" customFormat="1" ht="16.5" x14ac:dyDescent="0.35">
      <c r="A229" s="406"/>
      <c r="B229" s="238" t="s">
        <v>212</v>
      </c>
      <c r="C229" s="232" t="s">
        <v>213</v>
      </c>
      <c r="D229" s="233"/>
      <c r="E229" s="234"/>
      <c r="F229" s="234"/>
      <c r="G229" s="602"/>
      <c r="H229" s="239">
        <f>1-H228</f>
        <v>0.95</v>
      </c>
      <c r="I229" s="240">
        <f ca="1">SUM(L229:EN229)</f>
        <v>13905353.558517359</v>
      </c>
      <c r="L229" s="39">
        <f t="shared" ca="1" si="825"/>
        <v>3565501.5512782279</v>
      </c>
      <c r="M229" s="39">
        <f t="shared" ca="1" si="825"/>
        <v>412884.6645134245</v>
      </c>
      <c r="N229" s="39">
        <f t="shared" ca="1" si="825"/>
        <v>565359.45506853156</v>
      </c>
      <c r="O229" s="39">
        <f t="shared" ca="1" si="825"/>
        <v>867738.72441396641</v>
      </c>
      <c r="P229" s="39">
        <f t="shared" ca="1" si="825"/>
        <v>1394429.8586874492</v>
      </c>
      <c r="Q229" s="39">
        <f t="shared" ca="1" si="825"/>
        <v>2194148.189800458</v>
      </c>
      <c r="R229" s="39">
        <f t="shared" ca="1" si="825"/>
        <v>3239365.2971831975</v>
      </c>
      <c r="S229" s="39">
        <f t="shared" ca="1" si="825"/>
        <v>1665925.8175721038</v>
      </c>
      <c r="T229" s="39">
        <f t="shared" ca="1" si="825"/>
        <v>0</v>
      </c>
      <c r="U229" s="39">
        <f t="shared" ca="1" si="825"/>
        <v>0</v>
      </c>
      <c r="V229" s="39">
        <f t="shared" ca="1" si="826"/>
        <v>0</v>
      </c>
      <c r="W229" s="39">
        <f t="shared" ca="1" si="826"/>
        <v>0</v>
      </c>
      <c r="X229" s="39">
        <f t="shared" ca="1" si="826"/>
        <v>0</v>
      </c>
      <c r="Y229" s="39">
        <f t="shared" ca="1" si="826"/>
        <v>0</v>
      </c>
      <c r="Z229" s="39">
        <f t="shared" ca="1" si="826"/>
        <v>0</v>
      </c>
      <c r="AA229" s="39">
        <f t="shared" ca="1" si="826"/>
        <v>0</v>
      </c>
      <c r="AB229" s="39">
        <f t="shared" ca="1" si="826"/>
        <v>0</v>
      </c>
      <c r="AC229" s="39">
        <f t="shared" ca="1" si="826"/>
        <v>0</v>
      </c>
      <c r="AD229" s="39">
        <f t="shared" ca="1" si="826"/>
        <v>0</v>
      </c>
      <c r="AE229" s="39">
        <f t="shared" ca="1" si="826"/>
        <v>0</v>
      </c>
      <c r="AF229" s="39">
        <f t="shared" ca="1" si="827"/>
        <v>0</v>
      </c>
      <c r="AG229" s="39">
        <f t="shared" ca="1" si="827"/>
        <v>0</v>
      </c>
      <c r="AH229" s="39">
        <f t="shared" ca="1" si="827"/>
        <v>0</v>
      </c>
      <c r="AI229" s="39">
        <f t="shared" ca="1" si="827"/>
        <v>0</v>
      </c>
      <c r="AJ229" s="39">
        <f t="shared" ca="1" si="827"/>
        <v>1.0368239600211381E-11</v>
      </c>
      <c r="AK229" s="39">
        <f t="shared" ca="1" si="827"/>
        <v>0</v>
      </c>
      <c r="AL229" s="39">
        <f t="shared" ca="1" si="827"/>
        <v>0</v>
      </c>
      <c r="AM229" s="39">
        <f t="shared" ca="1" si="827"/>
        <v>0</v>
      </c>
      <c r="AN229" s="39">
        <f t="shared" ca="1" si="827"/>
        <v>0</v>
      </c>
      <c r="AO229" s="39">
        <f t="shared" ca="1" si="827"/>
        <v>0</v>
      </c>
      <c r="AP229" s="39">
        <f t="shared" ca="1" si="828"/>
        <v>0</v>
      </c>
      <c r="AQ229" s="39">
        <f t="shared" ca="1" si="828"/>
        <v>0</v>
      </c>
      <c r="AR229" s="39">
        <f t="shared" ca="1" si="828"/>
        <v>0</v>
      </c>
      <c r="AS229" s="39">
        <f t="shared" ca="1" si="828"/>
        <v>0</v>
      </c>
      <c r="AT229" s="39">
        <f t="shared" ca="1" si="828"/>
        <v>0</v>
      </c>
      <c r="AU229" s="39">
        <f t="shared" ca="1" si="828"/>
        <v>0</v>
      </c>
      <c r="AV229" s="39">
        <f t="shared" ca="1" si="828"/>
        <v>0</v>
      </c>
      <c r="AW229" s="39">
        <f t="shared" ca="1" si="828"/>
        <v>0</v>
      </c>
      <c r="AX229" s="39">
        <f t="shared" ca="1" si="828"/>
        <v>0</v>
      </c>
      <c r="AY229" s="39">
        <f t="shared" ca="1" si="828"/>
        <v>0</v>
      </c>
      <c r="AZ229" s="39">
        <f t="shared" ca="1" si="829"/>
        <v>0</v>
      </c>
      <c r="BA229" s="39">
        <f t="shared" ca="1" si="829"/>
        <v>0</v>
      </c>
      <c r="BB229" s="39">
        <f t="shared" ca="1" si="829"/>
        <v>0</v>
      </c>
      <c r="BC229" s="39">
        <f t="shared" ca="1" si="829"/>
        <v>0</v>
      </c>
      <c r="BD229" s="39">
        <f t="shared" ca="1" si="829"/>
        <v>0</v>
      </c>
      <c r="BE229" s="39">
        <f t="shared" ca="1" si="829"/>
        <v>0</v>
      </c>
      <c r="BF229" s="39" t="str">
        <f t="shared" si="829"/>
        <v/>
      </c>
      <c r="BG229" s="39" t="str">
        <f t="shared" si="829"/>
        <v/>
      </c>
      <c r="BH229" s="39" t="str">
        <f t="shared" si="829"/>
        <v/>
      </c>
      <c r="BI229" s="39" t="str">
        <f t="shared" si="829"/>
        <v/>
      </c>
      <c r="BJ229" s="39" t="str">
        <f t="shared" si="830"/>
        <v/>
      </c>
      <c r="BK229" s="39" t="str">
        <f t="shared" si="830"/>
        <v/>
      </c>
      <c r="BL229" s="39" t="str">
        <f t="shared" si="830"/>
        <v/>
      </c>
      <c r="BM229" s="39" t="str">
        <f t="shared" si="830"/>
        <v/>
      </c>
      <c r="BN229" s="39" t="str">
        <f t="shared" si="830"/>
        <v/>
      </c>
      <c r="BO229" s="39" t="str">
        <f t="shared" si="830"/>
        <v/>
      </c>
      <c r="BP229" s="39" t="str">
        <f t="shared" si="830"/>
        <v/>
      </c>
      <c r="BQ229" s="39" t="str">
        <f t="shared" si="830"/>
        <v/>
      </c>
      <c r="BR229" s="39" t="str">
        <f t="shared" si="830"/>
        <v/>
      </c>
      <c r="BS229" s="39" t="str">
        <f t="shared" si="830"/>
        <v/>
      </c>
      <c r="BT229" s="39" t="str">
        <f t="shared" si="831"/>
        <v/>
      </c>
      <c r="BU229" s="39" t="str">
        <f t="shared" si="831"/>
        <v/>
      </c>
      <c r="BV229" s="39" t="str">
        <f t="shared" si="831"/>
        <v/>
      </c>
      <c r="BW229" s="39" t="str">
        <f t="shared" si="831"/>
        <v/>
      </c>
      <c r="BX229" s="39" t="str">
        <f t="shared" si="831"/>
        <v/>
      </c>
      <c r="BY229" s="39" t="str">
        <f t="shared" si="831"/>
        <v/>
      </c>
      <c r="BZ229" s="39" t="str">
        <f t="shared" si="831"/>
        <v/>
      </c>
      <c r="CA229" s="39" t="str">
        <f t="shared" si="831"/>
        <v/>
      </c>
      <c r="CB229" s="39" t="str">
        <f t="shared" si="831"/>
        <v/>
      </c>
      <c r="CC229" s="39" t="str">
        <f t="shared" si="831"/>
        <v/>
      </c>
      <c r="CD229" s="39" t="str">
        <f t="shared" si="832"/>
        <v/>
      </c>
      <c r="CE229" s="39" t="str">
        <f t="shared" si="832"/>
        <v/>
      </c>
      <c r="CF229" s="39" t="str">
        <f t="shared" si="832"/>
        <v/>
      </c>
      <c r="CG229" s="39" t="str">
        <f t="shared" si="832"/>
        <v/>
      </c>
      <c r="CH229" s="39" t="str">
        <f t="shared" si="832"/>
        <v/>
      </c>
      <c r="CI229" s="39" t="str">
        <f t="shared" si="832"/>
        <v/>
      </c>
      <c r="CJ229" s="39" t="str">
        <f t="shared" si="832"/>
        <v/>
      </c>
      <c r="CK229" s="39" t="str">
        <f t="shared" si="832"/>
        <v/>
      </c>
      <c r="CL229" s="39" t="str">
        <f t="shared" si="832"/>
        <v/>
      </c>
      <c r="CM229" s="39" t="str">
        <f t="shared" si="832"/>
        <v/>
      </c>
      <c r="CN229" s="39" t="str">
        <f t="shared" si="833"/>
        <v/>
      </c>
      <c r="CO229" s="39" t="str">
        <f t="shared" si="833"/>
        <v/>
      </c>
      <c r="CP229" s="39" t="str">
        <f t="shared" si="833"/>
        <v/>
      </c>
      <c r="CQ229" s="39" t="str">
        <f t="shared" si="833"/>
        <v/>
      </c>
      <c r="CR229" s="39" t="str">
        <f t="shared" si="833"/>
        <v/>
      </c>
      <c r="CS229" s="39" t="str">
        <f t="shared" si="833"/>
        <v/>
      </c>
      <c r="CT229" s="39" t="str">
        <f t="shared" si="833"/>
        <v/>
      </c>
      <c r="CU229" s="39" t="str">
        <f t="shared" si="833"/>
        <v/>
      </c>
      <c r="CV229" s="39" t="str">
        <f t="shared" si="833"/>
        <v/>
      </c>
      <c r="CW229" s="39" t="str">
        <f t="shared" si="833"/>
        <v/>
      </c>
      <c r="CX229" s="39" t="str">
        <f t="shared" si="834"/>
        <v/>
      </c>
      <c r="CY229" s="39" t="str">
        <f t="shared" si="834"/>
        <v/>
      </c>
      <c r="CZ229" s="39" t="str">
        <f t="shared" si="834"/>
        <v/>
      </c>
      <c r="DA229" s="39" t="str">
        <f t="shared" si="834"/>
        <v/>
      </c>
      <c r="DB229" s="39" t="str">
        <f t="shared" si="834"/>
        <v/>
      </c>
      <c r="DC229" s="39" t="str">
        <f t="shared" si="834"/>
        <v/>
      </c>
      <c r="DD229" s="39" t="str">
        <f t="shared" si="834"/>
        <v/>
      </c>
      <c r="DE229" s="39" t="str">
        <f t="shared" si="834"/>
        <v/>
      </c>
      <c r="DF229" s="39" t="str">
        <f t="shared" si="834"/>
        <v/>
      </c>
      <c r="DG229" s="39" t="str">
        <f t="shared" si="834"/>
        <v/>
      </c>
      <c r="DH229" s="39" t="str">
        <f t="shared" si="835"/>
        <v/>
      </c>
      <c r="DI229" s="39" t="str">
        <f t="shared" si="835"/>
        <v/>
      </c>
      <c r="DJ229" s="39" t="str">
        <f t="shared" si="835"/>
        <v/>
      </c>
      <c r="DK229" s="39" t="str">
        <f t="shared" si="835"/>
        <v/>
      </c>
      <c r="DL229" s="39" t="str">
        <f t="shared" si="835"/>
        <v/>
      </c>
      <c r="DM229" s="39" t="str">
        <f t="shared" si="835"/>
        <v/>
      </c>
      <c r="DN229" s="39" t="str">
        <f t="shared" si="835"/>
        <v/>
      </c>
      <c r="DO229" s="39" t="str">
        <f t="shared" si="835"/>
        <v/>
      </c>
      <c r="DP229" s="39" t="str">
        <f t="shared" si="835"/>
        <v/>
      </c>
      <c r="DQ229" s="39" t="str">
        <f t="shared" si="835"/>
        <v/>
      </c>
      <c r="DR229" s="39" t="str">
        <f t="shared" si="836"/>
        <v/>
      </c>
      <c r="DS229" s="39" t="str">
        <f t="shared" si="836"/>
        <v/>
      </c>
      <c r="DT229" s="39" t="str">
        <f t="shared" si="836"/>
        <v/>
      </c>
      <c r="DU229" s="39" t="str">
        <f t="shared" si="836"/>
        <v/>
      </c>
      <c r="DV229" s="39" t="str">
        <f t="shared" si="836"/>
        <v/>
      </c>
      <c r="DW229" s="39" t="str">
        <f t="shared" si="836"/>
        <v/>
      </c>
      <c r="DX229" s="39" t="str">
        <f t="shared" si="836"/>
        <v/>
      </c>
      <c r="DY229" s="39" t="str">
        <f t="shared" si="836"/>
        <v/>
      </c>
      <c r="DZ229" s="39" t="str">
        <f t="shared" si="836"/>
        <v/>
      </c>
      <c r="EA229" s="39" t="str">
        <f t="shared" si="836"/>
        <v/>
      </c>
      <c r="EB229" s="39" t="str">
        <f t="shared" si="837"/>
        <v/>
      </c>
      <c r="EC229" s="39" t="str">
        <f t="shared" si="837"/>
        <v/>
      </c>
      <c r="ED229" s="39" t="str">
        <f t="shared" si="837"/>
        <v/>
      </c>
      <c r="EE229" s="39" t="str">
        <f t="shared" si="837"/>
        <v/>
      </c>
      <c r="EF229" s="39" t="str">
        <f t="shared" si="837"/>
        <v/>
      </c>
      <c r="EG229" s="39" t="str">
        <f t="shared" si="837"/>
        <v/>
      </c>
      <c r="EH229" s="39" t="str">
        <f t="shared" si="837"/>
        <v/>
      </c>
      <c r="EI229" s="39" t="str">
        <f t="shared" si="837"/>
        <v/>
      </c>
      <c r="EJ229" s="39" t="str">
        <f t="shared" si="837"/>
        <v/>
      </c>
      <c r="EK229" s="39" t="str">
        <f t="shared" si="837"/>
        <v/>
      </c>
      <c r="EL229" s="39" t="str">
        <f t="shared" si="837"/>
        <v/>
      </c>
      <c r="EM229" s="39" t="str">
        <f t="shared" si="837"/>
        <v/>
      </c>
      <c r="EN229" s="39" t="str">
        <f t="shared" si="837"/>
        <v/>
      </c>
      <c r="EP229" s="37"/>
      <c r="EQ229" s="24"/>
      <c r="ER229" s="24"/>
      <c r="ES229" s="33" t="s">
        <v>379</v>
      </c>
      <c r="ET229" s="223">
        <f ca="1">XIRR(OFFSET(EV229,,,1,Timing_Reversion_Month+1),OFFSET($EV$23,,,1,Timing_Reversion_Month+1))</f>
        <v>0.13629054427146911</v>
      </c>
      <c r="EU229" s="33"/>
      <c r="EV229" s="222">
        <f t="shared" ref="EV229:GA229" ca="1" si="843">+-EV201+EV226+EV227</f>
        <v>-3565501.5512782279</v>
      </c>
      <c r="EW229" s="222">
        <f t="shared" ca="1" si="843"/>
        <v>-412884.6645134245</v>
      </c>
      <c r="EX229" s="222">
        <f t="shared" ca="1" si="843"/>
        <v>-565359.45506853156</v>
      </c>
      <c r="EY229" s="222">
        <f t="shared" ca="1" si="843"/>
        <v>-867738.72441396641</v>
      </c>
      <c r="EZ229" s="222">
        <f t="shared" ca="1" si="843"/>
        <v>-1394429.8586874492</v>
      </c>
      <c r="FA229" s="222">
        <f t="shared" ca="1" si="843"/>
        <v>-2194148.189800458</v>
      </c>
      <c r="FB229" s="222">
        <f t="shared" ca="1" si="843"/>
        <v>-3239365.2971831975</v>
      </c>
      <c r="FC229" s="222">
        <f t="shared" ca="1" si="843"/>
        <v>-1665925.8175721038</v>
      </c>
      <c r="FD229" s="222">
        <f t="shared" ca="1" si="843"/>
        <v>0</v>
      </c>
      <c r="FE229" s="222">
        <f t="shared" ca="1" si="843"/>
        <v>0</v>
      </c>
      <c r="FF229" s="222">
        <f t="shared" ca="1" si="843"/>
        <v>0</v>
      </c>
      <c r="FG229" s="222">
        <f t="shared" ca="1" si="843"/>
        <v>0</v>
      </c>
      <c r="FH229" s="222">
        <f t="shared" ca="1" si="843"/>
        <v>0</v>
      </c>
      <c r="FI229" s="222">
        <f t="shared" ca="1" si="843"/>
        <v>0</v>
      </c>
      <c r="FJ229" s="222">
        <f t="shared" ca="1" si="843"/>
        <v>0</v>
      </c>
      <c r="FK229" s="222">
        <f t="shared" ca="1" si="843"/>
        <v>0</v>
      </c>
      <c r="FL229" s="222">
        <f t="shared" ca="1" si="843"/>
        <v>0</v>
      </c>
      <c r="FM229" s="222">
        <f t="shared" ca="1" si="843"/>
        <v>0</v>
      </c>
      <c r="FN229" s="222">
        <f t="shared" ca="1" si="843"/>
        <v>0</v>
      </c>
      <c r="FO229" s="222">
        <f t="shared" ca="1" si="843"/>
        <v>0</v>
      </c>
      <c r="FP229" s="222">
        <f t="shared" ca="1" si="843"/>
        <v>1.3824319466948509E-11</v>
      </c>
      <c r="FQ229" s="222">
        <f t="shared" ca="1" si="843"/>
        <v>0</v>
      </c>
      <c r="FR229" s="222">
        <f t="shared" ca="1" si="843"/>
        <v>0</v>
      </c>
      <c r="FS229" s="222">
        <f t="shared" ca="1" si="843"/>
        <v>8.6401996668428183E-12</v>
      </c>
      <c r="FT229" s="222">
        <f t="shared" ca="1" si="843"/>
        <v>-1.0368239600211381E-11</v>
      </c>
      <c r="FU229" s="222">
        <f t="shared" ca="1" si="843"/>
        <v>0</v>
      </c>
      <c r="FV229" s="222">
        <f t="shared" ca="1" si="843"/>
        <v>0</v>
      </c>
      <c r="FW229" s="222">
        <f t="shared" ca="1" si="843"/>
        <v>0</v>
      </c>
      <c r="FX229" s="222">
        <f t="shared" ca="1" si="843"/>
        <v>0</v>
      </c>
      <c r="FY229" s="222">
        <f t="shared" ca="1" si="843"/>
        <v>0</v>
      </c>
      <c r="FZ229" s="222">
        <f t="shared" ca="1" si="843"/>
        <v>1992.6175282008755</v>
      </c>
      <c r="GA229" s="222">
        <f t="shared" ca="1" si="843"/>
        <v>17390.485501708215</v>
      </c>
      <c r="GB229" s="222">
        <f t="shared" ref="GB229:HG229" ca="1" si="844">+-GB201+GB226+GB227</f>
        <v>47993.752817410037</v>
      </c>
      <c r="GC229" s="222">
        <f t="shared" ca="1" si="844"/>
        <v>85127.964087280096</v>
      </c>
      <c r="GD229" s="222">
        <f t="shared" ca="1" si="844"/>
        <v>86183.070068530113</v>
      </c>
      <c r="GE229" s="222">
        <f t="shared" ca="1" si="844"/>
        <v>87238.17604978013</v>
      </c>
      <c r="GF229" s="222">
        <f t="shared" ca="1" si="844"/>
        <v>88293.282031030132</v>
      </c>
      <c r="GG229" s="222">
        <f t="shared" ca="1" si="844"/>
        <v>89348.388012280091</v>
      </c>
      <c r="GH229" s="222">
        <f t="shared" ca="1" si="844"/>
        <v>90403.49399353005</v>
      </c>
      <c r="GI229" s="222">
        <f t="shared" ca="1" si="844"/>
        <v>91458.599974780125</v>
      </c>
      <c r="GJ229" s="222">
        <f t="shared" ca="1" si="844"/>
        <v>92513.705956030084</v>
      </c>
      <c r="GK229" s="222">
        <f t="shared" ca="1" si="844"/>
        <v>93568.811937280101</v>
      </c>
      <c r="GL229" s="222">
        <f t="shared" ca="1" si="844"/>
        <v>94623.917918530118</v>
      </c>
      <c r="GM229" s="222">
        <f t="shared" ca="1" si="844"/>
        <v>82651.053937678371</v>
      </c>
      <c r="GN229" s="222">
        <f t="shared" ca="1" si="844"/>
        <v>83737.813098365834</v>
      </c>
      <c r="GO229" s="222">
        <f t="shared" ca="1" si="844"/>
        <v>20377026.732894216</v>
      </c>
      <c r="GP229" s="222">
        <f t="shared" ca="1" si="844"/>
        <v>0</v>
      </c>
      <c r="GQ229" s="222">
        <f t="shared" ca="1" si="844"/>
        <v>0</v>
      </c>
      <c r="GR229" s="222">
        <f t="shared" ca="1" si="844"/>
        <v>0</v>
      </c>
      <c r="GS229" s="222">
        <f t="shared" ca="1" si="844"/>
        <v>0</v>
      </c>
      <c r="GT229" s="222">
        <f t="shared" ca="1" si="844"/>
        <v>0</v>
      </c>
      <c r="GU229" s="222">
        <f t="shared" ca="1" si="844"/>
        <v>0</v>
      </c>
      <c r="GV229" s="222">
        <f t="shared" ca="1" si="844"/>
        <v>0</v>
      </c>
      <c r="GW229" s="222">
        <f t="shared" ca="1" si="844"/>
        <v>0</v>
      </c>
      <c r="GX229" s="222">
        <f t="shared" ca="1" si="844"/>
        <v>0</v>
      </c>
      <c r="GY229" s="222">
        <f t="shared" ca="1" si="844"/>
        <v>0</v>
      </c>
      <c r="GZ229" s="222">
        <f t="shared" ca="1" si="844"/>
        <v>0</v>
      </c>
      <c r="HA229" s="222">
        <f t="shared" ca="1" si="844"/>
        <v>0</v>
      </c>
      <c r="HB229" s="222">
        <f t="shared" ca="1" si="844"/>
        <v>0</v>
      </c>
      <c r="HC229" s="222">
        <f t="shared" ca="1" si="844"/>
        <v>0</v>
      </c>
      <c r="HD229" s="222">
        <f t="shared" ca="1" si="844"/>
        <v>0</v>
      </c>
      <c r="HE229" s="222">
        <f t="shared" ca="1" si="844"/>
        <v>0</v>
      </c>
      <c r="HF229" s="222">
        <f t="shared" ca="1" si="844"/>
        <v>0</v>
      </c>
      <c r="HG229" s="222">
        <f t="shared" ca="1" si="844"/>
        <v>0</v>
      </c>
      <c r="HH229" s="222">
        <f t="shared" ref="HH229:IM229" ca="1" si="845">+-HH201+HH226+HH227</f>
        <v>0</v>
      </c>
      <c r="HI229" s="222">
        <f t="shared" ca="1" si="845"/>
        <v>0</v>
      </c>
      <c r="HJ229" s="222">
        <f t="shared" ca="1" si="845"/>
        <v>0</v>
      </c>
      <c r="HK229" s="222">
        <f t="shared" ca="1" si="845"/>
        <v>0</v>
      </c>
      <c r="HL229" s="222">
        <f t="shared" ca="1" si="845"/>
        <v>0</v>
      </c>
      <c r="HM229" s="222">
        <f t="shared" ca="1" si="845"/>
        <v>0</v>
      </c>
      <c r="HN229" s="222">
        <f t="shared" ca="1" si="845"/>
        <v>0</v>
      </c>
      <c r="HO229" s="222">
        <f t="shared" ca="1" si="845"/>
        <v>0</v>
      </c>
      <c r="HP229" s="222">
        <f t="shared" ca="1" si="845"/>
        <v>0</v>
      </c>
      <c r="HQ229" s="222">
        <f t="shared" ca="1" si="845"/>
        <v>0</v>
      </c>
      <c r="HR229" s="222">
        <f t="shared" ca="1" si="845"/>
        <v>0</v>
      </c>
      <c r="HS229" s="222">
        <f t="shared" ca="1" si="845"/>
        <v>0</v>
      </c>
      <c r="HT229" s="222">
        <f t="shared" ca="1" si="845"/>
        <v>0</v>
      </c>
      <c r="HU229" s="222">
        <f t="shared" ca="1" si="845"/>
        <v>0</v>
      </c>
      <c r="HV229" s="222">
        <f t="shared" ca="1" si="845"/>
        <v>0</v>
      </c>
      <c r="HW229" s="222">
        <f t="shared" ca="1" si="845"/>
        <v>0</v>
      </c>
      <c r="HX229" s="222">
        <f t="shared" ca="1" si="845"/>
        <v>0</v>
      </c>
      <c r="HY229" s="222">
        <f t="shared" ca="1" si="845"/>
        <v>0</v>
      </c>
      <c r="HZ229" s="222">
        <f t="shared" ca="1" si="845"/>
        <v>0</v>
      </c>
      <c r="IA229" s="222">
        <f t="shared" ca="1" si="845"/>
        <v>0</v>
      </c>
      <c r="IB229" s="222">
        <f t="shared" ca="1" si="845"/>
        <v>0</v>
      </c>
      <c r="IC229" s="222">
        <f t="shared" ca="1" si="845"/>
        <v>0</v>
      </c>
      <c r="ID229" s="222">
        <f t="shared" ca="1" si="845"/>
        <v>0</v>
      </c>
      <c r="IE229" s="222">
        <f t="shared" ca="1" si="845"/>
        <v>0</v>
      </c>
      <c r="IF229" s="222">
        <f t="shared" ca="1" si="845"/>
        <v>0</v>
      </c>
      <c r="IG229" s="222">
        <f t="shared" ca="1" si="845"/>
        <v>0</v>
      </c>
      <c r="IH229" s="222">
        <f t="shared" ca="1" si="845"/>
        <v>0</v>
      </c>
      <c r="II229" s="222">
        <f t="shared" ca="1" si="845"/>
        <v>0</v>
      </c>
      <c r="IJ229" s="222">
        <f t="shared" ca="1" si="845"/>
        <v>0</v>
      </c>
      <c r="IK229" s="222">
        <f t="shared" ca="1" si="845"/>
        <v>0</v>
      </c>
      <c r="IL229" s="222">
        <f t="shared" ca="1" si="845"/>
        <v>0</v>
      </c>
      <c r="IM229" s="222">
        <f t="shared" ca="1" si="845"/>
        <v>0</v>
      </c>
      <c r="IN229" s="222">
        <f t="shared" ref="IN229:JX229" ca="1" si="846">+-IN201+IN226+IN227</f>
        <v>0</v>
      </c>
      <c r="IO229" s="222">
        <f t="shared" ca="1" si="846"/>
        <v>0</v>
      </c>
      <c r="IP229" s="222">
        <f t="shared" ca="1" si="846"/>
        <v>0</v>
      </c>
      <c r="IQ229" s="222">
        <f t="shared" ca="1" si="846"/>
        <v>0</v>
      </c>
      <c r="IR229" s="222">
        <f t="shared" ca="1" si="846"/>
        <v>0</v>
      </c>
      <c r="IS229" s="222">
        <f t="shared" ca="1" si="846"/>
        <v>0</v>
      </c>
      <c r="IT229" s="222">
        <f t="shared" ca="1" si="846"/>
        <v>0</v>
      </c>
      <c r="IU229" s="222">
        <f t="shared" ca="1" si="846"/>
        <v>0</v>
      </c>
      <c r="IV229" s="222">
        <f t="shared" ca="1" si="846"/>
        <v>0</v>
      </c>
      <c r="IW229" s="222">
        <f t="shared" ca="1" si="846"/>
        <v>0</v>
      </c>
      <c r="IX229" s="222">
        <f t="shared" ca="1" si="846"/>
        <v>0</v>
      </c>
      <c r="IY229" s="222">
        <f t="shared" ca="1" si="846"/>
        <v>0</v>
      </c>
      <c r="IZ229" s="222">
        <f t="shared" ca="1" si="846"/>
        <v>0</v>
      </c>
      <c r="JA229" s="222">
        <f t="shared" ca="1" si="846"/>
        <v>0</v>
      </c>
      <c r="JB229" s="222">
        <f t="shared" ca="1" si="846"/>
        <v>0</v>
      </c>
      <c r="JC229" s="222">
        <f t="shared" ca="1" si="846"/>
        <v>0</v>
      </c>
      <c r="JD229" s="222">
        <f t="shared" ca="1" si="846"/>
        <v>0</v>
      </c>
      <c r="JE229" s="222">
        <f t="shared" ca="1" si="846"/>
        <v>0</v>
      </c>
      <c r="JF229" s="222">
        <f t="shared" ca="1" si="846"/>
        <v>0</v>
      </c>
      <c r="JG229" s="222">
        <f t="shared" ca="1" si="846"/>
        <v>0</v>
      </c>
      <c r="JH229" s="222">
        <f t="shared" ca="1" si="846"/>
        <v>0</v>
      </c>
      <c r="JI229" s="222">
        <f t="shared" ca="1" si="846"/>
        <v>0</v>
      </c>
      <c r="JJ229" s="222">
        <f t="shared" ca="1" si="846"/>
        <v>0</v>
      </c>
      <c r="JK229" s="222">
        <f t="shared" ca="1" si="846"/>
        <v>0</v>
      </c>
      <c r="JL229" s="222">
        <f t="shared" ca="1" si="846"/>
        <v>0</v>
      </c>
      <c r="JM229" s="222">
        <f t="shared" ca="1" si="846"/>
        <v>0</v>
      </c>
      <c r="JN229" s="222">
        <f t="shared" ca="1" si="846"/>
        <v>0</v>
      </c>
      <c r="JO229" s="222">
        <f t="shared" ca="1" si="846"/>
        <v>0</v>
      </c>
      <c r="JP229" s="222">
        <f t="shared" ca="1" si="846"/>
        <v>0</v>
      </c>
      <c r="JQ229" s="222">
        <f t="shared" ca="1" si="846"/>
        <v>0</v>
      </c>
      <c r="JR229" s="222">
        <f t="shared" ca="1" si="846"/>
        <v>0</v>
      </c>
      <c r="JS229" s="222">
        <f t="shared" ca="1" si="846"/>
        <v>0</v>
      </c>
      <c r="JT229" s="222">
        <f t="shared" ca="1" si="846"/>
        <v>0</v>
      </c>
      <c r="JU229" s="222">
        <f t="shared" ca="1" si="846"/>
        <v>0</v>
      </c>
      <c r="JV229" s="222">
        <f t="shared" ca="1" si="846"/>
        <v>0</v>
      </c>
      <c r="JW229" s="222">
        <f t="shared" ca="1" si="846"/>
        <v>0</v>
      </c>
      <c r="JX229" s="222">
        <f t="shared" ca="1" si="846"/>
        <v>0</v>
      </c>
    </row>
    <row r="230" spans="1:284" s="7" customFormat="1" x14ac:dyDescent="0.2">
      <c r="A230" s="406"/>
      <c r="B230" s="231" t="s">
        <v>70</v>
      </c>
      <c r="C230" s="233"/>
      <c r="D230" s="233"/>
      <c r="E230" s="235"/>
      <c r="F230" s="235"/>
      <c r="G230" s="235"/>
      <c r="H230" s="241">
        <f>SUM(H228:H229)</f>
        <v>1</v>
      </c>
      <c r="I230" s="242">
        <f ca="1">SUM(I228:I229)</f>
        <v>14637214.272123536</v>
      </c>
      <c r="L230" s="38">
        <f t="shared" ref="L230:AQ230" ca="1" si="847">IF(L227="","",SUM(L228:L229))</f>
        <v>3753159.5276612928</v>
      </c>
      <c r="M230" s="38">
        <f t="shared" ca="1" si="847"/>
        <v>434615.43632992054</v>
      </c>
      <c r="N230" s="38">
        <f t="shared" ca="1" si="847"/>
        <v>595115.21586161223</v>
      </c>
      <c r="O230" s="38">
        <f t="shared" ca="1" si="847"/>
        <v>913409.18359364884</v>
      </c>
      <c r="P230" s="38">
        <f t="shared" ca="1" si="847"/>
        <v>1467820.9038815256</v>
      </c>
      <c r="Q230" s="38">
        <f t="shared" ca="1" si="847"/>
        <v>2309629.6734741665</v>
      </c>
      <c r="R230" s="38">
        <f t="shared" ca="1" si="847"/>
        <v>3409858.2075612606</v>
      </c>
      <c r="S230" s="38">
        <f t="shared" ca="1" si="847"/>
        <v>1753606.1237601093</v>
      </c>
      <c r="T230" s="38">
        <f t="shared" ca="1" si="847"/>
        <v>0</v>
      </c>
      <c r="U230" s="38">
        <f t="shared" ca="1" si="847"/>
        <v>0</v>
      </c>
      <c r="V230" s="38">
        <f t="shared" ca="1" si="847"/>
        <v>0</v>
      </c>
      <c r="W230" s="38">
        <f t="shared" ca="1" si="847"/>
        <v>0</v>
      </c>
      <c r="X230" s="38">
        <f t="shared" ca="1" si="847"/>
        <v>0</v>
      </c>
      <c r="Y230" s="38">
        <f t="shared" ca="1" si="847"/>
        <v>0</v>
      </c>
      <c r="Z230" s="38">
        <f t="shared" ca="1" si="847"/>
        <v>0</v>
      </c>
      <c r="AA230" s="38">
        <f t="shared" ca="1" si="847"/>
        <v>0</v>
      </c>
      <c r="AB230" s="38">
        <f t="shared" ca="1" si="847"/>
        <v>0</v>
      </c>
      <c r="AC230" s="38">
        <f t="shared" ca="1" si="847"/>
        <v>0</v>
      </c>
      <c r="AD230" s="38">
        <f t="shared" ca="1" si="847"/>
        <v>0</v>
      </c>
      <c r="AE230" s="38">
        <f t="shared" ca="1" si="847"/>
        <v>0</v>
      </c>
      <c r="AF230" s="38">
        <f t="shared" ca="1" si="847"/>
        <v>0</v>
      </c>
      <c r="AG230" s="38">
        <f t="shared" ca="1" si="847"/>
        <v>0</v>
      </c>
      <c r="AH230" s="38">
        <f t="shared" ca="1" si="847"/>
        <v>0</v>
      </c>
      <c r="AI230" s="38">
        <f t="shared" ca="1" si="847"/>
        <v>0</v>
      </c>
      <c r="AJ230" s="38">
        <f t="shared" ca="1" si="847"/>
        <v>1.0913936421275137E-11</v>
      </c>
      <c r="AK230" s="38">
        <f t="shared" ca="1" si="847"/>
        <v>0</v>
      </c>
      <c r="AL230" s="38">
        <f t="shared" ca="1" si="847"/>
        <v>0</v>
      </c>
      <c r="AM230" s="38">
        <f t="shared" ca="1" si="847"/>
        <v>0</v>
      </c>
      <c r="AN230" s="38">
        <f t="shared" ca="1" si="847"/>
        <v>0</v>
      </c>
      <c r="AO230" s="38">
        <f t="shared" ca="1" si="847"/>
        <v>0</v>
      </c>
      <c r="AP230" s="38">
        <f t="shared" ca="1" si="847"/>
        <v>0</v>
      </c>
      <c r="AQ230" s="38">
        <f t="shared" ca="1" si="847"/>
        <v>0</v>
      </c>
      <c r="AR230" s="38">
        <f t="shared" ref="AR230:BW230" ca="1" si="848">IF(AR227="","",SUM(AR228:AR229))</f>
        <v>0</v>
      </c>
      <c r="AS230" s="38">
        <f t="shared" ca="1" si="848"/>
        <v>0</v>
      </c>
      <c r="AT230" s="38">
        <f t="shared" ca="1" si="848"/>
        <v>0</v>
      </c>
      <c r="AU230" s="38">
        <f t="shared" ca="1" si="848"/>
        <v>0</v>
      </c>
      <c r="AV230" s="38">
        <f t="shared" ca="1" si="848"/>
        <v>0</v>
      </c>
      <c r="AW230" s="38">
        <f t="shared" ca="1" si="848"/>
        <v>0</v>
      </c>
      <c r="AX230" s="38">
        <f t="shared" ca="1" si="848"/>
        <v>0</v>
      </c>
      <c r="AY230" s="38">
        <f t="shared" ca="1" si="848"/>
        <v>0</v>
      </c>
      <c r="AZ230" s="38">
        <f t="shared" ca="1" si="848"/>
        <v>0</v>
      </c>
      <c r="BA230" s="38">
        <f t="shared" ca="1" si="848"/>
        <v>0</v>
      </c>
      <c r="BB230" s="38">
        <f t="shared" ca="1" si="848"/>
        <v>0</v>
      </c>
      <c r="BC230" s="38">
        <f t="shared" ca="1" si="848"/>
        <v>0</v>
      </c>
      <c r="BD230" s="38">
        <f t="shared" ca="1" si="848"/>
        <v>0</v>
      </c>
      <c r="BE230" s="38">
        <f t="shared" ca="1" si="848"/>
        <v>0</v>
      </c>
      <c r="BF230" s="38" t="str">
        <f t="shared" si="848"/>
        <v/>
      </c>
      <c r="BG230" s="38" t="str">
        <f t="shared" si="848"/>
        <v/>
      </c>
      <c r="BH230" s="38" t="str">
        <f t="shared" si="848"/>
        <v/>
      </c>
      <c r="BI230" s="38" t="str">
        <f t="shared" si="848"/>
        <v/>
      </c>
      <c r="BJ230" s="38" t="str">
        <f t="shared" si="848"/>
        <v/>
      </c>
      <c r="BK230" s="38" t="str">
        <f t="shared" si="848"/>
        <v/>
      </c>
      <c r="BL230" s="38" t="str">
        <f t="shared" si="848"/>
        <v/>
      </c>
      <c r="BM230" s="38" t="str">
        <f t="shared" si="848"/>
        <v/>
      </c>
      <c r="BN230" s="38" t="str">
        <f t="shared" si="848"/>
        <v/>
      </c>
      <c r="BO230" s="38" t="str">
        <f t="shared" si="848"/>
        <v/>
      </c>
      <c r="BP230" s="38" t="str">
        <f t="shared" si="848"/>
        <v/>
      </c>
      <c r="BQ230" s="38" t="str">
        <f t="shared" si="848"/>
        <v/>
      </c>
      <c r="BR230" s="38" t="str">
        <f t="shared" si="848"/>
        <v/>
      </c>
      <c r="BS230" s="38" t="str">
        <f t="shared" si="848"/>
        <v/>
      </c>
      <c r="BT230" s="38" t="str">
        <f t="shared" si="848"/>
        <v/>
      </c>
      <c r="BU230" s="38" t="str">
        <f t="shared" si="848"/>
        <v/>
      </c>
      <c r="BV230" s="38" t="str">
        <f t="shared" si="848"/>
        <v/>
      </c>
      <c r="BW230" s="38" t="str">
        <f t="shared" si="848"/>
        <v/>
      </c>
      <c r="BX230" s="38" t="str">
        <f t="shared" ref="BX230:DC230" si="849">IF(BX227="","",SUM(BX228:BX229))</f>
        <v/>
      </c>
      <c r="BY230" s="38" t="str">
        <f t="shared" si="849"/>
        <v/>
      </c>
      <c r="BZ230" s="38" t="str">
        <f t="shared" si="849"/>
        <v/>
      </c>
      <c r="CA230" s="38" t="str">
        <f t="shared" si="849"/>
        <v/>
      </c>
      <c r="CB230" s="38" t="str">
        <f t="shared" si="849"/>
        <v/>
      </c>
      <c r="CC230" s="38" t="str">
        <f t="shared" si="849"/>
        <v/>
      </c>
      <c r="CD230" s="38" t="str">
        <f t="shared" si="849"/>
        <v/>
      </c>
      <c r="CE230" s="38" t="str">
        <f t="shared" si="849"/>
        <v/>
      </c>
      <c r="CF230" s="38" t="str">
        <f t="shared" si="849"/>
        <v/>
      </c>
      <c r="CG230" s="38" t="str">
        <f t="shared" si="849"/>
        <v/>
      </c>
      <c r="CH230" s="38" t="str">
        <f t="shared" si="849"/>
        <v/>
      </c>
      <c r="CI230" s="38" t="str">
        <f t="shared" si="849"/>
        <v/>
      </c>
      <c r="CJ230" s="38" t="str">
        <f t="shared" si="849"/>
        <v/>
      </c>
      <c r="CK230" s="38" t="str">
        <f t="shared" si="849"/>
        <v/>
      </c>
      <c r="CL230" s="38" t="str">
        <f t="shared" si="849"/>
        <v/>
      </c>
      <c r="CM230" s="38" t="str">
        <f t="shared" si="849"/>
        <v/>
      </c>
      <c r="CN230" s="38" t="str">
        <f t="shared" si="849"/>
        <v/>
      </c>
      <c r="CO230" s="38" t="str">
        <f t="shared" si="849"/>
        <v/>
      </c>
      <c r="CP230" s="38" t="str">
        <f t="shared" si="849"/>
        <v/>
      </c>
      <c r="CQ230" s="38" t="str">
        <f t="shared" si="849"/>
        <v/>
      </c>
      <c r="CR230" s="38" t="str">
        <f t="shared" si="849"/>
        <v/>
      </c>
      <c r="CS230" s="38" t="str">
        <f t="shared" si="849"/>
        <v/>
      </c>
      <c r="CT230" s="38" t="str">
        <f t="shared" si="849"/>
        <v/>
      </c>
      <c r="CU230" s="38" t="str">
        <f t="shared" si="849"/>
        <v/>
      </c>
      <c r="CV230" s="38" t="str">
        <f t="shared" si="849"/>
        <v/>
      </c>
      <c r="CW230" s="38" t="str">
        <f t="shared" si="849"/>
        <v/>
      </c>
      <c r="CX230" s="38" t="str">
        <f t="shared" si="849"/>
        <v/>
      </c>
      <c r="CY230" s="38" t="str">
        <f t="shared" si="849"/>
        <v/>
      </c>
      <c r="CZ230" s="38" t="str">
        <f t="shared" si="849"/>
        <v/>
      </c>
      <c r="DA230" s="38" t="str">
        <f t="shared" si="849"/>
        <v/>
      </c>
      <c r="DB230" s="38" t="str">
        <f t="shared" si="849"/>
        <v/>
      </c>
      <c r="DC230" s="38" t="str">
        <f t="shared" si="849"/>
        <v/>
      </c>
      <c r="DD230" s="38" t="str">
        <f t="shared" ref="DD230:EI230" si="850">IF(DD227="","",SUM(DD228:DD229))</f>
        <v/>
      </c>
      <c r="DE230" s="38" t="str">
        <f t="shared" si="850"/>
        <v/>
      </c>
      <c r="DF230" s="38" t="str">
        <f t="shared" si="850"/>
        <v/>
      </c>
      <c r="DG230" s="38" t="str">
        <f t="shared" si="850"/>
        <v/>
      </c>
      <c r="DH230" s="38" t="str">
        <f t="shared" si="850"/>
        <v/>
      </c>
      <c r="DI230" s="38" t="str">
        <f t="shared" si="850"/>
        <v/>
      </c>
      <c r="DJ230" s="38" t="str">
        <f t="shared" si="850"/>
        <v/>
      </c>
      <c r="DK230" s="38" t="str">
        <f t="shared" si="850"/>
        <v/>
      </c>
      <c r="DL230" s="38" t="str">
        <f t="shared" si="850"/>
        <v/>
      </c>
      <c r="DM230" s="38" t="str">
        <f t="shared" si="850"/>
        <v/>
      </c>
      <c r="DN230" s="38" t="str">
        <f t="shared" si="850"/>
        <v/>
      </c>
      <c r="DO230" s="38" t="str">
        <f t="shared" si="850"/>
        <v/>
      </c>
      <c r="DP230" s="38" t="str">
        <f t="shared" si="850"/>
        <v/>
      </c>
      <c r="DQ230" s="38" t="str">
        <f t="shared" si="850"/>
        <v/>
      </c>
      <c r="DR230" s="38" t="str">
        <f t="shared" si="850"/>
        <v/>
      </c>
      <c r="DS230" s="38" t="str">
        <f t="shared" si="850"/>
        <v/>
      </c>
      <c r="DT230" s="38" t="str">
        <f t="shared" si="850"/>
        <v/>
      </c>
      <c r="DU230" s="38" t="str">
        <f t="shared" si="850"/>
        <v/>
      </c>
      <c r="DV230" s="38" t="str">
        <f t="shared" si="850"/>
        <v/>
      </c>
      <c r="DW230" s="38" t="str">
        <f t="shared" si="850"/>
        <v/>
      </c>
      <c r="DX230" s="38" t="str">
        <f t="shared" si="850"/>
        <v/>
      </c>
      <c r="DY230" s="38" t="str">
        <f t="shared" si="850"/>
        <v/>
      </c>
      <c r="DZ230" s="38" t="str">
        <f t="shared" si="850"/>
        <v/>
      </c>
      <c r="EA230" s="38" t="str">
        <f t="shared" si="850"/>
        <v/>
      </c>
      <c r="EB230" s="38" t="str">
        <f t="shared" si="850"/>
        <v/>
      </c>
      <c r="EC230" s="38" t="str">
        <f t="shared" si="850"/>
        <v/>
      </c>
      <c r="ED230" s="38" t="str">
        <f t="shared" si="850"/>
        <v/>
      </c>
      <c r="EE230" s="38" t="str">
        <f t="shared" si="850"/>
        <v/>
      </c>
      <c r="EF230" s="38" t="str">
        <f t="shared" si="850"/>
        <v/>
      </c>
      <c r="EG230" s="38" t="str">
        <f t="shared" si="850"/>
        <v/>
      </c>
      <c r="EH230" s="38" t="str">
        <f t="shared" si="850"/>
        <v/>
      </c>
      <c r="EI230" s="38" t="str">
        <f t="shared" si="850"/>
        <v/>
      </c>
      <c r="EJ230" s="38" t="str">
        <f>IF(EJ227="","",SUM(EJ228:EJ229))</f>
        <v/>
      </c>
      <c r="EK230" s="38" t="str">
        <f>IF(EK227="","",SUM(EK228:EK229))</f>
        <v/>
      </c>
      <c r="EL230" s="38" t="str">
        <f>IF(EL227="","",SUM(EL228:EL229))</f>
        <v/>
      </c>
      <c r="EM230" s="38" t="str">
        <f>IF(EM227="","",SUM(EM228:EM229))</f>
        <v/>
      </c>
      <c r="EN230" s="38" t="str">
        <f>IF(EN227="","",SUM(EN228:EN229))</f>
        <v/>
      </c>
      <c r="EP230" s="37"/>
      <c r="EQ230" s="24"/>
      <c r="ER230" s="24"/>
      <c r="ES230" s="24"/>
      <c r="ET230" s="33" t="s">
        <v>398</v>
      </c>
      <c r="EU230" s="33"/>
      <c r="EV230" s="225">
        <f t="shared" ref="EV230:GA230" ca="1" si="851">(EV$197&lt;=Timing_Reversion_Month)*(EV227/$I$235*$H$235)</f>
        <v>0</v>
      </c>
      <c r="EW230" s="225">
        <f t="shared" ca="1" si="851"/>
        <v>0</v>
      </c>
      <c r="EX230" s="225">
        <f t="shared" ca="1" si="851"/>
        <v>0</v>
      </c>
      <c r="EY230" s="225">
        <f t="shared" ca="1" si="851"/>
        <v>0</v>
      </c>
      <c r="EZ230" s="225">
        <f t="shared" ca="1" si="851"/>
        <v>0</v>
      </c>
      <c r="FA230" s="225">
        <f t="shared" ca="1" si="851"/>
        <v>0</v>
      </c>
      <c r="FB230" s="225">
        <f t="shared" ca="1" si="851"/>
        <v>0</v>
      </c>
      <c r="FC230" s="225">
        <f t="shared" ca="1" si="851"/>
        <v>0</v>
      </c>
      <c r="FD230" s="225">
        <f t="shared" ca="1" si="851"/>
        <v>0</v>
      </c>
      <c r="FE230" s="225">
        <f t="shared" ca="1" si="851"/>
        <v>0</v>
      </c>
      <c r="FF230" s="225">
        <f t="shared" ca="1" si="851"/>
        <v>0</v>
      </c>
      <c r="FG230" s="225">
        <f t="shared" ca="1" si="851"/>
        <v>0</v>
      </c>
      <c r="FH230" s="225">
        <f t="shared" ca="1" si="851"/>
        <v>0</v>
      </c>
      <c r="FI230" s="225">
        <f t="shared" ca="1" si="851"/>
        <v>0</v>
      </c>
      <c r="FJ230" s="225">
        <f t="shared" ca="1" si="851"/>
        <v>0</v>
      </c>
      <c r="FK230" s="225">
        <f t="shared" ca="1" si="851"/>
        <v>0</v>
      </c>
      <c r="FL230" s="225">
        <f t="shared" ca="1" si="851"/>
        <v>0</v>
      </c>
      <c r="FM230" s="225">
        <f t="shared" ca="1" si="851"/>
        <v>0</v>
      </c>
      <c r="FN230" s="225">
        <f t="shared" ca="1" si="851"/>
        <v>0</v>
      </c>
      <c r="FO230" s="225">
        <f t="shared" ca="1" si="851"/>
        <v>0</v>
      </c>
      <c r="FP230" s="225">
        <f t="shared" ca="1" si="851"/>
        <v>0</v>
      </c>
      <c r="FQ230" s="225">
        <f t="shared" ca="1" si="851"/>
        <v>0</v>
      </c>
      <c r="FR230" s="225">
        <f t="shared" ca="1" si="851"/>
        <v>0</v>
      </c>
      <c r="FS230" s="225">
        <f t="shared" ca="1" si="851"/>
        <v>0</v>
      </c>
      <c r="FT230" s="225">
        <f t="shared" ca="1" si="851"/>
        <v>0</v>
      </c>
      <c r="FU230" s="225">
        <f t="shared" ca="1" si="851"/>
        <v>0</v>
      </c>
      <c r="FV230" s="225">
        <f t="shared" ca="1" si="851"/>
        <v>0</v>
      </c>
      <c r="FW230" s="225">
        <f t="shared" ca="1" si="851"/>
        <v>0</v>
      </c>
      <c r="FX230" s="225">
        <f t="shared" ca="1" si="851"/>
        <v>0</v>
      </c>
      <c r="FY230" s="225">
        <f t="shared" ca="1" si="851"/>
        <v>0</v>
      </c>
      <c r="FZ230" s="225">
        <f t="shared" ca="1" si="851"/>
        <v>0</v>
      </c>
      <c r="GA230" s="225">
        <f t="shared" ca="1" si="851"/>
        <v>0</v>
      </c>
      <c r="GB230" s="225">
        <f t="shared" ref="GB230:HG230" ca="1" si="852">(GB$197&lt;=Timing_Reversion_Month)*(GB227/$I$235*$H$235)</f>
        <v>0</v>
      </c>
      <c r="GC230" s="225">
        <f t="shared" ca="1" si="852"/>
        <v>0</v>
      </c>
      <c r="GD230" s="225">
        <f t="shared" ca="1" si="852"/>
        <v>0</v>
      </c>
      <c r="GE230" s="225">
        <f t="shared" ca="1" si="852"/>
        <v>0</v>
      </c>
      <c r="GF230" s="225">
        <f t="shared" ca="1" si="852"/>
        <v>0</v>
      </c>
      <c r="GG230" s="225">
        <f t="shared" ca="1" si="852"/>
        <v>0</v>
      </c>
      <c r="GH230" s="225">
        <f t="shared" ca="1" si="852"/>
        <v>0</v>
      </c>
      <c r="GI230" s="225">
        <f t="shared" ca="1" si="852"/>
        <v>0</v>
      </c>
      <c r="GJ230" s="225">
        <f t="shared" ca="1" si="852"/>
        <v>0</v>
      </c>
      <c r="GK230" s="225">
        <f t="shared" ca="1" si="852"/>
        <v>0</v>
      </c>
      <c r="GL230" s="225">
        <f t="shared" ca="1" si="852"/>
        <v>0</v>
      </c>
      <c r="GM230" s="225">
        <f t="shared" ca="1" si="852"/>
        <v>0</v>
      </c>
      <c r="GN230" s="225">
        <f t="shared" ca="1" si="852"/>
        <v>0</v>
      </c>
      <c r="GO230" s="225">
        <f t="shared" ca="1" si="852"/>
        <v>527075.30406338559</v>
      </c>
      <c r="GP230" s="225">
        <f t="shared" ca="1" si="852"/>
        <v>0</v>
      </c>
      <c r="GQ230" s="225">
        <f t="shared" ca="1" si="852"/>
        <v>0</v>
      </c>
      <c r="GR230" s="225">
        <f t="shared" ca="1" si="852"/>
        <v>0</v>
      </c>
      <c r="GS230" s="225">
        <f t="shared" ca="1" si="852"/>
        <v>0</v>
      </c>
      <c r="GT230" s="225">
        <f t="shared" ca="1" si="852"/>
        <v>0</v>
      </c>
      <c r="GU230" s="225">
        <f t="shared" ca="1" si="852"/>
        <v>0</v>
      </c>
      <c r="GV230" s="225">
        <f t="shared" ca="1" si="852"/>
        <v>0</v>
      </c>
      <c r="GW230" s="225">
        <f t="shared" ca="1" si="852"/>
        <v>0</v>
      </c>
      <c r="GX230" s="225">
        <f t="shared" ca="1" si="852"/>
        <v>0</v>
      </c>
      <c r="GY230" s="225">
        <f t="shared" ca="1" si="852"/>
        <v>0</v>
      </c>
      <c r="GZ230" s="225">
        <f t="shared" ca="1" si="852"/>
        <v>0</v>
      </c>
      <c r="HA230" s="225">
        <f t="shared" ca="1" si="852"/>
        <v>0</v>
      </c>
      <c r="HB230" s="225">
        <f t="shared" ca="1" si="852"/>
        <v>0</v>
      </c>
      <c r="HC230" s="225">
        <f t="shared" ca="1" si="852"/>
        <v>0</v>
      </c>
      <c r="HD230" s="225">
        <f t="shared" ca="1" si="852"/>
        <v>0</v>
      </c>
      <c r="HE230" s="225">
        <f t="shared" ca="1" si="852"/>
        <v>0</v>
      </c>
      <c r="HF230" s="225">
        <f t="shared" ca="1" si="852"/>
        <v>0</v>
      </c>
      <c r="HG230" s="225">
        <f t="shared" ca="1" si="852"/>
        <v>0</v>
      </c>
      <c r="HH230" s="225">
        <f t="shared" ref="HH230:IM230" ca="1" si="853">(HH$197&lt;=Timing_Reversion_Month)*(HH227/$I$235*$H$235)</f>
        <v>0</v>
      </c>
      <c r="HI230" s="225">
        <f t="shared" ca="1" si="853"/>
        <v>0</v>
      </c>
      <c r="HJ230" s="225">
        <f t="shared" ca="1" si="853"/>
        <v>0</v>
      </c>
      <c r="HK230" s="225">
        <f t="shared" ca="1" si="853"/>
        <v>0</v>
      </c>
      <c r="HL230" s="225">
        <f t="shared" ca="1" si="853"/>
        <v>0</v>
      </c>
      <c r="HM230" s="225">
        <f t="shared" ca="1" si="853"/>
        <v>0</v>
      </c>
      <c r="HN230" s="225">
        <f t="shared" ca="1" si="853"/>
        <v>0</v>
      </c>
      <c r="HO230" s="225">
        <f t="shared" ca="1" si="853"/>
        <v>0</v>
      </c>
      <c r="HP230" s="225">
        <f t="shared" ca="1" si="853"/>
        <v>0</v>
      </c>
      <c r="HQ230" s="225">
        <f t="shared" ca="1" si="853"/>
        <v>0</v>
      </c>
      <c r="HR230" s="225">
        <f t="shared" ca="1" si="853"/>
        <v>0</v>
      </c>
      <c r="HS230" s="225">
        <f t="shared" ca="1" si="853"/>
        <v>0</v>
      </c>
      <c r="HT230" s="225">
        <f t="shared" ca="1" si="853"/>
        <v>0</v>
      </c>
      <c r="HU230" s="225">
        <f t="shared" ca="1" si="853"/>
        <v>0</v>
      </c>
      <c r="HV230" s="225">
        <f t="shared" ca="1" si="853"/>
        <v>0</v>
      </c>
      <c r="HW230" s="225">
        <f t="shared" ca="1" si="853"/>
        <v>0</v>
      </c>
      <c r="HX230" s="225">
        <f t="shared" ca="1" si="853"/>
        <v>0</v>
      </c>
      <c r="HY230" s="225">
        <f t="shared" ca="1" si="853"/>
        <v>0</v>
      </c>
      <c r="HZ230" s="225">
        <f t="shared" ca="1" si="853"/>
        <v>0</v>
      </c>
      <c r="IA230" s="225">
        <f t="shared" ca="1" si="853"/>
        <v>0</v>
      </c>
      <c r="IB230" s="225">
        <f t="shared" ca="1" si="853"/>
        <v>0</v>
      </c>
      <c r="IC230" s="225">
        <f t="shared" ca="1" si="853"/>
        <v>0</v>
      </c>
      <c r="ID230" s="225">
        <f t="shared" ca="1" si="853"/>
        <v>0</v>
      </c>
      <c r="IE230" s="225">
        <f t="shared" ca="1" si="853"/>
        <v>0</v>
      </c>
      <c r="IF230" s="225">
        <f t="shared" ca="1" si="853"/>
        <v>0</v>
      </c>
      <c r="IG230" s="225">
        <f t="shared" ca="1" si="853"/>
        <v>0</v>
      </c>
      <c r="IH230" s="225">
        <f t="shared" ca="1" si="853"/>
        <v>0</v>
      </c>
      <c r="II230" s="225">
        <f t="shared" ca="1" si="853"/>
        <v>0</v>
      </c>
      <c r="IJ230" s="225">
        <f t="shared" ca="1" si="853"/>
        <v>0</v>
      </c>
      <c r="IK230" s="225">
        <f t="shared" ca="1" si="853"/>
        <v>0</v>
      </c>
      <c r="IL230" s="225">
        <f t="shared" ca="1" si="853"/>
        <v>0</v>
      </c>
      <c r="IM230" s="225">
        <f t="shared" ca="1" si="853"/>
        <v>0</v>
      </c>
      <c r="IN230" s="225">
        <f t="shared" ref="IN230:JX230" ca="1" si="854">(IN$197&lt;=Timing_Reversion_Month)*(IN227/$I$235*$H$235)</f>
        <v>0</v>
      </c>
      <c r="IO230" s="225">
        <f t="shared" ca="1" si="854"/>
        <v>0</v>
      </c>
      <c r="IP230" s="225">
        <f t="shared" ca="1" si="854"/>
        <v>0</v>
      </c>
      <c r="IQ230" s="225">
        <f t="shared" ca="1" si="854"/>
        <v>0</v>
      </c>
      <c r="IR230" s="225">
        <f t="shared" ca="1" si="854"/>
        <v>0</v>
      </c>
      <c r="IS230" s="225">
        <f t="shared" ca="1" si="854"/>
        <v>0</v>
      </c>
      <c r="IT230" s="225">
        <f t="shared" ca="1" si="854"/>
        <v>0</v>
      </c>
      <c r="IU230" s="225">
        <f t="shared" ca="1" si="854"/>
        <v>0</v>
      </c>
      <c r="IV230" s="225">
        <f t="shared" ca="1" si="854"/>
        <v>0</v>
      </c>
      <c r="IW230" s="225">
        <f t="shared" ca="1" si="854"/>
        <v>0</v>
      </c>
      <c r="IX230" s="225">
        <f t="shared" ca="1" si="854"/>
        <v>0</v>
      </c>
      <c r="IY230" s="225">
        <f t="shared" ca="1" si="854"/>
        <v>0</v>
      </c>
      <c r="IZ230" s="225">
        <f t="shared" ca="1" si="854"/>
        <v>0</v>
      </c>
      <c r="JA230" s="225">
        <f t="shared" ca="1" si="854"/>
        <v>0</v>
      </c>
      <c r="JB230" s="225">
        <f t="shared" ca="1" si="854"/>
        <v>0</v>
      </c>
      <c r="JC230" s="225">
        <f t="shared" ca="1" si="854"/>
        <v>0</v>
      </c>
      <c r="JD230" s="225">
        <f t="shared" ca="1" si="854"/>
        <v>0</v>
      </c>
      <c r="JE230" s="225">
        <f t="shared" ca="1" si="854"/>
        <v>0</v>
      </c>
      <c r="JF230" s="225">
        <f t="shared" ca="1" si="854"/>
        <v>0</v>
      </c>
      <c r="JG230" s="225">
        <f t="shared" ca="1" si="854"/>
        <v>0</v>
      </c>
      <c r="JH230" s="225">
        <f t="shared" ca="1" si="854"/>
        <v>0</v>
      </c>
      <c r="JI230" s="225">
        <f t="shared" ca="1" si="854"/>
        <v>0</v>
      </c>
      <c r="JJ230" s="225">
        <f t="shared" ca="1" si="854"/>
        <v>0</v>
      </c>
      <c r="JK230" s="225">
        <f t="shared" ca="1" si="854"/>
        <v>0</v>
      </c>
      <c r="JL230" s="225">
        <f t="shared" ca="1" si="854"/>
        <v>0</v>
      </c>
      <c r="JM230" s="225">
        <f t="shared" ca="1" si="854"/>
        <v>0</v>
      </c>
      <c r="JN230" s="225">
        <f t="shared" ca="1" si="854"/>
        <v>0</v>
      </c>
      <c r="JO230" s="225">
        <f t="shared" ca="1" si="854"/>
        <v>0</v>
      </c>
      <c r="JP230" s="225">
        <f t="shared" ca="1" si="854"/>
        <v>0</v>
      </c>
      <c r="JQ230" s="225">
        <f t="shared" ca="1" si="854"/>
        <v>0</v>
      </c>
      <c r="JR230" s="225">
        <f t="shared" ca="1" si="854"/>
        <v>0</v>
      </c>
      <c r="JS230" s="225">
        <f t="shared" ca="1" si="854"/>
        <v>0</v>
      </c>
      <c r="JT230" s="225">
        <f t="shared" ca="1" si="854"/>
        <v>0</v>
      </c>
      <c r="JU230" s="225">
        <f t="shared" ca="1" si="854"/>
        <v>0</v>
      </c>
      <c r="JV230" s="225">
        <f t="shared" ca="1" si="854"/>
        <v>0</v>
      </c>
      <c r="JW230" s="225">
        <f t="shared" ca="1" si="854"/>
        <v>0</v>
      </c>
      <c r="JX230" s="225">
        <f t="shared" ca="1" si="854"/>
        <v>0</v>
      </c>
    </row>
    <row r="231" spans="1:284" s="7" customFormat="1" ht="5.0999999999999996" customHeight="1" x14ac:dyDescent="0.2">
      <c r="A231" s="406"/>
      <c r="B231" s="231"/>
      <c r="C231" s="233"/>
      <c r="D231" s="233"/>
      <c r="E231" s="235"/>
      <c r="F231" s="235"/>
      <c r="G231" s="235"/>
      <c r="H231" s="241"/>
      <c r="I231" s="242"/>
      <c r="EP231" s="37"/>
      <c r="EQ231" s="24"/>
      <c r="ER231" s="24"/>
      <c r="ES231" s="24"/>
      <c r="ET231" s="33" t="s">
        <v>390</v>
      </c>
      <c r="EU231" s="33"/>
      <c r="EV231" s="222">
        <f ca="1">+EV230+EV227</f>
        <v>0</v>
      </c>
      <c r="EW231" s="222">
        <f t="shared" ref="EW231:HH231" ca="1" si="855">+EW230+EW227</f>
        <v>0</v>
      </c>
      <c r="EX231" s="222">
        <f t="shared" ca="1" si="855"/>
        <v>0</v>
      </c>
      <c r="EY231" s="222">
        <f t="shared" ca="1" si="855"/>
        <v>0</v>
      </c>
      <c r="EZ231" s="222">
        <f t="shared" ca="1" si="855"/>
        <v>0</v>
      </c>
      <c r="FA231" s="222">
        <f t="shared" ca="1" si="855"/>
        <v>0</v>
      </c>
      <c r="FB231" s="222">
        <f t="shared" ca="1" si="855"/>
        <v>0</v>
      </c>
      <c r="FC231" s="222">
        <f t="shared" ca="1" si="855"/>
        <v>0</v>
      </c>
      <c r="FD231" s="222">
        <f t="shared" ca="1" si="855"/>
        <v>0</v>
      </c>
      <c r="FE231" s="222">
        <f t="shared" ca="1" si="855"/>
        <v>0</v>
      </c>
      <c r="FF231" s="222">
        <f t="shared" ca="1" si="855"/>
        <v>0</v>
      </c>
      <c r="FG231" s="222">
        <f t="shared" ca="1" si="855"/>
        <v>0</v>
      </c>
      <c r="FH231" s="222">
        <f t="shared" ca="1" si="855"/>
        <v>0</v>
      </c>
      <c r="FI231" s="222">
        <f t="shared" ca="1" si="855"/>
        <v>0</v>
      </c>
      <c r="FJ231" s="222">
        <f t="shared" ca="1" si="855"/>
        <v>0</v>
      </c>
      <c r="FK231" s="222">
        <f t="shared" ca="1" si="855"/>
        <v>0</v>
      </c>
      <c r="FL231" s="222">
        <f t="shared" ca="1" si="855"/>
        <v>0</v>
      </c>
      <c r="FM231" s="222">
        <f t="shared" ca="1" si="855"/>
        <v>0</v>
      </c>
      <c r="FN231" s="222">
        <f t="shared" ca="1" si="855"/>
        <v>0</v>
      </c>
      <c r="FO231" s="222">
        <f t="shared" ca="1" si="855"/>
        <v>0</v>
      </c>
      <c r="FP231" s="222">
        <f t="shared" ca="1" si="855"/>
        <v>0</v>
      </c>
      <c r="FQ231" s="222">
        <f t="shared" ca="1" si="855"/>
        <v>0</v>
      </c>
      <c r="FR231" s="222">
        <f t="shared" ca="1" si="855"/>
        <v>0</v>
      </c>
      <c r="FS231" s="222">
        <f t="shared" ca="1" si="855"/>
        <v>0</v>
      </c>
      <c r="FT231" s="222">
        <f t="shared" ca="1" si="855"/>
        <v>0</v>
      </c>
      <c r="FU231" s="222">
        <f t="shared" ca="1" si="855"/>
        <v>0</v>
      </c>
      <c r="FV231" s="222">
        <f t="shared" ca="1" si="855"/>
        <v>0</v>
      </c>
      <c r="FW231" s="222">
        <f t="shared" ca="1" si="855"/>
        <v>0</v>
      </c>
      <c r="FX231" s="222">
        <f t="shared" ca="1" si="855"/>
        <v>0</v>
      </c>
      <c r="FY231" s="222">
        <f t="shared" ca="1" si="855"/>
        <v>0</v>
      </c>
      <c r="FZ231" s="222">
        <f t="shared" ca="1" si="855"/>
        <v>0</v>
      </c>
      <c r="GA231" s="222">
        <f t="shared" ca="1" si="855"/>
        <v>0</v>
      </c>
      <c r="GB231" s="222">
        <f t="shared" ca="1" si="855"/>
        <v>0</v>
      </c>
      <c r="GC231" s="222">
        <f t="shared" ca="1" si="855"/>
        <v>0</v>
      </c>
      <c r="GD231" s="222">
        <f t="shared" ca="1" si="855"/>
        <v>0</v>
      </c>
      <c r="GE231" s="222">
        <f t="shared" ca="1" si="855"/>
        <v>0</v>
      </c>
      <c r="GF231" s="222">
        <f t="shared" ca="1" si="855"/>
        <v>0</v>
      </c>
      <c r="GG231" s="222">
        <f t="shared" ca="1" si="855"/>
        <v>0</v>
      </c>
      <c r="GH231" s="222">
        <f t="shared" ca="1" si="855"/>
        <v>0</v>
      </c>
      <c r="GI231" s="222">
        <f t="shared" ca="1" si="855"/>
        <v>0</v>
      </c>
      <c r="GJ231" s="222">
        <f t="shared" ca="1" si="855"/>
        <v>0</v>
      </c>
      <c r="GK231" s="222">
        <f t="shared" ca="1" si="855"/>
        <v>0</v>
      </c>
      <c r="GL231" s="222">
        <f t="shared" ca="1" si="855"/>
        <v>0</v>
      </c>
      <c r="GM231" s="222">
        <f t="shared" ca="1" si="855"/>
        <v>0</v>
      </c>
      <c r="GN231" s="222">
        <f t="shared" ca="1" si="855"/>
        <v>0</v>
      </c>
      <c r="GO231" s="222">
        <f t="shared" ca="1" si="855"/>
        <v>1573359.1166071212</v>
      </c>
      <c r="GP231" s="222">
        <f t="shared" ca="1" si="855"/>
        <v>0</v>
      </c>
      <c r="GQ231" s="222">
        <f t="shared" ca="1" si="855"/>
        <v>0</v>
      </c>
      <c r="GR231" s="222">
        <f t="shared" ca="1" si="855"/>
        <v>0</v>
      </c>
      <c r="GS231" s="222">
        <f t="shared" ca="1" si="855"/>
        <v>0</v>
      </c>
      <c r="GT231" s="222">
        <f t="shared" ca="1" si="855"/>
        <v>0</v>
      </c>
      <c r="GU231" s="222">
        <f t="shared" ca="1" si="855"/>
        <v>0</v>
      </c>
      <c r="GV231" s="222">
        <f t="shared" ca="1" si="855"/>
        <v>0</v>
      </c>
      <c r="GW231" s="222">
        <f t="shared" ca="1" si="855"/>
        <v>0</v>
      </c>
      <c r="GX231" s="222">
        <f t="shared" ca="1" si="855"/>
        <v>0</v>
      </c>
      <c r="GY231" s="222">
        <f t="shared" ca="1" si="855"/>
        <v>0</v>
      </c>
      <c r="GZ231" s="222">
        <f t="shared" ca="1" si="855"/>
        <v>0</v>
      </c>
      <c r="HA231" s="222">
        <f t="shared" ca="1" si="855"/>
        <v>0</v>
      </c>
      <c r="HB231" s="222">
        <f t="shared" ca="1" si="855"/>
        <v>0</v>
      </c>
      <c r="HC231" s="222">
        <f t="shared" ca="1" si="855"/>
        <v>0</v>
      </c>
      <c r="HD231" s="222">
        <f t="shared" ca="1" si="855"/>
        <v>0</v>
      </c>
      <c r="HE231" s="222">
        <f t="shared" ca="1" si="855"/>
        <v>0</v>
      </c>
      <c r="HF231" s="222">
        <f t="shared" ca="1" si="855"/>
        <v>0</v>
      </c>
      <c r="HG231" s="222">
        <f t="shared" ca="1" si="855"/>
        <v>0</v>
      </c>
      <c r="HH231" s="222">
        <f t="shared" ca="1" si="855"/>
        <v>0</v>
      </c>
      <c r="HI231" s="222">
        <f t="shared" ref="HI231:JT231" ca="1" si="856">+HI230+HI227</f>
        <v>0</v>
      </c>
      <c r="HJ231" s="222">
        <f t="shared" ca="1" si="856"/>
        <v>0</v>
      </c>
      <c r="HK231" s="222">
        <f t="shared" ca="1" si="856"/>
        <v>0</v>
      </c>
      <c r="HL231" s="222">
        <f t="shared" ca="1" si="856"/>
        <v>0</v>
      </c>
      <c r="HM231" s="222">
        <f t="shared" ca="1" si="856"/>
        <v>0</v>
      </c>
      <c r="HN231" s="222">
        <f t="shared" ca="1" si="856"/>
        <v>0</v>
      </c>
      <c r="HO231" s="222">
        <f t="shared" ca="1" si="856"/>
        <v>0</v>
      </c>
      <c r="HP231" s="222">
        <f t="shared" ca="1" si="856"/>
        <v>0</v>
      </c>
      <c r="HQ231" s="222">
        <f t="shared" ca="1" si="856"/>
        <v>0</v>
      </c>
      <c r="HR231" s="222">
        <f t="shared" ca="1" si="856"/>
        <v>0</v>
      </c>
      <c r="HS231" s="222">
        <f t="shared" ca="1" si="856"/>
        <v>0</v>
      </c>
      <c r="HT231" s="222">
        <f t="shared" ca="1" si="856"/>
        <v>0</v>
      </c>
      <c r="HU231" s="222">
        <f t="shared" ca="1" si="856"/>
        <v>0</v>
      </c>
      <c r="HV231" s="222">
        <f t="shared" ca="1" si="856"/>
        <v>0</v>
      </c>
      <c r="HW231" s="222">
        <f t="shared" ca="1" si="856"/>
        <v>0</v>
      </c>
      <c r="HX231" s="222">
        <f t="shared" ca="1" si="856"/>
        <v>0</v>
      </c>
      <c r="HY231" s="222">
        <f t="shared" ca="1" si="856"/>
        <v>0</v>
      </c>
      <c r="HZ231" s="222">
        <f t="shared" ca="1" si="856"/>
        <v>0</v>
      </c>
      <c r="IA231" s="222">
        <f t="shared" ca="1" si="856"/>
        <v>0</v>
      </c>
      <c r="IB231" s="222">
        <f t="shared" ca="1" si="856"/>
        <v>0</v>
      </c>
      <c r="IC231" s="222">
        <f t="shared" ca="1" si="856"/>
        <v>0</v>
      </c>
      <c r="ID231" s="222">
        <f t="shared" ca="1" si="856"/>
        <v>0</v>
      </c>
      <c r="IE231" s="222">
        <f t="shared" ca="1" si="856"/>
        <v>0</v>
      </c>
      <c r="IF231" s="222">
        <f t="shared" ca="1" si="856"/>
        <v>0</v>
      </c>
      <c r="IG231" s="222">
        <f t="shared" ca="1" si="856"/>
        <v>0</v>
      </c>
      <c r="IH231" s="222">
        <f t="shared" ca="1" si="856"/>
        <v>0</v>
      </c>
      <c r="II231" s="222">
        <f t="shared" ca="1" si="856"/>
        <v>0</v>
      </c>
      <c r="IJ231" s="222">
        <f t="shared" ca="1" si="856"/>
        <v>0</v>
      </c>
      <c r="IK231" s="222">
        <f t="shared" ca="1" si="856"/>
        <v>0</v>
      </c>
      <c r="IL231" s="222">
        <f t="shared" ca="1" si="856"/>
        <v>0</v>
      </c>
      <c r="IM231" s="222">
        <f t="shared" ca="1" si="856"/>
        <v>0</v>
      </c>
      <c r="IN231" s="222">
        <f t="shared" ca="1" si="856"/>
        <v>0</v>
      </c>
      <c r="IO231" s="222">
        <f t="shared" ca="1" si="856"/>
        <v>0</v>
      </c>
      <c r="IP231" s="222">
        <f t="shared" ca="1" si="856"/>
        <v>0</v>
      </c>
      <c r="IQ231" s="222">
        <f t="shared" ca="1" si="856"/>
        <v>0</v>
      </c>
      <c r="IR231" s="222">
        <f t="shared" ca="1" si="856"/>
        <v>0</v>
      </c>
      <c r="IS231" s="222">
        <f t="shared" ca="1" si="856"/>
        <v>0</v>
      </c>
      <c r="IT231" s="222">
        <f t="shared" ca="1" si="856"/>
        <v>0</v>
      </c>
      <c r="IU231" s="222">
        <f t="shared" ca="1" si="856"/>
        <v>0</v>
      </c>
      <c r="IV231" s="222">
        <f t="shared" ca="1" si="856"/>
        <v>0</v>
      </c>
      <c r="IW231" s="222">
        <f t="shared" ca="1" si="856"/>
        <v>0</v>
      </c>
      <c r="IX231" s="222">
        <f t="shared" ca="1" si="856"/>
        <v>0</v>
      </c>
      <c r="IY231" s="222">
        <f t="shared" ca="1" si="856"/>
        <v>0</v>
      </c>
      <c r="IZ231" s="222">
        <f t="shared" ca="1" si="856"/>
        <v>0</v>
      </c>
      <c r="JA231" s="222">
        <f t="shared" ca="1" si="856"/>
        <v>0</v>
      </c>
      <c r="JB231" s="222">
        <f t="shared" ca="1" si="856"/>
        <v>0</v>
      </c>
      <c r="JC231" s="222">
        <f t="shared" ca="1" si="856"/>
        <v>0</v>
      </c>
      <c r="JD231" s="222">
        <f t="shared" ca="1" si="856"/>
        <v>0</v>
      </c>
      <c r="JE231" s="222">
        <f t="shared" ca="1" si="856"/>
        <v>0</v>
      </c>
      <c r="JF231" s="222">
        <f t="shared" ca="1" si="856"/>
        <v>0</v>
      </c>
      <c r="JG231" s="222">
        <f t="shared" ca="1" si="856"/>
        <v>0</v>
      </c>
      <c r="JH231" s="222">
        <f t="shared" ca="1" si="856"/>
        <v>0</v>
      </c>
      <c r="JI231" s="222">
        <f t="shared" ca="1" si="856"/>
        <v>0</v>
      </c>
      <c r="JJ231" s="222">
        <f t="shared" ca="1" si="856"/>
        <v>0</v>
      </c>
      <c r="JK231" s="222">
        <f t="shared" ca="1" si="856"/>
        <v>0</v>
      </c>
      <c r="JL231" s="222">
        <f t="shared" ca="1" si="856"/>
        <v>0</v>
      </c>
      <c r="JM231" s="222">
        <f t="shared" ca="1" si="856"/>
        <v>0</v>
      </c>
      <c r="JN231" s="222">
        <f t="shared" ca="1" si="856"/>
        <v>0</v>
      </c>
      <c r="JO231" s="222">
        <f t="shared" ca="1" si="856"/>
        <v>0</v>
      </c>
      <c r="JP231" s="222">
        <f t="shared" ca="1" si="856"/>
        <v>0</v>
      </c>
      <c r="JQ231" s="222">
        <f t="shared" ca="1" si="856"/>
        <v>0</v>
      </c>
      <c r="JR231" s="222">
        <f t="shared" ca="1" si="856"/>
        <v>0</v>
      </c>
      <c r="JS231" s="222">
        <f t="shared" ca="1" si="856"/>
        <v>0</v>
      </c>
      <c r="JT231" s="222">
        <f t="shared" ca="1" si="856"/>
        <v>0</v>
      </c>
      <c r="JU231" s="222">
        <f ca="1">+JU230+JU227</f>
        <v>0</v>
      </c>
      <c r="JV231" s="222">
        <f ca="1">+JV230+JV227</f>
        <v>0</v>
      </c>
      <c r="JW231" s="222">
        <f ca="1">+JW230+JW227</f>
        <v>0</v>
      </c>
      <c r="JX231" s="222">
        <f ca="1">+JX230+JX227</f>
        <v>0</v>
      </c>
    </row>
    <row r="232" spans="1:284" s="7" customFormat="1" x14ac:dyDescent="0.2">
      <c r="A232" s="406"/>
      <c r="B232" s="238" t="s">
        <v>366</v>
      </c>
      <c r="C232" s="233"/>
      <c r="D232" s="233"/>
      <c r="E232" s="233"/>
      <c r="F232" s="243" t="s">
        <v>362</v>
      </c>
      <c r="G232" s="244" t="s">
        <v>591</v>
      </c>
      <c r="H232" s="244" t="s">
        <v>592</v>
      </c>
      <c r="I232" s="244" t="s">
        <v>593</v>
      </c>
      <c r="EP232" s="228"/>
      <c r="EQ232" s="228"/>
      <c r="ER232" s="228"/>
      <c r="ES232" s="228"/>
      <c r="ET232" s="229" t="s">
        <v>373</v>
      </c>
      <c r="EU232" s="229"/>
      <c r="EV232" s="230">
        <f t="shared" ref="EV232:GA232" ca="1" si="857">MAX(EV223-EV231,0)</f>
        <v>0</v>
      </c>
      <c r="EW232" s="230">
        <f t="shared" ca="1" si="857"/>
        <v>0</v>
      </c>
      <c r="EX232" s="230">
        <f t="shared" ca="1" si="857"/>
        <v>0</v>
      </c>
      <c r="EY232" s="230">
        <f t="shared" ca="1" si="857"/>
        <v>0</v>
      </c>
      <c r="EZ232" s="230">
        <f t="shared" ca="1" si="857"/>
        <v>0</v>
      </c>
      <c r="FA232" s="230">
        <f t="shared" ca="1" si="857"/>
        <v>0</v>
      </c>
      <c r="FB232" s="230">
        <f t="shared" ca="1" si="857"/>
        <v>0</v>
      </c>
      <c r="FC232" s="230">
        <f t="shared" ca="1" si="857"/>
        <v>0</v>
      </c>
      <c r="FD232" s="230">
        <f t="shared" ca="1" si="857"/>
        <v>0</v>
      </c>
      <c r="FE232" s="230">
        <f t="shared" ca="1" si="857"/>
        <v>0</v>
      </c>
      <c r="FF232" s="230">
        <f t="shared" ca="1" si="857"/>
        <v>0</v>
      </c>
      <c r="FG232" s="230">
        <f t="shared" ca="1" si="857"/>
        <v>0</v>
      </c>
      <c r="FH232" s="230">
        <f t="shared" ca="1" si="857"/>
        <v>0</v>
      </c>
      <c r="FI232" s="230">
        <f t="shared" ca="1" si="857"/>
        <v>0</v>
      </c>
      <c r="FJ232" s="230">
        <f t="shared" ca="1" si="857"/>
        <v>0</v>
      </c>
      <c r="FK232" s="230">
        <f t="shared" ca="1" si="857"/>
        <v>0</v>
      </c>
      <c r="FL232" s="230">
        <f t="shared" ca="1" si="857"/>
        <v>0</v>
      </c>
      <c r="FM232" s="230">
        <f t="shared" ca="1" si="857"/>
        <v>0</v>
      </c>
      <c r="FN232" s="230">
        <f t="shared" ca="1" si="857"/>
        <v>0</v>
      </c>
      <c r="FO232" s="230">
        <f t="shared" ca="1" si="857"/>
        <v>0</v>
      </c>
      <c r="FP232" s="230">
        <f t="shared" ca="1" si="857"/>
        <v>0</v>
      </c>
      <c r="FQ232" s="230">
        <f t="shared" ca="1" si="857"/>
        <v>0</v>
      </c>
      <c r="FR232" s="230">
        <f t="shared" ca="1" si="857"/>
        <v>0</v>
      </c>
      <c r="FS232" s="230">
        <f t="shared" ca="1" si="857"/>
        <v>0</v>
      </c>
      <c r="FT232" s="230">
        <f t="shared" ca="1" si="857"/>
        <v>0</v>
      </c>
      <c r="FU232" s="230">
        <f t="shared" ca="1" si="857"/>
        <v>0</v>
      </c>
      <c r="FV232" s="230">
        <f t="shared" ca="1" si="857"/>
        <v>0</v>
      </c>
      <c r="FW232" s="230">
        <f t="shared" ca="1" si="857"/>
        <v>0</v>
      </c>
      <c r="FX232" s="230">
        <f t="shared" ca="1" si="857"/>
        <v>0</v>
      </c>
      <c r="FY232" s="230">
        <f t="shared" ca="1" si="857"/>
        <v>0</v>
      </c>
      <c r="FZ232" s="230">
        <f t="shared" ca="1" si="857"/>
        <v>0</v>
      </c>
      <c r="GA232" s="230">
        <f t="shared" ca="1" si="857"/>
        <v>0</v>
      </c>
      <c r="GB232" s="230">
        <f t="shared" ref="GB232:HG232" ca="1" si="858">MAX(GB223-GB231,0)</f>
        <v>0</v>
      </c>
      <c r="GC232" s="230">
        <f t="shared" ca="1" si="858"/>
        <v>0</v>
      </c>
      <c r="GD232" s="230">
        <f t="shared" ca="1" si="858"/>
        <v>0</v>
      </c>
      <c r="GE232" s="230">
        <f t="shared" ca="1" si="858"/>
        <v>0</v>
      </c>
      <c r="GF232" s="230">
        <f t="shared" ca="1" si="858"/>
        <v>0</v>
      </c>
      <c r="GG232" s="230">
        <f t="shared" ca="1" si="858"/>
        <v>0</v>
      </c>
      <c r="GH232" s="230">
        <f t="shared" ca="1" si="858"/>
        <v>0</v>
      </c>
      <c r="GI232" s="230">
        <f t="shared" ca="1" si="858"/>
        <v>0</v>
      </c>
      <c r="GJ232" s="230">
        <f t="shared" ca="1" si="858"/>
        <v>0</v>
      </c>
      <c r="GK232" s="230">
        <f t="shared" ca="1" si="858"/>
        <v>0</v>
      </c>
      <c r="GL232" s="230">
        <f t="shared" ca="1" si="858"/>
        <v>0</v>
      </c>
      <c r="GM232" s="230">
        <f t="shared" ca="1" si="858"/>
        <v>0</v>
      </c>
      <c r="GN232" s="230">
        <f t="shared" ca="1" si="858"/>
        <v>0</v>
      </c>
      <c r="GO232" s="230">
        <f t="shared" ca="1" si="858"/>
        <v>0</v>
      </c>
      <c r="GP232" s="230">
        <f t="shared" ca="1" si="858"/>
        <v>0</v>
      </c>
      <c r="GQ232" s="230">
        <f t="shared" ca="1" si="858"/>
        <v>0</v>
      </c>
      <c r="GR232" s="230">
        <f t="shared" ca="1" si="858"/>
        <v>0</v>
      </c>
      <c r="GS232" s="230">
        <f t="shared" ca="1" si="858"/>
        <v>0</v>
      </c>
      <c r="GT232" s="230">
        <f t="shared" ca="1" si="858"/>
        <v>0</v>
      </c>
      <c r="GU232" s="230">
        <f t="shared" ca="1" si="858"/>
        <v>0</v>
      </c>
      <c r="GV232" s="230">
        <f t="shared" ca="1" si="858"/>
        <v>0</v>
      </c>
      <c r="GW232" s="230">
        <f t="shared" ca="1" si="858"/>
        <v>0</v>
      </c>
      <c r="GX232" s="230">
        <f t="shared" ca="1" si="858"/>
        <v>0</v>
      </c>
      <c r="GY232" s="230">
        <f t="shared" ca="1" si="858"/>
        <v>0</v>
      </c>
      <c r="GZ232" s="230">
        <f t="shared" ca="1" si="858"/>
        <v>0</v>
      </c>
      <c r="HA232" s="230">
        <f t="shared" ca="1" si="858"/>
        <v>0</v>
      </c>
      <c r="HB232" s="230">
        <f t="shared" ca="1" si="858"/>
        <v>0</v>
      </c>
      <c r="HC232" s="230">
        <f t="shared" ca="1" si="858"/>
        <v>0</v>
      </c>
      <c r="HD232" s="230">
        <f t="shared" ca="1" si="858"/>
        <v>0</v>
      </c>
      <c r="HE232" s="230">
        <f t="shared" ca="1" si="858"/>
        <v>0</v>
      </c>
      <c r="HF232" s="230">
        <f t="shared" ca="1" si="858"/>
        <v>0</v>
      </c>
      <c r="HG232" s="230">
        <f t="shared" ca="1" si="858"/>
        <v>0</v>
      </c>
      <c r="HH232" s="230">
        <f t="shared" ref="HH232:IM232" ca="1" si="859">MAX(HH223-HH231,0)</f>
        <v>0</v>
      </c>
      <c r="HI232" s="230">
        <f t="shared" ca="1" si="859"/>
        <v>0</v>
      </c>
      <c r="HJ232" s="230">
        <f t="shared" ca="1" si="859"/>
        <v>0</v>
      </c>
      <c r="HK232" s="230">
        <f t="shared" ca="1" si="859"/>
        <v>0</v>
      </c>
      <c r="HL232" s="230">
        <f t="shared" ca="1" si="859"/>
        <v>0</v>
      </c>
      <c r="HM232" s="230">
        <f t="shared" ca="1" si="859"/>
        <v>0</v>
      </c>
      <c r="HN232" s="230">
        <f t="shared" ca="1" si="859"/>
        <v>0</v>
      </c>
      <c r="HO232" s="230">
        <f t="shared" ca="1" si="859"/>
        <v>0</v>
      </c>
      <c r="HP232" s="230">
        <f t="shared" ca="1" si="859"/>
        <v>0</v>
      </c>
      <c r="HQ232" s="230">
        <f t="shared" ca="1" si="859"/>
        <v>0</v>
      </c>
      <c r="HR232" s="230">
        <f t="shared" ca="1" si="859"/>
        <v>0</v>
      </c>
      <c r="HS232" s="230">
        <f t="shared" ca="1" si="859"/>
        <v>0</v>
      </c>
      <c r="HT232" s="230">
        <f t="shared" ca="1" si="859"/>
        <v>0</v>
      </c>
      <c r="HU232" s="230">
        <f t="shared" ca="1" si="859"/>
        <v>0</v>
      </c>
      <c r="HV232" s="230">
        <f t="shared" ca="1" si="859"/>
        <v>0</v>
      </c>
      <c r="HW232" s="230">
        <f t="shared" ca="1" si="859"/>
        <v>0</v>
      </c>
      <c r="HX232" s="230">
        <f t="shared" ca="1" si="859"/>
        <v>0</v>
      </c>
      <c r="HY232" s="230">
        <f t="shared" ca="1" si="859"/>
        <v>0</v>
      </c>
      <c r="HZ232" s="230">
        <f t="shared" ca="1" si="859"/>
        <v>0</v>
      </c>
      <c r="IA232" s="230">
        <f t="shared" ca="1" si="859"/>
        <v>0</v>
      </c>
      <c r="IB232" s="230">
        <f t="shared" ca="1" si="859"/>
        <v>0</v>
      </c>
      <c r="IC232" s="230">
        <f t="shared" ca="1" si="859"/>
        <v>0</v>
      </c>
      <c r="ID232" s="230">
        <f t="shared" ca="1" si="859"/>
        <v>0</v>
      </c>
      <c r="IE232" s="230">
        <f t="shared" ca="1" si="859"/>
        <v>0</v>
      </c>
      <c r="IF232" s="230">
        <f t="shared" ca="1" si="859"/>
        <v>0</v>
      </c>
      <c r="IG232" s="230">
        <f t="shared" ca="1" si="859"/>
        <v>0</v>
      </c>
      <c r="IH232" s="230">
        <f t="shared" ca="1" si="859"/>
        <v>0</v>
      </c>
      <c r="II232" s="230">
        <f t="shared" ca="1" si="859"/>
        <v>0</v>
      </c>
      <c r="IJ232" s="230">
        <f t="shared" ca="1" si="859"/>
        <v>0</v>
      </c>
      <c r="IK232" s="230">
        <f t="shared" ca="1" si="859"/>
        <v>0</v>
      </c>
      <c r="IL232" s="230">
        <f t="shared" ca="1" si="859"/>
        <v>0</v>
      </c>
      <c r="IM232" s="230">
        <f t="shared" ca="1" si="859"/>
        <v>0</v>
      </c>
      <c r="IN232" s="230">
        <f t="shared" ref="IN232:JS232" ca="1" si="860">MAX(IN223-IN231,0)</f>
        <v>0</v>
      </c>
      <c r="IO232" s="230">
        <f t="shared" ca="1" si="860"/>
        <v>0</v>
      </c>
      <c r="IP232" s="230">
        <f t="shared" ca="1" si="860"/>
        <v>0</v>
      </c>
      <c r="IQ232" s="230">
        <f t="shared" ca="1" si="860"/>
        <v>0</v>
      </c>
      <c r="IR232" s="230">
        <f t="shared" ca="1" si="860"/>
        <v>0</v>
      </c>
      <c r="IS232" s="230">
        <f t="shared" ca="1" si="860"/>
        <v>0</v>
      </c>
      <c r="IT232" s="230">
        <f t="shared" ca="1" si="860"/>
        <v>0</v>
      </c>
      <c r="IU232" s="230">
        <f t="shared" ca="1" si="860"/>
        <v>0</v>
      </c>
      <c r="IV232" s="230">
        <f t="shared" ca="1" si="860"/>
        <v>0</v>
      </c>
      <c r="IW232" s="230">
        <f t="shared" ca="1" si="860"/>
        <v>0</v>
      </c>
      <c r="IX232" s="230">
        <f t="shared" ca="1" si="860"/>
        <v>0</v>
      </c>
      <c r="IY232" s="230">
        <f t="shared" ca="1" si="860"/>
        <v>0</v>
      </c>
      <c r="IZ232" s="230">
        <f t="shared" ca="1" si="860"/>
        <v>0</v>
      </c>
      <c r="JA232" s="230">
        <f t="shared" ca="1" si="860"/>
        <v>0</v>
      </c>
      <c r="JB232" s="230">
        <f t="shared" ca="1" si="860"/>
        <v>0</v>
      </c>
      <c r="JC232" s="230">
        <f t="shared" ca="1" si="860"/>
        <v>0</v>
      </c>
      <c r="JD232" s="230">
        <f t="shared" ca="1" si="860"/>
        <v>0</v>
      </c>
      <c r="JE232" s="230">
        <f t="shared" ca="1" si="860"/>
        <v>0</v>
      </c>
      <c r="JF232" s="230">
        <f t="shared" ca="1" si="860"/>
        <v>0</v>
      </c>
      <c r="JG232" s="230">
        <f t="shared" ca="1" si="860"/>
        <v>0</v>
      </c>
      <c r="JH232" s="230">
        <f t="shared" ca="1" si="860"/>
        <v>0</v>
      </c>
      <c r="JI232" s="230">
        <f t="shared" ca="1" si="860"/>
        <v>0</v>
      </c>
      <c r="JJ232" s="230">
        <f t="shared" ca="1" si="860"/>
        <v>0</v>
      </c>
      <c r="JK232" s="230">
        <f t="shared" ca="1" si="860"/>
        <v>0</v>
      </c>
      <c r="JL232" s="230">
        <f t="shared" ca="1" si="860"/>
        <v>0</v>
      </c>
      <c r="JM232" s="230">
        <f t="shared" ca="1" si="860"/>
        <v>0</v>
      </c>
      <c r="JN232" s="230">
        <f t="shared" ca="1" si="860"/>
        <v>0</v>
      </c>
      <c r="JO232" s="230">
        <f t="shared" ca="1" si="860"/>
        <v>0</v>
      </c>
      <c r="JP232" s="230">
        <f t="shared" ca="1" si="860"/>
        <v>0</v>
      </c>
      <c r="JQ232" s="230">
        <f t="shared" ca="1" si="860"/>
        <v>0</v>
      </c>
      <c r="JR232" s="230">
        <f t="shared" ca="1" si="860"/>
        <v>0</v>
      </c>
      <c r="JS232" s="230">
        <f t="shared" ca="1" si="860"/>
        <v>0</v>
      </c>
      <c r="JT232" s="230">
        <f ca="1">MAX(JT223-JT231,0)</f>
        <v>0</v>
      </c>
      <c r="JU232" s="230">
        <f ca="1">MAX(JU223-JU231,0)</f>
        <v>0</v>
      </c>
      <c r="JV232" s="230">
        <f ca="1">MAX(JV223-JV231,0)</f>
        <v>0</v>
      </c>
      <c r="JW232" s="230">
        <f ca="1">MAX(JW223-JW231,0)</f>
        <v>0</v>
      </c>
      <c r="JX232" s="230">
        <f ca="1">MAX(JX223-JX231,0)</f>
        <v>0</v>
      </c>
    </row>
    <row r="233" spans="1:284" s="7" customFormat="1" x14ac:dyDescent="0.2">
      <c r="A233" s="406"/>
      <c r="B233" s="231" t="s">
        <v>365</v>
      </c>
      <c r="C233" s="245" t="s">
        <v>652</v>
      </c>
      <c r="D233" s="576" t="s">
        <v>628</v>
      </c>
      <c r="E233" s="245" t="s">
        <v>363</v>
      </c>
      <c r="F233" s="246">
        <v>0.09</v>
      </c>
      <c r="G233" s="249">
        <v>0</v>
      </c>
      <c r="H233" s="575">
        <f>+H228</f>
        <v>0.05</v>
      </c>
      <c r="I233" s="247">
        <f>1-H233</f>
        <v>0.95</v>
      </c>
      <c r="L233" s="38">
        <f t="shared" ref="L233:AQ233" ca="1" si="861">IF(L$227="","",EV212)</f>
        <v>0</v>
      </c>
      <c r="M233" s="38">
        <f t="shared" ca="1" si="861"/>
        <v>0</v>
      </c>
      <c r="N233" s="38">
        <f t="shared" ca="1" si="861"/>
        <v>0</v>
      </c>
      <c r="O233" s="38">
        <f t="shared" ca="1" si="861"/>
        <v>0</v>
      </c>
      <c r="P233" s="38">
        <f t="shared" ca="1" si="861"/>
        <v>0</v>
      </c>
      <c r="Q233" s="38">
        <f t="shared" ca="1" si="861"/>
        <v>0</v>
      </c>
      <c r="R233" s="38">
        <f t="shared" ca="1" si="861"/>
        <v>0</v>
      </c>
      <c r="S233" s="38">
        <f t="shared" ca="1" si="861"/>
        <v>0</v>
      </c>
      <c r="T233" s="38">
        <f t="shared" ca="1" si="861"/>
        <v>0</v>
      </c>
      <c r="U233" s="38">
        <f t="shared" ca="1" si="861"/>
        <v>0</v>
      </c>
      <c r="V233" s="38">
        <f t="shared" ca="1" si="861"/>
        <v>0</v>
      </c>
      <c r="W233" s="38">
        <f t="shared" ca="1" si="861"/>
        <v>0</v>
      </c>
      <c r="X233" s="38">
        <f t="shared" ca="1" si="861"/>
        <v>0</v>
      </c>
      <c r="Y233" s="38">
        <f t="shared" ca="1" si="861"/>
        <v>0</v>
      </c>
      <c r="Z233" s="38">
        <f t="shared" ca="1" si="861"/>
        <v>0</v>
      </c>
      <c r="AA233" s="38">
        <f t="shared" ca="1" si="861"/>
        <v>0</v>
      </c>
      <c r="AB233" s="38">
        <f t="shared" ca="1" si="861"/>
        <v>0</v>
      </c>
      <c r="AC233" s="38">
        <f t="shared" ca="1" si="861"/>
        <v>0</v>
      </c>
      <c r="AD233" s="38">
        <f t="shared" ca="1" si="861"/>
        <v>0</v>
      </c>
      <c r="AE233" s="38">
        <f t="shared" ca="1" si="861"/>
        <v>0</v>
      </c>
      <c r="AF233" s="38">
        <f t="shared" ca="1" si="861"/>
        <v>1.4551915228366852E-11</v>
      </c>
      <c r="AG233" s="38">
        <f t="shared" ca="1" si="861"/>
        <v>0</v>
      </c>
      <c r="AH233" s="38">
        <f t="shared" ca="1" si="861"/>
        <v>0</v>
      </c>
      <c r="AI233" s="38">
        <f t="shared" ca="1" si="861"/>
        <v>9.0949470177292824E-12</v>
      </c>
      <c r="AJ233" s="38">
        <f t="shared" ca="1" si="861"/>
        <v>0</v>
      </c>
      <c r="AK233" s="38">
        <f t="shared" ca="1" si="861"/>
        <v>0</v>
      </c>
      <c r="AL233" s="38">
        <f t="shared" ca="1" si="861"/>
        <v>0</v>
      </c>
      <c r="AM233" s="38">
        <f t="shared" ca="1" si="861"/>
        <v>0</v>
      </c>
      <c r="AN233" s="38">
        <f t="shared" ca="1" si="861"/>
        <v>0</v>
      </c>
      <c r="AO233" s="38">
        <f t="shared" ca="1" si="861"/>
        <v>0</v>
      </c>
      <c r="AP233" s="38">
        <f t="shared" ca="1" si="861"/>
        <v>2097.4921349482902</v>
      </c>
      <c r="AQ233" s="38">
        <f t="shared" ca="1" si="861"/>
        <v>18305.774212324439</v>
      </c>
      <c r="AR233" s="38">
        <f t="shared" ref="AR233:BW233" ca="1" si="862">IF(AR$227="","",GB212)</f>
        <v>50519.739807800041</v>
      </c>
      <c r="AS233" s="38">
        <f t="shared" ca="1" si="862"/>
        <v>89608.383249768522</v>
      </c>
      <c r="AT233" s="38">
        <f t="shared" ca="1" si="862"/>
        <v>90719.021124768537</v>
      </c>
      <c r="AU233" s="38">
        <f t="shared" ca="1" si="862"/>
        <v>91829.658999768537</v>
      </c>
      <c r="AV233" s="38">
        <f t="shared" ca="1" si="862"/>
        <v>92940.296874768566</v>
      </c>
      <c r="AW233" s="38">
        <f t="shared" ca="1" si="862"/>
        <v>94050.934749768523</v>
      </c>
      <c r="AX233" s="38">
        <f t="shared" ca="1" si="862"/>
        <v>95161.57262476848</v>
      </c>
      <c r="AY233" s="38">
        <f t="shared" ca="1" si="862"/>
        <v>96272.210499768553</v>
      </c>
      <c r="AZ233" s="38">
        <f t="shared" ca="1" si="862"/>
        <v>97382.84837476851</v>
      </c>
      <c r="BA233" s="38">
        <f t="shared" ca="1" si="862"/>
        <v>98493.48624976851</v>
      </c>
      <c r="BB233" s="38">
        <f t="shared" ca="1" si="862"/>
        <v>99604.124124768525</v>
      </c>
      <c r="BC233" s="38">
        <f t="shared" ca="1" si="862"/>
        <v>87001.109408082499</v>
      </c>
      <c r="BD233" s="38">
        <f t="shared" ca="1" si="862"/>
        <v>88145.066419332463</v>
      </c>
      <c r="BE233" s="38">
        <f t="shared" ca="1" si="862"/>
        <v>18437907.394013029</v>
      </c>
      <c r="BF233" s="38" t="str">
        <f t="shared" si="862"/>
        <v/>
      </c>
      <c r="BG233" s="38" t="str">
        <f t="shared" si="862"/>
        <v/>
      </c>
      <c r="BH233" s="38" t="str">
        <f t="shared" si="862"/>
        <v/>
      </c>
      <c r="BI233" s="38" t="str">
        <f t="shared" si="862"/>
        <v/>
      </c>
      <c r="BJ233" s="38" t="str">
        <f t="shared" si="862"/>
        <v/>
      </c>
      <c r="BK233" s="38" t="str">
        <f t="shared" si="862"/>
        <v/>
      </c>
      <c r="BL233" s="38" t="str">
        <f t="shared" si="862"/>
        <v/>
      </c>
      <c r="BM233" s="38" t="str">
        <f t="shared" si="862"/>
        <v/>
      </c>
      <c r="BN233" s="38" t="str">
        <f t="shared" si="862"/>
        <v/>
      </c>
      <c r="BO233" s="38" t="str">
        <f t="shared" si="862"/>
        <v/>
      </c>
      <c r="BP233" s="38" t="str">
        <f t="shared" si="862"/>
        <v/>
      </c>
      <c r="BQ233" s="38" t="str">
        <f t="shared" si="862"/>
        <v/>
      </c>
      <c r="BR233" s="38" t="str">
        <f t="shared" si="862"/>
        <v/>
      </c>
      <c r="BS233" s="38" t="str">
        <f t="shared" si="862"/>
        <v/>
      </c>
      <c r="BT233" s="38" t="str">
        <f t="shared" si="862"/>
        <v/>
      </c>
      <c r="BU233" s="38" t="str">
        <f t="shared" si="862"/>
        <v/>
      </c>
      <c r="BV233" s="38" t="str">
        <f t="shared" si="862"/>
        <v/>
      </c>
      <c r="BW233" s="38" t="str">
        <f t="shared" si="862"/>
        <v/>
      </c>
      <c r="BX233" s="38" t="str">
        <f t="shared" ref="BX233:DC233" si="863">IF(BX$227="","",HH212)</f>
        <v/>
      </c>
      <c r="BY233" s="38" t="str">
        <f t="shared" si="863"/>
        <v/>
      </c>
      <c r="BZ233" s="38" t="str">
        <f t="shared" si="863"/>
        <v/>
      </c>
      <c r="CA233" s="38" t="str">
        <f t="shared" si="863"/>
        <v/>
      </c>
      <c r="CB233" s="38" t="str">
        <f t="shared" si="863"/>
        <v/>
      </c>
      <c r="CC233" s="38" t="str">
        <f t="shared" si="863"/>
        <v/>
      </c>
      <c r="CD233" s="38" t="str">
        <f t="shared" si="863"/>
        <v/>
      </c>
      <c r="CE233" s="38" t="str">
        <f t="shared" si="863"/>
        <v/>
      </c>
      <c r="CF233" s="38" t="str">
        <f t="shared" si="863"/>
        <v/>
      </c>
      <c r="CG233" s="38" t="str">
        <f t="shared" si="863"/>
        <v/>
      </c>
      <c r="CH233" s="38" t="str">
        <f t="shared" si="863"/>
        <v/>
      </c>
      <c r="CI233" s="38" t="str">
        <f t="shared" si="863"/>
        <v/>
      </c>
      <c r="CJ233" s="38" t="str">
        <f t="shared" si="863"/>
        <v/>
      </c>
      <c r="CK233" s="38" t="str">
        <f t="shared" si="863"/>
        <v/>
      </c>
      <c r="CL233" s="38" t="str">
        <f t="shared" si="863"/>
        <v/>
      </c>
      <c r="CM233" s="38" t="str">
        <f t="shared" si="863"/>
        <v/>
      </c>
      <c r="CN233" s="38" t="str">
        <f t="shared" si="863"/>
        <v/>
      </c>
      <c r="CO233" s="38" t="str">
        <f t="shared" si="863"/>
        <v/>
      </c>
      <c r="CP233" s="38" t="str">
        <f t="shared" si="863"/>
        <v/>
      </c>
      <c r="CQ233" s="38" t="str">
        <f t="shared" si="863"/>
        <v/>
      </c>
      <c r="CR233" s="38" t="str">
        <f t="shared" si="863"/>
        <v/>
      </c>
      <c r="CS233" s="38" t="str">
        <f t="shared" si="863"/>
        <v/>
      </c>
      <c r="CT233" s="38" t="str">
        <f t="shared" si="863"/>
        <v/>
      </c>
      <c r="CU233" s="38" t="str">
        <f t="shared" si="863"/>
        <v/>
      </c>
      <c r="CV233" s="38" t="str">
        <f t="shared" si="863"/>
        <v/>
      </c>
      <c r="CW233" s="38" t="str">
        <f t="shared" si="863"/>
        <v/>
      </c>
      <c r="CX233" s="38" t="str">
        <f t="shared" si="863"/>
        <v/>
      </c>
      <c r="CY233" s="38" t="str">
        <f t="shared" si="863"/>
        <v/>
      </c>
      <c r="CZ233" s="38" t="str">
        <f t="shared" si="863"/>
        <v/>
      </c>
      <c r="DA233" s="38" t="str">
        <f t="shared" si="863"/>
        <v/>
      </c>
      <c r="DB233" s="38" t="str">
        <f t="shared" si="863"/>
        <v/>
      </c>
      <c r="DC233" s="38" t="str">
        <f t="shared" si="863"/>
        <v/>
      </c>
      <c r="DD233" s="38" t="str">
        <f t="shared" ref="DD233:EI233" si="864">IF(DD$227="","",IN212)</f>
        <v/>
      </c>
      <c r="DE233" s="38" t="str">
        <f t="shared" si="864"/>
        <v/>
      </c>
      <c r="DF233" s="38" t="str">
        <f t="shared" si="864"/>
        <v/>
      </c>
      <c r="DG233" s="38" t="str">
        <f t="shared" si="864"/>
        <v/>
      </c>
      <c r="DH233" s="38" t="str">
        <f t="shared" si="864"/>
        <v/>
      </c>
      <c r="DI233" s="38" t="str">
        <f t="shared" si="864"/>
        <v/>
      </c>
      <c r="DJ233" s="38" t="str">
        <f t="shared" si="864"/>
        <v/>
      </c>
      <c r="DK233" s="38" t="str">
        <f t="shared" si="864"/>
        <v/>
      </c>
      <c r="DL233" s="38" t="str">
        <f t="shared" si="864"/>
        <v/>
      </c>
      <c r="DM233" s="38" t="str">
        <f t="shared" si="864"/>
        <v/>
      </c>
      <c r="DN233" s="38" t="str">
        <f t="shared" si="864"/>
        <v/>
      </c>
      <c r="DO233" s="38" t="str">
        <f t="shared" si="864"/>
        <v/>
      </c>
      <c r="DP233" s="38" t="str">
        <f t="shared" si="864"/>
        <v/>
      </c>
      <c r="DQ233" s="38" t="str">
        <f t="shared" si="864"/>
        <v/>
      </c>
      <c r="DR233" s="38" t="str">
        <f t="shared" si="864"/>
        <v/>
      </c>
      <c r="DS233" s="38" t="str">
        <f t="shared" si="864"/>
        <v/>
      </c>
      <c r="DT233" s="38" t="str">
        <f t="shared" si="864"/>
        <v/>
      </c>
      <c r="DU233" s="38" t="str">
        <f t="shared" si="864"/>
        <v/>
      </c>
      <c r="DV233" s="38" t="str">
        <f t="shared" si="864"/>
        <v/>
      </c>
      <c r="DW233" s="38" t="str">
        <f t="shared" si="864"/>
        <v/>
      </c>
      <c r="DX233" s="38" t="str">
        <f t="shared" si="864"/>
        <v/>
      </c>
      <c r="DY233" s="38" t="str">
        <f t="shared" si="864"/>
        <v/>
      </c>
      <c r="DZ233" s="38" t="str">
        <f t="shared" si="864"/>
        <v/>
      </c>
      <c r="EA233" s="38" t="str">
        <f t="shared" si="864"/>
        <v/>
      </c>
      <c r="EB233" s="38" t="str">
        <f t="shared" si="864"/>
        <v/>
      </c>
      <c r="EC233" s="38" t="str">
        <f t="shared" si="864"/>
        <v/>
      </c>
      <c r="ED233" s="38" t="str">
        <f t="shared" si="864"/>
        <v/>
      </c>
      <c r="EE233" s="38" t="str">
        <f t="shared" si="864"/>
        <v/>
      </c>
      <c r="EF233" s="38" t="str">
        <f t="shared" si="864"/>
        <v/>
      </c>
      <c r="EG233" s="38" t="str">
        <f t="shared" si="864"/>
        <v/>
      </c>
      <c r="EH233" s="38" t="str">
        <f t="shared" si="864"/>
        <v/>
      </c>
      <c r="EI233" s="38" t="str">
        <f t="shared" si="864"/>
        <v/>
      </c>
      <c r="EJ233" s="38" t="str">
        <f>IF(EJ$227="","",JT212)</f>
        <v/>
      </c>
      <c r="EK233" s="38" t="str">
        <f>IF(EK$227="","",JU212)</f>
        <v/>
      </c>
      <c r="EL233" s="38" t="str">
        <f>IF(EL$227="","",JV212)</f>
        <v/>
      </c>
      <c r="EM233" s="38" t="str">
        <f>IF(EM$227="","",JW212)</f>
        <v/>
      </c>
      <c r="EN233" s="38" t="str">
        <f>IF(EN$227="","",JX212)</f>
        <v/>
      </c>
      <c r="EP233" s="37" t="s">
        <v>388</v>
      </c>
      <c r="EQ233" s="24"/>
      <c r="ER233" s="24"/>
      <c r="ES233" s="24"/>
      <c r="ET233" s="33" t="s">
        <v>372</v>
      </c>
      <c r="EU233" s="33"/>
      <c r="EV233" s="222">
        <f t="shared" ref="EV233:GA233" ca="1" si="865">EV$232*$I$236</f>
        <v>0</v>
      </c>
      <c r="EW233" s="222">
        <f t="shared" ca="1" si="865"/>
        <v>0</v>
      </c>
      <c r="EX233" s="222">
        <f t="shared" ca="1" si="865"/>
        <v>0</v>
      </c>
      <c r="EY233" s="222">
        <f t="shared" ca="1" si="865"/>
        <v>0</v>
      </c>
      <c r="EZ233" s="222">
        <f t="shared" ca="1" si="865"/>
        <v>0</v>
      </c>
      <c r="FA233" s="222">
        <f t="shared" ca="1" si="865"/>
        <v>0</v>
      </c>
      <c r="FB233" s="222">
        <f t="shared" ca="1" si="865"/>
        <v>0</v>
      </c>
      <c r="FC233" s="222">
        <f t="shared" ca="1" si="865"/>
        <v>0</v>
      </c>
      <c r="FD233" s="222">
        <f t="shared" ca="1" si="865"/>
        <v>0</v>
      </c>
      <c r="FE233" s="222">
        <f t="shared" ca="1" si="865"/>
        <v>0</v>
      </c>
      <c r="FF233" s="222">
        <f t="shared" ca="1" si="865"/>
        <v>0</v>
      </c>
      <c r="FG233" s="222">
        <f t="shared" ca="1" si="865"/>
        <v>0</v>
      </c>
      <c r="FH233" s="222">
        <f t="shared" ca="1" si="865"/>
        <v>0</v>
      </c>
      <c r="FI233" s="222">
        <f t="shared" ca="1" si="865"/>
        <v>0</v>
      </c>
      <c r="FJ233" s="222">
        <f t="shared" ca="1" si="865"/>
        <v>0</v>
      </c>
      <c r="FK233" s="222">
        <f t="shared" ca="1" si="865"/>
        <v>0</v>
      </c>
      <c r="FL233" s="222">
        <f t="shared" ca="1" si="865"/>
        <v>0</v>
      </c>
      <c r="FM233" s="222">
        <f t="shared" ca="1" si="865"/>
        <v>0</v>
      </c>
      <c r="FN233" s="222">
        <f t="shared" ca="1" si="865"/>
        <v>0</v>
      </c>
      <c r="FO233" s="222">
        <f t="shared" ca="1" si="865"/>
        <v>0</v>
      </c>
      <c r="FP233" s="222">
        <f t="shared" ca="1" si="865"/>
        <v>0</v>
      </c>
      <c r="FQ233" s="222">
        <f t="shared" ca="1" si="865"/>
        <v>0</v>
      </c>
      <c r="FR233" s="222">
        <f t="shared" ca="1" si="865"/>
        <v>0</v>
      </c>
      <c r="FS233" s="222">
        <f t="shared" ca="1" si="865"/>
        <v>0</v>
      </c>
      <c r="FT233" s="222">
        <f t="shared" ca="1" si="865"/>
        <v>0</v>
      </c>
      <c r="FU233" s="222">
        <f t="shared" ca="1" si="865"/>
        <v>0</v>
      </c>
      <c r="FV233" s="222">
        <f t="shared" ca="1" si="865"/>
        <v>0</v>
      </c>
      <c r="FW233" s="222">
        <f t="shared" ca="1" si="865"/>
        <v>0</v>
      </c>
      <c r="FX233" s="222">
        <f t="shared" ca="1" si="865"/>
        <v>0</v>
      </c>
      <c r="FY233" s="222">
        <f t="shared" ca="1" si="865"/>
        <v>0</v>
      </c>
      <c r="FZ233" s="222">
        <f t="shared" ca="1" si="865"/>
        <v>0</v>
      </c>
      <c r="GA233" s="222">
        <f t="shared" ca="1" si="865"/>
        <v>0</v>
      </c>
      <c r="GB233" s="222">
        <f t="shared" ref="GB233:HG233" ca="1" si="866">GB$232*$I$236</f>
        <v>0</v>
      </c>
      <c r="GC233" s="222">
        <f t="shared" ca="1" si="866"/>
        <v>0</v>
      </c>
      <c r="GD233" s="222">
        <f t="shared" ca="1" si="866"/>
        <v>0</v>
      </c>
      <c r="GE233" s="222">
        <f t="shared" ca="1" si="866"/>
        <v>0</v>
      </c>
      <c r="GF233" s="222">
        <f t="shared" ca="1" si="866"/>
        <v>0</v>
      </c>
      <c r="GG233" s="222">
        <f t="shared" ca="1" si="866"/>
        <v>0</v>
      </c>
      <c r="GH233" s="222">
        <f t="shared" ca="1" si="866"/>
        <v>0</v>
      </c>
      <c r="GI233" s="222">
        <f t="shared" ca="1" si="866"/>
        <v>0</v>
      </c>
      <c r="GJ233" s="222">
        <f t="shared" ca="1" si="866"/>
        <v>0</v>
      </c>
      <c r="GK233" s="222">
        <f t="shared" ca="1" si="866"/>
        <v>0</v>
      </c>
      <c r="GL233" s="222">
        <f t="shared" ca="1" si="866"/>
        <v>0</v>
      </c>
      <c r="GM233" s="222">
        <f t="shared" ca="1" si="866"/>
        <v>0</v>
      </c>
      <c r="GN233" s="222">
        <f t="shared" ca="1" si="866"/>
        <v>0</v>
      </c>
      <c r="GO233" s="222">
        <f t="shared" ca="1" si="866"/>
        <v>0</v>
      </c>
      <c r="GP233" s="222">
        <f t="shared" ca="1" si="866"/>
        <v>0</v>
      </c>
      <c r="GQ233" s="222">
        <f t="shared" ca="1" si="866"/>
        <v>0</v>
      </c>
      <c r="GR233" s="222">
        <f t="shared" ca="1" si="866"/>
        <v>0</v>
      </c>
      <c r="GS233" s="222">
        <f t="shared" ca="1" si="866"/>
        <v>0</v>
      </c>
      <c r="GT233" s="222">
        <f t="shared" ca="1" si="866"/>
        <v>0</v>
      </c>
      <c r="GU233" s="222">
        <f t="shared" ca="1" si="866"/>
        <v>0</v>
      </c>
      <c r="GV233" s="222">
        <f t="shared" ca="1" si="866"/>
        <v>0</v>
      </c>
      <c r="GW233" s="222">
        <f t="shared" ca="1" si="866"/>
        <v>0</v>
      </c>
      <c r="GX233" s="222">
        <f t="shared" ca="1" si="866"/>
        <v>0</v>
      </c>
      <c r="GY233" s="222">
        <f t="shared" ca="1" si="866"/>
        <v>0</v>
      </c>
      <c r="GZ233" s="222">
        <f t="shared" ca="1" si="866"/>
        <v>0</v>
      </c>
      <c r="HA233" s="222">
        <f t="shared" ca="1" si="866"/>
        <v>0</v>
      </c>
      <c r="HB233" s="222">
        <f t="shared" ca="1" si="866"/>
        <v>0</v>
      </c>
      <c r="HC233" s="222">
        <f t="shared" ca="1" si="866"/>
        <v>0</v>
      </c>
      <c r="HD233" s="222">
        <f t="shared" ca="1" si="866"/>
        <v>0</v>
      </c>
      <c r="HE233" s="222">
        <f t="shared" ca="1" si="866"/>
        <v>0</v>
      </c>
      <c r="HF233" s="222">
        <f t="shared" ca="1" si="866"/>
        <v>0</v>
      </c>
      <c r="HG233" s="222">
        <f t="shared" ca="1" si="866"/>
        <v>0</v>
      </c>
      <c r="HH233" s="222">
        <f t="shared" ref="HH233:IM233" ca="1" si="867">HH$232*$I$236</f>
        <v>0</v>
      </c>
      <c r="HI233" s="222">
        <f t="shared" ca="1" si="867"/>
        <v>0</v>
      </c>
      <c r="HJ233" s="222">
        <f t="shared" ca="1" si="867"/>
        <v>0</v>
      </c>
      <c r="HK233" s="222">
        <f t="shared" ca="1" si="867"/>
        <v>0</v>
      </c>
      <c r="HL233" s="222">
        <f t="shared" ca="1" si="867"/>
        <v>0</v>
      </c>
      <c r="HM233" s="222">
        <f t="shared" ca="1" si="867"/>
        <v>0</v>
      </c>
      <c r="HN233" s="222">
        <f t="shared" ca="1" si="867"/>
        <v>0</v>
      </c>
      <c r="HO233" s="222">
        <f t="shared" ca="1" si="867"/>
        <v>0</v>
      </c>
      <c r="HP233" s="222">
        <f t="shared" ca="1" si="867"/>
        <v>0</v>
      </c>
      <c r="HQ233" s="222">
        <f t="shared" ca="1" si="867"/>
        <v>0</v>
      </c>
      <c r="HR233" s="222">
        <f t="shared" ca="1" si="867"/>
        <v>0</v>
      </c>
      <c r="HS233" s="222">
        <f t="shared" ca="1" si="867"/>
        <v>0</v>
      </c>
      <c r="HT233" s="222">
        <f t="shared" ca="1" si="867"/>
        <v>0</v>
      </c>
      <c r="HU233" s="222">
        <f t="shared" ca="1" si="867"/>
        <v>0</v>
      </c>
      <c r="HV233" s="222">
        <f t="shared" ca="1" si="867"/>
        <v>0</v>
      </c>
      <c r="HW233" s="222">
        <f t="shared" ca="1" si="867"/>
        <v>0</v>
      </c>
      <c r="HX233" s="222">
        <f t="shared" ca="1" si="867"/>
        <v>0</v>
      </c>
      <c r="HY233" s="222">
        <f t="shared" ca="1" si="867"/>
        <v>0</v>
      </c>
      <c r="HZ233" s="222">
        <f t="shared" ca="1" si="867"/>
        <v>0</v>
      </c>
      <c r="IA233" s="222">
        <f t="shared" ca="1" si="867"/>
        <v>0</v>
      </c>
      <c r="IB233" s="222">
        <f t="shared" ca="1" si="867"/>
        <v>0</v>
      </c>
      <c r="IC233" s="222">
        <f t="shared" ca="1" si="867"/>
        <v>0</v>
      </c>
      <c r="ID233" s="222">
        <f t="shared" ca="1" si="867"/>
        <v>0</v>
      </c>
      <c r="IE233" s="222">
        <f t="shared" ca="1" si="867"/>
        <v>0</v>
      </c>
      <c r="IF233" s="222">
        <f t="shared" ca="1" si="867"/>
        <v>0</v>
      </c>
      <c r="IG233" s="222">
        <f t="shared" ca="1" si="867"/>
        <v>0</v>
      </c>
      <c r="IH233" s="222">
        <f t="shared" ca="1" si="867"/>
        <v>0</v>
      </c>
      <c r="II233" s="222">
        <f t="shared" ca="1" si="867"/>
        <v>0</v>
      </c>
      <c r="IJ233" s="222">
        <f t="shared" ca="1" si="867"/>
        <v>0</v>
      </c>
      <c r="IK233" s="222">
        <f t="shared" ca="1" si="867"/>
        <v>0</v>
      </c>
      <c r="IL233" s="222">
        <f t="shared" ca="1" si="867"/>
        <v>0</v>
      </c>
      <c r="IM233" s="222">
        <f t="shared" ca="1" si="867"/>
        <v>0</v>
      </c>
      <c r="IN233" s="222">
        <f t="shared" ref="IN233:JX233" ca="1" si="868">IN$232*$I$236</f>
        <v>0</v>
      </c>
      <c r="IO233" s="222">
        <f t="shared" ca="1" si="868"/>
        <v>0</v>
      </c>
      <c r="IP233" s="222">
        <f t="shared" ca="1" si="868"/>
        <v>0</v>
      </c>
      <c r="IQ233" s="222">
        <f t="shared" ca="1" si="868"/>
        <v>0</v>
      </c>
      <c r="IR233" s="222">
        <f t="shared" ca="1" si="868"/>
        <v>0</v>
      </c>
      <c r="IS233" s="222">
        <f t="shared" ca="1" si="868"/>
        <v>0</v>
      </c>
      <c r="IT233" s="222">
        <f t="shared" ca="1" si="868"/>
        <v>0</v>
      </c>
      <c r="IU233" s="222">
        <f t="shared" ca="1" si="868"/>
        <v>0</v>
      </c>
      <c r="IV233" s="222">
        <f t="shared" ca="1" si="868"/>
        <v>0</v>
      </c>
      <c r="IW233" s="222">
        <f t="shared" ca="1" si="868"/>
        <v>0</v>
      </c>
      <c r="IX233" s="222">
        <f t="shared" ca="1" si="868"/>
        <v>0</v>
      </c>
      <c r="IY233" s="222">
        <f t="shared" ca="1" si="868"/>
        <v>0</v>
      </c>
      <c r="IZ233" s="222">
        <f t="shared" ca="1" si="868"/>
        <v>0</v>
      </c>
      <c r="JA233" s="222">
        <f t="shared" ca="1" si="868"/>
        <v>0</v>
      </c>
      <c r="JB233" s="222">
        <f t="shared" ca="1" si="868"/>
        <v>0</v>
      </c>
      <c r="JC233" s="222">
        <f t="shared" ca="1" si="868"/>
        <v>0</v>
      </c>
      <c r="JD233" s="222">
        <f t="shared" ca="1" si="868"/>
        <v>0</v>
      </c>
      <c r="JE233" s="222">
        <f t="shared" ca="1" si="868"/>
        <v>0</v>
      </c>
      <c r="JF233" s="222">
        <f t="shared" ca="1" si="868"/>
        <v>0</v>
      </c>
      <c r="JG233" s="222">
        <f t="shared" ca="1" si="868"/>
        <v>0</v>
      </c>
      <c r="JH233" s="222">
        <f t="shared" ca="1" si="868"/>
        <v>0</v>
      </c>
      <c r="JI233" s="222">
        <f t="shared" ca="1" si="868"/>
        <v>0</v>
      </c>
      <c r="JJ233" s="222">
        <f t="shared" ca="1" si="868"/>
        <v>0</v>
      </c>
      <c r="JK233" s="222">
        <f t="shared" ca="1" si="868"/>
        <v>0</v>
      </c>
      <c r="JL233" s="222">
        <f t="shared" ca="1" si="868"/>
        <v>0</v>
      </c>
      <c r="JM233" s="222">
        <f t="shared" ca="1" si="868"/>
        <v>0</v>
      </c>
      <c r="JN233" s="222">
        <f t="shared" ca="1" si="868"/>
        <v>0</v>
      </c>
      <c r="JO233" s="222">
        <f t="shared" ca="1" si="868"/>
        <v>0</v>
      </c>
      <c r="JP233" s="222">
        <f t="shared" ca="1" si="868"/>
        <v>0</v>
      </c>
      <c r="JQ233" s="222">
        <f t="shared" ca="1" si="868"/>
        <v>0</v>
      </c>
      <c r="JR233" s="222">
        <f t="shared" ca="1" si="868"/>
        <v>0</v>
      </c>
      <c r="JS233" s="222">
        <f t="shared" ca="1" si="868"/>
        <v>0</v>
      </c>
      <c r="JT233" s="222">
        <f t="shared" ca="1" si="868"/>
        <v>0</v>
      </c>
      <c r="JU233" s="222">
        <f t="shared" ca="1" si="868"/>
        <v>0</v>
      </c>
      <c r="JV233" s="222">
        <f t="shared" ca="1" si="868"/>
        <v>0</v>
      </c>
      <c r="JW233" s="222">
        <f t="shared" ca="1" si="868"/>
        <v>0</v>
      </c>
      <c r="JX233" s="222">
        <f t="shared" ca="1" si="868"/>
        <v>0</v>
      </c>
    </row>
    <row r="234" spans="1:284" s="7" customFormat="1" x14ac:dyDescent="0.2">
      <c r="A234" s="406"/>
      <c r="B234" s="231" t="s">
        <v>359</v>
      </c>
      <c r="C234" s="233"/>
      <c r="D234" s="245"/>
      <c r="E234" s="245" t="s">
        <v>363</v>
      </c>
      <c r="F234" s="246">
        <v>0.12</v>
      </c>
      <c r="G234" s="236">
        <v>0.15</v>
      </c>
      <c r="H234" s="249">
        <f t="shared" ref="H234:H236" si="869">G234+(1-G234)*$H$228</f>
        <v>0.1925</v>
      </c>
      <c r="I234" s="247">
        <f>1-H234</f>
        <v>0.8075</v>
      </c>
      <c r="L234" s="38">
        <f t="shared" ref="L234:AQ234" ca="1" si="870">IF(L$227="","",EV222)</f>
        <v>0</v>
      </c>
      <c r="M234" s="38">
        <f t="shared" ca="1" si="870"/>
        <v>0</v>
      </c>
      <c r="N234" s="38">
        <f t="shared" ca="1" si="870"/>
        <v>0</v>
      </c>
      <c r="O234" s="38">
        <f t="shared" ca="1" si="870"/>
        <v>0</v>
      </c>
      <c r="P234" s="38">
        <f t="shared" ca="1" si="870"/>
        <v>0</v>
      </c>
      <c r="Q234" s="38">
        <f t="shared" ca="1" si="870"/>
        <v>0</v>
      </c>
      <c r="R234" s="38">
        <f t="shared" ca="1" si="870"/>
        <v>0</v>
      </c>
      <c r="S234" s="38">
        <f t="shared" ca="1" si="870"/>
        <v>0</v>
      </c>
      <c r="T234" s="38">
        <f t="shared" ca="1" si="870"/>
        <v>0</v>
      </c>
      <c r="U234" s="38">
        <f t="shared" ca="1" si="870"/>
        <v>0</v>
      </c>
      <c r="V234" s="38">
        <f t="shared" ca="1" si="870"/>
        <v>0</v>
      </c>
      <c r="W234" s="38">
        <f t="shared" ca="1" si="870"/>
        <v>0</v>
      </c>
      <c r="X234" s="38">
        <f t="shared" ca="1" si="870"/>
        <v>0</v>
      </c>
      <c r="Y234" s="38">
        <f t="shared" ca="1" si="870"/>
        <v>0</v>
      </c>
      <c r="Z234" s="38">
        <f t="shared" ca="1" si="870"/>
        <v>0</v>
      </c>
      <c r="AA234" s="38">
        <f t="shared" ca="1" si="870"/>
        <v>0</v>
      </c>
      <c r="AB234" s="38">
        <f t="shared" ca="1" si="870"/>
        <v>0</v>
      </c>
      <c r="AC234" s="38">
        <f t="shared" ca="1" si="870"/>
        <v>0</v>
      </c>
      <c r="AD234" s="38">
        <f t="shared" ca="1" si="870"/>
        <v>0</v>
      </c>
      <c r="AE234" s="38">
        <f t="shared" ca="1" si="870"/>
        <v>0</v>
      </c>
      <c r="AF234" s="38">
        <f t="shared" ca="1" si="870"/>
        <v>0</v>
      </c>
      <c r="AG234" s="38">
        <f t="shared" ca="1" si="870"/>
        <v>0</v>
      </c>
      <c r="AH234" s="38">
        <f t="shared" ca="1" si="870"/>
        <v>0</v>
      </c>
      <c r="AI234" s="38">
        <f t="shared" ca="1" si="870"/>
        <v>0</v>
      </c>
      <c r="AJ234" s="38">
        <f t="shared" ca="1" si="870"/>
        <v>0</v>
      </c>
      <c r="AK234" s="38">
        <f t="shared" ca="1" si="870"/>
        <v>0</v>
      </c>
      <c r="AL234" s="38">
        <f t="shared" ca="1" si="870"/>
        <v>0</v>
      </c>
      <c r="AM234" s="38">
        <f t="shared" ca="1" si="870"/>
        <v>0</v>
      </c>
      <c r="AN234" s="38">
        <f t="shared" ca="1" si="870"/>
        <v>0</v>
      </c>
      <c r="AO234" s="38">
        <f t="shared" ca="1" si="870"/>
        <v>0</v>
      </c>
      <c r="AP234" s="38">
        <f t="shared" ca="1" si="870"/>
        <v>0</v>
      </c>
      <c r="AQ234" s="38">
        <f t="shared" ca="1" si="870"/>
        <v>0</v>
      </c>
      <c r="AR234" s="38">
        <f t="shared" ref="AR234:BW234" ca="1" si="871">IF(AR$227="","",GB222)</f>
        <v>0</v>
      </c>
      <c r="AS234" s="38">
        <f t="shared" ca="1" si="871"/>
        <v>0</v>
      </c>
      <c r="AT234" s="38">
        <f t="shared" ca="1" si="871"/>
        <v>0</v>
      </c>
      <c r="AU234" s="38">
        <f t="shared" ca="1" si="871"/>
        <v>1.4551915228366852E-11</v>
      </c>
      <c r="AV234" s="38">
        <f t="shared" ca="1" si="871"/>
        <v>0</v>
      </c>
      <c r="AW234" s="38">
        <f t="shared" ca="1" si="871"/>
        <v>0</v>
      </c>
      <c r="AX234" s="38">
        <f t="shared" ca="1" si="871"/>
        <v>0</v>
      </c>
      <c r="AY234" s="38">
        <f t="shared" ca="1" si="871"/>
        <v>0</v>
      </c>
      <c r="AZ234" s="38">
        <f t="shared" ca="1" si="871"/>
        <v>0</v>
      </c>
      <c r="BA234" s="38">
        <f t="shared" ca="1" si="871"/>
        <v>1.4551915228366852E-11</v>
      </c>
      <c r="BB234" s="38">
        <f t="shared" ca="1" si="871"/>
        <v>1.4551915228366852E-11</v>
      </c>
      <c r="BC234" s="38">
        <f t="shared" ca="1" si="871"/>
        <v>0</v>
      </c>
      <c r="BD234" s="38">
        <f t="shared" ca="1" si="871"/>
        <v>0</v>
      </c>
      <c r="BE234" s="38">
        <f t="shared" ca="1" si="871"/>
        <v>2247344.7628954845</v>
      </c>
      <c r="BF234" s="38" t="str">
        <f t="shared" si="871"/>
        <v/>
      </c>
      <c r="BG234" s="38" t="str">
        <f t="shared" si="871"/>
        <v/>
      </c>
      <c r="BH234" s="38" t="str">
        <f t="shared" si="871"/>
        <v/>
      </c>
      <c r="BI234" s="38" t="str">
        <f t="shared" si="871"/>
        <v/>
      </c>
      <c r="BJ234" s="38" t="str">
        <f t="shared" si="871"/>
        <v/>
      </c>
      <c r="BK234" s="38" t="str">
        <f t="shared" si="871"/>
        <v/>
      </c>
      <c r="BL234" s="38" t="str">
        <f t="shared" si="871"/>
        <v/>
      </c>
      <c r="BM234" s="38" t="str">
        <f t="shared" si="871"/>
        <v/>
      </c>
      <c r="BN234" s="38" t="str">
        <f t="shared" si="871"/>
        <v/>
      </c>
      <c r="BO234" s="38" t="str">
        <f t="shared" si="871"/>
        <v/>
      </c>
      <c r="BP234" s="38" t="str">
        <f t="shared" si="871"/>
        <v/>
      </c>
      <c r="BQ234" s="38" t="str">
        <f t="shared" si="871"/>
        <v/>
      </c>
      <c r="BR234" s="38" t="str">
        <f t="shared" si="871"/>
        <v/>
      </c>
      <c r="BS234" s="38" t="str">
        <f t="shared" si="871"/>
        <v/>
      </c>
      <c r="BT234" s="38" t="str">
        <f t="shared" si="871"/>
        <v/>
      </c>
      <c r="BU234" s="38" t="str">
        <f t="shared" si="871"/>
        <v/>
      </c>
      <c r="BV234" s="38" t="str">
        <f t="shared" si="871"/>
        <v/>
      </c>
      <c r="BW234" s="38" t="str">
        <f t="shared" si="871"/>
        <v/>
      </c>
      <c r="BX234" s="38" t="str">
        <f t="shared" ref="BX234:DC234" si="872">IF(BX$227="","",HH222)</f>
        <v/>
      </c>
      <c r="BY234" s="38" t="str">
        <f t="shared" si="872"/>
        <v/>
      </c>
      <c r="BZ234" s="38" t="str">
        <f t="shared" si="872"/>
        <v/>
      </c>
      <c r="CA234" s="38" t="str">
        <f t="shared" si="872"/>
        <v/>
      </c>
      <c r="CB234" s="38" t="str">
        <f t="shared" si="872"/>
        <v/>
      </c>
      <c r="CC234" s="38" t="str">
        <f t="shared" si="872"/>
        <v/>
      </c>
      <c r="CD234" s="38" t="str">
        <f t="shared" si="872"/>
        <v/>
      </c>
      <c r="CE234" s="38" t="str">
        <f t="shared" si="872"/>
        <v/>
      </c>
      <c r="CF234" s="38" t="str">
        <f t="shared" si="872"/>
        <v/>
      </c>
      <c r="CG234" s="38" t="str">
        <f t="shared" si="872"/>
        <v/>
      </c>
      <c r="CH234" s="38" t="str">
        <f t="shared" si="872"/>
        <v/>
      </c>
      <c r="CI234" s="38" t="str">
        <f t="shared" si="872"/>
        <v/>
      </c>
      <c r="CJ234" s="38" t="str">
        <f t="shared" si="872"/>
        <v/>
      </c>
      <c r="CK234" s="38" t="str">
        <f t="shared" si="872"/>
        <v/>
      </c>
      <c r="CL234" s="38" t="str">
        <f t="shared" si="872"/>
        <v/>
      </c>
      <c r="CM234" s="38" t="str">
        <f t="shared" si="872"/>
        <v/>
      </c>
      <c r="CN234" s="38" t="str">
        <f t="shared" si="872"/>
        <v/>
      </c>
      <c r="CO234" s="38" t="str">
        <f t="shared" si="872"/>
        <v/>
      </c>
      <c r="CP234" s="38" t="str">
        <f t="shared" si="872"/>
        <v/>
      </c>
      <c r="CQ234" s="38" t="str">
        <f t="shared" si="872"/>
        <v/>
      </c>
      <c r="CR234" s="38" t="str">
        <f t="shared" si="872"/>
        <v/>
      </c>
      <c r="CS234" s="38" t="str">
        <f t="shared" si="872"/>
        <v/>
      </c>
      <c r="CT234" s="38" t="str">
        <f t="shared" si="872"/>
        <v/>
      </c>
      <c r="CU234" s="38" t="str">
        <f t="shared" si="872"/>
        <v/>
      </c>
      <c r="CV234" s="38" t="str">
        <f t="shared" si="872"/>
        <v/>
      </c>
      <c r="CW234" s="38" t="str">
        <f t="shared" si="872"/>
        <v/>
      </c>
      <c r="CX234" s="38" t="str">
        <f t="shared" si="872"/>
        <v/>
      </c>
      <c r="CY234" s="38" t="str">
        <f t="shared" si="872"/>
        <v/>
      </c>
      <c r="CZ234" s="38" t="str">
        <f t="shared" si="872"/>
        <v/>
      </c>
      <c r="DA234" s="38" t="str">
        <f t="shared" si="872"/>
        <v/>
      </c>
      <c r="DB234" s="38" t="str">
        <f t="shared" si="872"/>
        <v/>
      </c>
      <c r="DC234" s="38" t="str">
        <f t="shared" si="872"/>
        <v/>
      </c>
      <c r="DD234" s="38" t="str">
        <f t="shared" ref="DD234:EI234" si="873">IF(DD$227="","",IN222)</f>
        <v/>
      </c>
      <c r="DE234" s="38" t="str">
        <f t="shared" si="873"/>
        <v/>
      </c>
      <c r="DF234" s="38" t="str">
        <f t="shared" si="873"/>
        <v/>
      </c>
      <c r="DG234" s="38" t="str">
        <f t="shared" si="873"/>
        <v/>
      </c>
      <c r="DH234" s="38" t="str">
        <f t="shared" si="873"/>
        <v/>
      </c>
      <c r="DI234" s="38" t="str">
        <f t="shared" si="873"/>
        <v/>
      </c>
      <c r="DJ234" s="38" t="str">
        <f t="shared" si="873"/>
        <v/>
      </c>
      <c r="DK234" s="38" t="str">
        <f t="shared" si="873"/>
        <v/>
      </c>
      <c r="DL234" s="38" t="str">
        <f t="shared" si="873"/>
        <v/>
      </c>
      <c r="DM234" s="38" t="str">
        <f t="shared" si="873"/>
        <v/>
      </c>
      <c r="DN234" s="38" t="str">
        <f t="shared" si="873"/>
        <v/>
      </c>
      <c r="DO234" s="38" t="str">
        <f t="shared" si="873"/>
        <v/>
      </c>
      <c r="DP234" s="38" t="str">
        <f t="shared" si="873"/>
        <v/>
      </c>
      <c r="DQ234" s="38" t="str">
        <f t="shared" si="873"/>
        <v/>
      </c>
      <c r="DR234" s="38" t="str">
        <f t="shared" si="873"/>
        <v/>
      </c>
      <c r="DS234" s="38" t="str">
        <f t="shared" si="873"/>
        <v/>
      </c>
      <c r="DT234" s="38" t="str">
        <f t="shared" si="873"/>
        <v/>
      </c>
      <c r="DU234" s="38" t="str">
        <f t="shared" si="873"/>
        <v/>
      </c>
      <c r="DV234" s="38" t="str">
        <f t="shared" si="873"/>
        <v/>
      </c>
      <c r="DW234" s="38" t="str">
        <f t="shared" si="873"/>
        <v/>
      </c>
      <c r="DX234" s="38" t="str">
        <f t="shared" si="873"/>
        <v/>
      </c>
      <c r="DY234" s="38" t="str">
        <f t="shared" si="873"/>
        <v/>
      </c>
      <c r="DZ234" s="38" t="str">
        <f t="shared" si="873"/>
        <v/>
      </c>
      <c r="EA234" s="38" t="str">
        <f t="shared" si="873"/>
        <v/>
      </c>
      <c r="EB234" s="38" t="str">
        <f t="shared" si="873"/>
        <v/>
      </c>
      <c r="EC234" s="38" t="str">
        <f t="shared" si="873"/>
        <v/>
      </c>
      <c r="ED234" s="38" t="str">
        <f t="shared" si="873"/>
        <v/>
      </c>
      <c r="EE234" s="38" t="str">
        <f t="shared" si="873"/>
        <v/>
      </c>
      <c r="EF234" s="38" t="str">
        <f t="shared" si="873"/>
        <v/>
      </c>
      <c r="EG234" s="38" t="str">
        <f t="shared" si="873"/>
        <v/>
      </c>
      <c r="EH234" s="38" t="str">
        <f t="shared" si="873"/>
        <v/>
      </c>
      <c r="EI234" s="38" t="str">
        <f t="shared" si="873"/>
        <v/>
      </c>
      <c r="EJ234" s="38" t="str">
        <f>IF(EJ$227="","",JT222)</f>
        <v/>
      </c>
      <c r="EK234" s="38" t="str">
        <f>IF(EK$227="","",JU222)</f>
        <v/>
      </c>
      <c r="EL234" s="38" t="str">
        <f>IF(EL$227="","",JV222)</f>
        <v/>
      </c>
      <c r="EM234" s="38" t="str">
        <f>IF(EM$227="","",JW222)</f>
        <v/>
      </c>
      <c r="EN234" s="38" t="str">
        <f>IF(EN$227="","",JX222)</f>
        <v/>
      </c>
      <c r="EP234" s="37"/>
      <c r="EQ234" s="24"/>
      <c r="ER234" s="24"/>
      <c r="ES234" s="24"/>
      <c r="ET234" s="33" t="s">
        <v>398</v>
      </c>
      <c r="EU234" s="33"/>
      <c r="EV234" s="222">
        <f t="shared" ref="EV234:GA234" ca="1" si="874">EV$232*$H$236</f>
        <v>0</v>
      </c>
      <c r="EW234" s="222">
        <f t="shared" ca="1" si="874"/>
        <v>0</v>
      </c>
      <c r="EX234" s="222">
        <f t="shared" ca="1" si="874"/>
        <v>0</v>
      </c>
      <c r="EY234" s="222">
        <f t="shared" ca="1" si="874"/>
        <v>0</v>
      </c>
      <c r="EZ234" s="222">
        <f t="shared" ca="1" si="874"/>
        <v>0</v>
      </c>
      <c r="FA234" s="222">
        <f t="shared" ca="1" si="874"/>
        <v>0</v>
      </c>
      <c r="FB234" s="222">
        <f t="shared" ca="1" si="874"/>
        <v>0</v>
      </c>
      <c r="FC234" s="222">
        <f t="shared" ca="1" si="874"/>
        <v>0</v>
      </c>
      <c r="FD234" s="222">
        <f t="shared" ca="1" si="874"/>
        <v>0</v>
      </c>
      <c r="FE234" s="222">
        <f t="shared" ca="1" si="874"/>
        <v>0</v>
      </c>
      <c r="FF234" s="222">
        <f t="shared" ca="1" si="874"/>
        <v>0</v>
      </c>
      <c r="FG234" s="222">
        <f t="shared" ca="1" si="874"/>
        <v>0</v>
      </c>
      <c r="FH234" s="222">
        <f t="shared" ca="1" si="874"/>
        <v>0</v>
      </c>
      <c r="FI234" s="222">
        <f t="shared" ca="1" si="874"/>
        <v>0</v>
      </c>
      <c r="FJ234" s="222">
        <f t="shared" ca="1" si="874"/>
        <v>0</v>
      </c>
      <c r="FK234" s="222">
        <f t="shared" ca="1" si="874"/>
        <v>0</v>
      </c>
      <c r="FL234" s="222">
        <f t="shared" ca="1" si="874"/>
        <v>0</v>
      </c>
      <c r="FM234" s="222">
        <f t="shared" ca="1" si="874"/>
        <v>0</v>
      </c>
      <c r="FN234" s="222">
        <f t="shared" ca="1" si="874"/>
        <v>0</v>
      </c>
      <c r="FO234" s="222">
        <f t="shared" ca="1" si="874"/>
        <v>0</v>
      </c>
      <c r="FP234" s="222">
        <f t="shared" ca="1" si="874"/>
        <v>0</v>
      </c>
      <c r="FQ234" s="222">
        <f t="shared" ca="1" si="874"/>
        <v>0</v>
      </c>
      <c r="FR234" s="222">
        <f t="shared" ca="1" si="874"/>
        <v>0</v>
      </c>
      <c r="FS234" s="222">
        <f t="shared" ca="1" si="874"/>
        <v>0</v>
      </c>
      <c r="FT234" s="222">
        <f t="shared" ca="1" si="874"/>
        <v>0</v>
      </c>
      <c r="FU234" s="222">
        <f t="shared" ca="1" si="874"/>
        <v>0</v>
      </c>
      <c r="FV234" s="222">
        <f t="shared" ca="1" si="874"/>
        <v>0</v>
      </c>
      <c r="FW234" s="222">
        <f t="shared" ca="1" si="874"/>
        <v>0</v>
      </c>
      <c r="FX234" s="222">
        <f t="shared" ca="1" si="874"/>
        <v>0</v>
      </c>
      <c r="FY234" s="222">
        <f t="shared" ca="1" si="874"/>
        <v>0</v>
      </c>
      <c r="FZ234" s="222">
        <f t="shared" ca="1" si="874"/>
        <v>0</v>
      </c>
      <c r="GA234" s="222">
        <f t="shared" ca="1" si="874"/>
        <v>0</v>
      </c>
      <c r="GB234" s="222">
        <f t="shared" ref="GB234:HG234" ca="1" si="875">GB$232*$H$236</f>
        <v>0</v>
      </c>
      <c r="GC234" s="222">
        <f t="shared" ca="1" si="875"/>
        <v>0</v>
      </c>
      <c r="GD234" s="222">
        <f t="shared" ca="1" si="875"/>
        <v>0</v>
      </c>
      <c r="GE234" s="222">
        <f t="shared" ca="1" si="875"/>
        <v>0</v>
      </c>
      <c r="GF234" s="222">
        <f t="shared" ca="1" si="875"/>
        <v>0</v>
      </c>
      <c r="GG234" s="222">
        <f t="shared" ca="1" si="875"/>
        <v>0</v>
      </c>
      <c r="GH234" s="222">
        <f t="shared" ca="1" si="875"/>
        <v>0</v>
      </c>
      <c r="GI234" s="222">
        <f t="shared" ca="1" si="875"/>
        <v>0</v>
      </c>
      <c r="GJ234" s="222">
        <f t="shared" ca="1" si="875"/>
        <v>0</v>
      </c>
      <c r="GK234" s="222">
        <f t="shared" ca="1" si="875"/>
        <v>0</v>
      </c>
      <c r="GL234" s="222">
        <f t="shared" ca="1" si="875"/>
        <v>0</v>
      </c>
      <c r="GM234" s="222">
        <f t="shared" ca="1" si="875"/>
        <v>0</v>
      </c>
      <c r="GN234" s="222">
        <f t="shared" ca="1" si="875"/>
        <v>0</v>
      </c>
      <c r="GO234" s="222">
        <f t="shared" ca="1" si="875"/>
        <v>0</v>
      </c>
      <c r="GP234" s="222">
        <f t="shared" ca="1" si="875"/>
        <v>0</v>
      </c>
      <c r="GQ234" s="222">
        <f t="shared" ca="1" si="875"/>
        <v>0</v>
      </c>
      <c r="GR234" s="222">
        <f t="shared" ca="1" si="875"/>
        <v>0</v>
      </c>
      <c r="GS234" s="222">
        <f t="shared" ca="1" si="875"/>
        <v>0</v>
      </c>
      <c r="GT234" s="222">
        <f t="shared" ca="1" si="875"/>
        <v>0</v>
      </c>
      <c r="GU234" s="222">
        <f t="shared" ca="1" si="875"/>
        <v>0</v>
      </c>
      <c r="GV234" s="222">
        <f t="shared" ca="1" si="875"/>
        <v>0</v>
      </c>
      <c r="GW234" s="222">
        <f t="shared" ca="1" si="875"/>
        <v>0</v>
      </c>
      <c r="GX234" s="222">
        <f t="shared" ca="1" si="875"/>
        <v>0</v>
      </c>
      <c r="GY234" s="222">
        <f t="shared" ca="1" si="875"/>
        <v>0</v>
      </c>
      <c r="GZ234" s="222">
        <f t="shared" ca="1" si="875"/>
        <v>0</v>
      </c>
      <c r="HA234" s="222">
        <f t="shared" ca="1" si="875"/>
        <v>0</v>
      </c>
      <c r="HB234" s="222">
        <f t="shared" ca="1" si="875"/>
        <v>0</v>
      </c>
      <c r="HC234" s="222">
        <f t="shared" ca="1" si="875"/>
        <v>0</v>
      </c>
      <c r="HD234" s="222">
        <f t="shared" ca="1" si="875"/>
        <v>0</v>
      </c>
      <c r="HE234" s="222">
        <f t="shared" ca="1" si="875"/>
        <v>0</v>
      </c>
      <c r="HF234" s="222">
        <f t="shared" ca="1" si="875"/>
        <v>0</v>
      </c>
      <c r="HG234" s="222">
        <f t="shared" ca="1" si="875"/>
        <v>0</v>
      </c>
      <c r="HH234" s="222">
        <f t="shared" ref="HH234:IM234" ca="1" si="876">HH$232*$H$236</f>
        <v>0</v>
      </c>
      <c r="HI234" s="222">
        <f t="shared" ca="1" si="876"/>
        <v>0</v>
      </c>
      <c r="HJ234" s="222">
        <f t="shared" ca="1" si="876"/>
        <v>0</v>
      </c>
      <c r="HK234" s="222">
        <f t="shared" ca="1" si="876"/>
        <v>0</v>
      </c>
      <c r="HL234" s="222">
        <f t="shared" ca="1" si="876"/>
        <v>0</v>
      </c>
      <c r="HM234" s="222">
        <f t="shared" ca="1" si="876"/>
        <v>0</v>
      </c>
      <c r="HN234" s="222">
        <f t="shared" ca="1" si="876"/>
        <v>0</v>
      </c>
      <c r="HO234" s="222">
        <f t="shared" ca="1" si="876"/>
        <v>0</v>
      </c>
      <c r="HP234" s="222">
        <f t="shared" ca="1" si="876"/>
        <v>0</v>
      </c>
      <c r="HQ234" s="222">
        <f t="shared" ca="1" si="876"/>
        <v>0</v>
      </c>
      <c r="HR234" s="222">
        <f t="shared" ca="1" si="876"/>
        <v>0</v>
      </c>
      <c r="HS234" s="222">
        <f t="shared" ca="1" si="876"/>
        <v>0</v>
      </c>
      <c r="HT234" s="222">
        <f t="shared" ca="1" si="876"/>
        <v>0</v>
      </c>
      <c r="HU234" s="222">
        <f t="shared" ca="1" si="876"/>
        <v>0</v>
      </c>
      <c r="HV234" s="222">
        <f t="shared" ca="1" si="876"/>
        <v>0</v>
      </c>
      <c r="HW234" s="222">
        <f t="shared" ca="1" si="876"/>
        <v>0</v>
      </c>
      <c r="HX234" s="222">
        <f t="shared" ca="1" si="876"/>
        <v>0</v>
      </c>
      <c r="HY234" s="222">
        <f t="shared" ca="1" si="876"/>
        <v>0</v>
      </c>
      <c r="HZ234" s="222">
        <f t="shared" ca="1" si="876"/>
        <v>0</v>
      </c>
      <c r="IA234" s="222">
        <f t="shared" ca="1" si="876"/>
        <v>0</v>
      </c>
      <c r="IB234" s="222">
        <f t="shared" ca="1" si="876"/>
        <v>0</v>
      </c>
      <c r="IC234" s="222">
        <f t="shared" ca="1" si="876"/>
        <v>0</v>
      </c>
      <c r="ID234" s="222">
        <f t="shared" ca="1" si="876"/>
        <v>0</v>
      </c>
      <c r="IE234" s="222">
        <f t="shared" ca="1" si="876"/>
        <v>0</v>
      </c>
      <c r="IF234" s="222">
        <f t="shared" ca="1" si="876"/>
        <v>0</v>
      </c>
      <c r="IG234" s="222">
        <f t="shared" ca="1" si="876"/>
        <v>0</v>
      </c>
      <c r="IH234" s="222">
        <f t="shared" ca="1" si="876"/>
        <v>0</v>
      </c>
      <c r="II234" s="222">
        <f t="shared" ca="1" si="876"/>
        <v>0</v>
      </c>
      <c r="IJ234" s="222">
        <f t="shared" ca="1" si="876"/>
        <v>0</v>
      </c>
      <c r="IK234" s="222">
        <f t="shared" ca="1" si="876"/>
        <v>0</v>
      </c>
      <c r="IL234" s="222">
        <f t="shared" ca="1" si="876"/>
        <v>0</v>
      </c>
      <c r="IM234" s="222">
        <f t="shared" ca="1" si="876"/>
        <v>0</v>
      </c>
      <c r="IN234" s="222">
        <f t="shared" ref="IN234:JX234" ca="1" si="877">IN$232*$H$236</f>
        <v>0</v>
      </c>
      <c r="IO234" s="222">
        <f t="shared" ca="1" si="877"/>
        <v>0</v>
      </c>
      <c r="IP234" s="222">
        <f t="shared" ca="1" si="877"/>
        <v>0</v>
      </c>
      <c r="IQ234" s="222">
        <f t="shared" ca="1" si="877"/>
        <v>0</v>
      </c>
      <c r="IR234" s="222">
        <f t="shared" ca="1" si="877"/>
        <v>0</v>
      </c>
      <c r="IS234" s="222">
        <f t="shared" ca="1" si="877"/>
        <v>0</v>
      </c>
      <c r="IT234" s="222">
        <f t="shared" ca="1" si="877"/>
        <v>0</v>
      </c>
      <c r="IU234" s="222">
        <f t="shared" ca="1" si="877"/>
        <v>0</v>
      </c>
      <c r="IV234" s="222">
        <f t="shared" ca="1" si="877"/>
        <v>0</v>
      </c>
      <c r="IW234" s="222">
        <f t="shared" ca="1" si="877"/>
        <v>0</v>
      </c>
      <c r="IX234" s="222">
        <f t="shared" ca="1" si="877"/>
        <v>0</v>
      </c>
      <c r="IY234" s="222">
        <f t="shared" ca="1" si="877"/>
        <v>0</v>
      </c>
      <c r="IZ234" s="222">
        <f t="shared" ca="1" si="877"/>
        <v>0</v>
      </c>
      <c r="JA234" s="222">
        <f t="shared" ca="1" si="877"/>
        <v>0</v>
      </c>
      <c r="JB234" s="222">
        <f t="shared" ca="1" si="877"/>
        <v>0</v>
      </c>
      <c r="JC234" s="222">
        <f t="shared" ca="1" si="877"/>
        <v>0</v>
      </c>
      <c r="JD234" s="222">
        <f t="shared" ca="1" si="877"/>
        <v>0</v>
      </c>
      <c r="JE234" s="222">
        <f t="shared" ca="1" si="877"/>
        <v>0</v>
      </c>
      <c r="JF234" s="222">
        <f t="shared" ca="1" si="877"/>
        <v>0</v>
      </c>
      <c r="JG234" s="222">
        <f t="shared" ca="1" si="877"/>
        <v>0</v>
      </c>
      <c r="JH234" s="222">
        <f t="shared" ca="1" si="877"/>
        <v>0</v>
      </c>
      <c r="JI234" s="222">
        <f t="shared" ca="1" si="877"/>
        <v>0</v>
      </c>
      <c r="JJ234" s="222">
        <f t="shared" ca="1" si="877"/>
        <v>0</v>
      </c>
      <c r="JK234" s="222">
        <f t="shared" ca="1" si="877"/>
        <v>0</v>
      </c>
      <c r="JL234" s="222">
        <f t="shared" ca="1" si="877"/>
        <v>0</v>
      </c>
      <c r="JM234" s="222">
        <f t="shared" ca="1" si="877"/>
        <v>0</v>
      </c>
      <c r="JN234" s="222">
        <f t="shared" ca="1" si="877"/>
        <v>0</v>
      </c>
      <c r="JO234" s="222">
        <f t="shared" ca="1" si="877"/>
        <v>0</v>
      </c>
      <c r="JP234" s="222">
        <f t="shared" ca="1" si="877"/>
        <v>0</v>
      </c>
      <c r="JQ234" s="222">
        <f t="shared" ca="1" si="877"/>
        <v>0</v>
      </c>
      <c r="JR234" s="222">
        <f t="shared" ca="1" si="877"/>
        <v>0</v>
      </c>
      <c r="JS234" s="222">
        <f t="shared" ca="1" si="877"/>
        <v>0</v>
      </c>
      <c r="JT234" s="222">
        <f t="shared" ca="1" si="877"/>
        <v>0</v>
      </c>
      <c r="JU234" s="222">
        <f t="shared" ca="1" si="877"/>
        <v>0</v>
      </c>
      <c r="JV234" s="222">
        <f t="shared" ca="1" si="877"/>
        <v>0</v>
      </c>
      <c r="JW234" s="222">
        <f t="shared" ca="1" si="877"/>
        <v>0</v>
      </c>
      <c r="JX234" s="222">
        <f t="shared" ca="1" si="877"/>
        <v>0</v>
      </c>
    </row>
    <row r="235" spans="1:284" s="7" customFormat="1" x14ac:dyDescent="0.2">
      <c r="A235" s="406"/>
      <c r="B235" s="231" t="s">
        <v>360</v>
      </c>
      <c r="C235" s="233"/>
      <c r="D235" s="245"/>
      <c r="E235" s="245" t="s">
        <v>363</v>
      </c>
      <c r="F235" s="246">
        <v>0.15</v>
      </c>
      <c r="G235" s="236">
        <f>30%+(70%*G$228)</f>
        <v>0.3</v>
      </c>
      <c r="H235" s="249">
        <f t="shared" si="869"/>
        <v>0.33499999999999996</v>
      </c>
      <c r="I235" s="247">
        <f>1-H235</f>
        <v>0.66500000000000004</v>
      </c>
      <c r="L235" s="38">
        <f t="shared" ref="L235:AQ235" ca="1" si="878">IF(L$227="","",EV231)</f>
        <v>0</v>
      </c>
      <c r="M235" s="38">
        <f t="shared" ca="1" si="878"/>
        <v>0</v>
      </c>
      <c r="N235" s="38">
        <f t="shared" ca="1" si="878"/>
        <v>0</v>
      </c>
      <c r="O235" s="38">
        <f t="shared" ca="1" si="878"/>
        <v>0</v>
      </c>
      <c r="P235" s="38">
        <f t="shared" ca="1" si="878"/>
        <v>0</v>
      </c>
      <c r="Q235" s="38">
        <f t="shared" ca="1" si="878"/>
        <v>0</v>
      </c>
      <c r="R235" s="38">
        <f t="shared" ca="1" si="878"/>
        <v>0</v>
      </c>
      <c r="S235" s="38">
        <f t="shared" ca="1" si="878"/>
        <v>0</v>
      </c>
      <c r="T235" s="38">
        <f t="shared" ca="1" si="878"/>
        <v>0</v>
      </c>
      <c r="U235" s="38">
        <f t="shared" ca="1" si="878"/>
        <v>0</v>
      </c>
      <c r="V235" s="38">
        <f t="shared" ca="1" si="878"/>
        <v>0</v>
      </c>
      <c r="W235" s="38">
        <f t="shared" ca="1" si="878"/>
        <v>0</v>
      </c>
      <c r="X235" s="38">
        <f t="shared" ca="1" si="878"/>
        <v>0</v>
      </c>
      <c r="Y235" s="38">
        <f t="shared" ca="1" si="878"/>
        <v>0</v>
      </c>
      <c r="Z235" s="38">
        <f t="shared" ca="1" si="878"/>
        <v>0</v>
      </c>
      <c r="AA235" s="38">
        <f t="shared" ca="1" si="878"/>
        <v>0</v>
      </c>
      <c r="AB235" s="38">
        <f t="shared" ca="1" si="878"/>
        <v>0</v>
      </c>
      <c r="AC235" s="38">
        <f t="shared" ca="1" si="878"/>
        <v>0</v>
      </c>
      <c r="AD235" s="38">
        <f t="shared" ca="1" si="878"/>
        <v>0</v>
      </c>
      <c r="AE235" s="38">
        <f t="shared" ca="1" si="878"/>
        <v>0</v>
      </c>
      <c r="AF235" s="38">
        <f t="shared" ca="1" si="878"/>
        <v>0</v>
      </c>
      <c r="AG235" s="38">
        <f t="shared" ca="1" si="878"/>
        <v>0</v>
      </c>
      <c r="AH235" s="38">
        <f t="shared" ca="1" si="878"/>
        <v>0</v>
      </c>
      <c r="AI235" s="38">
        <f t="shared" ca="1" si="878"/>
        <v>0</v>
      </c>
      <c r="AJ235" s="38">
        <f t="shared" ca="1" si="878"/>
        <v>0</v>
      </c>
      <c r="AK235" s="38">
        <f t="shared" ca="1" si="878"/>
        <v>0</v>
      </c>
      <c r="AL235" s="38">
        <f t="shared" ca="1" si="878"/>
        <v>0</v>
      </c>
      <c r="AM235" s="38">
        <f t="shared" ca="1" si="878"/>
        <v>0</v>
      </c>
      <c r="AN235" s="38">
        <f t="shared" ca="1" si="878"/>
        <v>0</v>
      </c>
      <c r="AO235" s="38">
        <f t="shared" ca="1" si="878"/>
        <v>0</v>
      </c>
      <c r="AP235" s="38">
        <f t="shared" ca="1" si="878"/>
        <v>0</v>
      </c>
      <c r="AQ235" s="38">
        <f t="shared" ca="1" si="878"/>
        <v>0</v>
      </c>
      <c r="AR235" s="38">
        <f t="shared" ref="AR235:BW235" ca="1" si="879">IF(AR$227="","",GB231)</f>
        <v>0</v>
      </c>
      <c r="AS235" s="38">
        <f t="shared" ca="1" si="879"/>
        <v>0</v>
      </c>
      <c r="AT235" s="38">
        <f t="shared" ca="1" si="879"/>
        <v>0</v>
      </c>
      <c r="AU235" s="38">
        <f t="shared" ca="1" si="879"/>
        <v>0</v>
      </c>
      <c r="AV235" s="38">
        <f t="shared" ca="1" si="879"/>
        <v>0</v>
      </c>
      <c r="AW235" s="38">
        <f t="shared" ca="1" si="879"/>
        <v>0</v>
      </c>
      <c r="AX235" s="38">
        <f t="shared" ca="1" si="879"/>
        <v>0</v>
      </c>
      <c r="AY235" s="38">
        <f t="shared" ca="1" si="879"/>
        <v>0</v>
      </c>
      <c r="AZ235" s="38">
        <f t="shared" ca="1" si="879"/>
        <v>0</v>
      </c>
      <c r="BA235" s="38">
        <f t="shared" ca="1" si="879"/>
        <v>0</v>
      </c>
      <c r="BB235" s="38">
        <f t="shared" ca="1" si="879"/>
        <v>0</v>
      </c>
      <c r="BC235" s="38">
        <f t="shared" ca="1" si="879"/>
        <v>0</v>
      </c>
      <c r="BD235" s="38">
        <f t="shared" ca="1" si="879"/>
        <v>0</v>
      </c>
      <c r="BE235" s="38">
        <f t="shared" ca="1" si="879"/>
        <v>1573359.1166071212</v>
      </c>
      <c r="BF235" s="38" t="str">
        <f t="shared" si="879"/>
        <v/>
      </c>
      <c r="BG235" s="38" t="str">
        <f t="shared" si="879"/>
        <v/>
      </c>
      <c r="BH235" s="38" t="str">
        <f t="shared" si="879"/>
        <v/>
      </c>
      <c r="BI235" s="38" t="str">
        <f t="shared" si="879"/>
        <v/>
      </c>
      <c r="BJ235" s="38" t="str">
        <f t="shared" si="879"/>
        <v/>
      </c>
      <c r="BK235" s="38" t="str">
        <f t="shared" si="879"/>
        <v/>
      </c>
      <c r="BL235" s="38" t="str">
        <f t="shared" si="879"/>
        <v/>
      </c>
      <c r="BM235" s="38" t="str">
        <f t="shared" si="879"/>
        <v/>
      </c>
      <c r="BN235" s="38" t="str">
        <f t="shared" si="879"/>
        <v/>
      </c>
      <c r="BO235" s="38" t="str">
        <f t="shared" si="879"/>
        <v/>
      </c>
      <c r="BP235" s="38" t="str">
        <f t="shared" si="879"/>
        <v/>
      </c>
      <c r="BQ235" s="38" t="str">
        <f t="shared" si="879"/>
        <v/>
      </c>
      <c r="BR235" s="38" t="str">
        <f t="shared" si="879"/>
        <v/>
      </c>
      <c r="BS235" s="38" t="str">
        <f t="shared" si="879"/>
        <v/>
      </c>
      <c r="BT235" s="38" t="str">
        <f t="shared" si="879"/>
        <v/>
      </c>
      <c r="BU235" s="38" t="str">
        <f t="shared" si="879"/>
        <v/>
      </c>
      <c r="BV235" s="38" t="str">
        <f t="shared" si="879"/>
        <v/>
      </c>
      <c r="BW235" s="38" t="str">
        <f t="shared" si="879"/>
        <v/>
      </c>
      <c r="BX235" s="38" t="str">
        <f t="shared" ref="BX235:DC235" si="880">IF(BX$227="","",HH231)</f>
        <v/>
      </c>
      <c r="BY235" s="38" t="str">
        <f t="shared" si="880"/>
        <v/>
      </c>
      <c r="BZ235" s="38" t="str">
        <f t="shared" si="880"/>
        <v/>
      </c>
      <c r="CA235" s="38" t="str">
        <f t="shared" si="880"/>
        <v/>
      </c>
      <c r="CB235" s="38" t="str">
        <f t="shared" si="880"/>
        <v/>
      </c>
      <c r="CC235" s="38" t="str">
        <f t="shared" si="880"/>
        <v/>
      </c>
      <c r="CD235" s="38" t="str">
        <f t="shared" si="880"/>
        <v/>
      </c>
      <c r="CE235" s="38" t="str">
        <f t="shared" si="880"/>
        <v/>
      </c>
      <c r="CF235" s="38" t="str">
        <f t="shared" si="880"/>
        <v/>
      </c>
      <c r="CG235" s="38" t="str">
        <f t="shared" si="880"/>
        <v/>
      </c>
      <c r="CH235" s="38" t="str">
        <f t="shared" si="880"/>
        <v/>
      </c>
      <c r="CI235" s="38" t="str">
        <f t="shared" si="880"/>
        <v/>
      </c>
      <c r="CJ235" s="38" t="str">
        <f t="shared" si="880"/>
        <v/>
      </c>
      <c r="CK235" s="38" t="str">
        <f t="shared" si="880"/>
        <v/>
      </c>
      <c r="CL235" s="38" t="str">
        <f t="shared" si="880"/>
        <v/>
      </c>
      <c r="CM235" s="38" t="str">
        <f t="shared" si="880"/>
        <v/>
      </c>
      <c r="CN235" s="38" t="str">
        <f t="shared" si="880"/>
        <v/>
      </c>
      <c r="CO235" s="38" t="str">
        <f t="shared" si="880"/>
        <v/>
      </c>
      <c r="CP235" s="38" t="str">
        <f t="shared" si="880"/>
        <v/>
      </c>
      <c r="CQ235" s="38" t="str">
        <f t="shared" si="880"/>
        <v/>
      </c>
      <c r="CR235" s="38" t="str">
        <f t="shared" si="880"/>
        <v/>
      </c>
      <c r="CS235" s="38" t="str">
        <f t="shared" si="880"/>
        <v/>
      </c>
      <c r="CT235" s="38" t="str">
        <f t="shared" si="880"/>
        <v/>
      </c>
      <c r="CU235" s="38" t="str">
        <f t="shared" si="880"/>
        <v/>
      </c>
      <c r="CV235" s="38" t="str">
        <f t="shared" si="880"/>
        <v/>
      </c>
      <c r="CW235" s="38" t="str">
        <f t="shared" si="880"/>
        <v/>
      </c>
      <c r="CX235" s="38" t="str">
        <f t="shared" si="880"/>
        <v/>
      </c>
      <c r="CY235" s="38" t="str">
        <f t="shared" si="880"/>
        <v/>
      </c>
      <c r="CZ235" s="38" t="str">
        <f t="shared" si="880"/>
        <v/>
      </c>
      <c r="DA235" s="38" t="str">
        <f t="shared" si="880"/>
        <v/>
      </c>
      <c r="DB235" s="38" t="str">
        <f t="shared" si="880"/>
        <v/>
      </c>
      <c r="DC235" s="38" t="str">
        <f t="shared" si="880"/>
        <v/>
      </c>
      <c r="DD235" s="38" t="str">
        <f t="shared" ref="DD235:EI235" si="881">IF(DD$227="","",IN231)</f>
        <v/>
      </c>
      <c r="DE235" s="38" t="str">
        <f t="shared" si="881"/>
        <v/>
      </c>
      <c r="DF235" s="38" t="str">
        <f t="shared" si="881"/>
        <v/>
      </c>
      <c r="DG235" s="38" t="str">
        <f t="shared" si="881"/>
        <v/>
      </c>
      <c r="DH235" s="38" t="str">
        <f t="shared" si="881"/>
        <v/>
      </c>
      <c r="DI235" s="38" t="str">
        <f t="shared" si="881"/>
        <v/>
      </c>
      <c r="DJ235" s="38" t="str">
        <f t="shared" si="881"/>
        <v/>
      </c>
      <c r="DK235" s="38" t="str">
        <f t="shared" si="881"/>
        <v/>
      </c>
      <c r="DL235" s="38" t="str">
        <f t="shared" si="881"/>
        <v/>
      </c>
      <c r="DM235" s="38" t="str">
        <f t="shared" si="881"/>
        <v/>
      </c>
      <c r="DN235" s="38" t="str">
        <f t="shared" si="881"/>
        <v/>
      </c>
      <c r="DO235" s="38" t="str">
        <f t="shared" si="881"/>
        <v/>
      </c>
      <c r="DP235" s="38" t="str">
        <f t="shared" si="881"/>
        <v/>
      </c>
      <c r="DQ235" s="38" t="str">
        <f t="shared" si="881"/>
        <v/>
      </c>
      <c r="DR235" s="38" t="str">
        <f t="shared" si="881"/>
        <v/>
      </c>
      <c r="DS235" s="38" t="str">
        <f t="shared" si="881"/>
        <v/>
      </c>
      <c r="DT235" s="38" t="str">
        <f t="shared" si="881"/>
        <v/>
      </c>
      <c r="DU235" s="38" t="str">
        <f t="shared" si="881"/>
        <v/>
      </c>
      <c r="DV235" s="38" t="str">
        <f t="shared" si="881"/>
        <v/>
      </c>
      <c r="DW235" s="38" t="str">
        <f t="shared" si="881"/>
        <v/>
      </c>
      <c r="DX235" s="38" t="str">
        <f t="shared" si="881"/>
        <v/>
      </c>
      <c r="DY235" s="38" t="str">
        <f t="shared" si="881"/>
        <v/>
      </c>
      <c r="DZ235" s="38" t="str">
        <f t="shared" si="881"/>
        <v/>
      </c>
      <c r="EA235" s="38" t="str">
        <f t="shared" si="881"/>
        <v/>
      </c>
      <c r="EB235" s="38" t="str">
        <f t="shared" si="881"/>
        <v/>
      </c>
      <c r="EC235" s="38" t="str">
        <f t="shared" si="881"/>
        <v/>
      </c>
      <c r="ED235" s="38" t="str">
        <f t="shared" si="881"/>
        <v/>
      </c>
      <c r="EE235" s="38" t="str">
        <f t="shared" si="881"/>
        <v/>
      </c>
      <c r="EF235" s="38" t="str">
        <f t="shared" si="881"/>
        <v/>
      </c>
      <c r="EG235" s="38" t="str">
        <f t="shared" si="881"/>
        <v/>
      </c>
      <c r="EH235" s="38" t="str">
        <f t="shared" si="881"/>
        <v/>
      </c>
      <c r="EI235" s="38" t="str">
        <f t="shared" si="881"/>
        <v/>
      </c>
      <c r="EJ235" s="38" t="str">
        <f>IF(EJ$227="","",JT231)</f>
        <v/>
      </c>
      <c r="EK235" s="38" t="str">
        <f>IF(EK$227="","",JU231)</f>
        <v/>
      </c>
      <c r="EL235" s="38" t="str">
        <f>IF(EL$227="","",JV231)</f>
        <v/>
      </c>
      <c r="EM235" s="38" t="str">
        <f>IF(EM$227="","",JW231)</f>
        <v/>
      </c>
      <c r="EN235" s="38" t="str">
        <f>IF(EN$227="","",JX231)</f>
        <v/>
      </c>
      <c r="EP235" s="254"/>
      <c r="EQ235" s="91"/>
      <c r="ER235" s="91"/>
      <c r="ES235" s="91"/>
      <c r="ET235" s="215" t="s">
        <v>387</v>
      </c>
      <c r="EU235" s="215"/>
      <c r="EV235" s="255">
        <f ca="1">SUM(EV233:EV234)</f>
        <v>0</v>
      </c>
      <c r="EW235" s="255">
        <f t="shared" ref="EW235:HH235" ca="1" si="882">SUM(EW233:EW234)</f>
        <v>0</v>
      </c>
      <c r="EX235" s="255">
        <f t="shared" ca="1" si="882"/>
        <v>0</v>
      </c>
      <c r="EY235" s="255">
        <f t="shared" ca="1" si="882"/>
        <v>0</v>
      </c>
      <c r="EZ235" s="255">
        <f t="shared" ca="1" si="882"/>
        <v>0</v>
      </c>
      <c r="FA235" s="255">
        <f t="shared" ca="1" si="882"/>
        <v>0</v>
      </c>
      <c r="FB235" s="255">
        <f t="shared" ca="1" si="882"/>
        <v>0</v>
      </c>
      <c r="FC235" s="255">
        <f t="shared" ca="1" si="882"/>
        <v>0</v>
      </c>
      <c r="FD235" s="255">
        <f t="shared" ca="1" si="882"/>
        <v>0</v>
      </c>
      <c r="FE235" s="255">
        <f t="shared" ca="1" si="882"/>
        <v>0</v>
      </c>
      <c r="FF235" s="255">
        <f t="shared" ca="1" si="882"/>
        <v>0</v>
      </c>
      <c r="FG235" s="255">
        <f t="shared" ca="1" si="882"/>
        <v>0</v>
      </c>
      <c r="FH235" s="255">
        <f t="shared" ca="1" si="882"/>
        <v>0</v>
      </c>
      <c r="FI235" s="255">
        <f t="shared" ca="1" si="882"/>
        <v>0</v>
      </c>
      <c r="FJ235" s="255">
        <f t="shared" ca="1" si="882"/>
        <v>0</v>
      </c>
      <c r="FK235" s="255">
        <f t="shared" ca="1" si="882"/>
        <v>0</v>
      </c>
      <c r="FL235" s="255">
        <f t="shared" ca="1" si="882"/>
        <v>0</v>
      </c>
      <c r="FM235" s="255">
        <f t="shared" ca="1" si="882"/>
        <v>0</v>
      </c>
      <c r="FN235" s="255">
        <f t="shared" ca="1" si="882"/>
        <v>0</v>
      </c>
      <c r="FO235" s="255">
        <f t="shared" ca="1" si="882"/>
        <v>0</v>
      </c>
      <c r="FP235" s="255">
        <f t="shared" ca="1" si="882"/>
        <v>0</v>
      </c>
      <c r="FQ235" s="255">
        <f t="shared" ca="1" si="882"/>
        <v>0</v>
      </c>
      <c r="FR235" s="255">
        <f t="shared" ca="1" si="882"/>
        <v>0</v>
      </c>
      <c r="FS235" s="255">
        <f t="shared" ca="1" si="882"/>
        <v>0</v>
      </c>
      <c r="FT235" s="255">
        <f t="shared" ca="1" si="882"/>
        <v>0</v>
      </c>
      <c r="FU235" s="255">
        <f t="shared" ca="1" si="882"/>
        <v>0</v>
      </c>
      <c r="FV235" s="255">
        <f t="shared" ca="1" si="882"/>
        <v>0</v>
      </c>
      <c r="FW235" s="255">
        <f t="shared" ca="1" si="882"/>
        <v>0</v>
      </c>
      <c r="FX235" s="255">
        <f t="shared" ca="1" si="882"/>
        <v>0</v>
      </c>
      <c r="FY235" s="255">
        <f t="shared" ca="1" si="882"/>
        <v>0</v>
      </c>
      <c r="FZ235" s="255">
        <f t="shared" ca="1" si="882"/>
        <v>0</v>
      </c>
      <c r="GA235" s="255">
        <f t="shared" ca="1" si="882"/>
        <v>0</v>
      </c>
      <c r="GB235" s="255">
        <f t="shared" ca="1" si="882"/>
        <v>0</v>
      </c>
      <c r="GC235" s="255">
        <f t="shared" ca="1" si="882"/>
        <v>0</v>
      </c>
      <c r="GD235" s="255">
        <f t="shared" ca="1" si="882"/>
        <v>0</v>
      </c>
      <c r="GE235" s="255">
        <f t="shared" ca="1" si="882"/>
        <v>0</v>
      </c>
      <c r="GF235" s="255">
        <f t="shared" ca="1" si="882"/>
        <v>0</v>
      </c>
      <c r="GG235" s="255">
        <f t="shared" ca="1" si="882"/>
        <v>0</v>
      </c>
      <c r="GH235" s="255">
        <f t="shared" ca="1" si="882"/>
        <v>0</v>
      </c>
      <c r="GI235" s="255">
        <f t="shared" ca="1" si="882"/>
        <v>0</v>
      </c>
      <c r="GJ235" s="255">
        <f t="shared" ca="1" si="882"/>
        <v>0</v>
      </c>
      <c r="GK235" s="255">
        <f t="shared" ca="1" si="882"/>
        <v>0</v>
      </c>
      <c r="GL235" s="255">
        <f t="shared" ca="1" si="882"/>
        <v>0</v>
      </c>
      <c r="GM235" s="255">
        <f t="shared" ca="1" si="882"/>
        <v>0</v>
      </c>
      <c r="GN235" s="255">
        <f t="shared" ca="1" si="882"/>
        <v>0</v>
      </c>
      <c r="GO235" s="255">
        <f t="shared" ca="1" si="882"/>
        <v>0</v>
      </c>
      <c r="GP235" s="255">
        <f t="shared" ca="1" si="882"/>
        <v>0</v>
      </c>
      <c r="GQ235" s="255">
        <f t="shared" ca="1" si="882"/>
        <v>0</v>
      </c>
      <c r="GR235" s="255">
        <f t="shared" ca="1" si="882"/>
        <v>0</v>
      </c>
      <c r="GS235" s="255">
        <f t="shared" ca="1" si="882"/>
        <v>0</v>
      </c>
      <c r="GT235" s="255">
        <f t="shared" ca="1" si="882"/>
        <v>0</v>
      </c>
      <c r="GU235" s="255">
        <f t="shared" ca="1" si="882"/>
        <v>0</v>
      </c>
      <c r="GV235" s="255">
        <f t="shared" ca="1" si="882"/>
        <v>0</v>
      </c>
      <c r="GW235" s="255">
        <f t="shared" ca="1" si="882"/>
        <v>0</v>
      </c>
      <c r="GX235" s="255">
        <f t="shared" ca="1" si="882"/>
        <v>0</v>
      </c>
      <c r="GY235" s="255">
        <f t="shared" ca="1" si="882"/>
        <v>0</v>
      </c>
      <c r="GZ235" s="255">
        <f t="shared" ca="1" si="882"/>
        <v>0</v>
      </c>
      <c r="HA235" s="255">
        <f t="shared" ca="1" si="882"/>
        <v>0</v>
      </c>
      <c r="HB235" s="255">
        <f t="shared" ca="1" si="882"/>
        <v>0</v>
      </c>
      <c r="HC235" s="255">
        <f t="shared" ca="1" si="882"/>
        <v>0</v>
      </c>
      <c r="HD235" s="255">
        <f t="shared" ca="1" si="882"/>
        <v>0</v>
      </c>
      <c r="HE235" s="255">
        <f t="shared" ca="1" si="882"/>
        <v>0</v>
      </c>
      <c r="HF235" s="255">
        <f t="shared" ca="1" si="882"/>
        <v>0</v>
      </c>
      <c r="HG235" s="255">
        <f t="shared" ca="1" si="882"/>
        <v>0</v>
      </c>
      <c r="HH235" s="255">
        <f t="shared" ca="1" si="882"/>
        <v>0</v>
      </c>
      <c r="HI235" s="255">
        <f t="shared" ref="HI235:JT235" ca="1" si="883">SUM(HI233:HI234)</f>
        <v>0</v>
      </c>
      <c r="HJ235" s="255">
        <f t="shared" ca="1" si="883"/>
        <v>0</v>
      </c>
      <c r="HK235" s="255">
        <f t="shared" ca="1" si="883"/>
        <v>0</v>
      </c>
      <c r="HL235" s="255">
        <f t="shared" ca="1" si="883"/>
        <v>0</v>
      </c>
      <c r="HM235" s="255">
        <f t="shared" ca="1" si="883"/>
        <v>0</v>
      </c>
      <c r="HN235" s="255">
        <f t="shared" ca="1" si="883"/>
        <v>0</v>
      </c>
      <c r="HO235" s="255">
        <f t="shared" ca="1" si="883"/>
        <v>0</v>
      </c>
      <c r="HP235" s="255">
        <f t="shared" ca="1" si="883"/>
        <v>0</v>
      </c>
      <c r="HQ235" s="255">
        <f t="shared" ca="1" si="883"/>
        <v>0</v>
      </c>
      <c r="HR235" s="255">
        <f t="shared" ca="1" si="883"/>
        <v>0</v>
      </c>
      <c r="HS235" s="255">
        <f t="shared" ca="1" si="883"/>
        <v>0</v>
      </c>
      <c r="HT235" s="255">
        <f t="shared" ca="1" si="883"/>
        <v>0</v>
      </c>
      <c r="HU235" s="255">
        <f t="shared" ca="1" si="883"/>
        <v>0</v>
      </c>
      <c r="HV235" s="255">
        <f t="shared" ca="1" si="883"/>
        <v>0</v>
      </c>
      <c r="HW235" s="255">
        <f t="shared" ca="1" si="883"/>
        <v>0</v>
      </c>
      <c r="HX235" s="255">
        <f t="shared" ca="1" si="883"/>
        <v>0</v>
      </c>
      <c r="HY235" s="255">
        <f t="shared" ca="1" si="883"/>
        <v>0</v>
      </c>
      <c r="HZ235" s="255">
        <f t="shared" ca="1" si="883"/>
        <v>0</v>
      </c>
      <c r="IA235" s="255">
        <f t="shared" ca="1" si="883"/>
        <v>0</v>
      </c>
      <c r="IB235" s="255">
        <f t="shared" ca="1" si="883"/>
        <v>0</v>
      </c>
      <c r="IC235" s="255">
        <f t="shared" ca="1" si="883"/>
        <v>0</v>
      </c>
      <c r="ID235" s="255">
        <f t="shared" ca="1" si="883"/>
        <v>0</v>
      </c>
      <c r="IE235" s="255">
        <f t="shared" ca="1" si="883"/>
        <v>0</v>
      </c>
      <c r="IF235" s="255">
        <f t="shared" ca="1" si="883"/>
        <v>0</v>
      </c>
      <c r="IG235" s="255">
        <f t="shared" ca="1" si="883"/>
        <v>0</v>
      </c>
      <c r="IH235" s="255">
        <f t="shared" ca="1" si="883"/>
        <v>0</v>
      </c>
      <c r="II235" s="255">
        <f t="shared" ca="1" si="883"/>
        <v>0</v>
      </c>
      <c r="IJ235" s="255">
        <f t="shared" ca="1" si="883"/>
        <v>0</v>
      </c>
      <c r="IK235" s="255">
        <f t="shared" ca="1" si="883"/>
        <v>0</v>
      </c>
      <c r="IL235" s="255">
        <f t="shared" ca="1" si="883"/>
        <v>0</v>
      </c>
      <c r="IM235" s="255">
        <f t="shared" ca="1" si="883"/>
        <v>0</v>
      </c>
      <c r="IN235" s="255">
        <f t="shared" ca="1" si="883"/>
        <v>0</v>
      </c>
      <c r="IO235" s="255">
        <f t="shared" ca="1" si="883"/>
        <v>0</v>
      </c>
      <c r="IP235" s="255">
        <f t="shared" ca="1" si="883"/>
        <v>0</v>
      </c>
      <c r="IQ235" s="255">
        <f t="shared" ca="1" si="883"/>
        <v>0</v>
      </c>
      <c r="IR235" s="255">
        <f t="shared" ca="1" si="883"/>
        <v>0</v>
      </c>
      <c r="IS235" s="255">
        <f t="shared" ca="1" si="883"/>
        <v>0</v>
      </c>
      <c r="IT235" s="255">
        <f t="shared" ca="1" si="883"/>
        <v>0</v>
      </c>
      <c r="IU235" s="255">
        <f t="shared" ca="1" si="883"/>
        <v>0</v>
      </c>
      <c r="IV235" s="255">
        <f t="shared" ca="1" si="883"/>
        <v>0</v>
      </c>
      <c r="IW235" s="255">
        <f t="shared" ca="1" si="883"/>
        <v>0</v>
      </c>
      <c r="IX235" s="255">
        <f t="shared" ca="1" si="883"/>
        <v>0</v>
      </c>
      <c r="IY235" s="255">
        <f t="shared" ca="1" si="883"/>
        <v>0</v>
      </c>
      <c r="IZ235" s="255">
        <f t="shared" ca="1" si="883"/>
        <v>0</v>
      </c>
      <c r="JA235" s="255">
        <f t="shared" ca="1" si="883"/>
        <v>0</v>
      </c>
      <c r="JB235" s="255">
        <f t="shared" ca="1" si="883"/>
        <v>0</v>
      </c>
      <c r="JC235" s="255">
        <f t="shared" ca="1" si="883"/>
        <v>0</v>
      </c>
      <c r="JD235" s="255">
        <f t="shared" ca="1" si="883"/>
        <v>0</v>
      </c>
      <c r="JE235" s="255">
        <f t="shared" ca="1" si="883"/>
        <v>0</v>
      </c>
      <c r="JF235" s="255">
        <f t="shared" ca="1" si="883"/>
        <v>0</v>
      </c>
      <c r="JG235" s="255">
        <f t="shared" ca="1" si="883"/>
        <v>0</v>
      </c>
      <c r="JH235" s="255">
        <f t="shared" ca="1" si="883"/>
        <v>0</v>
      </c>
      <c r="JI235" s="255">
        <f t="shared" ca="1" si="883"/>
        <v>0</v>
      </c>
      <c r="JJ235" s="255">
        <f t="shared" ca="1" si="883"/>
        <v>0</v>
      </c>
      <c r="JK235" s="255">
        <f t="shared" ca="1" si="883"/>
        <v>0</v>
      </c>
      <c r="JL235" s="255">
        <f t="shared" ca="1" si="883"/>
        <v>0</v>
      </c>
      <c r="JM235" s="255">
        <f t="shared" ca="1" si="883"/>
        <v>0</v>
      </c>
      <c r="JN235" s="255">
        <f t="shared" ca="1" si="883"/>
        <v>0</v>
      </c>
      <c r="JO235" s="255">
        <f t="shared" ca="1" si="883"/>
        <v>0</v>
      </c>
      <c r="JP235" s="255">
        <f t="shared" ca="1" si="883"/>
        <v>0</v>
      </c>
      <c r="JQ235" s="255">
        <f t="shared" ca="1" si="883"/>
        <v>0</v>
      </c>
      <c r="JR235" s="255">
        <f t="shared" ca="1" si="883"/>
        <v>0</v>
      </c>
      <c r="JS235" s="255">
        <f t="shared" ca="1" si="883"/>
        <v>0</v>
      </c>
      <c r="JT235" s="255">
        <f t="shared" ca="1" si="883"/>
        <v>0</v>
      </c>
      <c r="JU235" s="255">
        <f ca="1">SUM(JU233:JU234)</f>
        <v>0</v>
      </c>
      <c r="JV235" s="255">
        <f ca="1">SUM(JV233:JV234)</f>
        <v>0</v>
      </c>
      <c r="JW235" s="255">
        <f ca="1">SUM(JW233:JW234)</f>
        <v>0</v>
      </c>
      <c r="JX235" s="255">
        <f ca="1">SUM(JX233:JX234)</f>
        <v>0</v>
      </c>
    </row>
    <row r="236" spans="1:284" s="7" customFormat="1" x14ac:dyDescent="0.2">
      <c r="A236" s="406"/>
      <c r="B236" s="231" t="s">
        <v>361</v>
      </c>
      <c r="C236" s="233"/>
      <c r="D236" s="245"/>
      <c r="E236" s="245" t="s">
        <v>364</v>
      </c>
      <c r="F236" s="248">
        <f>F235</f>
        <v>0.15</v>
      </c>
      <c r="G236" s="236">
        <f>40%+(60%*G$228)</f>
        <v>0.4</v>
      </c>
      <c r="H236" s="249">
        <f t="shared" si="869"/>
        <v>0.43000000000000005</v>
      </c>
      <c r="I236" s="247">
        <f>1-H236</f>
        <v>0.56999999999999995</v>
      </c>
      <c r="L236" s="38">
        <f t="shared" ref="L236:AQ236" ca="1" si="884">IF(L$227="","",EV235)</f>
        <v>0</v>
      </c>
      <c r="M236" s="38">
        <f t="shared" ca="1" si="884"/>
        <v>0</v>
      </c>
      <c r="N236" s="38">
        <f t="shared" ca="1" si="884"/>
        <v>0</v>
      </c>
      <c r="O236" s="38">
        <f t="shared" ca="1" si="884"/>
        <v>0</v>
      </c>
      <c r="P236" s="38">
        <f t="shared" ca="1" si="884"/>
        <v>0</v>
      </c>
      <c r="Q236" s="38">
        <f t="shared" ca="1" si="884"/>
        <v>0</v>
      </c>
      <c r="R236" s="38">
        <f t="shared" ca="1" si="884"/>
        <v>0</v>
      </c>
      <c r="S236" s="38">
        <f t="shared" ca="1" si="884"/>
        <v>0</v>
      </c>
      <c r="T236" s="38">
        <f t="shared" ca="1" si="884"/>
        <v>0</v>
      </c>
      <c r="U236" s="38">
        <f t="shared" ca="1" si="884"/>
        <v>0</v>
      </c>
      <c r="V236" s="38">
        <f t="shared" ca="1" si="884"/>
        <v>0</v>
      </c>
      <c r="W236" s="38">
        <f t="shared" ca="1" si="884"/>
        <v>0</v>
      </c>
      <c r="X236" s="38">
        <f t="shared" ca="1" si="884"/>
        <v>0</v>
      </c>
      <c r="Y236" s="38">
        <f t="shared" ca="1" si="884"/>
        <v>0</v>
      </c>
      <c r="Z236" s="38">
        <f t="shared" ca="1" si="884"/>
        <v>0</v>
      </c>
      <c r="AA236" s="38">
        <f t="shared" ca="1" si="884"/>
        <v>0</v>
      </c>
      <c r="AB236" s="38">
        <f t="shared" ca="1" si="884"/>
        <v>0</v>
      </c>
      <c r="AC236" s="38">
        <f t="shared" ca="1" si="884"/>
        <v>0</v>
      </c>
      <c r="AD236" s="38">
        <f t="shared" ca="1" si="884"/>
        <v>0</v>
      </c>
      <c r="AE236" s="38">
        <f t="shared" ca="1" si="884"/>
        <v>0</v>
      </c>
      <c r="AF236" s="38">
        <f t="shared" ca="1" si="884"/>
        <v>0</v>
      </c>
      <c r="AG236" s="38">
        <f t="shared" ca="1" si="884"/>
        <v>0</v>
      </c>
      <c r="AH236" s="38">
        <f t="shared" ca="1" si="884"/>
        <v>0</v>
      </c>
      <c r="AI236" s="38">
        <f t="shared" ca="1" si="884"/>
        <v>0</v>
      </c>
      <c r="AJ236" s="38">
        <f t="shared" ca="1" si="884"/>
        <v>0</v>
      </c>
      <c r="AK236" s="38">
        <f t="shared" ca="1" si="884"/>
        <v>0</v>
      </c>
      <c r="AL236" s="38">
        <f t="shared" ca="1" si="884"/>
        <v>0</v>
      </c>
      <c r="AM236" s="38">
        <f t="shared" ca="1" si="884"/>
        <v>0</v>
      </c>
      <c r="AN236" s="38">
        <f t="shared" ca="1" si="884"/>
        <v>0</v>
      </c>
      <c r="AO236" s="38">
        <f t="shared" ca="1" si="884"/>
        <v>0</v>
      </c>
      <c r="AP236" s="38">
        <f t="shared" ca="1" si="884"/>
        <v>0</v>
      </c>
      <c r="AQ236" s="38">
        <f t="shared" ca="1" si="884"/>
        <v>0</v>
      </c>
      <c r="AR236" s="38">
        <f t="shared" ref="AR236:BW236" ca="1" si="885">IF(AR$227="","",GB235)</f>
        <v>0</v>
      </c>
      <c r="AS236" s="38">
        <f t="shared" ca="1" si="885"/>
        <v>0</v>
      </c>
      <c r="AT236" s="38">
        <f t="shared" ca="1" si="885"/>
        <v>0</v>
      </c>
      <c r="AU236" s="38">
        <f t="shared" ca="1" si="885"/>
        <v>0</v>
      </c>
      <c r="AV236" s="38">
        <f t="shared" ca="1" si="885"/>
        <v>0</v>
      </c>
      <c r="AW236" s="38">
        <f t="shared" ca="1" si="885"/>
        <v>0</v>
      </c>
      <c r="AX236" s="38">
        <f t="shared" ca="1" si="885"/>
        <v>0</v>
      </c>
      <c r="AY236" s="38">
        <f t="shared" ca="1" si="885"/>
        <v>0</v>
      </c>
      <c r="AZ236" s="38">
        <f t="shared" ca="1" si="885"/>
        <v>0</v>
      </c>
      <c r="BA236" s="38">
        <f t="shared" ca="1" si="885"/>
        <v>0</v>
      </c>
      <c r="BB236" s="38">
        <f t="shared" ca="1" si="885"/>
        <v>0</v>
      </c>
      <c r="BC236" s="38">
        <f t="shared" ca="1" si="885"/>
        <v>0</v>
      </c>
      <c r="BD236" s="38">
        <f t="shared" ca="1" si="885"/>
        <v>0</v>
      </c>
      <c r="BE236" s="38">
        <f t="shared" ca="1" si="885"/>
        <v>0</v>
      </c>
      <c r="BF236" s="38" t="str">
        <f t="shared" si="885"/>
        <v/>
      </c>
      <c r="BG236" s="38" t="str">
        <f t="shared" si="885"/>
        <v/>
      </c>
      <c r="BH236" s="38" t="str">
        <f t="shared" si="885"/>
        <v/>
      </c>
      <c r="BI236" s="38" t="str">
        <f t="shared" si="885"/>
        <v/>
      </c>
      <c r="BJ236" s="38" t="str">
        <f t="shared" si="885"/>
        <v/>
      </c>
      <c r="BK236" s="38" t="str">
        <f t="shared" si="885"/>
        <v/>
      </c>
      <c r="BL236" s="38" t="str">
        <f t="shared" si="885"/>
        <v/>
      </c>
      <c r="BM236" s="38" t="str">
        <f t="shared" si="885"/>
        <v/>
      </c>
      <c r="BN236" s="38" t="str">
        <f t="shared" si="885"/>
        <v/>
      </c>
      <c r="BO236" s="38" t="str">
        <f t="shared" si="885"/>
        <v/>
      </c>
      <c r="BP236" s="38" t="str">
        <f t="shared" si="885"/>
        <v/>
      </c>
      <c r="BQ236" s="38" t="str">
        <f t="shared" si="885"/>
        <v/>
      </c>
      <c r="BR236" s="38" t="str">
        <f t="shared" si="885"/>
        <v/>
      </c>
      <c r="BS236" s="38" t="str">
        <f t="shared" si="885"/>
        <v/>
      </c>
      <c r="BT236" s="38" t="str">
        <f t="shared" si="885"/>
        <v/>
      </c>
      <c r="BU236" s="38" t="str">
        <f t="shared" si="885"/>
        <v/>
      </c>
      <c r="BV236" s="38" t="str">
        <f t="shared" si="885"/>
        <v/>
      </c>
      <c r="BW236" s="38" t="str">
        <f t="shared" si="885"/>
        <v/>
      </c>
      <c r="BX236" s="38" t="str">
        <f t="shared" ref="BX236:DC236" si="886">IF(BX$227="","",HH235)</f>
        <v/>
      </c>
      <c r="BY236" s="38" t="str">
        <f t="shared" si="886"/>
        <v/>
      </c>
      <c r="BZ236" s="38" t="str">
        <f t="shared" si="886"/>
        <v/>
      </c>
      <c r="CA236" s="38" t="str">
        <f t="shared" si="886"/>
        <v/>
      </c>
      <c r="CB236" s="38" t="str">
        <f t="shared" si="886"/>
        <v/>
      </c>
      <c r="CC236" s="38" t="str">
        <f t="shared" si="886"/>
        <v/>
      </c>
      <c r="CD236" s="38" t="str">
        <f t="shared" si="886"/>
        <v/>
      </c>
      <c r="CE236" s="38" t="str">
        <f t="shared" si="886"/>
        <v/>
      </c>
      <c r="CF236" s="38" t="str">
        <f t="shared" si="886"/>
        <v/>
      </c>
      <c r="CG236" s="38" t="str">
        <f t="shared" si="886"/>
        <v/>
      </c>
      <c r="CH236" s="38" t="str">
        <f t="shared" si="886"/>
        <v/>
      </c>
      <c r="CI236" s="38" t="str">
        <f t="shared" si="886"/>
        <v/>
      </c>
      <c r="CJ236" s="38" t="str">
        <f t="shared" si="886"/>
        <v/>
      </c>
      <c r="CK236" s="38" t="str">
        <f t="shared" si="886"/>
        <v/>
      </c>
      <c r="CL236" s="38" t="str">
        <f t="shared" si="886"/>
        <v/>
      </c>
      <c r="CM236" s="38" t="str">
        <f t="shared" si="886"/>
        <v/>
      </c>
      <c r="CN236" s="38" t="str">
        <f t="shared" si="886"/>
        <v/>
      </c>
      <c r="CO236" s="38" t="str">
        <f t="shared" si="886"/>
        <v/>
      </c>
      <c r="CP236" s="38" t="str">
        <f t="shared" si="886"/>
        <v/>
      </c>
      <c r="CQ236" s="38" t="str">
        <f t="shared" si="886"/>
        <v/>
      </c>
      <c r="CR236" s="38" t="str">
        <f t="shared" si="886"/>
        <v/>
      </c>
      <c r="CS236" s="38" t="str">
        <f t="shared" si="886"/>
        <v/>
      </c>
      <c r="CT236" s="38" t="str">
        <f t="shared" si="886"/>
        <v/>
      </c>
      <c r="CU236" s="38" t="str">
        <f t="shared" si="886"/>
        <v/>
      </c>
      <c r="CV236" s="38" t="str">
        <f t="shared" si="886"/>
        <v/>
      </c>
      <c r="CW236" s="38" t="str">
        <f t="shared" si="886"/>
        <v/>
      </c>
      <c r="CX236" s="38" t="str">
        <f t="shared" si="886"/>
        <v/>
      </c>
      <c r="CY236" s="38" t="str">
        <f t="shared" si="886"/>
        <v/>
      </c>
      <c r="CZ236" s="38" t="str">
        <f t="shared" si="886"/>
        <v/>
      </c>
      <c r="DA236" s="38" t="str">
        <f t="shared" si="886"/>
        <v/>
      </c>
      <c r="DB236" s="38" t="str">
        <f t="shared" si="886"/>
        <v/>
      </c>
      <c r="DC236" s="38" t="str">
        <f t="shared" si="886"/>
        <v/>
      </c>
      <c r="DD236" s="38" t="str">
        <f t="shared" ref="DD236:EI236" si="887">IF(DD$227="","",IN235)</f>
        <v/>
      </c>
      <c r="DE236" s="38" t="str">
        <f t="shared" si="887"/>
        <v/>
      </c>
      <c r="DF236" s="38" t="str">
        <f t="shared" si="887"/>
        <v/>
      </c>
      <c r="DG236" s="38" t="str">
        <f t="shared" si="887"/>
        <v/>
      </c>
      <c r="DH236" s="38" t="str">
        <f t="shared" si="887"/>
        <v/>
      </c>
      <c r="DI236" s="38" t="str">
        <f t="shared" si="887"/>
        <v/>
      </c>
      <c r="DJ236" s="38" t="str">
        <f t="shared" si="887"/>
        <v/>
      </c>
      <c r="DK236" s="38" t="str">
        <f t="shared" si="887"/>
        <v/>
      </c>
      <c r="DL236" s="38" t="str">
        <f t="shared" si="887"/>
        <v/>
      </c>
      <c r="DM236" s="38" t="str">
        <f t="shared" si="887"/>
        <v/>
      </c>
      <c r="DN236" s="38" t="str">
        <f t="shared" si="887"/>
        <v/>
      </c>
      <c r="DO236" s="38" t="str">
        <f t="shared" si="887"/>
        <v/>
      </c>
      <c r="DP236" s="38" t="str">
        <f t="shared" si="887"/>
        <v/>
      </c>
      <c r="DQ236" s="38" t="str">
        <f t="shared" si="887"/>
        <v/>
      </c>
      <c r="DR236" s="38" t="str">
        <f t="shared" si="887"/>
        <v/>
      </c>
      <c r="DS236" s="38" t="str">
        <f t="shared" si="887"/>
        <v/>
      </c>
      <c r="DT236" s="38" t="str">
        <f t="shared" si="887"/>
        <v/>
      </c>
      <c r="DU236" s="38" t="str">
        <f t="shared" si="887"/>
        <v/>
      </c>
      <c r="DV236" s="38" t="str">
        <f t="shared" si="887"/>
        <v/>
      </c>
      <c r="DW236" s="38" t="str">
        <f t="shared" si="887"/>
        <v/>
      </c>
      <c r="DX236" s="38" t="str">
        <f t="shared" si="887"/>
        <v/>
      </c>
      <c r="DY236" s="38" t="str">
        <f t="shared" si="887"/>
        <v/>
      </c>
      <c r="DZ236" s="38" t="str">
        <f t="shared" si="887"/>
        <v/>
      </c>
      <c r="EA236" s="38" t="str">
        <f t="shared" si="887"/>
        <v/>
      </c>
      <c r="EB236" s="38" t="str">
        <f t="shared" si="887"/>
        <v/>
      </c>
      <c r="EC236" s="38" t="str">
        <f t="shared" si="887"/>
        <v/>
      </c>
      <c r="ED236" s="38" t="str">
        <f t="shared" si="887"/>
        <v/>
      </c>
      <c r="EE236" s="38" t="str">
        <f t="shared" si="887"/>
        <v/>
      </c>
      <c r="EF236" s="38" t="str">
        <f t="shared" si="887"/>
        <v/>
      </c>
      <c r="EG236" s="38" t="str">
        <f t="shared" si="887"/>
        <v/>
      </c>
      <c r="EH236" s="38" t="str">
        <f t="shared" si="887"/>
        <v/>
      </c>
      <c r="EI236" s="38" t="str">
        <f t="shared" si="887"/>
        <v/>
      </c>
      <c r="EJ236" s="38" t="str">
        <f>IF(EJ$227="","",JT235)</f>
        <v/>
      </c>
      <c r="EK236" s="38" t="str">
        <f>IF(EK$227="","",JU235)</f>
        <v/>
      </c>
      <c r="EL236" s="38" t="str">
        <f>IF(EL$227="","",JV235)</f>
        <v/>
      </c>
      <c r="EM236" s="38" t="str">
        <f>IF(EM$227="","",JW235)</f>
        <v/>
      </c>
      <c r="EN236" s="38" t="str">
        <f>IF(EN$227="","",JX235)</f>
        <v/>
      </c>
      <c r="EP236" s="37"/>
      <c r="EQ236" s="37"/>
      <c r="ER236" s="37"/>
      <c r="ES236" s="37"/>
      <c r="ET236" s="33" t="s">
        <v>413</v>
      </c>
      <c r="EU236" s="224"/>
      <c r="EV236" s="222">
        <f t="shared" ref="EV236:GA236" ca="1" si="888">IF(L244="",0,L244-EV211)</f>
        <v>-187657.97638306464</v>
      </c>
      <c r="EW236" s="222">
        <f t="shared" ca="1" si="888"/>
        <v>-21730.771816496028</v>
      </c>
      <c r="EX236" s="222">
        <f t="shared" ca="1" si="888"/>
        <v>-29755.760793080612</v>
      </c>
      <c r="EY236" s="222">
        <f t="shared" ca="1" si="888"/>
        <v>-45670.459179682453</v>
      </c>
      <c r="EZ236" s="222">
        <f t="shared" ca="1" si="888"/>
        <v>-73391.045194076287</v>
      </c>
      <c r="FA236" s="222">
        <f t="shared" ca="1" si="888"/>
        <v>-115481.48367370834</v>
      </c>
      <c r="FB236" s="222">
        <f t="shared" ca="1" si="888"/>
        <v>-170492.91037806304</v>
      </c>
      <c r="FC236" s="222">
        <f t="shared" ca="1" si="888"/>
        <v>-87680.306188005474</v>
      </c>
      <c r="FD236" s="222">
        <f t="shared" ca="1" si="888"/>
        <v>0</v>
      </c>
      <c r="FE236" s="222">
        <f t="shared" ca="1" si="888"/>
        <v>0</v>
      </c>
      <c r="FF236" s="222">
        <f t="shared" ca="1" si="888"/>
        <v>0</v>
      </c>
      <c r="FG236" s="222">
        <f t="shared" ca="1" si="888"/>
        <v>0</v>
      </c>
      <c r="FH236" s="222">
        <f t="shared" ca="1" si="888"/>
        <v>0</v>
      </c>
      <c r="FI236" s="222">
        <f t="shared" ca="1" si="888"/>
        <v>0</v>
      </c>
      <c r="FJ236" s="222">
        <f t="shared" ca="1" si="888"/>
        <v>0</v>
      </c>
      <c r="FK236" s="222">
        <f t="shared" ca="1" si="888"/>
        <v>0</v>
      </c>
      <c r="FL236" s="222">
        <f t="shared" ca="1" si="888"/>
        <v>0</v>
      </c>
      <c r="FM236" s="222">
        <f t="shared" ca="1" si="888"/>
        <v>0</v>
      </c>
      <c r="FN236" s="222">
        <f t="shared" ca="1" si="888"/>
        <v>0</v>
      </c>
      <c r="FO236" s="222">
        <f t="shared" ca="1" si="888"/>
        <v>0</v>
      </c>
      <c r="FP236" s="222">
        <f t="shared" ca="1" si="888"/>
        <v>7.2759576141834263E-13</v>
      </c>
      <c r="FQ236" s="222">
        <f t="shared" ca="1" si="888"/>
        <v>0</v>
      </c>
      <c r="FR236" s="222">
        <f t="shared" ca="1" si="888"/>
        <v>0</v>
      </c>
      <c r="FS236" s="222">
        <f t="shared" ca="1" si="888"/>
        <v>4.5474735088646412E-13</v>
      </c>
      <c r="FT236" s="222">
        <f t="shared" ca="1" si="888"/>
        <v>-5.4569682106375702E-13</v>
      </c>
      <c r="FU236" s="222">
        <f t="shared" ca="1" si="888"/>
        <v>0</v>
      </c>
      <c r="FV236" s="222">
        <f t="shared" ca="1" si="888"/>
        <v>0</v>
      </c>
      <c r="FW236" s="222">
        <f t="shared" ca="1" si="888"/>
        <v>0</v>
      </c>
      <c r="FX236" s="222">
        <f t="shared" ca="1" si="888"/>
        <v>0</v>
      </c>
      <c r="FY236" s="222">
        <f t="shared" ca="1" si="888"/>
        <v>0</v>
      </c>
      <c r="FZ236" s="222">
        <f t="shared" ca="1" si="888"/>
        <v>104.87460674741452</v>
      </c>
      <c r="GA236" s="222">
        <f t="shared" ca="1" si="888"/>
        <v>915.28871061622203</v>
      </c>
      <c r="GB236" s="222">
        <f t="shared" ref="GB236:HG236" ca="1" si="889">IF(AR244="",0,AR244-GB211)</f>
        <v>2525.9869903900021</v>
      </c>
      <c r="GC236" s="222">
        <f t="shared" ca="1" si="889"/>
        <v>4480.4191624884261</v>
      </c>
      <c r="GD236" s="222">
        <f t="shared" ca="1" si="889"/>
        <v>4535.9510562384276</v>
      </c>
      <c r="GE236" s="222">
        <f t="shared" ca="1" si="889"/>
        <v>4591.4829499884308</v>
      </c>
      <c r="GF236" s="222">
        <f t="shared" ca="1" si="889"/>
        <v>4647.0148437384287</v>
      </c>
      <c r="GG236" s="222">
        <f t="shared" ca="1" si="889"/>
        <v>4702.5467374884265</v>
      </c>
      <c r="GH236" s="222">
        <f t="shared" ca="1" si="889"/>
        <v>4758.0786312384244</v>
      </c>
      <c r="GI236" s="222">
        <f t="shared" ca="1" si="889"/>
        <v>4813.6105249884276</v>
      </c>
      <c r="GJ236" s="222">
        <f t="shared" ca="1" si="889"/>
        <v>4869.1424187384255</v>
      </c>
      <c r="GK236" s="222">
        <f t="shared" ca="1" si="889"/>
        <v>4924.6743124884288</v>
      </c>
      <c r="GL236" s="222">
        <f t="shared" ca="1" si="889"/>
        <v>4980.2062062384302</v>
      </c>
      <c r="GM236" s="222">
        <f t="shared" ca="1" si="889"/>
        <v>4350.0554704041251</v>
      </c>
      <c r="GN236" s="222">
        <f t="shared" ca="1" si="889"/>
        <v>4407.2533209666235</v>
      </c>
      <c r="GO236" s="222">
        <f t="shared" ca="1" si="889"/>
        <v>1881584.5406214178</v>
      </c>
      <c r="GP236" s="222">
        <f t="shared" si="889"/>
        <v>0</v>
      </c>
      <c r="GQ236" s="222">
        <f t="shared" si="889"/>
        <v>0</v>
      </c>
      <c r="GR236" s="222">
        <f t="shared" si="889"/>
        <v>0</v>
      </c>
      <c r="GS236" s="222">
        <f t="shared" si="889"/>
        <v>0</v>
      </c>
      <c r="GT236" s="222">
        <f t="shared" si="889"/>
        <v>0</v>
      </c>
      <c r="GU236" s="222">
        <f t="shared" si="889"/>
        <v>0</v>
      </c>
      <c r="GV236" s="222">
        <f t="shared" si="889"/>
        <v>0</v>
      </c>
      <c r="GW236" s="222">
        <f t="shared" si="889"/>
        <v>0</v>
      </c>
      <c r="GX236" s="222">
        <f t="shared" si="889"/>
        <v>0</v>
      </c>
      <c r="GY236" s="222">
        <f t="shared" si="889"/>
        <v>0</v>
      </c>
      <c r="GZ236" s="222">
        <f t="shared" si="889"/>
        <v>0</v>
      </c>
      <c r="HA236" s="222">
        <f t="shared" si="889"/>
        <v>0</v>
      </c>
      <c r="HB236" s="222">
        <f t="shared" si="889"/>
        <v>0</v>
      </c>
      <c r="HC236" s="222">
        <f t="shared" si="889"/>
        <v>0</v>
      </c>
      <c r="HD236" s="222">
        <f t="shared" si="889"/>
        <v>0</v>
      </c>
      <c r="HE236" s="222">
        <f t="shared" si="889"/>
        <v>0</v>
      </c>
      <c r="HF236" s="222">
        <f t="shared" si="889"/>
        <v>0</v>
      </c>
      <c r="HG236" s="222">
        <f t="shared" si="889"/>
        <v>0</v>
      </c>
      <c r="HH236" s="222">
        <f t="shared" ref="HH236:IM236" si="890">IF(BX244="",0,BX244-HH211)</f>
        <v>0</v>
      </c>
      <c r="HI236" s="222">
        <f t="shared" si="890"/>
        <v>0</v>
      </c>
      <c r="HJ236" s="222">
        <f t="shared" si="890"/>
        <v>0</v>
      </c>
      <c r="HK236" s="222">
        <f t="shared" si="890"/>
        <v>0</v>
      </c>
      <c r="HL236" s="222">
        <f t="shared" si="890"/>
        <v>0</v>
      </c>
      <c r="HM236" s="222">
        <f t="shared" si="890"/>
        <v>0</v>
      </c>
      <c r="HN236" s="222">
        <f t="shared" si="890"/>
        <v>0</v>
      </c>
      <c r="HO236" s="222">
        <f t="shared" si="890"/>
        <v>0</v>
      </c>
      <c r="HP236" s="222">
        <f t="shared" si="890"/>
        <v>0</v>
      </c>
      <c r="HQ236" s="222">
        <f t="shared" si="890"/>
        <v>0</v>
      </c>
      <c r="HR236" s="222">
        <f t="shared" si="890"/>
        <v>0</v>
      </c>
      <c r="HS236" s="222">
        <f t="shared" si="890"/>
        <v>0</v>
      </c>
      <c r="HT236" s="222">
        <f t="shared" si="890"/>
        <v>0</v>
      </c>
      <c r="HU236" s="222">
        <f t="shared" si="890"/>
        <v>0</v>
      </c>
      <c r="HV236" s="222">
        <f t="shared" si="890"/>
        <v>0</v>
      </c>
      <c r="HW236" s="222">
        <f t="shared" si="890"/>
        <v>0</v>
      </c>
      <c r="HX236" s="222">
        <f t="shared" si="890"/>
        <v>0</v>
      </c>
      <c r="HY236" s="222">
        <f t="shared" si="890"/>
        <v>0</v>
      </c>
      <c r="HZ236" s="222">
        <f t="shared" si="890"/>
        <v>0</v>
      </c>
      <c r="IA236" s="222">
        <f t="shared" si="890"/>
        <v>0</v>
      </c>
      <c r="IB236" s="222">
        <f t="shared" si="890"/>
        <v>0</v>
      </c>
      <c r="IC236" s="222">
        <f t="shared" si="890"/>
        <v>0</v>
      </c>
      <c r="ID236" s="222">
        <f t="shared" si="890"/>
        <v>0</v>
      </c>
      <c r="IE236" s="222">
        <f t="shared" si="890"/>
        <v>0</v>
      </c>
      <c r="IF236" s="222">
        <f t="shared" si="890"/>
        <v>0</v>
      </c>
      <c r="IG236" s="222">
        <f t="shared" si="890"/>
        <v>0</v>
      </c>
      <c r="IH236" s="222">
        <f t="shared" si="890"/>
        <v>0</v>
      </c>
      <c r="II236" s="222">
        <f t="shared" si="890"/>
        <v>0</v>
      </c>
      <c r="IJ236" s="222">
        <f t="shared" si="890"/>
        <v>0</v>
      </c>
      <c r="IK236" s="222">
        <f t="shared" si="890"/>
        <v>0</v>
      </c>
      <c r="IL236" s="222">
        <f t="shared" si="890"/>
        <v>0</v>
      </c>
      <c r="IM236" s="222">
        <f t="shared" si="890"/>
        <v>0</v>
      </c>
      <c r="IN236" s="222">
        <f t="shared" ref="IN236:JS236" si="891">IF(DD244="",0,DD244-IN211)</f>
        <v>0</v>
      </c>
      <c r="IO236" s="222">
        <f t="shared" si="891"/>
        <v>0</v>
      </c>
      <c r="IP236" s="222">
        <f t="shared" si="891"/>
        <v>0</v>
      </c>
      <c r="IQ236" s="222">
        <f t="shared" si="891"/>
        <v>0</v>
      </c>
      <c r="IR236" s="222">
        <f t="shared" si="891"/>
        <v>0</v>
      </c>
      <c r="IS236" s="222">
        <f t="shared" si="891"/>
        <v>0</v>
      </c>
      <c r="IT236" s="222">
        <f t="shared" si="891"/>
        <v>0</v>
      </c>
      <c r="IU236" s="222">
        <f t="shared" si="891"/>
        <v>0</v>
      </c>
      <c r="IV236" s="222">
        <f t="shared" si="891"/>
        <v>0</v>
      </c>
      <c r="IW236" s="222">
        <f t="shared" si="891"/>
        <v>0</v>
      </c>
      <c r="IX236" s="222">
        <f t="shared" si="891"/>
        <v>0</v>
      </c>
      <c r="IY236" s="222">
        <f t="shared" si="891"/>
        <v>0</v>
      </c>
      <c r="IZ236" s="222">
        <f t="shared" si="891"/>
        <v>0</v>
      </c>
      <c r="JA236" s="222">
        <f t="shared" si="891"/>
        <v>0</v>
      </c>
      <c r="JB236" s="222">
        <f t="shared" si="891"/>
        <v>0</v>
      </c>
      <c r="JC236" s="222">
        <f t="shared" si="891"/>
        <v>0</v>
      </c>
      <c r="JD236" s="222">
        <f t="shared" si="891"/>
        <v>0</v>
      </c>
      <c r="JE236" s="222">
        <f t="shared" si="891"/>
        <v>0</v>
      </c>
      <c r="JF236" s="222">
        <f t="shared" si="891"/>
        <v>0</v>
      </c>
      <c r="JG236" s="222">
        <f t="shared" si="891"/>
        <v>0</v>
      </c>
      <c r="JH236" s="222">
        <f t="shared" si="891"/>
        <v>0</v>
      </c>
      <c r="JI236" s="222">
        <f t="shared" si="891"/>
        <v>0</v>
      </c>
      <c r="JJ236" s="222">
        <f t="shared" si="891"/>
        <v>0</v>
      </c>
      <c r="JK236" s="222">
        <f t="shared" si="891"/>
        <v>0</v>
      </c>
      <c r="JL236" s="222">
        <f t="shared" si="891"/>
        <v>0</v>
      </c>
      <c r="JM236" s="222">
        <f t="shared" si="891"/>
        <v>0</v>
      </c>
      <c r="JN236" s="222">
        <f t="shared" si="891"/>
        <v>0</v>
      </c>
      <c r="JO236" s="222">
        <f t="shared" si="891"/>
        <v>0</v>
      </c>
      <c r="JP236" s="222">
        <f t="shared" si="891"/>
        <v>0</v>
      </c>
      <c r="JQ236" s="222">
        <f t="shared" si="891"/>
        <v>0</v>
      </c>
      <c r="JR236" s="222">
        <f t="shared" si="891"/>
        <v>0</v>
      </c>
      <c r="JS236" s="222">
        <f t="shared" si="891"/>
        <v>0</v>
      </c>
      <c r="JT236" s="222">
        <f>IF(EJ244="",0,EJ244-JT211)</f>
        <v>0</v>
      </c>
      <c r="JU236" s="222">
        <f>IF(EK244="",0,EK244-JU211)</f>
        <v>0</v>
      </c>
      <c r="JV236" s="222">
        <f>IF(EL244="",0,EL244-JV211)</f>
        <v>0</v>
      </c>
      <c r="JW236" s="222">
        <f>IF(EM244="",0,EM244-JW211)</f>
        <v>0</v>
      </c>
      <c r="JX236" s="222">
        <f>IF(EN244="",0,EN244-JX211)</f>
        <v>0</v>
      </c>
    </row>
    <row r="237" spans="1:284" s="7" customFormat="1" ht="5.0999999999999996" customHeight="1" x14ac:dyDescent="0.2">
      <c r="A237" s="406"/>
      <c r="B237" s="231"/>
      <c r="C237" s="233"/>
      <c r="D237" s="233"/>
      <c r="E237" s="233"/>
      <c r="F237" s="233"/>
      <c r="G237" s="233"/>
      <c r="H237" s="233"/>
      <c r="I237" s="233"/>
      <c r="EP237" s="221" t="s">
        <v>397</v>
      </c>
      <c r="EQ237" s="37"/>
      <c r="ER237" s="37"/>
      <c r="ES237" s="37"/>
      <c r="ET237" s="37"/>
      <c r="EU237" s="33"/>
      <c r="EV237" s="37"/>
      <c r="EW237" s="37"/>
      <c r="EX237" s="37"/>
      <c r="EY237" s="37"/>
      <c r="EZ237" s="37"/>
      <c r="FA237" s="37"/>
      <c r="FB237" s="37"/>
      <c r="FC237" s="37"/>
      <c r="FD237" s="37"/>
      <c r="FE237" s="37"/>
      <c r="FF237" s="37"/>
      <c r="FG237" s="37"/>
      <c r="FH237" s="37"/>
      <c r="FI237" s="37"/>
      <c r="FJ237" s="37"/>
      <c r="FK237" s="37"/>
      <c r="FL237" s="37"/>
      <c r="FM237" s="37"/>
      <c r="FN237" s="37"/>
      <c r="FO237" s="37"/>
      <c r="FP237" s="37"/>
      <c r="FQ237" s="37"/>
      <c r="FR237" s="37"/>
      <c r="FS237" s="37"/>
      <c r="FT237" s="37"/>
      <c r="FU237" s="37"/>
      <c r="FV237" s="37"/>
      <c r="FW237" s="37"/>
      <c r="FX237" s="37"/>
      <c r="FY237" s="37"/>
      <c r="FZ237" s="37"/>
      <c r="GA237" s="37"/>
      <c r="GB237" s="37"/>
      <c r="GC237" s="37"/>
      <c r="GD237" s="37"/>
      <c r="GE237" s="37"/>
      <c r="GF237" s="37"/>
      <c r="GG237" s="37"/>
      <c r="GH237" s="37"/>
      <c r="GI237" s="37"/>
      <c r="GJ237" s="37"/>
      <c r="GK237" s="37"/>
      <c r="GL237" s="37"/>
      <c r="GM237" s="37"/>
      <c r="GN237" s="37"/>
      <c r="GO237" s="37"/>
      <c r="GP237" s="37"/>
      <c r="GQ237" s="37"/>
      <c r="GR237" s="37"/>
      <c r="GS237" s="37"/>
      <c r="GT237" s="37"/>
      <c r="GU237" s="37"/>
      <c r="GV237" s="37"/>
      <c r="GW237" s="37"/>
      <c r="GX237" s="37"/>
      <c r="GY237" s="37"/>
      <c r="GZ237" s="37"/>
      <c r="HA237" s="37"/>
      <c r="HB237" s="37"/>
      <c r="HC237" s="37"/>
      <c r="HD237" s="37"/>
      <c r="HE237" s="37"/>
      <c r="HF237" s="37"/>
      <c r="HG237" s="37"/>
      <c r="HH237" s="37"/>
      <c r="HI237" s="37"/>
      <c r="HJ237" s="37"/>
      <c r="HK237" s="37"/>
      <c r="HL237" s="37"/>
      <c r="HM237" s="37"/>
      <c r="HN237" s="37"/>
      <c r="HO237" s="37"/>
      <c r="HP237" s="37"/>
      <c r="HQ237" s="37"/>
      <c r="HR237" s="37"/>
      <c r="HS237" s="37"/>
      <c r="HT237" s="37"/>
      <c r="HU237" s="37"/>
      <c r="HV237" s="37"/>
      <c r="HW237" s="37"/>
      <c r="HX237" s="37"/>
      <c r="HY237" s="37"/>
      <c r="HZ237" s="37"/>
      <c r="IA237" s="37"/>
      <c r="IB237" s="37"/>
      <c r="IC237" s="37"/>
      <c r="ID237" s="37"/>
      <c r="IE237" s="37"/>
      <c r="IF237" s="37"/>
      <c r="IG237" s="37"/>
      <c r="IH237" s="37"/>
      <c r="II237" s="37"/>
      <c r="IJ237" s="37"/>
      <c r="IK237" s="37"/>
      <c r="IL237" s="37"/>
      <c r="IM237" s="37"/>
      <c r="IN237" s="37"/>
      <c r="IO237" s="37"/>
      <c r="IP237" s="37"/>
      <c r="IQ237" s="37"/>
      <c r="IR237" s="37"/>
      <c r="IS237" s="37"/>
      <c r="IT237" s="37"/>
      <c r="IU237" s="37"/>
      <c r="IV237" s="37"/>
      <c r="IW237" s="37"/>
      <c r="IX237" s="37"/>
      <c r="IY237" s="37"/>
      <c r="IZ237" s="37"/>
      <c r="JA237" s="37"/>
      <c r="JB237" s="37"/>
      <c r="JC237" s="37"/>
      <c r="JD237" s="37"/>
      <c r="JE237" s="37"/>
      <c r="JF237" s="37"/>
      <c r="JG237" s="37"/>
      <c r="JH237" s="37"/>
      <c r="JI237" s="37"/>
      <c r="JJ237" s="37"/>
      <c r="JK237" s="37"/>
      <c r="JL237" s="37"/>
      <c r="JM237" s="37"/>
      <c r="JN237" s="37"/>
      <c r="JO237" s="37"/>
      <c r="JP237" s="37"/>
      <c r="JQ237" s="37"/>
      <c r="JR237" s="37"/>
      <c r="JS237" s="37"/>
      <c r="JT237" s="37"/>
      <c r="JU237" s="37"/>
      <c r="JV237" s="37"/>
      <c r="JW237" s="37"/>
      <c r="JX237" s="37"/>
    </row>
    <row r="238" spans="1:284" s="7" customFormat="1" x14ac:dyDescent="0.2">
      <c r="A238" s="406"/>
      <c r="B238" s="238" t="s">
        <v>357</v>
      </c>
      <c r="C238" s="233"/>
      <c r="D238" s="233"/>
      <c r="E238" s="233"/>
      <c r="F238" s="233"/>
      <c r="G238" s="233"/>
      <c r="H238" s="256" t="s">
        <v>214</v>
      </c>
      <c r="I238" s="256" t="s">
        <v>46</v>
      </c>
      <c r="EP238" s="37" t="s">
        <v>375</v>
      </c>
      <c r="EQ238" s="24"/>
      <c r="ER238" s="24"/>
      <c r="ES238" s="24"/>
      <c r="ET238" s="33" t="s">
        <v>402</v>
      </c>
      <c r="EU238" s="33"/>
      <c r="EV238" s="225">
        <f t="shared" ref="EV238:GA238" si="892">(EV$197&lt;=Timing_Reversion_Month)*EU242</f>
        <v>0</v>
      </c>
      <c r="EW238" s="225">
        <f t="shared" ca="1" si="892"/>
        <v>168892.17874475819</v>
      </c>
      <c r="EX238" s="225">
        <f t="shared" ca="1" si="892"/>
        <v>189667.13391738484</v>
      </c>
      <c r="EY238" s="225">
        <f t="shared" ca="1" si="892"/>
        <v>217814.31098774498</v>
      </c>
      <c r="EZ238" s="225">
        <f t="shared" ca="1" si="892"/>
        <v>260487.58241162941</v>
      </c>
      <c r="FA238" s="225">
        <f t="shared" ca="1" si="892"/>
        <v>328416.94131257746</v>
      </c>
      <c r="FB238" s="225">
        <f t="shared" ca="1" si="892"/>
        <v>434717.28369745141</v>
      </c>
      <c r="FC238" s="225">
        <f t="shared" ca="1" si="892"/>
        <v>591294.05105242832</v>
      </c>
      <c r="FD238" s="225">
        <f t="shared" ca="1" si="892"/>
        <v>674467.97402247635</v>
      </c>
      <c r="FE238" s="225">
        <f t="shared" ca="1" si="892"/>
        <v>679329.08277763601</v>
      </c>
      <c r="FF238" s="225">
        <f t="shared" ca="1" si="892"/>
        <v>684225.22711526905</v>
      </c>
      <c r="FG238" s="225">
        <f t="shared" ca="1" si="892"/>
        <v>689156.65954814584</v>
      </c>
      <c r="FH238" s="225">
        <f t="shared" ca="1" si="892"/>
        <v>694123.63440897805</v>
      </c>
      <c r="FI238" s="225">
        <f t="shared" ca="1" si="892"/>
        <v>699126.40786353545</v>
      </c>
      <c r="FJ238" s="225">
        <f t="shared" ca="1" si="892"/>
        <v>704165.23792385717</v>
      </c>
      <c r="FK238" s="225">
        <f t="shared" ca="1" si="892"/>
        <v>709240.38446155877</v>
      </c>
      <c r="FL238" s="225">
        <f t="shared" ca="1" si="892"/>
        <v>714352.10922123434</v>
      </c>
      <c r="FM238" s="225">
        <f t="shared" ca="1" si="892"/>
        <v>719500.67583395599</v>
      </c>
      <c r="FN238" s="225">
        <f t="shared" ca="1" si="892"/>
        <v>724686.34983087017</v>
      </c>
      <c r="FO238" s="225">
        <f t="shared" ca="1" si="892"/>
        <v>729909.39865689224</v>
      </c>
      <c r="FP238" s="225">
        <f t="shared" ca="1" si="892"/>
        <v>735170.09168449941</v>
      </c>
      <c r="FQ238" s="225">
        <f t="shared" ca="1" si="892"/>
        <v>740468.70022762346</v>
      </c>
      <c r="FR238" s="225">
        <f t="shared" ca="1" si="892"/>
        <v>745805.49755564344</v>
      </c>
      <c r="FS238" s="225">
        <f t="shared" ca="1" si="892"/>
        <v>751180.75890747912</v>
      </c>
      <c r="FT238" s="225">
        <f t="shared" ca="1" si="892"/>
        <v>756594.76150578621</v>
      </c>
      <c r="FU238" s="225">
        <f t="shared" ca="1" si="892"/>
        <v>762047.78457125381</v>
      </c>
      <c r="FV238" s="225">
        <f t="shared" ca="1" si="892"/>
        <v>767540.10933700448</v>
      </c>
      <c r="FW238" s="225">
        <f t="shared" ca="1" si="892"/>
        <v>773072.01906309917</v>
      </c>
      <c r="FX238" s="225">
        <f t="shared" ca="1" si="892"/>
        <v>778643.79905114556</v>
      </c>
      <c r="FY238" s="225">
        <f t="shared" ca="1" si="892"/>
        <v>784255.73665901215</v>
      </c>
      <c r="FZ238" s="225">
        <f t="shared" ca="1" si="892"/>
        <v>789908.12131564866</v>
      </c>
      <c r="GA238" s="225">
        <f t="shared" ca="1" si="892"/>
        <v>795506.85738993995</v>
      </c>
      <c r="GB238" s="225">
        <f t="shared" ref="GB238:HG238" ca="1" si="893">(GB$197&lt;=Timing_Reversion_Month)*GA242</f>
        <v>800416.57267179852</v>
      </c>
      <c r="GC238" s="225">
        <f t="shared" ca="1" si="893"/>
        <v>803912.04540728719</v>
      </c>
      <c r="GD238" s="225">
        <f t="shared" ca="1" si="893"/>
        <v>805673.72219003469</v>
      </c>
      <c r="GE238" s="225">
        <f t="shared" ca="1" si="893"/>
        <v>807398.11724255898</v>
      </c>
      <c r="GF238" s="225">
        <f t="shared" ca="1" si="893"/>
        <v>809084.96186337667</v>
      </c>
      <c r="GG238" s="225">
        <f t="shared" ca="1" si="893"/>
        <v>810733.98541438556</v>
      </c>
      <c r="GH238" s="225">
        <f t="shared" ca="1" si="893"/>
        <v>812344.9153069075</v>
      </c>
      <c r="GI238" s="225">
        <f t="shared" ca="1" si="893"/>
        <v>813917.47698762943</v>
      </c>
      <c r="GJ238" s="225">
        <f t="shared" ca="1" si="893"/>
        <v>815451.39392444398</v>
      </c>
      <c r="GK238" s="225">
        <f t="shared" ca="1" si="893"/>
        <v>816946.38759218727</v>
      </c>
      <c r="GL238" s="225">
        <f t="shared" ca="1" si="893"/>
        <v>818402.17745827453</v>
      </c>
      <c r="GM238" s="225">
        <f t="shared" ca="1" si="893"/>
        <v>819818.48096823192</v>
      </c>
      <c r="GN238" s="225">
        <f t="shared" ca="1" si="893"/>
        <v>821812.12789775035</v>
      </c>
      <c r="GO238" s="225">
        <f t="shared" ca="1" si="893"/>
        <v>823768.6656197618</v>
      </c>
      <c r="GP238" s="225">
        <f t="shared" ca="1" si="893"/>
        <v>0</v>
      </c>
      <c r="GQ238" s="225">
        <f t="shared" ca="1" si="893"/>
        <v>0</v>
      </c>
      <c r="GR238" s="225">
        <f t="shared" ca="1" si="893"/>
        <v>0</v>
      </c>
      <c r="GS238" s="225">
        <f t="shared" ca="1" si="893"/>
        <v>0</v>
      </c>
      <c r="GT238" s="225">
        <f t="shared" ca="1" si="893"/>
        <v>0</v>
      </c>
      <c r="GU238" s="225">
        <f t="shared" ca="1" si="893"/>
        <v>0</v>
      </c>
      <c r="GV238" s="225">
        <f t="shared" ca="1" si="893"/>
        <v>0</v>
      </c>
      <c r="GW238" s="225">
        <f t="shared" ca="1" si="893"/>
        <v>0</v>
      </c>
      <c r="GX238" s="225">
        <f t="shared" ca="1" si="893"/>
        <v>0</v>
      </c>
      <c r="GY238" s="225">
        <f t="shared" ca="1" si="893"/>
        <v>0</v>
      </c>
      <c r="GZ238" s="225">
        <f t="shared" ca="1" si="893"/>
        <v>0</v>
      </c>
      <c r="HA238" s="225">
        <f t="shared" ca="1" si="893"/>
        <v>0</v>
      </c>
      <c r="HB238" s="225">
        <f t="shared" ca="1" si="893"/>
        <v>0</v>
      </c>
      <c r="HC238" s="225">
        <f t="shared" ca="1" si="893"/>
        <v>0</v>
      </c>
      <c r="HD238" s="225">
        <f t="shared" ca="1" si="893"/>
        <v>0</v>
      </c>
      <c r="HE238" s="225">
        <f t="shared" ca="1" si="893"/>
        <v>0</v>
      </c>
      <c r="HF238" s="225">
        <f t="shared" ca="1" si="893"/>
        <v>0</v>
      </c>
      <c r="HG238" s="225">
        <f t="shared" ca="1" si="893"/>
        <v>0</v>
      </c>
      <c r="HH238" s="225">
        <f t="shared" ref="HH238:IM238" ca="1" si="894">(HH$197&lt;=Timing_Reversion_Month)*HG242</f>
        <v>0</v>
      </c>
      <c r="HI238" s="225">
        <f t="shared" ca="1" si="894"/>
        <v>0</v>
      </c>
      <c r="HJ238" s="225">
        <f t="shared" ca="1" si="894"/>
        <v>0</v>
      </c>
      <c r="HK238" s="225">
        <f t="shared" ca="1" si="894"/>
        <v>0</v>
      </c>
      <c r="HL238" s="225">
        <f t="shared" ca="1" si="894"/>
        <v>0</v>
      </c>
      <c r="HM238" s="225">
        <f t="shared" ca="1" si="894"/>
        <v>0</v>
      </c>
      <c r="HN238" s="225">
        <f t="shared" ca="1" si="894"/>
        <v>0</v>
      </c>
      <c r="HO238" s="225">
        <f t="shared" ca="1" si="894"/>
        <v>0</v>
      </c>
      <c r="HP238" s="225">
        <f t="shared" ca="1" si="894"/>
        <v>0</v>
      </c>
      <c r="HQ238" s="225">
        <f t="shared" ca="1" si="894"/>
        <v>0</v>
      </c>
      <c r="HR238" s="225">
        <f t="shared" ca="1" si="894"/>
        <v>0</v>
      </c>
      <c r="HS238" s="225">
        <f t="shared" ca="1" si="894"/>
        <v>0</v>
      </c>
      <c r="HT238" s="225">
        <f t="shared" ca="1" si="894"/>
        <v>0</v>
      </c>
      <c r="HU238" s="225">
        <f t="shared" ca="1" si="894"/>
        <v>0</v>
      </c>
      <c r="HV238" s="225">
        <f t="shared" ca="1" si="894"/>
        <v>0</v>
      </c>
      <c r="HW238" s="225">
        <f t="shared" ca="1" si="894"/>
        <v>0</v>
      </c>
      <c r="HX238" s="225">
        <f t="shared" ca="1" si="894"/>
        <v>0</v>
      </c>
      <c r="HY238" s="225">
        <f t="shared" ca="1" si="894"/>
        <v>0</v>
      </c>
      <c r="HZ238" s="225">
        <f t="shared" ca="1" si="894"/>
        <v>0</v>
      </c>
      <c r="IA238" s="225">
        <f t="shared" ca="1" si="894"/>
        <v>0</v>
      </c>
      <c r="IB238" s="225">
        <f t="shared" ca="1" si="894"/>
        <v>0</v>
      </c>
      <c r="IC238" s="225">
        <f t="shared" ca="1" si="894"/>
        <v>0</v>
      </c>
      <c r="ID238" s="225">
        <f t="shared" ca="1" si="894"/>
        <v>0</v>
      </c>
      <c r="IE238" s="225">
        <f t="shared" ca="1" si="894"/>
        <v>0</v>
      </c>
      <c r="IF238" s="225">
        <f t="shared" ca="1" si="894"/>
        <v>0</v>
      </c>
      <c r="IG238" s="225">
        <f t="shared" ca="1" si="894"/>
        <v>0</v>
      </c>
      <c r="IH238" s="225">
        <f t="shared" ca="1" si="894"/>
        <v>0</v>
      </c>
      <c r="II238" s="225">
        <f t="shared" ca="1" si="894"/>
        <v>0</v>
      </c>
      <c r="IJ238" s="225">
        <f t="shared" ca="1" si="894"/>
        <v>0</v>
      </c>
      <c r="IK238" s="225">
        <f t="shared" ca="1" si="894"/>
        <v>0</v>
      </c>
      <c r="IL238" s="225">
        <f t="shared" ca="1" si="894"/>
        <v>0</v>
      </c>
      <c r="IM238" s="225">
        <f t="shared" ca="1" si="894"/>
        <v>0</v>
      </c>
      <c r="IN238" s="225">
        <f t="shared" ref="IN238:JX238" ca="1" si="895">(IN$197&lt;=Timing_Reversion_Month)*IM242</f>
        <v>0</v>
      </c>
      <c r="IO238" s="225">
        <f t="shared" ca="1" si="895"/>
        <v>0</v>
      </c>
      <c r="IP238" s="225">
        <f t="shared" ca="1" si="895"/>
        <v>0</v>
      </c>
      <c r="IQ238" s="225">
        <f t="shared" ca="1" si="895"/>
        <v>0</v>
      </c>
      <c r="IR238" s="225">
        <f t="shared" ca="1" si="895"/>
        <v>0</v>
      </c>
      <c r="IS238" s="225">
        <f t="shared" ca="1" si="895"/>
        <v>0</v>
      </c>
      <c r="IT238" s="225">
        <f t="shared" ca="1" si="895"/>
        <v>0</v>
      </c>
      <c r="IU238" s="225">
        <f t="shared" ca="1" si="895"/>
        <v>0</v>
      </c>
      <c r="IV238" s="225">
        <f t="shared" ca="1" si="895"/>
        <v>0</v>
      </c>
      <c r="IW238" s="225">
        <f t="shared" ca="1" si="895"/>
        <v>0</v>
      </c>
      <c r="IX238" s="225">
        <f t="shared" ca="1" si="895"/>
        <v>0</v>
      </c>
      <c r="IY238" s="225">
        <f t="shared" ca="1" si="895"/>
        <v>0</v>
      </c>
      <c r="IZ238" s="225">
        <f t="shared" ca="1" si="895"/>
        <v>0</v>
      </c>
      <c r="JA238" s="225">
        <f t="shared" ca="1" si="895"/>
        <v>0</v>
      </c>
      <c r="JB238" s="225">
        <f t="shared" ca="1" si="895"/>
        <v>0</v>
      </c>
      <c r="JC238" s="225">
        <f t="shared" ca="1" si="895"/>
        <v>0</v>
      </c>
      <c r="JD238" s="225">
        <f t="shared" ca="1" si="895"/>
        <v>0</v>
      </c>
      <c r="JE238" s="225">
        <f t="shared" ca="1" si="895"/>
        <v>0</v>
      </c>
      <c r="JF238" s="225">
        <f t="shared" ca="1" si="895"/>
        <v>0</v>
      </c>
      <c r="JG238" s="225">
        <f t="shared" ca="1" si="895"/>
        <v>0</v>
      </c>
      <c r="JH238" s="225">
        <f t="shared" ca="1" si="895"/>
        <v>0</v>
      </c>
      <c r="JI238" s="225">
        <f t="shared" ca="1" si="895"/>
        <v>0</v>
      </c>
      <c r="JJ238" s="225">
        <f t="shared" ca="1" si="895"/>
        <v>0</v>
      </c>
      <c r="JK238" s="225">
        <f t="shared" ca="1" si="895"/>
        <v>0</v>
      </c>
      <c r="JL238" s="225">
        <f t="shared" ca="1" si="895"/>
        <v>0</v>
      </c>
      <c r="JM238" s="225">
        <f t="shared" ca="1" si="895"/>
        <v>0</v>
      </c>
      <c r="JN238" s="225">
        <f t="shared" ca="1" si="895"/>
        <v>0</v>
      </c>
      <c r="JO238" s="225">
        <f t="shared" ca="1" si="895"/>
        <v>0</v>
      </c>
      <c r="JP238" s="225">
        <f t="shared" ca="1" si="895"/>
        <v>0</v>
      </c>
      <c r="JQ238" s="225">
        <f t="shared" ca="1" si="895"/>
        <v>0</v>
      </c>
      <c r="JR238" s="225">
        <f t="shared" ca="1" si="895"/>
        <v>0</v>
      </c>
      <c r="JS238" s="225">
        <f t="shared" ca="1" si="895"/>
        <v>0</v>
      </c>
      <c r="JT238" s="225">
        <f t="shared" ca="1" si="895"/>
        <v>0</v>
      </c>
      <c r="JU238" s="225">
        <f t="shared" ca="1" si="895"/>
        <v>0</v>
      </c>
      <c r="JV238" s="225">
        <f t="shared" ca="1" si="895"/>
        <v>0</v>
      </c>
      <c r="JW238" s="225">
        <f t="shared" ca="1" si="895"/>
        <v>0</v>
      </c>
      <c r="JX238" s="225">
        <f t="shared" ca="1" si="895"/>
        <v>0</v>
      </c>
    </row>
    <row r="239" spans="1:284" s="7" customFormat="1" x14ac:dyDescent="0.2">
      <c r="A239" s="406"/>
      <c r="B239" s="231" t="s">
        <v>211</v>
      </c>
      <c r="C239" s="235" t="str">
        <f>C228</f>
        <v>[General Partner Name]</v>
      </c>
      <c r="D239" s="233"/>
      <c r="E239" s="233"/>
      <c r="F239" s="233"/>
      <c r="G239" s="242"/>
      <c r="H239" s="249">
        <f ca="1">I239/$I$241</f>
        <v>8.2777382669525709E-2</v>
      </c>
      <c r="I239" s="237">
        <f ca="1">SUM(L239:EN239)</f>
        <v>1941191.1265641765</v>
      </c>
      <c r="L239" s="38">
        <f t="shared" ref="L239:AQ239" ca="1" si="896">IF(L$227="","",EV208+EV211+EV221+EV230+EV234)</f>
        <v>0</v>
      </c>
      <c r="M239" s="38">
        <f t="shared" ca="1" si="896"/>
        <v>0</v>
      </c>
      <c r="N239" s="38">
        <f t="shared" ca="1" si="896"/>
        <v>0</v>
      </c>
      <c r="O239" s="38">
        <f t="shared" ca="1" si="896"/>
        <v>0</v>
      </c>
      <c r="P239" s="38">
        <f t="shared" ca="1" si="896"/>
        <v>0</v>
      </c>
      <c r="Q239" s="38">
        <f t="shared" ca="1" si="896"/>
        <v>0</v>
      </c>
      <c r="R239" s="38">
        <f t="shared" ca="1" si="896"/>
        <v>0</v>
      </c>
      <c r="S239" s="38">
        <f t="shared" ca="1" si="896"/>
        <v>0</v>
      </c>
      <c r="T239" s="38">
        <f t="shared" ca="1" si="896"/>
        <v>0</v>
      </c>
      <c r="U239" s="38">
        <f t="shared" ca="1" si="896"/>
        <v>0</v>
      </c>
      <c r="V239" s="38">
        <f t="shared" ca="1" si="896"/>
        <v>0</v>
      </c>
      <c r="W239" s="38">
        <f t="shared" ca="1" si="896"/>
        <v>0</v>
      </c>
      <c r="X239" s="38">
        <f t="shared" ca="1" si="896"/>
        <v>0</v>
      </c>
      <c r="Y239" s="38">
        <f t="shared" ca="1" si="896"/>
        <v>0</v>
      </c>
      <c r="Z239" s="38">
        <f t="shared" ca="1" si="896"/>
        <v>0</v>
      </c>
      <c r="AA239" s="38">
        <f t="shared" ca="1" si="896"/>
        <v>0</v>
      </c>
      <c r="AB239" s="38">
        <f t="shared" ca="1" si="896"/>
        <v>0</v>
      </c>
      <c r="AC239" s="38">
        <f t="shared" ca="1" si="896"/>
        <v>0</v>
      </c>
      <c r="AD239" s="38">
        <f t="shared" ca="1" si="896"/>
        <v>0</v>
      </c>
      <c r="AE239" s="38">
        <f t="shared" ca="1" si="896"/>
        <v>0</v>
      </c>
      <c r="AF239" s="38">
        <f t="shared" ca="1" si="896"/>
        <v>7.2759576141834263E-13</v>
      </c>
      <c r="AG239" s="38">
        <f t="shared" ca="1" si="896"/>
        <v>0</v>
      </c>
      <c r="AH239" s="38">
        <f t="shared" ca="1" si="896"/>
        <v>0</v>
      </c>
      <c r="AI239" s="38">
        <f t="shared" ca="1" si="896"/>
        <v>4.5474735088646412E-13</v>
      </c>
      <c r="AJ239" s="38">
        <f t="shared" ca="1" si="896"/>
        <v>0</v>
      </c>
      <c r="AK239" s="38">
        <f t="shared" ca="1" si="896"/>
        <v>0</v>
      </c>
      <c r="AL239" s="38">
        <f t="shared" ca="1" si="896"/>
        <v>0</v>
      </c>
      <c r="AM239" s="38">
        <f t="shared" ca="1" si="896"/>
        <v>0</v>
      </c>
      <c r="AN239" s="38">
        <f t="shared" ca="1" si="896"/>
        <v>0</v>
      </c>
      <c r="AO239" s="38">
        <f t="shared" ca="1" si="896"/>
        <v>0</v>
      </c>
      <c r="AP239" s="38">
        <f t="shared" ca="1" si="896"/>
        <v>104.87460674741452</v>
      </c>
      <c r="AQ239" s="38">
        <f t="shared" ca="1" si="896"/>
        <v>915.28871061622203</v>
      </c>
      <c r="AR239" s="38">
        <f t="shared" ref="AR239:BW239" ca="1" si="897">IF(AR$227="","",GB208+GB211+GB221+GB230+GB234)</f>
        <v>2525.9869903900021</v>
      </c>
      <c r="AS239" s="38">
        <f t="shared" ca="1" si="897"/>
        <v>4480.4191624884261</v>
      </c>
      <c r="AT239" s="38">
        <f t="shared" ca="1" si="897"/>
        <v>4535.9510562384276</v>
      </c>
      <c r="AU239" s="38">
        <f t="shared" ca="1" si="897"/>
        <v>4591.4829499884308</v>
      </c>
      <c r="AV239" s="38">
        <f t="shared" ca="1" si="897"/>
        <v>4647.0148437384287</v>
      </c>
      <c r="AW239" s="38">
        <f t="shared" ca="1" si="897"/>
        <v>4702.5467374884265</v>
      </c>
      <c r="AX239" s="38">
        <f t="shared" ca="1" si="897"/>
        <v>4758.0786312384244</v>
      </c>
      <c r="AY239" s="38">
        <f t="shared" ca="1" si="897"/>
        <v>4813.6105249884276</v>
      </c>
      <c r="AZ239" s="38">
        <f t="shared" ca="1" si="897"/>
        <v>4869.1424187384255</v>
      </c>
      <c r="BA239" s="38">
        <f t="shared" ca="1" si="897"/>
        <v>4924.6743124884288</v>
      </c>
      <c r="BB239" s="38">
        <f t="shared" ca="1" si="897"/>
        <v>4980.2062062384302</v>
      </c>
      <c r="BC239" s="38">
        <f t="shared" ca="1" si="897"/>
        <v>4350.0554704041251</v>
      </c>
      <c r="BD239" s="38">
        <f t="shared" ca="1" si="897"/>
        <v>4407.2533209666235</v>
      </c>
      <c r="BE239" s="38">
        <f t="shared" ca="1" si="897"/>
        <v>1881584.5406214178</v>
      </c>
      <c r="BF239" s="38" t="str">
        <f t="shared" si="897"/>
        <v/>
      </c>
      <c r="BG239" s="38" t="str">
        <f t="shared" si="897"/>
        <v/>
      </c>
      <c r="BH239" s="38" t="str">
        <f t="shared" si="897"/>
        <v/>
      </c>
      <c r="BI239" s="38" t="str">
        <f t="shared" si="897"/>
        <v/>
      </c>
      <c r="BJ239" s="38" t="str">
        <f t="shared" si="897"/>
        <v/>
      </c>
      <c r="BK239" s="38" t="str">
        <f t="shared" si="897"/>
        <v/>
      </c>
      <c r="BL239" s="38" t="str">
        <f t="shared" si="897"/>
        <v/>
      </c>
      <c r="BM239" s="38" t="str">
        <f t="shared" si="897"/>
        <v/>
      </c>
      <c r="BN239" s="38" t="str">
        <f t="shared" si="897"/>
        <v/>
      </c>
      <c r="BO239" s="38" t="str">
        <f t="shared" si="897"/>
        <v/>
      </c>
      <c r="BP239" s="38" t="str">
        <f t="shared" si="897"/>
        <v/>
      </c>
      <c r="BQ239" s="38" t="str">
        <f t="shared" si="897"/>
        <v/>
      </c>
      <c r="BR239" s="38" t="str">
        <f t="shared" si="897"/>
        <v/>
      </c>
      <c r="BS239" s="38" t="str">
        <f t="shared" si="897"/>
        <v/>
      </c>
      <c r="BT239" s="38" t="str">
        <f t="shared" si="897"/>
        <v/>
      </c>
      <c r="BU239" s="38" t="str">
        <f t="shared" si="897"/>
        <v/>
      </c>
      <c r="BV239" s="38" t="str">
        <f t="shared" si="897"/>
        <v/>
      </c>
      <c r="BW239" s="38" t="str">
        <f t="shared" si="897"/>
        <v/>
      </c>
      <c r="BX239" s="38" t="str">
        <f t="shared" ref="BX239:DC239" si="898">IF(BX$227="","",HH208+HH211+HH221+HH230+HH234)</f>
        <v/>
      </c>
      <c r="BY239" s="38" t="str">
        <f t="shared" si="898"/>
        <v/>
      </c>
      <c r="BZ239" s="38" t="str">
        <f t="shared" si="898"/>
        <v/>
      </c>
      <c r="CA239" s="38" t="str">
        <f t="shared" si="898"/>
        <v/>
      </c>
      <c r="CB239" s="38" t="str">
        <f t="shared" si="898"/>
        <v/>
      </c>
      <c r="CC239" s="38" t="str">
        <f t="shared" si="898"/>
        <v/>
      </c>
      <c r="CD239" s="38" t="str">
        <f t="shared" si="898"/>
        <v/>
      </c>
      <c r="CE239" s="38" t="str">
        <f t="shared" si="898"/>
        <v/>
      </c>
      <c r="CF239" s="38" t="str">
        <f t="shared" si="898"/>
        <v/>
      </c>
      <c r="CG239" s="38" t="str">
        <f t="shared" si="898"/>
        <v/>
      </c>
      <c r="CH239" s="38" t="str">
        <f t="shared" si="898"/>
        <v/>
      </c>
      <c r="CI239" s="38" t="str">
        <f t="shared" si="898"/>
        <v/>
      </c>
      <c r="CJ239" s="38" t="str">
        <f t="shared" si="898"/>
        <v/>
      </c>
      <c r="CK239" s="38" t="str">
        <f t="shared" si="898"/>
        <v/>
      </c>
      <c r="CL239" s="38" t="str">
        <f t="shared" si="898"/>
        <v/>
      </c>
      <c r="CM239" s="38" t="str">
        <f t="shared" si="898"/>
        <v/>
      </c>
      <c r="CN239" s="38" t="str">
        <f t="shared" si="898"/>
        <v/>
      </c>
      <c r="CO239" s="38" t="str">
        <f t="shared" si="898"/>
        <v/>
      </c>
      <c r="CP239" s="38" t="str">
        <f t="shared" si="898"/>
        <v/>
      </c>
      <c r="CQ239" s="38" t="str">
        <f t="shared" si="898"/>
        <v/>
      </c>
      <c r="CR239" s="38" t="str">
        <f t="shared" si="898"/>
        <v/>
      </c>
      <c r="CS239" s="38" t="str">
        <f t="shared" si="898"/>
        <v/>
      </c>
      <c r="CT239" s="38" t="str">
        <f t="shared" si="898"/>
        <v/>
      </c>
      <c r="CU239" s="38" t="str">
        <f t="shared" si="898"/>
        <v/>
      </c>
      <c r="CV239" s="38" t="str">
        <f t="shared" si="898"/>
        <v/>
      </c>
      <c r="CW239" s="38" t="str">
        <f t="shared" si="898"/>
        <v/>
      </c>
      <c r="CX239" s="38" t="str">
        <f t="shared" si="898"/>
        <v/>
      </c>
      <c r="CY239" s="38" t="str">
        <f t="shared" si="898"/>
        <v/>
      </c>
      <c r="CZ239" s="38" t="str">
        <f t="shared" si="898"/>
        <v/>
      </c>
      <c r="DA239" s="38" t="str">
        <f t="shared" si="898"/>
        <v/>
      </c>
      <c r="DB239" s="38" t="str">
        <f t="shared" si="898"/>
        <v/>
      </c>
      <c r="DC239" s="38" t="str">
        <f t="shared" si="898"/>
        <v/>
      </c>
      <c r="DD239" s="38" t="str">
        <f t="shared" ref="DD239:EI239" si="899">IF(DD$227="","",IN208+IN211+IN221+IN230+IN234)</f>
        <v/>
      </c>
      <c r="DE239" s="38" t="str">
        <f t="shared" si="899"/>
        <v/>
      </c>
      <c r="DF239" s="38" t="str">
        <f t="shared" si="899"/>
        <v/>
      </c>
      <c r="DG239" s="38" t="str">
        <f t="shared" si="899"/>
        <v/>
      </c>
      <c r="DH239" s="38" t="str">
        <f t="shared" si="899"/>
        <v/>
      </c>
      <c r="DI239" s="38" t="str">
        <f t="shared" si="899"/>
        <v/>
      </c>
      <c r="DJ239" s="38" t="str">
        <f t="shared" si="899"/>
        <v/>
      </c>
      <c r="DK239" s="38" t="str">
        <f t="shared" si="899"/>
        <v/>
      </c>
      <c r="DL239" s="38" t="str">
        <f t="shared" si="899"/>
        <v/>
      </c>
      <c r="DM239" s="38" t="str">
        <f t="shared" si="899"/>
        <v/>
      </c>
      <c r="DN239" s="38" t="str">
        <f t="shared" si="899"/>
        <v/>
      </c>
      <c r="DO239" s="38" t="str">
        <f t="shared" si="899"/>
        <v/>
      </c>
      <c r="DP239" s="38" t="str">
        <f t="shared" si="899"/>
        <v/>
      </c>
      <c r="DQ239" s="38" t="str">
        <f t="shared" si="899"/>
        <v/>
      </c>
      <c r="DR239" s="38" t="str">
        <f t="shared" si="899"/>
        <v/>
      </c>
      <c r="DS239" s="38" t="str">
        <f t="shared" si="899"/>
        <v/>
      </c>
      <c r="DT239" s="38" t="str">
        <f t="shared" si="899"/>
        <v/>
      </c>
      <c r="DU239" s="38" t="str">
        <f t="shared" si="899"/>
        <v/>
      </c>
      <c r="DV239" s="38" t="str">
        <f t="shared" si="899"/>
        <v/>
      </c>
      <c r="DW239" s="38" t="str">
        <f t="shared" si="899"/>
        <v/>
      </c>
      <c r="DX239" s="38" t="str">
        <f t="shared" si="899"/>
        <v/>
      </c>
      <c r="DY239" s="38" t="str">
        <f t="shared" si="899"/>
        <v/>
      </c>
      <c r="DZ239" s="38" t="str">
        <f t="shared" si="899"/>
        <v/>
      </c>
      <c r="EA239" s="38" t="str">
        <f t="shared" si="899"/>
        <v/>
      </c>
      <c r="EB239" s="38" t="str">
        <f t="shared" si="899"/>
        <v/>
      </c>
      <c r="EC239" s="38" t="str">
        <f t="shared" si="899"/>
        <v/>
      </c>
      <c r="ED239" s="38" t="str">
        <f t="shared" si="899"/>
        <v/>
      </c>
      <c r="EE239" s="38" t="str">
        <f t="shared" si="899"/>
        <v/>
      </c>
      <c r="EF239" s="38" t="str">
        <f t="shared" si="899"/>
        <v/>
      </c>
      <c r="EG239" s="38" t="str">
        <f t="shared" si="899"/>
        <v/>
      </c>
      <c r="EH239" s="38" t="str">
        <f t="shared" si="899"/>
        <v/>
      </c>
      <c r="EI239" s="38" t="str">
        <f t="shared" si="899"/>
        <v/>
      </c>
      <c r="EJ239" s="38" t="str">
        <f t="shared" ref="EJ239:EN239" si="900">IF(EJ$227="","",JT208+JT211+JT221+JT230+JT234)</f>
        <v/>
      </c>
      <c r="EK239" s="38" t="str">
        <f t="shared" si="900"/>
        <v/>
      </c>
      <c r="EL239" s="38" t="str">
        <f t="shared" si="900"/>
        <v/>
      </c>
      <c r="EM239" s="38" t="str">
        <f t="shared" si="900"/>
        <v/>
      </c>
      <c r="EN239" s="38" t="str">
        <f t="shared" si="900"/>
        <v/>
      </c>
      <c r="EP239" s="37" t="s">
        <v>374</v>
      </c>
      <c r="EQ239" s="24"/>
      <c r="ER239" s="24"/>
      <c r="ES239" s="24"/>
      <c r="ET239" s="33" t="s">
        <v>403</v>
      </c>
      <c r="EU239" s="33"/>
      <c r="EV239" s="225">
        <f t="shared" ref="EV239:GA239" si="901">(EV$197&lt;=Timing_Reversion_Month)*(EV238*((1+$EP240)^(1/12)-1))</f>
        <v>0</v>
      </c>
      <c r="EW239" s="225">
        <f t="shared" ca="1" si="901"/>
        <v>1217.2605377802256</v>
      </c>
      <c r="EX239" s="225">
        <f t="shared" ca="1" si="901"/>
        <v>1366.9923565875927</v>
      </c>
      <c r="EY239" s="225">
        <f t="shared" ca="1" si="901"/>
        <v>1569.8581621702281</v>
      </c>
      <c r="EZ239" s="225">
        <f t="shared" ca="1" si="901"/>
        <v>1877.4182262794209</v>
      </c>
      <c r="FA239" s="225">
        <f t="shared" ca="1" si="901"/>
        <v>2367.0070785364428</v>
      </c>
      <c r="FB239" s="225">
        <f t="shared" ca="1" si="901"/>
        <v>3133.148014720261</v>
      </c>
      <c r="FC239" s="225">
        <f t="shared" ca="1" si="901"/>
        <v>4261.6474008431005</v>
      </c>
      <c r="FD239" s="225">
        <f t="shared" ca="1" si="901"/>
        <v>4861.1087551596866</v>
      </c>
      <c r="FE239" s="225">
        <f t="shared" ca="1" si="901"/>
        <v>4896.1443376330253</v>
      </c>
      <c r="FF239" s="225">
        <f t="shared" ca="1" si="901"/>
        <v>4931.432432876818</v>
      </c>
      <c r="FG239" s="225">
        <f t="shared" ca="1" si="901"/>
        <v>4966.9748608322443</v>
      </c>
      <c r="FH239" s="225">
        <f t="shared" ca="1" si="901"/>
        <v>5002.7734545573849</v>
      </c>
      <c r="FI239" s="225">
        <f t="shared" ca="1" si="901"/>
        <v>5038.8300603217667</v>
      </c>
      <c r="FJ239" s="225">
        <f t="shared" ca="1" si="901"/>
        <v>5075.1465377015738</v>
      </c>
      <c r="FK239" s="225">
        <f t="shared" ca="1" si="901"/>
        <v>5111.7247596755606</v>
      </c>
      <c r="FL239" s="225">
        <f t="shared" ca="1" si="901"/>
        <v>5148.5666127216437</v>
      </c>
      <c r="FM239" s="225">
        <f t="shared" ca="1" si="901"/>
        <v>5185.6739969141954</v>
      </c>
      <c r="FN239" s="225">
        <f t="shared" ca="1" si="901"/>
        <v>5223.0488260220391</v>
      </c>
      <c r="FO239" s="225">
        <f t="shared" ca="1" si="901"/>
        <v>5260.6930276071489</v>
      </c>
      <c r="FP239" s="225">
        <f t="shared" ca="1" si="901"/>
        <v>5298.6085431240599</v>
      </c>
      <c r="FQ239" s="225">
        <f t="shared" ca="1" si="901"/>
        <v>5336.7973280199985</v>
      </c>
      <c r="FR239" s="225">
        <f t="shared" ca="1" si="901"/>
        <v>5375.261351835733</v>
      </c>
      <c r="FS239" s="225">
        <f t="shared" ca="1" si="901"/>
        <v>5414.0025983071473</v>
      </c>
      <c r="FT239" s="225">
        <f t="shared" ca="1" si="901"/>
        <v>5453.0230654675506</v>
      </c>
      <c r="FU239" s="225">
        <f t="shared" ca="1" si="901"/>
        <v>5492.3247657507263</v>
      </c>
      <c r="FV239" s="225">
        <f t="shared" ca="1" si="901"/>
        <v>5531.9097260947165</v>
      </c>
      <c r="FW239" s="225">
        <f t="shared" ca="1" si="901"/>
        <v>5571.7799880463617</v>
      </c>
      <c r="FX239" s="225">
        <f t="shared" ca="1" si="901"/>
        <v>5611.9376078665928</v>
      </c>
      <c r="FY239" s="225">
        <f t="shared" ca="1" si="901"/>
        <v>5652.3846566364746</v>
      </c>
      <c r="FZ239" s="225">
        <f t="shared" ca="1" si="901"/>
        <v>5693.1232203640238</v>
      </c>
      <c r="GA239" s="225">
        <f t="shared" ca="1" si="901"/>
        <v>5733.4751214131593</v>
      </c>
      <c r="GB239" s="225">
        <f t="shared" ref="GB239:HG239" ca="1" si="902">(GB$197&lt;=Timing_Reversion_Month)*(GB238*((1+$EP240)^(1/12)-1))</f>
        <v>5768.8610268396915</v>
      </c>
      <c r="GC239" s="225">
        <f t="shared" ca="1" si="902"/>
        <v>5794.0540289870987</v>
      </c>
      <c r="GD239" s="225">
        <f t="shared" ca="1" si="902"/>
        <v>5806.751003138892</v>
      </c>
      <c r="GE239" s="225">
        <f t="shared" ca="1" si="902"/>
        <v>5819.1792758071806</v>
      </c>
      <c r="GF239" s="225">
        <f t="shared" ca="1" si="902"/>
        <v>5831.3369103735004</v>
      </c>
      <c r="GG239" s="225">
        <f t="shared" ca="1" si="902"/>
        <v>5843.2219562615446</v>
      </c>
      <c r="GH239" s="225">
        <f t="shared" ca="1" si="902"/>
        <v>5854.8324488365797</v>
      </c>
      <c r="GI239" s="225">
        <f t="shared" ca="1" si="902"/>
        <v>5866.1664093041099</v>
      </c>
      <c r="GJ239" s="225">
        <f t="shared" ca="1" si="902"/>
        <v>5877.2218446078305</v>
      </c>
      <c r="GK239" s="225">
        <f t="shared" ca="1" si="902"/>
        <v>5887.9967473268334</v>
      </c>
      <c r="GL239" s="225">
        <f t="shared" ca="1" si="902"/>
        <v>5898.4890955720803</v>
      </c>
      <c r="GM239" s="225">
        <f t="shared" ca="1" si="902"/>
        <v>5908.6968528821226</v>
      </c>
      <c r="GN239" s="225">
        <f t="shared" ca="1" si="902"/>
        <v>5923.0657108813848</v>
      </c>
      <c r="GO239" s="225">
        <f t="shared" ca="1" si="902"/>
        <v>5937.1671108241389</v>
      </c>
      <c r="GP239" s="225">
        <f t="shared" ca="1" si="902"/>
        <v>0</v>
      </c>
      <c r="GQ239" s="225">
        <f t="shared" ca="1" si="902"/>
        <v>0</v>
      </c>
      <c r="GR239" s="225">
        <f t="shared" ca="1" si="902"/>
        <v>0</v>
      </c>
      <c r="GS239" s="225">
        <f t="shared" ca="1" si="902"/>
        <v>0</v>
      </c>
      <c r="GT239" s="225">
        <f t="shared" ca="1" si="902"/>
        <v>0</v>
      </c>
      <c r="GU239" s="225">
        <f t="shared" ca="1" si="902"/>
        <v>0</v>
      </c>
      <c r="GV239" s="225">
        <f t="shared" ca="1" si="902"/>
        <v>0</v>
      </c>
      <c r="GW239" s="225">
        <f t="shared" ca="1" si="902"/>
        <v>0</v>
      </c>
      <c r="GX239" s="225">
        <f t="shared" ca="1" si="902"/>
        <v>0</v>
      </c>
      <c r="GY239" s="225">
        <f t="shared" ca="1" si="902"/>
        <v>0</v>
      </c>
      <c r="GZ239" s="225">
        <f t="shared" ca="1" si="902"/>
        <v>0</v>
      </c>
      <c r="HA239" s="225">
        <f t="shared" ca="1" si="902"/>
        <v>0</v>
      </c>
      <c r="HB239" s="225">
        <f t="shared" ca="1" si="902"/>
        <v>0</v>
      </c>
      <c r="HC239" s="225">
        <f t="shared" ca="1" si="902"/>
        <v>0</v>
      </c>
      <c r="HD239" s="225">
        <f t="shared" ca="1" si="902"/>
        <v>0</v>
      </c>
      <c r="HE239" s="225">
        <f t="shared" ca="1" si="902"/>
        <v>0</v>
      </c>
      <c r="HF239" s="225">
        <f t="shared" ca="1" si="902"/>
        <v>0</v>
      </c>
      <c r="HG239" s="225">
        <f t="shared" ca="1" si="902"/>
        <v>0</v>
      </c>
      <c r="HH239" s="225">
        <f t="shared" ref="HH239:IM239" ca="1" si="903">(HH$197&lt;=Timing_Reversion_Month)*(HH238*((1+$EP240)^(1/12)-1))</f>
        <v>0</v>
      </c>
      <c r="HI239" s="225">
        <f t="shared" ca="1" si="903"/>
        <v>0</v>
      </c>
      <c r="HJ239" s="225">
        <f t="shared" ca="1" si="903"/>
        <v>0</v>
      </c>
      <c r="HK239" s="225">
        <f t="shared" ca="1" si="903"/>
        <v>0</v>
      </c>
      <c r="HL239" s="225">
        <f t="shared" ca="1" si="903"/>
        <v>0</v>
      </c>
      <c r="HM239" s="225">
        <f t="shared" ca="1" si="903"/>
        <v>0</v>
      </c>
      <c r="HN239" s="225">
        <f t="shared" ca="1" si="903"/>
        <v>0</v>
      </c>
      <c r="HO239" s="225">
        <f t="shared" ca="1" si="903"/>
        <v>0</v>
      </c>
      <c r="HP239" s="225">
        <f t="shared" ca="1" si="903"/>
        <v>0</v>
      </c>
      <c r="HQ239" s="225">
        <f t="shared" ca="1" si="903"/>
        <v>0</v>
      </c>
      <c r="HR239" s="225">
        <f t="shared" ca="1" si="903"/>
        <v>0</v>
      </c>
      <c r="HS239" s="225">
        <f t="shared" ca="1" si="903"/>
        <v>0</v>
      </c>
      <c r="HT239" s="225">
        <f t="shared" ca="1" si="903"/>
        <v>0</v>
      </c>
      <c r="HU239" s="225">
        <f t="shared" ca="1" si="903"/>
        <v>0</v>
      </c>
      <c r="HV239" s="225">
        <f t="shared" ca="1" si="903"/>
        <v>0</v>
      </c>
      <c r="HW239" s="225">
        <f t="shared" ca="1" si="903"/>
        <v>0</v>
      </c>
      <c r="HX239" s="225">
        <f t="shared" ca="1" si="903"/>
        <v>0</v>
      </c>
      <c r="HY239" s="225">
        <f t="shared" ca="1" si="903"/>
        <v>0</v>
      </c>
      <c r="HZ239" s="225">
        <f t="shared" ca="1" si="903"/>
        <v>0</v>
      </c>
      <c r="IA239" s="225">
        <f t="shared" ca="1" si="903"/>
        <v>0</v>
      </c>
      <c r="IB239" s="225">
        <f t="shared" ca="1" si="903"/>
        <v>0</v>
      </c>
      <c r="IC239" s="225">
        <f t="shared" ca="1" si="903"/>
        <v>0</v>
      </c>
      <c r="ID239" s="225">
        <f t="shared" ca="1" si="903"/>
        <v>0</v>
      </c>
      <c r="IE239" s="225">
        <f t="shared" ca="1" si="903"/>
        <v>0</v>
      </c>
      <c r="IF239" s="225">
        <f t="shared" ca="1" si="903"/>
        <v>0</v>
      </c>
      <c r="IG239" s="225">
        <f t="shared" ca="1" si="903"/>
        <v>0</v>
      </c>
      <c r="IH239" s="225">
        <f t="shared" ca="1" si="903"/>
        <v>0</v>
      </c>
      <c r="II239" s="225">
        <f t="shared" ca="1" si="903"/>
        <v>0</v>
      </c>
      <c r="IJ239" s="225">
        <f t="shared" ca="1" si="903"/>
        <v>0</v>
      </c>
      <c r="IK239" s="225">
        <f t="shared" ca="1" si="903"/>
        <v>0</v>
      </c>
      <c r="IL239" s="225">
        <f t="shared" ca="1" si="903"/>
        <v>0</v>
      </c>
      <c r="IM239" s="225">
        <f t="shared" ca="1" si="903"/>
        <v>0</v>
      </c>
      <c r="IN239" s="225">
        <f t="shared" ref="IN239:JS239" ca="1" si="904">(IN$197&lt;=Timing_Reversion_Month)*(IN238*((1+$EP240)^(1/12)-1))</f>
        <v>0</v>
      </c>
      <c r="IO239" s="225">
        <f t="shared" ca="1" si="904"/>
        <v>0</v>
      </c>
      <c r="IP239" s="225">
        <f t="shared" ca="1" si="904"/>
        <v>0</v>
      </c>
      <c r="IQ239" s="225">
        <f t="shared" ca="1" si="904"/>
        <v>0</v>
      </c>
      <c r="IR239" s="225">
        <f t="shared" ca="1" si="904"/>
        <v>0</v>
      </c>
      <c r="IS239" s="225">
        <f t="shared" ca="1" si="904"/>
        <v>0</v>
      </c>
      <c r="IT239" s="225">
        <f t="shared" ca="1" si="904"/>
        <v>0</v>
      </c>
      <c r="IU239" s="225">
        <f t="shared" ca="1" si="904"/>
        <v>0</v>
      </c>
      <c r="IV239" s="225">
        <f t="shared" ca="1" si="904"/>
        <v>0</v>
      </c>
      <c r="IW239" s="225">
        <f t="shared" ca="1" si="904"/>
        <v>0</v>
      </c>
      <c r="IX239" s="225">
        <f t="shared" ca="1" si="904"/>
        <v>0</v>
      </c>
      <c r="IY239" s="225">
        <f t="shared" ca="1" si="904"/>
        <v>0</v>
      </c>
      <c r="IZ239" s="225">
        <f t="shared" ca="1" si="904"/>
        <v>0</v>
      </c>
      <c r="JA239" s="225">
        <f t="shared" ca="1" si="904"/>
        <v>0</v>
      </c>
      <c r="JB239" s="225">
        <f t="shared" ca="1" si="904"/>
        <v>0</v>
      </c>
      <c r="JC239" s="225">
        <f t="shared" ca="1" si="904"/>
        <v>0</v>
      </c>
      <c r="JD239" s="225">
        <f t="shared" ca="1" si="904"/>
        <v>0</v>
      </c>
      <c r="JE239" s="225">
        <f t="shared" ca="1" si="904"/>
        <v>0</v>
      </c>
      <c r="JF239" s="225">
        <f t="shared" ca="1" si="904"/>
        <v>0</v>
      </c>
      <c r="JG239" s="225">
        <f t="shared" ca="1" si="904"/>
        <v>0</v>
      </c>
      <c r="JH239" s="225">
        <f t="shared" ca="1" si="904"/>
        <v>0</v>
      </c>
      <c r="JI239" s="225">
        <f t="shared" ca="1" si="904"/>
        <v>0</v>
      </c>
      <c r="JJ239" s="225">
        <f t="shared" ca="1" si="904"/>
        <v>0</v>
      </c>
      <c r="JK239" s="225">
        <f t="shared" ca="1" si="904"/>
        <v>0</v>
      </c>
      <c r="JL239" s="225">
        <f t="shared" ca="1" si="904"/>
        <v>0</v>
      </c>
      <c r="JM239" s="225">
        <f t="shared" ca="1" si="904"/>
        <v>0</v>
      </c>
      <c r="JN239" s="225">
        <f t="shared" ca="1" si="904"/>
        <v>0</v>
      </c>
      <c r="JO239" s="225">
        <f t="shared" ca="1" si="904"/>
        <v>0</v>
      </c>
      <c r="JP239" s="225">
        <f t="shared" ca="1" si="904"/>
        <v>0</v>
      </c>
      <c r="JQ239" s="225">
        <f t="shared" ca="1" si="904"/>
        <v>0</v>
      </c>
      <c r="JR239" s="225">
        <f t="shared" ca="1" si="904"/>
        <v>0</v>
      </c>
      <c r="JS239" s="225">
        <f t="shared" ca="1" si="904"/>
        <v>0</v>
      </c>
      <c r="JT239" s="225">
        <f ca="1">(JT$197&lt;=Timing_Reversion_Month)*(JT238*((1+$EP240)^(1/12)-1))</f>
        <v>0</v>
      </c>
      <c r="JU239" s="225">
        <f ca="1">(JU$197&lt;=Timing_Reversion_Month)*(JU238*((1+$EP240)^(1/12)-1))</f>
        <v>0</v>
      </c>
      <c r="JV239" s="225">
        <f ca="1">(JV$197&lt;=Timing_Reversion_Month)*(JV238*((1+$EP240)^(1/12)-1))</f>
        <v>0</v>
      </c>
      <c r="JW239" s="225">
        <f ca="1">(JW$197&lt;=Timing_Reversion_Month)*(JW238*((1+$EP240)^(1/12)-1))</f>
        <v>0</v>
      </c>
      <c r="JX239" s="225">
        <f ca="1">(JX$197&lt;=Timing_Reversion_Month)*(JX238*((1+$EP240)^(1/12)-1))</f>
        <v>0</v>
      </c>
    </row>
    <row r="240" spans="1:284" s="7" customFormat="1" ht="16.5" x14ac:dyDescent="0.35">
      <c r="A240" s="406"/>
      <c r="B240" s="238" t="s">
        <v>212</v>
      </c>
      <c r="C240" s="235" t="str">
        <f>C229</f>
        <v>[Limited Partner Name]</v>
      </c>
      <c r="D240" s="233"/>
      <c r="E240" s="233"/>
      <c r="F240" s="233"/>
      <c r="G240" s="242"/>
      <c r="H240" s="239">
        <f ca="1">I240/$I$241</f>
        <v>0.91722261733047439</v>
      </c>
      <c r="I240" s="240">
        <f ca="1">SUM(L240:EN240)</f>
        <v>21509551.865806632</v>
      </c>
      <c r="L240" s="39">
        <f t="shared" ref="L240:AQ240" ca="1" si="905">IF(L$227="","",EV202+EV218+EV227+EV233)</f>
        <v>0</v>
      </c>
      <c r="M240" s="39">
        <f t="shared" ca="1" si="905"/>
        <v>0</v>
      </c>
      <c r="N240" s="39">
        <f t="shared" ca="1" si="905"/>
        <v>0</v>
      </c>
      <c r="O240" s="39">
        <f t="shared" ca="1" si="905"/>
        <v>0</v>
      </c>
      <c r="P240" s="39">
        <f t="shared" ca="1" si="905"/>
        <v>0</v>
      </c>
      <c r="Q240" s="39">
        <f t="shared" ca="1" si="905"/>
        <v>0</v>
      </c>
      <c r="R240" s="39">
        <f t="shared" ca="1" si="905"/>
        <v>0</v>
      </c>
      <c r="S240" s="39">
        <f t="shared" ca="1" si="905"/>
        <v>0</v>
      </c>
      <c r="T240" s="39">
        <f t="shared" ca="1" si="905"/>
        <v>0</v>
      </c>
      <c r="U240" s="39">
        <f t="shared" ca="1" si="905"/>
        <v>0</v>
      </c>
      <c r="V240" s="39">
        <f t="shared" ca="1" si="905"/>
        <v>0</v>
      </c>
      <c r="W240" s="39">
        <f t="shared" ca="1" si="905"/>
        <v>0</v>
      </c>
      <c r="X240" s="39">
        <f t="shared" ca="1" si="905"/>
        <v>0</v>
      </c>
      <c r="Y240" s="39">
        <f t="shared" ca="1" si="905"/>
        <v>0</v>
      </c>
      <c r="Z240" s="39">
        <f t="shared" ca="1" si="905"/>
        <v>0</v>
      </c>
      <c r="AA240" s="39">
        <f t="shared" ca="1" si="905"/>
        <v>0</v>
      </c>
      <c r="AB240" s="39">
        <f t="shared" ca="1" si="905"/>
        <v>0</v>
      </c>
      <c r="AC240" s="39">
        <f t="shared" ca="1" si="905"/>
        <v>0</v>
      </c>
      <c r="AD240" s="39">
        <f t="shared" ca="1" si="905"/>
        <v>0</v>
      </c>
      <c r="AE240" s="39">
        <f t="shared" ca="1" si="905"/>
        <v>0</v>
      </c>
      <c r="AF240" s="39">
        <f t="shared" ca="1" si="905"/>
        <v>1.3824319466948509E-11</v>
      </c>
      <c r="AG240" s="39">
        <f t="shared" ca="1" si="905"/>
        <v>0</v>
      </c>
      <c r="AH240" s="39">
        <f t="shared" ca="1" si="905"/>
        <v>0</v>
      </c>
      <c r="AI240" s="39">
        <f t="shared" ca="1" si="905"/>
        <v>8.6401996668428183E-12</v>
      </c>
      <c r="AJ240" s="39">
        <f t="shared" ca="1" si="905"/>
        <v>0</v>
      </c>
      <c r="AK240" s="39">
        <f t="shared" ca="1" si="905"/>
        <v>0</v>
      </c>
      <c r="AL240" s="39">
        <f t="shared" ca="1" si="905"/>
        <v>0</v>
      </c>
      <c r="AM240" s="39">
        <f t="shared" ca="1" si="905"/>
        <v>0</v>
      </c>
      <c r="AN240" s="39">
        <f t="shared" ca="1" si="905"/>
        <v>0</v>
      </c>
      <c r="AO240" s="39">
        <f t="shared" ca="1" si="905"/>
        <v>0</v>
      </c>
      <c r="AP240" s="39">
        <f t="shared" ca="1" si="905"/>
        <v>1992.6175282008755</v>
      </c>
      <c r="AQ240" s="39">
        <f t="shared" ca="1" si="905"/>
        <v>17390.485501708215</v>
      </c>
      <c r="AR240" s="39">
        <f t="shared" ref="AR240:BW240" ca="1" si="906">IF(AR$227="","",GB202+GB218+GB227+GB233)</f>
        <v>47993.752817410037</v>
      </c>
      <c r="AS240" s="39">
        <f t="shared" ca="1" si="906"/>
        <v>85127.964087280096</v>
      </c>
      <c r="AT240" s="39">
        <f t="shared" ca="1" si="906"/>
        <v>86183.070068530113</v>
      </c>
      <c r="AU240" s="39">
        <f t="shared" ca="1" si="906"/>
        <v>87238.17604978013</v>
      </c>
      <c r="AV240" s="39">
        <f t="shared" ca="1" si="906"/>
        <v>88293.282031030132</v>
      </c>
      <c r="AW240" s="39">
        <f t="shared" ca="1" si="906"/>
        <v>89348.388012280091</v>
      </c>
      <c r="AX240" s="39">
        <f t="shared" ca="1" si="906"/>
        <v>90403.49399353005</v>
      </c>
      <c r="AY240" s="39">
        <f t="shared" ca="1" si="906"/>
        <v>91458.599974780125</v>
      </c>
      <c r="AZ240" s="39">
        <f t="shared" ca="1" si="906"/>
        <v>92513.705956030084</v>
      </c>
      <c r="BA240" s="39">
        <f t="shared" ca="1" si="906"/>
        <v>93568.811937280101</v>
      </c>
      <c r="BB240" s="39">
        <f t="shared" ca="1" si="906"/>
        <v>94623.917918530118</v>
      </c>
      <c r="BC240" s="39">
        <f t="shared" ca="1" si="906"/>
        <v>82651.053937678371</v>
      </c>
      <c r="BD240" s="39">
        <f t="shared" ca="1" si="906"/>
        <v>83737.813098365834</v>
      </c>
      <c r="BE240" s="39">
        <f t="shared" ca="1" si="906"/>
        <v>20377026.732894216</v>
      </c>
      <c r="BF240" s="39" t="str">
        <f t="shared" si="906"/>
        <v/>
      </c>
      <c r="BG240" s="39" t="str">
        <f t="shared" si="906"/>
        <v/>
      </c>
      <c r="BH240" s="39" t="str">
        <f t="shared" si="906"/>
        <v/>
      </c>
      <c r="BI240" s="39" t="str">
        <f t="shared" si="906"/>
        <v/>
      </c>
      <c r="BJ240" s="39" t="str">
        <f t="shared" si="906"/>
        <v/>
      </c>
      <c r="BK240" s="39" t="str">
        <f t="shared" si="906"/>
        <v/>
      </c>
      <c r="BL240" s="39" t="str">
        <f t="shared" si="906"/>
        <v/>
      </c>
      <c r="BM240" s="39" t="str">
        <f t="shared" si="906"/>
        <v/>
      </c>
      <c r="BN240" s="39" t="str">
        <f t="shared" si="906"/>
        <v/>
      </c>
      <c r="BO240" s="39" t="str">
        <f t="shared" si="906"/>
        <v/>
      </c>
      <c r="BP240" s="39" t="str">
        <f t="shared" si="906"/>
        <v/>
      </c>
      <c r="BQ240" s="39" t="str">
        <f t="shared" si="906"/>
        <v/>
      </c>
      <c r="BR240" s="39" t="str">
        <f t="shared" si="906"/>
        <v/>
      </c>
      <c r="BS240" s="39" t="str">
        <f t="shared" si="906"/>
        <v/>
      </c>
      <c r="BT240" s="39" t="str">
        <f t="shared" si="906"/>
        <v/>
      </c>
      <c r="BU240" s="39" t="str">
        <f t="shared" si="906"/>
        <v/>
      </c>
      <c r="BV240" s="39" t="str">
        <f t="shared" si="906"/>
        <v/>
      </c>
      <c r="BW240" s="39" t="str">
        <f t="shared" si="906"/>
        <v/>
      </c>
      <c r="BX240" s="39" t="str">
        <f t="shared" ref="BX240:DC240" si="907">IF(BX$227="","",HH202+HH218+HH227+HH233)</f>
        <v/>
      </c>
      <c r="BY240" s="39" t="str">
        <f t="shared" si="907"/>
        <v/>
      </c>
      <c r="BZ240" s="39" t="str">
        <f t="shared" si="907"/>
        <v/>
      </c>
      <c r="CA240" s="39" t="str">
        <f t="shared" si="907"/>
        <v/>
      </c>
      <c r="CB240" s="39" t="str">
        <f t="shared" si="907"/>
        <v/>
      </c>
      <c r="CC240" s="39" t="str">
        <f t="shared" si="907"/>
        <v/>
      </c>
      <c r="CD240" s="39" t="str">
        <f t="shared" si="907"/>
        <v/>
      </c>
      <c r="CE240" s="39" t="str">
        <f t="shared" si="907"/>
        <v/>
      </c>
      <c r="CF240" s="39" t="str">
        <f t="shared" si="907"/>
        <v/>
      </c>
      <c r="CG240" s="39" t="str">
        <f t="shared" si="907"/>
        <v/>
      </c>
      <c r="CH240" s="39" t="str">
        <f t="shared" si="907"/>
        <v/>
      </c>
      <c r="CI240" s="39" t="str">
        <f t="shared" si="907"/>
        <v/>
      </c>
      <c r="CJ240" s="39" t="str">
        <f t="shared" si="907"/>
        <v/>
      </c>
      <c r="CK240" s="39" t="str">
        <f t="shared" si="907"/>
        <v/>
      </c>
      <c r="CL240" s="39" t="str">
        <f t="shared" si="907"/>
        <v/>
      </c>
      <c r="CM240" s="39" t="str">
        <f t="shared" si="907"/>
        <v/>
      </c>
      <c r="CN240" s="39" t="str">
        <f t="shared" si="907"/>
        <v/>
      </c>
      <c r="CO240" s="39" t="str">
        <f t="shared" si="907"/>
        <v/>
      </c>
      <c r="CP240" s="39" t="str">
        <f t="shared" si="907"/>
        <v/>
      </c>
      <c r="CQ240" s="39" t="str">
        <f t="shared" si="907"/>
        <v/>
      </c>
      <c r="CR240" s="39" t="str">
        <f t="shared" si="907"/>
        <v/>
      </c>
      <c r="CS240" s="39" t="str">
        <f t="shared" si="907"/>
        <v/>
      </c>
      <c r="CT240" s="39" t="str">
        <f t="shared" si="907"/>
        <v/>
      </c>
      <c r="CU240" s="39" t="str">
        <f t="shared" si="907"/>
        <v/>
      </c>
      <c r="CV240" s="39" t="str">
        <f t="shared" si="907"/>
        <v/>
      </c>
      <c r="CW240" s="39" t="str">
        <f t="shared" si="907"/>
        <v/>
      </c>
      <c r="CX240" s="39" t="str">
        <f t="shared" si="907"/>
        <v/>
      </c>
      <c r="CY240" s="39" t="str">
        <f t="shared" si="907"/>
        <v/>
      </c>
      <c r="CZ240" s="39" t="str">
        <f t="shared" si="907"/>
        <v/>
      </c>
      <c r="DA240" s="39" t="str">
        <f t="shared" si="907"/>
        <v/>
      </c>
      <c r="DB240" s="39" t="str">
        <f t="shared" si="907"/>
        <v/>
      </c>
      <c r="DC240" s="39" t="str">
        <f t="shared" si="907"/>
        <v/>
      </c>
      <c r="DD240" s="39" t="str">
        <f t="shared" ref="DD240:EI240" si="908">IF(DD$227="","",IN202+IN218+IN227+IN233)</f>
        <v/>
      </c>
      <c r="DE240" s="39" t="str">
        <f t="shared" si="908"/>
        <v/>
      </c>
      <c r="DF240" s="39" t="str">
        <f t="shared" si="908"/>
        <v/>
      </c>
      <c r="DG240" s="39" t="str">
        <f t="shared" si="908"/>
        <v/>
      </c>
      <c r="DH240" s="39" t="str">
        <f t="shared" si="908"/>
        <v/>
      </c>
      <c r="DI240" s="39" t="str">
        <f t="shared" si="908"/>
        <v/>
      </c>
      <c r="DJ240" s="39" t="str">
        <f t="shared" si="908"/>
        <v/>
      </c>
      <c r="DK240" s="39" t="str">
        <f t="shared" si="908"/>
        <v/>
      </c>
      <c r="DL240" s="39" t="str">
        <f t="shared" si="908"/>
        <v/>
      </c>
      <c r="DM240" s="39" t="str">
        <f t="shared" si="908"/>
        <v/>
      </c>
      <c r="DN240" s="39" t="str">
        <f t="shared" si="908"/>
        <v/>
      </c>
      <c r="DO240" s="39" t="str">
        <f t="shared" si="908"/>
        <v/>
      </c>
      <c r="DP240" s="39" t="str">
        <f t="shared" si="908"/>
        <v/>
      </c>
      <c r="DQ240" s="39" t="str">
        <f t="shared" si="908"/>
        <v/>
      </c>
      <c r="DR240" s="39" t="str">
        <f t="shared" si="908"/>
        <v/>
      </c>
      <c r="DS240" s="39" t="str">
        <f t="shared" si="908"/>
        <v/>
      </c>
      <c r="DT240" s="39" t="str">
        <f t="shared" si="908"/>
        <v/>
      </c>
      <c r="DU240" s="39" t="str">
        <f t="shared" si="908"/>
        <v/>
      </c>
      <c r="DV240" s="39" t="str">
        <f t="shared" si="908"/>
        <v/>
      </c>
      <c r="DW240" s="39" t="str">
        <f t="shared" si="908"/>
        <v/>
      </c>
      <c r="DX240" s="39" t="str">
        <f t="shared" si="908"/>
        <v/>
      </c>
      <c r="DY240" s="39" t="str">
        <f t="shared" si="908"/>
        <v/>
      </c>
      <c r="DZ240" s="39" t="str">
        <f t="shared" si="908"/>
        <v/>
      </c>
      <c r="EA240" s="39" t="str">
        <f t="shared" si="908"/>
        <v/>
      </c>
      <c r="EB240" s="39" t="str">
        <f t="shared" si="908"/>
        <v/>
      </c>
      <c r="EC240" s="39" t="str">
        <f t="shared" si="908"/>
        <v/>
      </c>
      <c r="ED240" s="39" t="str">
        <f t="shared" si="908"/>
        <v/>
      </c>
      <c r="EE240" s="39" t="str">
        <f t="shared" si="908"/>
        <v/>
      </c>
      <c r="EF240" s="39" t="str">
        <f t="shared" si="908"/>
        <v/>
      </c>
      <c r="EG240" s="39" t="str">
        <f t="shared" si="908"/>
        <v/>
      </c>
      <c r="EH240" s="39" t="str">
        <f t="shared" si="908"/>
        <v/>
      </c>
      <c r="EI240" s="39" t="str">
        <f t="shared" si="908"/>
        <v/>
      </c>
      <c r="EJ240" s="39" t="str">
        <f t="shared" ref="EJ240:EN240" si="909">IF(EJ$227="","",JT202+JT218+JT227+JT233)</f>
        <v/>
      </c>
      <c r="EK240" s="39" t="str">
        <f t="shared" si="909"/>
        <v/>
      </c>
      <c r="EL240" s="39" t="str">
        <f t="shared" si="909"/>
        <v/>
      </c>
      <c r="EM240" s="39" t="str">
        <f t="shared" si="909"/>
        <v/>
      </c>
      <c r="EN240" s="39" t="str">
        <f t="shared" si="909"/>
        <v/>
      </c>
      <c r="EP240" s="220">
        <f>F254</f>
        <v>0.09</v>
      </c>
      <c r="EQ240" s="24" t="s">
        <v>376</v>
      </c>
      <c r="ER240" s="24"/>
      <c r="ES240" s="24"/>
      <c r="ET240" s="33" t="s">
        <v>404</v>
      </c>
      <c r="EU240" s="33"/>
      <c r="EV240" s="225">
        <f t="shared" ref="EV240:GA240" ca="1" si="910">IF(L250="",0,L250)</f>
        <v>168892.17874475819</v>
      </c>
      <c r="EW240" s="225">
        <f t="shared" ca="1" si="910"/>
        <v>19557.694634846426</v>
      </c>
      <c r="EX240" s="225">
        <f t="shared" ca="1" si="910"/>
        <v>26780.184713772553</v>
      </c>
      <c r="EY240" s="225">
        <f t="shared" ca="1" si="910"/>
        <v>41103.41326171421</v>
      </c>
      <c r="EZ240" s="225">
        <f t="shared" ca="1" si="910"/>
        <v>66051.940674668658</v>
      </c>
      <c r="FA240" s="225">
        <f t="shared" ca="1" si="910"/>
        <v>103933.33530633751</v>
      </c>
      <c r="FB240" s="225">
        <f t="shared" ca="1" si="910"/>
        <v>153443.61934025673</v>
      </c>
      <c r="FC240" s="225">
        <f t="shared" ca="1" si="910"/>
        <v>78912.275569204925</v>
      </c>
      <c r="FD240" s="225">
        <f t="shared" ca="1" si="910"/>
        <v>0</v>
      </c>
      <c r="FE240" s="225">
        <f t="shared" ca="1" si="910"/>
        <v>0</v>
      </c>
      <c r="FF240" s="225">
        <f t="shared" ca="1" si="910"/>
        <v>0</v>
      </c>
      <c r="FG240" s="225">
        <f t="shared" ca="1" si="910"/>
        <v>0</v>
      </c>
      <c r="FH240" s="225">
        <f t="shared" ca="1" si="910"/>
        <v>0</v>
      </c>
      <c r="FI240" s="225">
        <f t="shared" ca="1" si="910"/>
        <v>0</v>
      </c>
      <c r="FJ240" s="225">
        <f t="shared" ca="1" si="910"/>
        <v>0</v>
      </c>
      <c r="FK240" s="225">
        <f t="shared" ca="1" si="910"/>
        <v>0</v>
      </c>
      <c r="FL240" s="225">
        <f t="shared" ca="1" si="910"/>
        <v>0</v>
      </c>
      <c r="FM240" s="225">
        <f t="shared" ca="1" si="910"/>
        <v>0</v>
      </c>
      <c r="FN240" s="225">
        <f t="shared" ca="1" si="910"/>
        <v>0</v>
      </c>
      <c r="FO240" s="225">
        <f t="shared" ca="1" si="910"/>
        <v>0</v>
      </c>
      <c r="FP240" s="225">
        <f t="shared" ca="1" si="910"/>
        <v>0</v>
      </c>
      <c r="FQ240" s="225">
        <f t="shared" ca="1" si="910"/>
        <v>0</v>
      </c>
      <c r="FR240" s="225">
        <f t="shared" ca="1" si="910"/>
        <v>0</v>
      </c>
      <c r="FS240" s="225">
        <f t="shared" ca="1" si="910"/>
        <v>0</v>
      </c>
      <c r="FT240" s="225">
        <f t="shared" ca="1" si="910"/>
        <v>4.9112713895738138E-13</v>
      </c>
      <c r="FU240" s="225">
        <f t="shared" ca="1" si="910"/>
        <v>0</v>
      </c>
      <c r="FV240" s="225">
        <f t="shared" ca="1" si="910"/>
        <v>0</v>
      </c>
      <c r="FW240" s="225">
        <f t="shared" ca="1" si="910"/>
        <v>0</v>
      </c>
      <c r="FX240" s="225">
        <f t="shared" ca="1" si="910"/>
        <v>0</v>
      </c>
      <c r="FY240" s="225">
        <f t="shared" ca="1" si="910"/>
        <v>0</v>
      </c>
      <c r="FZ240" s="225">
        <f t="shared" ca="1" si="910"/>
        <v>0</v>
      </c>
      <c r="GA240" s="225">
        <f t="shared" ca="1" si="910"/>
        <v>0</v>
      </c>
      <c r="GB240" s="225">
        <f t="shared" ref="GB240:HG240" ca="1" si="911">IF(AR250="",0,AR250)</f>
        <v>0</v>
      </c>
      <c r="GC240" s="225">
        <f t="shared" ca="1" si="911"/>
        <v>0</v>
      </c>
      <c r="GD240" s="225">
        <f t="shared" ca="1" si="911"/>
        <v>0</v>
      </c>
      <c r="GE240" s="225">
        <f t="shared" ca="1" si="911"/>
        <v>0</v>
      </c>
      <c r="GF240" s="225">
        <f t="shared" ca="1" si="911"/>
        <v>0</v>
      </c>
      <c r="GG240" s="225">
        <f t="shared" ca="1" si="911"/>
        <v>0</v>
      </c>
      <c r="GH240" s="225">
        <f t="shared" ca="1" si="911"/>
        <v>0</v>
      </c>
      <c r="GI240" s="225">
        <f t="shared" ca="1" si="911"/>
        <v>0</v>
      </c>
      <c r="GJ240" s="225">
        <f t="shared" ca="1" si="911"/>
        <v>0</v>
      </c>
      <c r="GK240" s="225">
        <f t="shared" ca="1" si="911"/>
        <v>0</v>
      </c>
      <c r="GL240" s="225">
        <f t="shared" ca="1" si="911"/>
        <v>0</v>
      </c>
      <c r="GM240" s="225">
        <f t="shared" ca="1" si="911"/>
        <v>0</v>
      </c>
      <c r="GN240" s="225">
        <f t="shared" ca="1" si="911"/>
        <v>0</v>
      </c>
      <c r="GO240" s="225">
        <f t="shared" ca="1" si="911"/>
        <v>0</v>
      </c>
      <c r="GP240" s="225">
        <f t="shared" si="911"/>
        <v>0</v>
      </c>
      <c r="GQ240" s="225">
        <f t="shared" si="911"/>
        <v>0</v>
      </c>
      <c r="GR240" s="225">
        <f t="shared" si="911"/>
        <v>0</v>
      </c>
      <c r="GS240" s="225">
        <f t="shared" si="911"/>
        <v>0</v>
      </c>
      <c r="GT240" s="225">
        <f t="shared" si="911"/>
        <v>0</v>
      </c>
      <c r="GU240" s="225">
        <f t="shared" si="911"/>
        <v>0</v>
      </c>
      <c r="GV240" s="225">
        <f t="shared" si="911"/>
        <v>0</v>
      </c>
      <c r="GW240" s="225">
        <f t="shared" si="911"/>
        <v>0</v>
      </c>
      <c r="GX240" s="225">
        <f t="shared" si="911"/>
        <v>0</v>
      </c>
      <c r="GY240" s="225">
        <f t="shared" si="911"/>
        <v>0</v>
      </c>
      <c r="GZ240" s="225">
        <f t="shared" si="911"/>
        <v>0</v>
      </c>
      <c r="HA240" s="225">
        <f t="shared" si="911"/>
        <v>0</v>
      </c>
      <c r="HB240" s="225">
        <f t="shared" si="911"/>
        <v>0</v>
      </c>
      <c r="HC240" s="225">
        <f t="shared" si="911"/>
        <v>0</v>
      </c>
      <c r="HD240" s="225">
        <f t="shared" si="911"/>
        <v>0</v>
      </c>
      <c r="HE240" s="225">
        <f t="shared" si="911"/>
        <v>0</v>
      </c>
      <c r="HF240" s="225">
        <f t="shared" si="911"/>
        <v>0</v>
      </c>
      <c r="HG240" s="225">
        <f t="shared" si="911"/>
        <v>0</v>
      </c>
      <c r="HH240" s="225">
        <f t="shared" ref="HH240:IM240" si="912">IF(BX250="",0,BX250)</f>
        <v>0</v>
      </c>
      <c r="HI240" s="225">
        <f t="shared" si="912"/>
        <v>0</v>
      </c>
      <c r="HJ240" s="225">
        <f t="shared" si="912"/>
        <v>0</v>
      </c>
      <c r="HK240" s="225">
        <f t="shared" si="912"/>
        <v>0</v>
      </c>
      <c r="HL240" s="225">
        <f t="shared" si="912"/>
        <v>0</v>
      </c>
      <c r="HM240" s="225">
        <f t="shared" si="912"/>
        <v>0</v>
      </c>
      <c r="HN240" s="225">
        <f t="shared" si="912"/>
        <v>0</v>
      </c>
      <c r="HO240" s="225">
        <f t="shared" si="912"/>
        <v>0</v>
      </c>
      <c r="HP240" s="225">
        <f t="shared" si="912"/>
        <v>0</v>
      </c>
      <c r="HQ240" s="225">
        <f t="shared" si="912"/>
        <v>0</v>
      </c>
      <c r="HR240" s="225">
        <f t="shared" si="912"/>
        <v>0</v>
      </c>
      <c r="HS240" s="225">
        <f t="shared" si="912"/>
        <v>0</v>
      </c>
      <c r="HT240" s="225">
        <f t="shared" si="912"/>
        <v>0</v>
      </c>
      <c r="HU240" s="225">
        <f t="shared" si="912"/>
        <v>0</v>
      </c>
      <c r="HV240" s="225">
        <f t="shared" si="912"/>
        <v>0</v>
      </c>
      <c r="HW240" s="225">
        <f t="shared" si="912"/>
        <v>0</v>
      </c>
      <c r="HX240" s="225">
        <f t="shared" si="912"/>
        <v>0</v>
      </c>
      <c r="HY240" s="225">
        <f t="shared" si="912"/>
        <v>0</v>
      </c>
      <c r="HZ240" s="225">
        <f t="shared" si="912"/>
        <v>0</v>
      </c>
      <c r="IA240" s="225">
        <f t="shared" si="912"/>
        <v>0</v>
      </c>
      <c r="IB240" s="225">
        <f t="shared" si="912"/>
        <v>0</v>
      </c>
      <c r="IC240" s="225">
        <f t="shared" si="912"/>
        <v>0</v>
      </c>
      <c r="ID240" s="225">
        <f t="shared" si="912"/>
        <v>0</v>
      </c>
      <c r="IE240" s="225">
        <f t="shared" si="912"/>
        <v>0</v>
      </c>
      <c r="IF240" s="225">
        <f t="shared" si="912"/>
        <v>0</v>
      </c>
      <c r="IG240" s="225">
        <f t="shared" si="912"/>
        <v>0</v>
      </c>
      <c r="IH240" s="225">
        <f t="shared" si="912"/>
        <v>0</v>
      </c>
      <c r="II240" s="225">
        <f t="shared" si="912"/>
        <v>0</v>
      </c>
      <c r="IJ240" s="225">
        <f t="shared" si="912"/>
        <v>0</v>
      </c>
      <c r="IK240" s="225">
        <f t="shared" si="912"/>
        <v>0</v>
      </c>
      <c r="IL240" s="225">
        <f t="shared" si="912"/>
        <v>0</v>
      </c>
      <c r="IM240" s="225">
        <f t="shared" si="912"/>
        <v>0</v>
      </c>
      <c r="IN240" s="225">
        <f t="shared" ref="IN240:JS240" si="913">IF(DD250="",0,DD250)</f>
        <v>0</v>
      </c>
      <c r="IO240" s="225">
        <f t="shared" si="913"/>
        <v>0</v>
      </c>
      <c r="IP240" s="225">
        <f t="shared" si="913"/>
        <v>0</v>
      </c>
      <c r="IQ240" s="225">
        <f t="shared" si="913"/>
        <v>0</v>
      </c>
      <c r="IR240" s="225">
        <f t="shared" si="913"/>
        <v>0</v>
      </c>
      <c r="IS240" s="225">
        <f t="shared" si="913"/>
        <v>0</v>
      </c>
      <c r="IT240" s="225">
        <f t="shared" si="913"/>
        <v>0</v>
      </c>
      <c r="IU240" s="225">
        <f t="shared" si="913"/>
        <v>0</v>
      </c>
      <c r="IV240" s="225">
        <f t="shared" si="913"/>
        <v>0</v>
      </c>
      <c r="IW240" s="225">
        <f t="shared" si="913"/>
        <v>0</v>
      </c>
      <c r="IX240" s="225">
        <f t="shared" si="913"/>
        <v>0</v>
      </c>
      <c r="IY240" s="225">
        <f t="shared" si="913"/>
        <v>0</v>
      </c>
      <c r="IZ240" s="225">
        <f t="shared" si="913"/>
        <v>0</v>
      </c>
      <c r="JA240" s="225">
        <f t="shared" si="913"/>
        <v>0</v>
      </c>
      <c r="JB240" s="225">
        <f t="shared" si="913"/>
        <v>0</v>
      </c>
      <c r="JC240" s="225">
        <f t="shared" si="913"/>
        <v>0</v>
      </c>
      <c r="JD240" s="225">
        <f t="shared" si="913"/>
        <v>0</v>
      </c>
      <c r="JE240" s="225">
        <f t="shared" si="913"/>
        <v>0</v>
      </c>
      <c r="JF240" s="225">
        <f t="shared" si="913"/>
        <v>0</v>
      </c>
      <c r="JG240" s="225">
        <f t="shared" si="913"/>
        <v>0</v>
      </c>
      <c r="JH240" s="225">
        <f t="shared" si="913"/>
        <v>0</v>
      </c>
      <c r="JI240" s="225">
        <f t="shared" si="913"/>
        <v>0</v>
      </c>
      <c r="JJ240" s="225">
        <f t="shared" si="913"/>
        <v>0</v>
      </c>
      <c r="JK240" s="225">
        <f t="shared" si="913"/>
        <v>0</v>
      </c>
      <c r="JL240" s="225">
        <f t="shared" si="913"/>
        <v>0</v>
      </c>
      <c r="JM240" s="225">
        <f t="shared" si="913"/>
        <v>0</v>
      </c>
      <c r="JN240" s="225">
        <f t="shared" si="913"/>
        <v>0</v>
      </c>
      <c r="JO240" s="225">
        <f t="shared" si="913"/>
        <v>0</v>
      </c>
      <c r="JP240" s="225">
        <f t="shared" si="913"/>
        <v>0</v>
      </c>
      <c r="JQ240" s="225">
        <f t="shared" si="913"/>
        <v>0</v>
      </c>
      <c r="JR240" s="225">
        <f t="shared" si="913"/>
        <v>0</v>
      </c>
      <c r="JS240" s="225">
        <f t="shared" si="913"/>
        <v>0</v>
      </c>
      <c r="JT240" s="225">
        <f>IF(EJ250="",0,EJ250)</f>
        <v>0</v>
      </c>
      <c r="JU240" s="225">
        <f>IF(EK250="",0,EK250)</f>
        <v>0</v>
      </c>
      <c r="JV240" s="225">
        <f>IF(EL250="",0,EL250)</f>
        <v>0</v>
      </c>
      <c r="JW240" s="225">
        <f>IF(EM250="",0,EM250)</f>
        <v>0</v>
      </c>
      <c r="JX240" s="225">
        <f>IF(EN250="",0,EN250)</f>
        <v>0</v>
      </c>
    </row>
    <row r="241" spans="1:284" s="7" customFormat="1" x14ac:dyDescent="0.2">
      <c r="A241" s="406"/>
      <c r="B241" s="231" t="s">
        <v>70</v>
      </c>
      <c r="C241" s="233"/>
      <c r="D241" s="233"/>
      <c r="E241" s="233"/>
      <c r="F241" s="233"/>
      <c r="G241" s="242"/>
      <c r="H241" s="247">
        <f ca="1">I241/$I$241</f>
        <v>1</v>
      </c>
      <c r="I241" s="242">
        <f ca="1">SUM(I239:I240)</f>
        <v>23450742.992370807</v>
      </c>
      <c r="L241" s="38">
        <f t="shared" ref="L241:AQ241" ca="1" si="914">IF(L$227="","",SUM(L239:L240))</f>
        <v>0</v>
      </c>
      <c r="M241" s="38">
        <f t="shared" ca="1" si="914"/>
        <v>0</v>
      </c>
      <c r="N241" s="38">
        <f t="shared" ca="1" si="914"/>
        <v>0</v>
      </c>
      <c r="O241" s="38">
        <f t="shared" ca="1" si="914"/>
        <v>0</v>
      </c>
      <c r="P241" s="38">
        <f t="shared" ca="1" si="914"/>
        <v>0</v>
      </c>
      <c r="Q241" s="38">
        <f t="shared" ca="1" si="914"/>
        <v>0</v>
      </c>
      <c r="R241" s="38">
        <f t="shared" ca="1" si="914"/>
        <v>0</v>
      </c>
      <c r="S241" s="38">
        <f t="shared" ca="1" si="914"/>
        <v>0</v>
      </c>
      <c r="T241" s="38">
        <f t="shared" ca="1" si="914"/>
        <v>0</v>
      </c>
      <c r="U241" s="38">
        <f t="shared" ca="1" si="914"/>
        <v>0</v>
      </c>
      <c r="V241" s="38">
        <f t="shared" ca="1" si="914"/>
        <v>0</v>
      </c>
      <c r="W241" s="38">
        <f t="shared" ca="1" si="914"/>
        <v>0</v>
      </c>
      <c r="X241" s="38">
        <f t="shared" ca="1" si="914"/>
        <v>0</v>
      </c>
      <c r="Y241" s="38">
        <f t="shared" ca="1" si="914"/>
        <v>0</v>
      </c>
      <c r="Z241" s="38">
        <f t="shared" ca="1" si="914"/>
        <v>0</v>
      </c>
      <c r="AA241" s="38">
        <f t="shared" ca="1" si="914"/>
        <v>0</v>
      </c>
      <c r="AB241" s="38">
        <f t="shared" ca="1" si="914"/>
        <v>0</v>
      </c>
      <c r="AC241" s="38">
        <f t="shared" ca="1" si="914"/>
        <v>0</v>
      </c>
      <c r="AD241" s="38">
        <f t="shared" ca="1" si="914"/>
        <v>0</v>
      </c>
      <c r="AE241" s="38">
        <f t="shared" ca="1" si="914"/>
        <v>0</v>
      </c>
      <c r="AF241" s="38">
        <f t="shared" ca="1" si="914"/>
        <v>1.4551915228366852E-11</v>
      </c>
      <c r="AG241" s="38">
        <f t="shared" ca="1" si="914"/>
        <v>0</v>
      </c>
      <c r="AH241" s="38">
        <f t="shared" ca="1" si="914"/>
        <v>0</v>
      </c>
      <c r="AI241" s="38">
        <f t="shared" ca="1" si="914"/>
        <v>9.0949470177292824E-12</v>
      </c>
      <c r="AJ241" s="38">
        <f t="shared" ca="1" si="914"/>
        <v>0</v>
      </c>
      <c r="AK241" s="38">
        <f t="shared" ca="1" si="914"/>
        <v>0</v>
      </c>
      <c r="AL241" s="38">
        <f t="shared" ca="1" si="914"/>
        <v>0</v>
      </c>
      <c r="AM241" s="38">
        <f t="shared" ca="1" si="914"/>
        <v>0</v>
      </c>
      <c r="AN241" s="38">
        <f t="shared" ca="1" si="914"/>
        <v>0</v>
      </c>
      <c r="AO241" s="38">
        <f t="shared" ca="1" si="914"/>
        <v>0</v>
      </c>
      <c r="AP241" s="38">
        <f t="shared" ca="1" si="914"/>
        <v>2097.4921349482902</v>
      </c>
      <c r="AQ241" s="38">
        <f t="shared" ca="1" si="914"/>
        <v>18305.774212324439</v>
      </c>
      <c r="AR241" s="38">
        <f t="shared" ref="AR241:BW241" ca="1" si="915">IF(AR$227="","",SUM(AR239:AR240))</f>
        <v>50519.739807800041</v>
      </c>
      <c r="AS241" s="38">
        <f t="shared" ca="1" si="915"/>
        <v>89608.383249768522</v>
      </c>
      <c r="AT241" s="38">
        <f t="shared" ca="1" si="915"/>
        <v>90719.021124768537</v>
      </c>
      <c r="AU241" s="38">
        <f t="shared" ca="1" si="915"/>
        <v>91829.658999768566</v>
      </c>
      <c r="AV241" s="38">
        <f t="shared" ca="1" si="915"/>
        <v>92940.296874768566</v>
      </c>
      <c r="AW241" s="38">
        <f t="shared" ca="1" si="915"/>
        <v>94050.934749768523</v>
      </c>
      <c r="AX241" s="38">
        <f t="shared" ca="1" si="915"/>
        <v>95161.57262476848</v>
      </c>
      <c r="AY241" s="38">
        <f t="shared" ca="1" si="915"/>
        <v>96272.210499768553</v>
      </c>
      <c r="AZ241" s="38">
        <f t="shared" ca="1" si="915"/>
        <v>97382.84837476851</v>
      </c>
      <c r="BA241" s="38">
        <f t="shared" ca="1" si="915"/>
        <v>98493.486249768524</v>
      </c>
      <c r="BB241" s="38">
        <f t="shared" ca="1" si="915"/>
        <v>99604.124124768554</v>
      </c>
      <c r="BC241" s="38">
        <f t="shared" ca="1" si="915"/>
        <v>87001.109408082499</v>
      </c>
      <c r="BD241" s="38">
        <f t="shared" ca="1" si="915"/>
        <v>88145.066419332463</v>
      </c>
      <c r="BE241" s="38">
        <f t="shared" ca="1" si="915"/>
        <v>22258611.273515634</v>
      </c>
      <c r="BF241" s="38" t="str">
        <f t="shared" si="915"/>
        <v/>
      </c>
      <c r="BG241" s="38" t="str">
        <f t="shared" si="915"/>
        <v/>
      </c>
      <c r="BH241" s="38" t="str">
        <f t="shared" si="915"/>
        <v/>
      </c>
      <c r="BI241" s="38" t="str">
        <f t="shared" si="915"/>
        <v/>
      </c>
      <c r="BJ241" s="38" t="str">
        <f t="shared" si="915"/>
        <v/>
      </c>
      <c r="BK241" s="38" t="str">
        <f t="shared" si="915"/>
        <v/>
      </c>
      <c r="BL241" s="38" t="str">
        <f t="shared" si="915"/>
        <v/>
      </c>
      <c r="BM241" s="38" t="str">
        <f t="shared" si="915"/>
        <v/>
      </c>
      <c r="BN241" s="38" t="str">
        <f t="shared" si="915"/>
        <v/>
      </c>
      <c r="BO241" s="38" t="str">
        <f t="shared" si="915"/>
        <v/>
      </c>
      <c r="BP241" s="38" t="str">
        <f t="shared" si="915"/>
        <v/>
      </c>
      <c r="BQ241" s="38" t="str">
        <f t="shared" si="915"/>
        <v/>
      </c>
      <c r="BR241" s="38" t="str">
        <f t="shared" si="915"/>
        <v/>
      </c>
      <c r="BS241" s="38" t="str">
        <f t="shared" si="915"/>
        <v/>
      </c>
      <c r="BT241" s="38" t="str">
        <f t="shared" si="915"/>
        <v/>
      </c>
      <c r="BU241" s="38" t="str">
        <f t="shared" si="915"/>
        <v/>
      </c>
      <c r="BV241" s="38" t="str">
        <f t="shared" si="915"/>
        <v/>
      </c>
      <c r="BW241" s="38" t="str">
        <f t="shared" si="915"/>
        <v/>
      </c>
      <c r="BX241" s="38" t="str">
        <f t="shared" ref="BX241:DC241" si="916">IF(BX$227="","",SUM(BX239:BX240))</f>
        <v/>
      </c>
      <c r="BY241" s="38" t="str">
        <f t="shared" si="916"/>
        <v/>
      </c>
      <c r="BZ241" s="38" t="str">
        <f t="shared" si="916"/>
        <v/>
      </c>
      <c r="CA241" s="38" t="str">
        <f t="shared" si="916"/>
        <v/>
      </c>
      <c r="CB241" s="38" t="str">
        <f t="shared" si="916"/>
        <v/>
      </c>
      <c r="CC241" s="38" t="str">
        <f t="shared" si="916"/>
        <v/>
      </c>
      <c r="CD241" s="38" t="str">
        <f t="shared" si="916"/>
        <v/>
      </c>
      <c r="CE241" s="38" t="str">
        <f t="shared" si="916"/>
        <v/>
      </c>
      <c r="CF241" s="38" t="str">
        <f t="shared" si="916"/>
        <v/>
      </c>
      <c r="CG241" s="38" t="str">
        <f t="shared" si="916"/>
        <v/>
      </c>
      <c r="CH241" s="38" t="str">
        <f t="shared" si="916"/>
        <v/>
      </c>
      <c r="CI241" s="38" t="str">
        <f t="shared" si="916"/>
        <v/>
      </c>
      <c r="CJ241" s="38" t="str">
        <f t="shared" si="916"/>
        <v/>
      </c>
      <c r="CK241" s="38" t="str">
        <f t="shared" si="916"/>
        <v/>
      </c>
      <c r="CL241" s="38" t="str">
        <f t="shared" si="916"/>
        <v/>
      </c>
      <c r="CM241" s="38" t="str">
        <f t="shared" si="916"/>
        <v/>
      </c>
      <c r="CN241" s="38" t="str">
        <f t="shared" si="916"/>
        <v/>
      </c>
      <c r="CO241" s="38" t="str">
        <f t="shared" si="916"/>
        <v/>
      </c>
      <c r="CP241" s="38" t="str">
        <f t="shared" si="916"/>
        <v/>
      </c>
      <c r="CQ241" s="38" t="str">
        <f t="shared" si="916"/>
        <v/>
      </c>
      <c r="CR241" s="38" t="str">
        <f t="shared" si="916"/>
        <v/>
      </c>
      <c r="CS241" s="38" t="str">
        <f t="shared" si="916"/>
        <v/>
      </c>
      <c r="CT241" s="38" t="str">
        <f t="shared" si="916"/>
        <v/>
      </c>
      <c r="CU241" s="38" t="str">
        <f t="shared" si="916"/>
        <v/>
      </c>
      <c r="CV241" s="38" t="str">
        <f t="shared" si="916"/>
        <v/>
      </c>
      <c r="CW241" s="38" t="str">
        <f t="shared" si="916"/>
        <v/>
      </c>
      <c r="CX241" s="38" t="str">
        <f t="shared" si="916"/>
        <v/>
      </c>
      <c r="CY241" s="38" t="str">
        <f t="shared" si="916"/>
        <v/>
      </c>
      <c r="CZ241" s="38" t="str">
        <f t="shared" si="916"/>
        <v/>
      </c>
      <c r="DA241" s="38" t="str">
        <f t="shared" si="916"/>
        <v/>
      </c>
      <c r="DB241" s="38" t="str">
        <f t="shared" si="916"/>
        <v/>
      </c>
      <c r="DC241" s="38" t="str">
        <f t="shared" si="916"/>
        <v/>
      </c>
      <c r="DD241" s="38" t="str">
        <f t="shared" ref="DD241:EI241" si="917">IF(DD$227="","",SUM(DD239:DD240))</f>
        <v/>
      </c>
      <c r="DE241" s="38" t="str">
        <f t="shared" si="917"/>
        <v/>
      </c>
      <c r="DF241" s="38" t="str">
        <f t="shared" si="917"/>
        <v/>
      </c>
      <c r="DG241" s="38" t="str">
        <f t="shared" si="917"/>
        <v/>
      </c>
      <c r="DH241" s="38" t="str">
        <f t="shared" si="917"/>
        <v/>
      </c>
      <c r="DI241" s="38" t="str">
        <f t="shared" si="917"/>
        <v/>
      </c>
      <c r="DJ241" s="38" t="str">
        <f t="shared" si="917"/>
        <v/>
      </c>
      <c r="DK241" s="38" t="str">
        <f t="shared" si="917"/>
        <v/>
      </c>
      <c r="DL241" s="38" t="str">
        <f t="shared" si="917"/>
        <v/>
      </c>
      <c r="DM241" s="38" t="str">
        <f t="shared" si="917"/>
        <v/>
      </c>
      <c r="DN241" s="38" t="str">
        <f t="shared" si="917"/>
        <v/>
      </c>
      <c r="DO241" s="38" t="str">
        <f t="shared" si="917"/>
        <v/>
      </c>
      <c r="DP241" s="38" t="str">
        <f t="shared" si="917"/>
        <v/>
      </c>
      <c r="DQ241" s="38" t="str">
        <f t="shared" si="917"/>
        <v/>
      </c>
      <c r="DR241" s="38" t="str">
        <f t="shared" si="917"/>
        <v/>
      </c>
      <c r="DS241" s="38" t="str">
        <f t="shared" si="917"/>
        <v/>
      </c>
      <c r="DT241" s="38" t="str">
        <f t="shared" si="917"/>
        <v/>
      </c>
      <c r="DU241" s="38" t="str">
        <f t="shared" si="917"/>
        <v/>
      </c>
      <c r="DV241" s="38" t="str">
        <f t="shared" si="917"/>
        <v/>
      </c>
      <c r="DW241" s="38" t="str">
        <f t="shared" si="917"/>
        <v/>
      </c>
      <c r="DX241" s="38" t="str">
        <f t="shared" si="917"/>
        <v/>
      </c>
      <c r="DY241" s="38" t="str">
        <f t="shared" si="917"/>
        <v/>
      </c>
      <c r="DZ241" s="38" t="str">
        <f t="shared" si="917"/>
        <v/>
      </c>
      <c r="EA241" s="38" t="str">
        <f t="shared" si="917"/>
        <v/>
      </c>
      <c r="EB241" s="38" t="str">
        <f t="shared" si="917"/>
        <v/>
      </c>
      <c r="EC241" s="38" t="str">
        <f t="shared" si="917"/>
        <v/>
      </c>
      <c r="ED241" s="38" t="str">
        <f t="shared" si="917"/>
        <v/>
      </c>
      <c r="EE241" s="38" t="str">
        <f t="shared" si="917"/>
        <v/>
      </c>
      <c r="EF241" s="38" t="str">
        <f t="shared" si="917"/>
        <v/>
      </c>
      <c r="EG241" s="38" t="str">
        <f t="shared" si="917"/>
        <v/>
      </c>
      <c r="EH241" s="38" t="str">
        <f t="shared" si="917"/>
        <v/>
      </c>
      <c r="EI241" s="38" t="str">
        <f t="shared" si="917"/>
        <v/>
      </c>
      <c r="EJ241" s="38" t="str">
        <f>IF(EJ$227="","",SUM(EJ239:EJ240))</f>
        <v/>
      </c>
      <c r="EK241" s="38" t="str">
        <f>IF(EK$227="","",SUM(EK239:EK240))</f>
        <v/>
      </c>
      <c r="EL241" s="38" t="str">
        <f>IF(EL$227="","",SUM(EL239:EL240))</f>
        <v/>
      </c>
      <c r="EM241" s="38" t="str">
        <f>IF(EM$227="","",SUM(EM239:EM240))</f>
        <v/>
      </c>
      <c r="EN241" s="38" t="str">
        <f>IF(EN$227="","",SUM(EN239:EN240))</f>
        <v/>
      </c>
      <c r="EP241" s="37"/>
      <c r="EQ241" s="24"/>
      <c r="ER241" s="24"/>
      <c r="ES241" s="24"/>
      <c r="ET241" s="33" t="s">
        <v>405</v>
      </c>
      <c r="EU241" s="33"/>
      <c r="EV241" s="225">
        <f t="shared" ref="EV241:GA241" ca="1" si="918">(EV$197&lt;=Timing_Reversion_Month)*(MIN(EV238+EV239,MAX(EV236,0)*$I$254))</f>
        <v>0</v>
      </c>
      <c r="EW241" s="225">
        <f t="shared" ca="1" si="918"/>
        <v>0</v>
      </c>
      <c r="EX241" s="225">
        <f t="shared" ca="1" si="918"/>
        <v>0</v>
      </c>
      <c r="EY241" s="225">
        <f t="shared" ca="1" si="918"/>
        <v>0</v>
      </c>
      <c r="EZ241" s="225">
        <f t="shared" ca="1" si="918"/>
        <v>0</v>
      </c>
      <c r="FA241" s="225">
        <f t="shared" ca="1" si="918"/>
        <v>0</v>
      </c>
      <c r="FB241" s="225">
        <f t="shared" ca="1" si="918"/>
        <v>0</v>
      </c>
      <c r="FC241" s="225">
        <f t="shared" ca="1" si="918"/>
        <v>0</v>
      </c>
      <c r="FD241" s="225">
        <f t="shared" ca="1" si="918"/>
        <v>0</v>
      </c>
      <c r="FE241" s="225">
        <f t="shared" ca="1" si="918"/>
        <v>0</v>
      </c>
      <c r="FF241" s="225">
        <f t="shared" ca="1" si="918"/>
        <v>0</v>
      </c>
      <c r="FG241" s="225">
        <f t="shared" ca="1" si="918"/>
        <v>0</v>
      </c>
      <c r="FH241" s="225">
        <f t="shared" ca="1" si="918"/>
        <v>0</v>
      </c>
      <c r="FI241" s="225">
        <f t="shared" ca="1" si="918"/>
        <v>0</v>
      </c>
      <c r="FJ241" s="225">
        <f t="shared" ca="1" si="918"/>
        <v>0</v>
      </c>
      <c r="FK241" s="225">
        <f t="shared" ca="1" si="918"/>
        <v>0</v>
      </c>
      <c r="FL241" s="225">
        <f t="shared" ca="1" si="918"/>
        <v>0</v>
      </c>
      <c r="FM241" s="225">
        <f t="shared" ca="1" si="918"/>
        <v>0</v>
      </c>
      <c r="FN241" s="225">
        <f t="shared" ca="1" si="918"/>
        <v>0</v>
      </c>
      <c r="FO241" s="225">
        <f t="shared" ca="1" si="918"/>
        <v>0</v>
      </c>
      <c r="FP241" s="225">
        <f t="shared" ca="1" si="918"/>
        <v>6.5483618527650841E-13</v>
      </c>
      <c r="FQ241" s="225">
        <f t="shared" ca="1" si="918"/>
        <v>0</v>
      </c>
      <c r="FR241" s="225">
        <f t="shared" ca="1" si="918"/>
        <v>0</v>
      </c>
      <c r="FS241" s="225">
        <f t="shared" ca="1" si="918"/>
        <v>4.0927261579781772E-13</v>
      </c>
      <c r="FT241" s="225">
        <f t="shared" ca="1" si="918"/>
        <v>0</v>
      </c>
      <c r="FU241" s="225">
        <f t="shared" ca="1" si="918"/>
        <v>0</v>
      </c>
      <c r="FV241" s="225">
        <f t="shared" ca="1" si="918"/>
        <v>0</v>
      </c>
      <c r="FW241" s="225">
        <f t="shared" ca="1" si="918"/>
        <v>0</v>
      </c>
      <c r="FX241" s="225">
        <f t="shared" ca="1" si="918"/>
        <v>0</v>
      </c>
      <c r="FY241" s="225">
        <f t="shared" ca="1" si="918"/>
        <v>0</v>
      </c>
      <c r="FZ241" s="225">
        <f t="shared" ca="1" si="918"/>
        <v>94.387146072673062</v>
      </c>
      <c r="GA241" s="225">
        <f t="shared" ca="1" si="918"/>
        <v>823.75983955459981</v>
      </c>
      <c r="GB241" s="225">
        <f t="shared" ref="GB241:HG241" ca="1" si="919">(GB$197&lt;=Timing_Reversion_Month)*(MIN(GB238+GB239,MAX(GB236,0)*$I$254))</f>
        <v>2273.388291351002</v>
      </c>
      <c r="GC241" s="225">
        <f t="shared" ca="1" si="919"/>
        <v>4032.3772462395837</v>
      </c>
      <c r="GD241" s="225">
        <f t="shared" ca="1" si="919"/>
        <v>4082.3559506145848</v>
      </c>
      <c r="GE241" s="225">
        <f t="shared" ca="1" si="919"/>
        <v>4132.3346549895878</v>
      </c>
      <c r="GF241" s="225">
        <f t="shared" ca="1" si="919"/>
        <v>4182.3133593645862</v>
      </c>
      <c r="GG241" s="226">
        <f t="shared" ca="1" si="919"/>
        <v>4232.2920637395837</v>
      </c>
      <c r="GH241" s="225">
        <f t="shared" ca="1" si="919"/>
        <v>4282.2707681145821</v>
      </c>
      <c r="GI241" s="225">
        <f t="shared" ca="1" si="919"/>
        <v>4332.2494724895851</v>
      </c>
      <c r="GJ241" s="225">
        <f t="shared" ca="1" si="919"/>
        <v>4382.2281768645835</v>
      </c>
      <c r="GK241" s="225">
        <f t="shared" ca="1" si="919"/>
        <v>4432.2068812395864</v>
      </c>
      <c r="GL241" s="225">
        <f t="shared" ca="1" si="919"/>
        <v>4482.1855856145876</v>
      </c>
      <c r="GM241" s="225">
        <f t="shared" ca="1" si="919"/>
        <v>3915.0499233637129</v>
      </c>
      <c r="GN241" s="225">
        <f t="shared" ca="1" si="919"/>
        <v>3966.5279888699611</v>
      </c>
      <c r="GO241" s="225">
        <f t="shared" ca="1" si="919"/>
        <v>829705.83273058594</v>
      </c>
      <c r="GP241" s="225">
        <f t="shared" ca="1" si="919"/>
        <v>0</v>
      </c>
      <c r="GQ241" s="225">
        <f t="shared" ca="1" si="919"/>
        <v>0</v>
      </c>
      <c r="GR241" s="225">
        <f t="shared" ca="1" si="919"/>
        <v>0</v>
      </c>
      <c r="GS241" s="225">
        <f t="shared" ca="1" si="919"/>
        <v>0</v>
      </c>
      <c r="GT241" s="225">
        <f t="shared" ca="1" si="919"/>
        <v>0</v>
      </c>
      <c r="GU241" s="225">
        <f t="shared" ca="1" si="919"/>
        <v>0</v>
      </c>
      <c r="GV241" s="225">
        <f t="shared" ca="1" si="919"/>
        <v>0</v>
      </c>
      <c r="GW241" s="225">
        <f t="shared" ca="1" si="919"/>
        <v>0</v>
      </c>
      <c r="GX241" s="225">
        <f t="shared" ca="1" si="919"/>
        <v>0</v>
      </c>
      <c r="GY241" s="225">
        <f t="shared" ca="1" si="919"/>
        <v>0</v>
      </c>
      <c r="GZ241" s="225">
        <f t="shared" ca="1" si="919"/>
        <v>0</v>
      </c>
      <c r="HA241" s="225">
        <f t="shared" ca="1" si="919"/>
        <v>0</v>
      </c>
      <c r="HB241" s="225">
        <f t="shared" ca="1" si="919"/>
        <v>0</v>
      </c>
      <c r="HC241" s="225">
        <f t="shared" ca="1" si="919"/>
        <v>0</v>
      </c>
      <c r="HD241" s="225">
        <f t="shared" ca="1" si="919"/>
        <v>0</v>
      </c>
      <c r="HE241" s="225">
        <f t="shared" ca="1" si="919"/>
        <v>0</v>
      </c>
      <c r="HF241" s="225">
        <f t="shared" ca="1" si="919"/>
        <v>0</v>
      </c>
      <c r="HG241" s="225">
        <f t="shared" ca="1" si="919"/>
        <v>0</v>
      </c>
      <c r="HH241" s="225">
        <f t="shared" ref="HH241:IM241" ca="1" si="920">(HH$197&lt;=Timing_Reversion_Month)*(MIN(HH238+HH239,MAX(HH236,0)*$I$254))</f>
        <v>0</v>
      </c>
      <c r="HI241" s="225">
        <f t="shared" ca="1" si="920"/>
        <v>0</v>
      </c>
      <c r="HJ241" s="225">
        <f t="shared" ca="1" si="920"/>
        <v>0</v>
      </c>
      <c r="HK241" s="225">
        <f t="shared" ca="1" si="920"/>
        <v>0</v>
      </c>
      <c r="HL241" s="225">
        <f t="shared" ca="1" si="920"/>
        <v>0</v>
      </c>
      <c r="HM241" s="225">
        <f t="shared" ca="1" si="920"/>
        <v>0</v>
      </c>
      <c r="HN241" s="225">
        <f t="shared" ca="1" si="920"/>
        <v>0</v>
      </c>
      <c r="HO241" s="225">
        <f t="shared" ca="1" si="920"/>
        <v>0</v>
      </c>
      <c r="HP241" s="225">
        <f t="shared" ca="1" si="920"/>
        <v>0</v>
      </c>
      <c r="HQ241" s="225">
        <f t="shared" ca="1" si="920"/>
        <v>0</v>
      </c>
      <c r="HR241" s="225">
        <f t="shared" ca="1" si="920"/>
        <v>0</v>
      </c>
      <c r="HS241" s="225">
        <f t="shared" ca="1" si="920"/>
        <v>0</v>
      </c>
      <c r="HT241" s="225">
        <f t="shared" ca="1" si="920"/>
        <v>0</v>
      </c>
      <c r="HU241" s="225">
        <f t="shared" ca="1" si="920"/>
        <v>0</v>
      </c>
      <c r="HV241" s="225">
        <f t="shared" ca="1" si="920"/>
        <v>0</v>
      </c>
      <c r="HW241" s="225">
        <f t="shared" ca="1" si="920"/>
        <v>0</v>
      </c>
      <c r="HX241" s="225">
        <f t="shared" ca="1" si="920"/>
        <v>0</v>
      </c>
      <c r="HY241" s="225">
        <f t="shared" ca="1" si="920"/>
        <v>0</v>
      </c>
      <c r="HZ241" s="225">
        <f t="shared" ca="1" si="920"/>
        <v>0</v>
      </c>
      <c r="IA241" s="225">
        <f t="shared" ca="1" si="920"/>
        <v>0</v>
      </c>
      <c r="IB241" s="225">
        <f t="shared" ca="1" si="920"/>
        <v>0</v>
      </c>
      <c r="IC241" s="225">
        <f t="shared" ca="1" si="920"/>
        <v>0</v>
      </c>
      <c r="ID241" s="225">
        <f t="shared" ca="1" si="920"/>
        <v>0</v>
      </c>
      <c r="IE241" s="225">
        <f t="shared" ca="1" si="920"/>
        <v>0</v>
      </c>
      <c r="IF241" s="225">
        <f t="shared" ca="1" si="920"/>
        <v>0</v>
      </c>
      <c r="IG241" s="225">
        <f t="shared" ca="1" si="920"/>
        <v>0</v>
      </c>
      <c r="IH241" s="225">
        <f t="shared" ca="1" si="920"/>
        <v>0</v>
      </c>
      <c r="II241" s="225">
        <f t="shared" ca="1" si="920"/>
        <v>0</v>
      </c>
      <c r="IJ241" s="225">
        <f t="shared" ca="1" si="920"/>
        <v>0</v>
      </c>
      <c r="IK241" s="225">
        <f t="shared" ca="1" si="920"/>
        <v>0</v>
      </c>
      <c r="IL241" s="225">
        <f t="shared" ca="1" si="920"/>
        <v>0</v>
      </c>
      <c r="IM241" s="225">
        <f t="shared" ca="1" si="920"/>
        <v>0</v>
      </c>
      <c r="IN241" s="225">
        <f t="shared" ref="IN241:JX241" ca="1" si="921">(IN$197&lt;=Timing_Reversion_Month)*(MIN(IN238+IN239,MAX(IN236,0)*$I$254))</f>
        <v>0</v>
      </c>
      <c r="IO241" s="225">
        <f t="shared" ca="1" si="921"/>
        <v>0</v>
      </c>
      <c r="IP241" s="225">
        <f t="shared" ca="1" si="921"/>
        <v>0</v>
      </c>
      <c r="IQ241" s="225">
        <f t="shared" ca="1" si="921"/>
        <v>0</v>
      </c>
      <c r="IR241" s="225">
        <f t="shared" ca="1" si="921"/>
        <v>0</v>
      </c>
      <c r="IS241" s="225">
        <f t="shared" ca="1" si="921"/>
        <v>0</v>
      </c>
      <c r="IT241" s="225">
        <f t="shared" ca="1" si="921"/>
        <v>0</v>
      </c>
      <c r="IU241" s="225">
        <f t="shared" ca="1" si="921"/>
        <v>0</v>
      </c>
      <c r="IV241" s="225">
        <f t="shared" ca="1" si="921"/>
        <v>0</v>
      </c>
      <c r="IW241" s="225">
        <f t="shared" ca="1" si="921"/>
        <v>0</v>
      </c>
      <c r="IX241" s="225">
        <f t="shared" ca="1" si="921"/>
        <v>0</v>
      </c>
      <c r="IY241" s="225">
        <f t="shared" ca="1" si="921"/>
        <v>0</v>
      </c>
      <c r="IZ241" s="225">
        <f t="shared" ca="1" si="921"/>
        <v>0</v>
      </c>
      <c r="JA241" s="225">
        <f t="shared" ca="1" si="921"/>
        <v>0</v>
      </c>
      <c r="JB241" s="225">
        <f t="shared" ca="1" si="921"/>
        <v>0</v>
      </c>
      <c r="JC241" s="225">
        <f t="shared" ca="1" si="921"/>
        <v>0</v>
      </c>
      <c r="JD241" s="225">
        <f t="shared" ca="1" si="921"/>
        <v>0</v>
      </c>
      <c r="JE241" s="225">
        <f t="shared" ca="1" si="921"/>
        <v>0</v>
      </c>
      <c r="JF241" s="225">
        <f t="shared" ca="1" si="921"/>
        <v>0</v>
      </c>
      <c r="JG241" s="225">
        <f t="shared" ca="1" si="921"/>
        <v>0</v>
      </c>
      <c r="JH241" s="225">
        <f t="shared" ca="1" si="921"/>
        <v>0</v>
      </c>
      <c r="JI241" s="225">
        <f t="shared" ca="1" si="921"/>
        <v>0</v>
      </c>
      <c r="JJ241" s="225">
        <f t="shared" ca="1" si="921"/>
        <v>0</v>
      </c>
      <c r="JK241" s="225">
        <f t="shared" ca="1" si="921"/>
        <v>0</v>
      </c>
      <c r="JL241" s="225">
        <f t="shared" ca="1" si="921"/>
        <v>0</v>
      </c>
      <c r="JM241" s="225">
        <f t="shared" ca="1" si="921"/>
        <v>0</v>
      </c>
      <c r="JN241" s="225">
        <f t="shared" ca="1" si="921"/>
        <v>0</v>
      </c>
      <c r="JO241" s="225">
        <f t="shared" ca="1" si="921"/>
        <v>0</v>
      </c>
      <c r="JP241" s="225">
        <f t="shared" ca="1" si="921"/>
        <v>0</v>
      </c>
      <c r="JQ241" s="225">
        <f t="shared" ca="1" si="921"/>
        <v>0</v>
      </c>
      <c r="JR241" s="225">
        <f t="shared" ca="1" si="921"/>
        <v>0</v>
      </c>
      <c r="JS241" s="225">
        <f t="shared" ca="1" si="921"/>
        <v>0</v>
      </c>
      <c r="JT241" s="225">
        <f t="shared" ca="1" si="921"/>
        <v>0</v>
      </c>
      <c r="JU241" s="225">
        <f t="shared" ca="1" si="921"/>
        <v>0</v>
      </c>
      <c r="JV241" s="225">
        <f t="shared" ca="1" si="921"/>
        <v>0</v>
      </c>
      <c r="JW241" s="225">
        <f t="shared" ca="1" si="921"/>
        <v>0</v>
      </c>
      <c r="JX241" s="225">
        <f t="shared" ca="1" si="921"/>
        <v>0</v>
      </c>
    </row>
    <row r="242" spans="1:284" s="7" customFormat="1" ht="5.0999999999999996" customHeight="1" x14ac:dyDescent="0.2">
      <c r="A242" s="406"/>
      <c r="B242" s="231"/>
      <c r="C242" s="233"/>
      <c r="D242" s="233"/>
      <c r="E242" s="233"/>
      <c r="F242" s="233"/>
      <c r="G242" s="233"/>
      <c r="H242" s="233"/>
      <c r="I242" s="233"/>
      <c r="EP242" s="37"/>
      <c r="EQ242" s="24"/>
      <c r="ER242" s="24"/>
      <c r="ES242" s="24"/>
      <c r="ET242" s="33" t="s">
        <v>406</v>
      </c>
      <c r="EU242" s="33"/>
      <c r="EV242" s="225">
        <f t="shared" ref="EV242:GA242" ca="1" si="922">(EV$197&lt;=Timing_Reversion_Month)*(EV238+EV239+EV240-EV241)</f>
        <v>168892.17874475819</v>
      </c>
      <c r="EW242" s="225">
        <f t="shared" ca="1" si="922"/>
        <v>189667.13391738484</v>
      </c>
      <c r="EX242" s="225">
        <f t="shared" ca="1" si="922"/>
        <v>217814.31098774498</v>
      </c>
      <c r="EY242" s="225">
        <f t="shared" ca="1" si="922"/>
        <v>260487.58241162941</v>
      </c>
      <c r="EZ242" s="225">
        <f t="shared" ca="1" si="922"/>
        <v>328416.94131257746</v>
      </c>
      <c r="FA242" s="225">
        <f t="shared" ca="1" si="922"/>
        <v>434717.28369745141</v>
      </c>
      <c r="FB242" s="225">
        <f t="shared" ca="1" si="922"/>
        <v>591294.05105242832</v>
      </c>
      <c r="FC242" s="225">
        <f t="shared" ca="1" si="922"/>
        <v>674467.97402247635</v>
      </c>
      <c r="FD242" s="225">
        <f t="shared" ca="1" si="922"/>
        <v>679329.08277763601</v>
      </c>
      <c r="FE242" s="225">
        <f t="shared" ca="1" si="922"/>
        <v>684225.22711526905</v>
      </c>
      <c r="FF242" s="225">
        <f t="shared" ca="1" si="922"/>
        <v>689156.65954814584</v>
      </c>
      <c r="FG242" s="225">
        <f t="shared" ca="1" si="922"/>
        <v>694123.63440897805</v>
      </c>
      <c r="FH242" s="225">
        <f t="shared" ca="1" si="922"/>
        <v>699126.40786353545</v>
      </c>
      <c r="FI242" s="225">
        <f t="shared" ca="1" si="922"/>
        <v>704165.23792385717</v>
      </c>
      <c r="FJ242" s="225">
        <f t="shared" ca="1" si="922"/>
        <v>709240.38446155877</v>
      </c>
      <c r="FK242" s="225">
        <f t="shared" ca="1" si="922"/>
        <v>714352.10922123434</v>
      </c>
      <c r="FL242" s="225">
        <f t="shared" ca="1" si="922"/>
        <v>719500.67583395599</v>
      </c>
      <c r="FM242" s="225">
        <f t="shared" ca="1" si="922"/>
        <v>724686.34983087017</v>
      </c>
      <c r="FN242" s="225">
        <f t="shared" ca="1" si="922"/>
        <v>729909.39865689224</v>
      </c>
      <c r="FO242" s="225">
        <f t="shared" ca="1" si="922"/>
        <v>735170.09168449941</v>
      </c>
      <c r="FP242" s="225">
        <f t="shared" ca="1" si="922"/>
        <v>740468.70022762346</v>
      </c>
      <c r="FQ242" s="225">
        <f t="shared" ca="1" si="922"/>
        <v>745805.49755564344</v>
      </c>
      <c r="FR242" s="225">
        <f t="shared" ca="1" si="922"/>
        <v>751180.75890747912</v>
      </c>
      <c r="FS242" s="225">
        <f t="shared" ca="1" si="922"/>
        <v>756594.76150578621</v>
      </c>
      <c r="FT242" s="225">
        <f t="shared" ca="1" si="922"/>
        <v>762047.78457125381</v>
      </c>
      <c r="FU242" s="225">
        <f t="shared" ca="1" si="922"/>
        <v>767540.10933700448</v>
      </c>
      <c r="FV242" s="225">
        <f t="shared" ca="1" si="922"/>
        <v>773072.01906309917</v>
      </c>
      <c r="FW242" s="225">
        <f t="shared" ca="1" si="922"/>
        <v>778643.79905114556</v>
      </c>
      <c r="FX242" s="225">
        <f t="shared" ca="1" si="922"/>
        <v>784255.73665901215</v>
      </c>
      <c r="FY242" s="225">
        <f t="shared" ca="1" si="922"/>
        <v>789908.12131564866</v>
      </c>
      <c r="FZ242" s="225">
        <f t="shared" ca="1" si="922"/>
        <v>795506.85738993995</v>
      </c>
      <c r="GA242" s="225">
        <f t="shared" ca="1" si="922"/>
        <v>800416.57267179852</v>
      </c>
      <c r="GB242" s="225">
        <f t="shared" ref="GB242:HG242" ca="1" si="923">(GB$197&lt;=Timing_Reversion_Month)*(GB238+GB239+GB240-GB241)</f>
        <v>803912.04540728719</v>
      </c>
      <c r="GC242" s="225">
        <f t="shared" ca="1" si="923"/>
        <v>805673.72219003469</v>
      </c>
      <c r="GD242" s="225">
        <f t="shared" ca="1" si="923"/>
        <v>807398.11724255898</v>
      </c>
      <c r="GE242" s="225">
        <f t="shared" ca="1" si="923"/>
        <v>809084.96186337667</v>
      </c>
      <c r="GF242" s="225">
        <f t="shared" ca="1" si="923"/>
        <v>810733.98541438556</v>
      </c>
      <c r="GG242" s="225">
        <f t="shared" ca="1" si="923"/>
        <v>812344.9153069075</v>
      </c>
      <c r="GH242" s="225">
        <f t="shared" ca="1" si="923"/>
        <v>813917.47698762943</v>
      </c>
      <c r="GI242" s="225">
        <f t="shared" ca="1" si="923"/>
        <v>815451.39392444398</v>
      </c>
      <c r="GJ242" s="225">
        <f t="shared" ca="1" si="923"/>
        <v>816946.38759218727</v>
      </c>
      <c r="GK242" s="225">
        <f t="shared" ca="1" si="923"/>
        <v>818402.17745827453</v>
      </c>
      <c r="GL242" s="225">
        <f t="shared" ca="1" si="923"/>
        <v>819818.48096823192</v>
      </c>
      <c r="GM242" s="225">
        <f t="shared" ca="1" si="923"/>
        <v>821812.12789775035</v>
      </c>
      <c r="GN242" s="225">
        <f t="shared" ca="1" si="923"/>
        <v>823768.6656197618</v>
      </c>
      <c r="GO242" s="225">
        <f t="shared" ca="1" si="923"/>
        <v>0</v>
      </c>
      <c r="GP242" s="225">
        <f t="shared" ca="1" si="923"/>
        <v>0</v>
      </c>
      <c r="GQ242" s="225">
        <f t="shared" ca="1" si="923"/>
        <v>0</v>
      </c>
      <c r="GR242" s="225">
        <f t="shared" ca="1" si="923"/>
        <v>0</v>
      </c>
      <c r="GS242" s="225">
        <f t="shared" ca="1" si="923"/>
        <v>0</v>
      </c>
      <c r="GT242" s="225">
        <f t="shared" ca="1" si="923"/>
        <v>0</v>
      </c>
      <c r="GU242" s="225">
        <f t="shared" ca="1" si="923"/>
        <v>0</v>
      </c>
      <c r="GV242" s="225">
        <f t="shared" ca="1" si="923"/>
        <v>0</v>
      </c>
      <c r="GW242" s="225">
        <f t="shared" ca="1" si="923"/>
        <v>0</v>
      </c>
      <c r="GX242" s="225">
        <f t="shared" ca="1" si="923"/>
        <v>0</v>
      </c>
      <c r="GY242" s="225">
        <f t="shared" ca="1" si="923"/>
        <v>0</v>
      </c>
      <c r="GZ242" s="225">
        <f t="shared" ca="1" si="923"/>
        <v>0</v>
      </c>
      <c r="HA242" s="225">
        <f t="shared" ca="1" si="923"/>
        <v>0</v>
      </c>
      <c r="HB242" s="225">
        <f t="shared" ca="1" si="923"/>
        <v>0</v>
      </c>
      <c r="HC242" s="225">
        <f t="shared" ca="1" si="923"/>
        <v>0</v>
      </c>
      <c r="HD242" s="225">
        <f t="shared" ca="1" si="923"/>
        <v>0</v>
      </c>
      <c r="HE242" s="225">
        <f t="shared" ca="1" si="923"/>
        <v>0</v>
      </c>
      <c r="HF242" s="225">
        <f t="shared" ca="1" si="923"/>
        <v>0</v>
      </c>
      <c r="HG242" s="225">
        <f t="shared" ca="1" si="923"/>
        <v>0</v>
      </c>
      <c r="HH242" s="225">
        <f t="shared" ref="HH242:IM242" ca="1" si="924">(HH$197&lt;=Timing_Reversion_Month)*(HH238+HH239+HH240-HH241)</f>
        <v>0</v>
      </c>
      <c r="HI242" s="225">
        <f t="shared" ca="1" si="924"/>
        <v>0</v>
      </c>
      <c r="HJ242" s="225">
        <f t="shared" ca="1" si="924"/>
        <v>0</v>
      </c>
      <c r="HK242" s="225">
        <f t="shared" ca="1" si="924"/>
        <v>0</v>
      </c>
      <c r="HL242" s="225">
        <f t="shared" ca="1" si="924"/>
        <v>0</v>
      </c>
      <c r="HM242" s="225">
        <f t="shared" ca="1" si="924"/>
        <v>0</v>
      </c>
      <c r="HN242" s="225">
        <f t="shared" ca="1" si="924"/>
        <v>0</v>
      </c>
      <c r="HO242" s="225">
        <f t="shared" ca="1" si="924"/>
        <v>0</v>
      </c>
      <c r="HP242" s="225">
        <f t="shared" ca="1" si="924"/>
        <v>0</v>
      </c>
      <c r="HQ242" s="225">
        <f t="shared" ca="1" si="924"/>
        <v>0</v>
      </c>
      <c r="HR242" s="225">
        <f t="shared" ca="1" si="924"/>
        <v>0</v>
      </c>
      <c r="HS242" s="225">
        <f t="shared" ca="1" si="924"/>
        <v>0</v>
      </c>
      <c r="HT242" s="225">
        <f t="shared" ca="1" si="924"/>
        <v>0</v>
      </c>
      <c r="HU242" s="225">
        <f t="shared" ca="1" si="924"/>
        <v>0</v>
      </c>
      <c r="HV242" s="225">
        <f t="shared" ca="1" si="924"/>
        <v>0</v>
      </c>
      <c r="HW242" s="225">
        <f t="shared" ca="1" si="924"/>
        <v>0</v>
      </c>
      <c r="HX242" s="225">
        <f t="shared" ca="1" si="924"/>
        <v>0</v>
      </c>
      <c r="HY242" s="225">
        <f t="shared" ca="1" si="924"/>
        <v>0</v>
      </c>
      <c r="HZ242" s="225">
        <f t="shared" ca="1" si="924"/>
        <v>0</v>
      </c>
      <c r="IA242" s="225">
        <f t="shared" ca="1" si="924"/>
        <v>0</v>
      </c>
      <c r="IB242" s="225">
        <f t="shared" ca="1" si="924"/>
        <v>0</v>
      </c>
      <c r="IC242" s="225">
        <f t="shared" ca="1" si="924"/>
        <v>0</v>
      </c>
      <c r="ID242" s="225">
        <f t="shared" ca="1" si="924"/>
        <v>0</v>
      </c>
      <c r="IE242" s="225">
        <f t="shared" ca="1" si="924"/>
        <v>0</v>
      </c>
      <c r="IF242" s="225">
        <f t="shared" ca="1" si="924"/>
        <v>0</v>
      </c>
      <c r="IG242" s="225">
        <f t="shared" ca="1" si="924"/>
        <v>0</v>
      </c>
      <c r="IH242" s="225">
        <f t="shared" ca="1" si="924"/>
        <v>0</v>
      </c>
      <c r="II242" s="225">
        <f t="shared" ca="1" si="924"/>
        <v>0</v>
      </c>
      <c r="IJ242" s="225">
        <f t="shared" ca="1" si="924"/>
        <v>0</v>
      </c>
      <c r="IK242" s="225">
        <f t="shared" ca="1" si="924"/>
        <v>0</v>
      </c>
      <c r="IL242" s="225">
        <f t="shared" ca="1" si="924"/>
        <v>0</v>
      </c>
      <c r="IM242" s="225">
        <f t="shared" ca="1" si="924"/>
        <v>0</v>
      </c>
      <c r="IN242" s="225">
        <f t="shared" ref="IN242:JS242" ca="1" si="925">(IN$197&lt;=Timing_Reversion_Month)*(IN238+IN239+IN240-IN241)</f>
        <v>0</v>
      </c>
      <c r="IO242" s="225">
        <f t="shared" ca="1" si="925"/>
        <v>0</v>
      </c>
      <c r="IP242" s="225">
        <f t="shared" ca="1" si="925"/>
        <v>0</v>
      </c>
      <c r="IQ242" s="225">
        <f t="shared" ca="1" si="925"/>
        <v>0</v>
      </c>
      <c r="IR242" s="225">
        <f t="shared" ca="1" si="925"/>
        <v>0</v>
      </c>
      <c r="IS242" s="225">
        <f t="shared" ca="1" si="925"/>
        <v>0</v>
      </c>
      <c r="IT242" s="225">
        <f t="shared" ca="1" si="925"/>
        <v>0</v>
      </c>
      <c r="IU242" s="225">
        <f t="shared" ca="1" si="925"/>
        <v>0</v>
      </c>
      <c r="IV242" s="225">
        <f t="shared" ca="1" si="925"/>
        <v>0</v>
      </c>
      <c r="IW242" s="225">
        <f t="shared" ca="1" si="925"/>
        <v>0</v>
      </c>
      <c r="IX242" s="225">
        <f t="shared" ca="1" si="925"/>
        <v>0</v>
      </c>
      <c r="IY242" s="225">
        <f t="shared" ca="1" si="925"/>
        <v>0</v>
      </c>
      <c r="IZ242" s="225">
        <f t="shared" ca="1" si="925"/>
        <v>0</v>
      </c>
      <c r="JA242" s="225">
        <f t="shared" ca="1" si="925"/>
        <v>0</v>
      </c>
      <c r="JB242" s="225">
        <f t="shared" ca="1" si="925"/>
        <v>0</v>
      </c>
      <c r="JC242" s="225">
        <f t="shared" ca="1" si="925"/>
        <v>0</v>
      </c>
      <c r="JD242" s="225">
        <f t="shared" ca="1" si="925"/>
        <v>0</v>
      </c>
      <c r="JE242" s="225">
        <f t="shared" ca="1" si="925"/>
        <v>0</v>
      </c>
      <c r="JF242" s="225">
        <f t="shared" ca="1" si="925"/>
        <v>0</v>
      </c>
      <c r="JG242" s="225">
        <f t="shared" ca="1" si="925"/>
        <v>0</v>
      </c>
      <c r="JH242" s="225">
        <f t="shared" ca="1" si="925"/>
        <v>0</v>
      </c>
      <c r="JI242" s="225">
        <f t="shared" ca="1" si="925"/>
        <v>0</v>
      </c>
      <c r="JJ242" s="225">
        <f t="shared" ca="1" si="925"/>
        <v>0</v>
      </c>
      <c r="JK242" s="225">
        <f t="shared" ca="1" si="925"/>
        <v>0</v>
      </c>
      <c r="JL242" s="225">
        <f t="shared" ca="1" si="925"/>
        <v>0</v>
      </c>
      <c r="JM242" s="225">
        <f t="shared" ca="1" si="925"/>
        <v>0</v>
      </c>
      <c r="JN242" s="225">
        <f t="shared" ca="1" si="925"/>
        <v>0</v>
      </c>
      <c r="JO242" s="225">
        <f t="shared" ca="1" si="925"/>
        <v>0</v>
      </c>
      <c r="JP242" s="225">
        <f t="shared" ca="1" si="925"/>
        <v>0</v>
      </c>
      <c r="JQ242" s="225">
        <f t="shared" ca="1" si="925"/>
        <v>0</v>
      </c>
      <c r="JR242" s="225">
        <f t="shared" ca="1" si="925"/>
        <v>0</v>
      </c>
      <c r="JS242" s="225">
        <f t="shared" ca="1" si="925"/>
        <v>0</v>
      </c>
      <c r="JT242" s="225">
        <f ca="1">(JT$197&lt;=Timing_Reversion_Month)*(JT238+JT239+JT240-JT241)</f>
        <v>0</v>
      </c>
      <c r="JU242" s="225">
        <f ca="1">(JU$197&lt;=Timing_Reversion_Month)*(JU238+JU239+JU240-JU241)</f>
        <v>0</v>
      </c>
      <c r="JV242" s="225">
        <f ca="1">(JV$197&lt;=Timing_Reversion_Month)*(JV238+JV239+JV240-JV241)</f>
        <v>0</v>
      </c>
      <c r="JW242" s="225">
        <f ca="1">(JW$197&lt;=Timing_Reversion_Month)*(JW238+JW239+JW240-JW241)</f>
        <v>0</v>
      </c>
      <c r="JX242" s="225">
        <f ca="1">(JX$197&lt;=Timing_Reversion_Month)*(JX238+JX239+JX240-JX241)</f>
        <v>0</v>
      </c>
    </row>
    <row r="243" spans="1:284" s="7" customFormat="1" x14ac:dyDescent="0.2">
      <c r="A243" s="406"/>
      <c r="B243" s="238" t="s">
        <v>358</v>
      </c>
      <c r="C243" s="233"/>
      <c r="D243" s="233"/>
      <c r="E243" s="233"/>
      <c r="F243" s="256" t="s">
        <v>391</v>
      </c>
      <c r="G243" s="256" t="s">
        <v>195</v>
      </c>
      <c r="H243" s="256" t="s">
        <v>214</v>
      </c>
      <c r="I243" s="256" t="s">
        <v>46</v>
      </c>
      <c r="EP243" s="37"/>
      <c r="EQ243" s="24"/>
      <c r="ER243" s="24"/>
      <c r="ES243" s="33" t="s">
        <v>379</v>
      </c>
      <c r="ET243" s="223">
        <f ca="1">XIRR(OFFSET(EV243,,,1,Timing_Reversion_Month+1),OFFSET($EV$23,,,1,Timing_Reversion_Month+1))</f>
        <v>8.9911600947380085E-2</v>
      </c>
      <c r="EU243" s="33"/>
      <c r="EV243" s="222">
        <f ca="1">+-EV240+EV241</f>
        <v>-168892.17874475819</v>
      </c>
      <c r="EW243" s="222">
        <f t="shared" ref="EW243:HH243" ca="1" si="926">+-EW240+EW241</f>
        <v>-19557.694634846426</v>
      </c>
      <c r="EX243" s="222">
        <f t="shared" ca="1" si="926"/>
        <v>-26780.184713772553</v>
      </c>
      <c r="EY243" s="222">
        <f t="shared" ca="1" si="926"/>
        <v>-41103.41326171421</v>
      </c>
      <c r="EZ243" s="222">
        <f t="shared" ca="1" si="926"/>
        <v>-66051.940674668658</v>
      </c>
      <c r="FA243" s="222">
        <f t="shared" ca="1" si="926"/>
        <v>-103933.33530633751</v>
      </c>
      <c r="FB243" s="222">
        <f t="shared" ca="1" si="926"/>
        <v>-153443.61934025673</v>
      </c>
      <c r="FC243" s="222">
        <f t="shared" ca="1" si="926"/>
        <v>-78912.275569204925</v>
      </c>
      <c r="FD243" s="222">
        <f t="shared" ca="1" si="926"/>
        <v>0</v>
      </c>
      <c r="FE243" s="222">
        <f t="shared" ca="1" si="926"/>
        <v>0</v>
      </c>
      <c r="FF243" s="222">
        <f t="shared" ca="1" si="926"/>
        <v>0</v>
      </c>
      <c r="FG243" s="222">
        <f t="shared" ca="1" si="926"/>
        <v>0</v>
      </c>
      <c r="FH243" s="222">
        <f t="shared" ca="1" si="926"/>
        <v>0</v>
      </c>
      <c r="FI243" s="222">
        <f t="shared" ca="1" si="926"/>
        <v>0</v>
      </c>
      <c r="FJ243" s="222">
        <f t="shared" ca="1" si="926"/>
        <v>0</v>
      </c>
      <c r="FK243" s="222">
        <f t="shared" ca="1" si="926"/>
        <v>0</v>
      </c>
      <c r="FL243" s="222">
        <f t="shared" ca="1" si="926"/>
        <v>0</v>
      </c>
      <c r="FM243" s="222">
        <f t="shared" ca="1" si="926"/>
        <v>0</v>
      </c>
      <c r="FN243" s="222">
        <f t="shared" ca="1" si="926"/>
        <v>0</v>
      </c>
      <c r="FO243" s="222">
        <f t="shared" ca="1" si="926"/>
        <v>0</v>
      </c>
      <c r="FP243" s="222">
        <f t="shared" ca="1" si="926"/>
        <v>6.5483618527650841E-13</v>
      </c>
      <c r="FQ243" s="222">
        <f t="shared" ca="1" si="926"/>
        <v>0</v>
      </c>
      <c r="FR243" s="222">
        <f t="shared" ca="1" si="926"/>
        <v>0</v>
      </c>
      <c r="FS243" s="222">
        <f t="shared" ca="1" si="926"/>
        <v>4.0927261579781772E-13</v>
      </c>
      <c r="FT243" s="222">
        <f t="shared" ca="1" si="926"/>
        <v>-4.9112713895738138E-13</v>
      </c>
      <c r="FU243" s="222">
        <f t="shared" ca="1" si="926"/>
        <v>0</v>
      </c>
      <c r="FV243" s="222">
        <f t="shared" ca="1" si="926"/>
        <v>0</v>
      </c>
      <c r="FW243" s="222">
        <f t="shared" ca="1" si="926"/>
        <v>0</v>
      </c>
      <c r="FX243" s="222">
        <f t="shared" ca="1" si="926"/>
        <v>0</v>
      </c>
      <c r="FY243" s="222">
        <f t="shared" ca="1" si="926"/>
        <v>0</v>
      </c>
      <c r="FZ243" s="222">
        <f t="shared" ca="1" si="926"/>
        <v>94.387146072673062</v>
      </c>
      <c r="GA243" s="222">
        <f t="shared" ca="1" si="926"/>
        <v>823.75983955459981</v>
      </c>
      <c r="GB243" s="222">
        <f t="shared" ca="1" si="926"/>
        <v>2273.388291351002</v>
      </c>
      <c r="GC243" s="222">
        <f t="shared" ca="1" si="926"/>
        <v>4032.3772462395837</v>
      </c>
      <c r="GD243" s="222">
        <f t="shared" ca="1" si="926"/>
        <v>4082.3559506145848</v>
      </c>
      <c r="GE243" s="222">
        <f t="shared" ca="1" si="926"/>
        <v>4132.3346549895878</v>
      </c>
      <c r="GF243" s="222">
        <f t="shared" ca="1" si="926"/>
        <v>4182.3133593645862</v>
      </c>
      <c r="GG243" s="222">
        <f t="shared" ca="1" si="926"/>
        <v>4232.2920637395837</v>
      </c>
      <c r="GH243" s="222">
        <f t="shared" ca="1" si="926"/>
        <v>4282.2707681145821</v>
      </c>
      <c r="GI243" s="222">
        <f t="shared" ca="1" si="926"/>
        <v>4332.2494724895851</v>
      </c>
      <c r="GJ243" s="222">
        <f t="shared" ca="1" si="926"/>
        <v>4382.2281768645835</v>
      </c>
      <c r="GK243" s="222">
        <f t="shared" ca="1" si="926"/>
        <v>4432.2068812395864</v>
      </c>
      <c r="GL243" s="222">
        <f t="shared" ca="1" si="926"/>
        <v>4482.1855856145876</v>
      </c>
      <c r="GM243" s="222">
        <f t="shared" ca="1" si="926"/>
        <v>3915.0499233637129</v>
      </c>
      <c r="GN243" s="222">
        <f t="shared" ca="1" si="926"/>
        <v>3966.5279888699611</v>
      </c>
      <c r="GO243" s="222">
        <f t="shared" ca="1" si="926"/>
        <v>829705.83273058594</v>
      </c>
      <c r="GP243" s="222">
        <f t="shared" ca="1" si="926"/>
        <v>0</v>
      </c>
      <c r="GQ243" s="222">
        <f t="shared" ca="1" si="926"/>
        <v>0</v>
      </c>
      <c r="GR243" s="222">
        <f t="shared" ca="1" si="926"/>
        <v>0</v>
      </c>
      <c r="GS243" s="222">
        <f t="shared" ca="1" si="926"/>
        <v>0</v>
      </c>
      <c r="GT243" s="222">
        <f t="shared" ca="1" si="926"/>
        <v>0</v>
      </c>
      <c r="GU243" s="222">
        <f t="shared" ca="1" si="926"/>
        <v>0</v>
      </c>
      <c r="GV243" s="222">
        <f t="shared" ca="1" si="926"/>
        <v>0</v>
      </c>
      <c r="GW243" s="222">
        <f t="shared" ca="1" si="926"/>
        <v>0</v>
      </c>
      <c r="GX243" s="222">
        <f t="shared" ca="1" si="926"/>
        <v>0</v>
      </c>
      <c r="GY243" s="222">
        <f t="shared" ca="1" si="926"/>
        <v>0</v>
      </c>
      <c r="GZ243" s="222">
        <f t="shared" ca="1" si="926"/>
        <v>0</v>
      </c>
      <c r="HA243" s="222">
        <f t="shared" ca="1" si="926"/>
        <v>0</v>
      </c>
      <c r="HB243" s="222">
        <f t="shared" ca="1" si="926"/>
        <v>0</v>
      </c>
      <c r="HC243" s="222">
        <f t="shared" ca="1" si="926"/>
        <v>0</v>
      </c>
      <c r="HD243" s="222">
        <f t="shared" ca="1" si="926"/>
        <v>0</v>
      </c>
      <c r="HE243" s="222">
        <f t="shared" ca="1" si="926"/>
        <v>0</v>
      </c>
      <c r="HF243" s="222">
        <f t="shared" ca="1" si="926"/>
        <v>0</v>
      </c>
      <c r="HG243" s="222">
        <f t="shared" ca="1" si="926"/>
        <v>0</v>
      </c>
      <c r="HH243" s="222">
        <f t="shared" ca="1" si="926"/>
        <v>0</v>
      </c>
      <c r="HI243" s="222">
        <f t="shared" ref="HI243:JT243" ca="1" si="927">+-HI240+HI241</f>
        <v>0</v>
      </c>
      <c r="HJ243" s="222">
        <f t="shared" ca="1" si="927"/>
        <v>0</v>
      </c>
      <c r="HK243" s="222">
        <f t="shared" ca="1" si="927"/>
        <v>0</v>
      </c>
      <c r="HL243" s="222">
        <f t="shared" ca="1" si="927"/>
        <v>0</v>
      </c>
      <c r="HM243" s="222">
        <f t="shared" ca="1" si="927"/>
        <v>0</v>
      </c>
      <c r="HN243" s="222">
        <f t="shared" ca="1" si="927"/>
        <v>0</v>
      </c>
      <c r="HO243" s="222">
        <f t="shared" ca="1" si="927"/>
        <v>0</v>
      </c>
      <c r="HP243" s="222">
        <f t="shared" ca="1" si="927"/>
        <v>0</v>
      </c>
      <c r="HQ243" s="222">
        <f t="shared" ca="1" si="927"/>
        <v>0</v>
      </c>
      <c r="HR243" s="222">
        <f t="shared" ca="1" si="927"/>
        <v>0</v>
      </c>
      <c r="HS243" s="222">
        <f t="shared" ca="1" si="927"/>
        <v>0</v>
      </c>
      <c r="HT243" s="222">
        <f t="shared" ca="1" si="927"/>
        <v>0</v>
      </c>
      <c r="HU243" s="222">
        <f t="shared" ca="1" si="927"/>
        <v>0</v>
      </c>
      <c r="HV243" s="222">
        <f t="shared" ca="1" si="927"/>
        <v>0</v>
      </c>
      <c r="HW243" s="222">
        <f t="shared" ca="1" si="927"/>
        <v>0</v>
      </c>
      <c r="HX243" s="222">
        <f t="shared" ca="1" si="927"/>
        <v>0</v>
      </c>
      <c r="HY243" s="222">
        <f t="shared" ca="1" si="927"/>
        <v>0</v>
      </c>
      <c r="HZ243" s="222">
        <f t="shared" ca="1" si="927"/>
        <v>0</v>
      </c>
      <c r="IA243" s="222">
        <f t="shared" ca="1" si="927"/>
        <v>0</v>
      </c>
      <c r="IB243" s="222">
        <f t="shared" ca="1" si="927"/>
        <v>0</v>
      </c>
      <c r="IC243" s="222">
        <f t="shared" ca="1" si="927"/>
        <v>0</v>
      </c>
      <c r="ID243" s="222">
        <f t="shared" ca="1" si="927"/>
        <v>0</v>
      </c>
      <c r="IE243" s="222">
        <f t="shared" ca="1" si="927"/>
        <v>0</v>
      </c>
      <c r="IF243" s="222">
        <f t="shared" ca="1" si="927"/>
        <v>0</v>
      </c>
      <c r="IG243" s="222">
        <f t="shared" ca="1" si="927"/>
        <v>0</v>
      </c>
      <c r="IH243" s="222">
        <f t="shared" ca="1" si="927"/>
        <v>0</v>
      </c>
      <c r="II243" s="222">
        <f t="shared" ca="1" si="927"/>
        <v>0</v>
      </c>
      <c r="IJ243" s="222">
        <f t="shared" ca="1" si="927"/>
        <v>0</v>
      </c>
      <c r="IK243" s="222">
        <f t="shared" ca="1" si="927"/>
        <v>0</v>
      </c>
      <c r="IL243" s="222">
        <f t="shared" ca="1" si="927"/>
        <v>0</v>
      </c>
      <c r="IM243" s="222">
        <f t="shared" ca="1" si="927"/>
        <v>0</v>
      </c>
      <c r="IN243" s="222">
        <f t="shared" ca="1" si="927"/>
        <v>0</v>
      </c>
      <c r="IO243" s="222">
        <f t="shared" ca="1" si="927"/>
        <v>0</v>
      </c>
      <c r="IP243" s="222">
        <f t="shared" ca="1" si="927"/>
        <v>0</v>
      </c>
      <c r="IQ243" s="222">
        <f t="shared" ca="1" si="927"/>
        <v>0</v>
      </c>
      <c r="IR243" s="222">
        <f t="shared" ca="1" si="927"/>
        <v>0</v>
      </c>
      <c r="IS243" s="222">
        <f t="shared" ca="1" si="927"/>
        <v>0</v>
      </c>
      <c r="IT243" s="222">
        <f t="shared" ca="1" si="927"/>
        <v>0</v>
      </c>
      <c r="IU243" s="222">
        <f t="shared" ca="1" si="927"/>
        <v>0</v>
      </c>
      <c r="IV243" s="222">
        <f t="shared" ca="1" si="927"/>
        <v>0</v>
      </c>
      <c r="IW243" s="222">
        <f t="shared" ca="1" si="927"/>
        <v>0</v>
      </c>
      <c r="IX243" s="222">
        <f t="shared" ca="1" si="927"/>
        <v>0</v>
      </c>
      <c r="IY243" s="222">
        <f t="shared" ca="1" si="927"/>
        <v>0</v>
      </c>
      <c r="IZ243" s="222">
        <f t="shared" ca="1" si="927"/>
        <v>0</v>
      </c>
      <c r="JA243" s="222">
        <f t="shared" ca="1" si="927"/>
        <v>0</v>
      </c>
      <c r="JB243" s="222">
        <f t="shared" ca="1" si="927"/>
        <v>0</v>
      </c>
      <c r="JC243" s="222">
        <f t="shared" ca="1" si="927"/>
        <v>0</v>
      </c>
      <c r="JD243" s="222">
        <f t="shared" ca="1" si="927"/>
        <v>0</v>
      </c>
      <c r="JE243" s="222">
        <f t="shared" ca="1" si="927"/>
        <v>0</v>
      </c>
      <c r="JF243" s="222">
        <f t="shared" ca="1" si="927"/>
        <v>0</v>
      </c>
      <c r="JG243" s="222">
        <f t="shared" ca="1" si="927"/>
        <v>0</v>
      </c>
      <c r="JH243" s="222">
        <f t="shared" ca="1" si="927"/>
        <v>0</v>
      </c>
      <c r="JI243" s="222">
        <f t="shared" ca="1" si="927"/>
        <v>0</v>
      </c>
      <c r="JJ243" s="222">
        <f t="shared" ca="1" si="927"/>
        <v>0</v>
      </c>
      <c r="JK243" s="222">
        <f t="shared" ca="1" si="927"/>
        <v>0</v>
      </c>
      <c r="JL243" s="222">
        <f t="shared" ca="1" si="927"/>
        <v>0</v>
      </c>
      <c r="JM243" s="222">
        <f t="shared" ca="1" si="927"/>
        <v>0</v>
      </c>
      <c r="JN243" s="222">
        <f t="shared" ca="1" si="927"/>
        <v>0</v>
      </c>
      <c r="JO243" s="222">
        <f t="shared" ca="1" si="927"/>
        <v>0</v>
      </c>
      <c r="JP243" s="222">
        <f t="shared" ca="1" si="927"/>
        <v>0</v>
      </c>
      <c r="JQ243" s="222">
        <f t="shared" ca="1" si="927"/>
        <v>0</v>
      </c>
      <c r="JR243" s="222">
        <f t="shared" ca="1" si="927"/>
        <v>0</v>
      </c>
      <c r="JS243" s="222">
        <f t="shared" ca="1" si="927"/>
        <v>0</v>
      </c>
      <c r="JT243" s="222">
        <f t="shared" ca="1" si="927"/>
        <v>0</v>
      </c>
      <c r="JU243" s="222">
        <f ca="1">+-JU240+JU241</f>
        <v>0</v>
      </c>
      <c r="JV243" s="222">
        <f ca="1">+-JV240+JV241</f>
        <v>0</v>
      </c>
      <c r="JW243" s="222">
        <f ca="1">+-JW240+JW241</f>
        <v>0</v>
      </c>
      <c r="JX243" s="222">
        <f ca="1">+-JX240+JX241</f>
        <v>0</v>
      </c>
    </row>
    <row r="244" spans="1:284" s="7" customFormat="1" x14ac:dyDescent="0.2">
      <c r="A244" s="406"/>
      <c r="B244" s="231" t="s">
        <v>211</v>
      </c>
      <c r="C244" s="235" t="str">
        <f>C239</f>
        <v>[General Partner Name]</v>
      </c>
      <c r="D244" s="233"/>
      <c r="E244" s="233"/>
      <c r="F244" s="260">
        <f ca="1">IFERROR(I239/I228,"NA")</f>
        <v>2.6524051509735158</v>
      </c>
      <c r="G244" s="603">
        <f ca="1">IFERROR(IF($L$53=0,XIRR(OFFSET($M$244,0,0,1,Timing_Analysis_End_Month),OFFSET($M$196,0,0,1,Timing_Analysis_End_Month)),XIRR(OFFSET($L$244,0,0,1,Timing_Analysis_End_Month+1),OFFSET($L$196,0,0,1,Timing_Analysis_End_Month+1))),"NA")</f>
        <v>0.32897186875343332</v>
      </c>
      <c r="H244" s="249">
        <f ca="1">I244/$I$246</f>
        <v>0.13721296558321885</v>
      </c>
      <c r="I244" s="237">
        <f ca="1">SUM(L244:EN244)</f>
        <v>1209330.4129579994</v>
      </c>
      <c r="L244" s="38">
        <f t="shared" ref="L244:AQ244" ca="1" si="928">IF(L$227="","",-L228+L239)</f>
        <v>-187657.97638306464</v>
      </c>
      <c r="M244" s="38">
        <f t="shared" ca="1" si="928"/>
        <v>-21730.771816496028</v>
      </c>
      <c r="N244" s="38">
        <f t="shared" ca="1" si="928"/>
        <v>-29755.760793080612</v>
      </c>
      <c r="O244" s="38">
        <f t="shared" ca="1" si="928"/>
        <v>-45670.459179682453</v>
      </c>
      <c r="P244" s="38">
        <f t="shared" ca="1" si="928"/>
        <v>-73391.045194076287</v>
      </c>
      <c r="Q244" s="38">
        <f t="shared" ca="1" si="928"/>
        <v>-115481.48367370834</v>
      </c>
      <c r="R244" s="38">
        <f t="shared" ca="1" si="928"/>
        <v>-170492.91037806304</v>
      </c>
      <c r="S244" s="38">
        <f t="shared" ca="1" si="928"/>
        <v>-87680.306188005474</v>
      </c>
      <c r="T244" s="38">
        <f t="shared" ca="1" si="928"/>
        <v>0</v>
      </c>
      <c r="U244" s="38">
        <f t="shared" ca="1" si="928"/>
        <v>0</v>
      </c>
      <c r="V244" s="38">
        <f t="shared" ca="1" si="928"/>
        <v>0</v>
      </c>
      <c r="W244" s="38">
        <f t="shared" ca="1" si="928"/>
        <v>0</v>
      </c>
      <c r="X244" s="38">
        <f t="shared" ca="1" si="928"/>
        <v>0</v>
      </c>
      <c r="Y244" s="38">
        <f t="shared" ca="1" si="928"/>
        <v>0</v>
      </c>
      <c r="Z244" s="38">
        <f t="shared" ca="1" si="928"/>
        <v>0</v>
      </c>
      <c r="AA244" s="38">
        <f t="shared" ca="1" si="928"/>
        <v>0</v>
      </c>
      <c r="AB244" s="38">
        <f t="shared" ca="1" si="928"/>
        <v>0</v>
      </c>
      <c r="AC244" s="38">
        <f t="shared" ca="1" si="928"/>
        <v>0</v>
      </c>
      <c r="AD244" s="38">
        <f t="shared" ca="1" si="928"/>
        <v>0</v>
      </c>
      <c r="AE244" s="38">
        <f t="shared" ca="1" si="928"/>
        <v>0</v>
      </c>
      <c r="AF244" s="38">
        <f t="shared" ca="1" si="928"/>
        <v>7.2759576141834263E-13</v>
      </c>
      <c r="AG244" s="38">
        <f t="shared" ca="1" si="928"/>
        <v>0</v>
      </c>
      <c r="AH244" s="38">
        <f t="shared" ca="1" si="928"/>
        <v>0</v>
      </c>
      <c r="AI244" s="38">
        <f t="shared" ca="1" si="928"/>
        <v>4.5474735088646412E-13</v>
      </c>
      <c r="AJ244" s="38">
        <f t="shared" ca="1" si="928"/>
        <v>-5.4569682106375702E-13</v>
      </c>
      <c r="AK244" s="38">
        <f t="shared" ca="1" si="928"/>
        <v>0</v>
      </c>
      <c r="AL244" s="38">
        <f t="shared" ca="1" si="928"/>
        <v>0</v>
      </c>
      <c r="AM244" s="38">
        <f t="shared" ca="1" si="928"/>
        <v>0</v>
      </c>
      <c r="AN244" s="38">
        <f t="shared" ca="1" si="928"/>
        <v>0</v>
      </c>
      <c r="AO244" s="38">
        <f t="shared" ca="1" si="928"/>
        <v>0</v>
      </c>
      <c r="AP244" s="38">
        <f t="shared" ca="1" si="928"/>
        <v>104.87460674741452</v>
      </c>
      <c r="AQ244" s="38">
        <f t="shared" ca="1" si="928"/>
        <v>915.28871061622203</v>
      </c>
      <c r="AR244" s="38">
        <f t="shared" ref="AR244:BW244" ca="1" si="929">IF(AR$227="","",-AR228+AR239)</f>
        <v>2525.9869903900021</v>
      </c>
      <c r="AS244" s="38">
        <f t="shared" ca="1" si="929"/>
        <v>4480.4191624884261</v>
      </c>
      <c r="AT244" s="38">
        <f t="shared" ca="1" si="929"/>
        <v>4535.9510562384276</v>
      </c>
      <c r="AU244" s="38">
        <f t="shared" ca="1" si="929"/>
        <v>4591.4829499884308</v>
      </c>
      <c r="AV244" s="38">
        <f t="shared" ca="1" si="929"/>
        <v>4647.0148437384287</v>
      </c>
      <c r="AW244" s="38">
        <f t="shared" ca="1" si="929"/>
        <v>4702.5467374884265</v>
      </c>
      <c r="AX244" s="38">
        <f t="shared" ca="1" si="929"/>
        <v>4758.0786312384244</v>
      </c>
      <c r="AY244" s="38">
        <f t="shared" ca="1" si="929"/>
        <v>4813.6105249884276</v>
      </c>
      <c r="AZ244" s="38">
        <f t="shared" ca="1" si="929"/>
        <v>4869.1424187384255</v>
      </c>
      <c r="BA244" s="38">
        <f t="shared" ca="1" si="929"/>
        <v>4924.6743124884288</v>
      </c>
      <c r="BB244" s="38">
        <f t="shared" ca="1" si="929"/>
        <v>4980.2062062384302</v>
      </c>
      <c r="BC244" s="38">
        <f t="shared" ca="1" si="929"/>
        <v>4350.0554704041251</v>
      </c>
      <c r="BD244" s="38">
        <f t="shared" ca="1" si="929"/>
        <v>4407.2533209666235</v>
      </c>
      <c r="BE244" s="38">
        <f t="shared" ca="1" si="929"/>
        <v>1881584.5406214178</v>
      </c>
      <c r="BF244" s="38" t="str">
        <f t="shared" si="929"/>
        <v/>
      </c>
      <c r="BG244" s="38" t="str">
        <f t="shared" si="929"/>
        <v/>
      </c>
      <c r="BH244" s="38" t="str">
        <f t="shared" si="929"/>
        <v/>
      </c>
      <c r="BI244" s="38" t="str">
        <f t="shared" si="929"/>
        <v/>
      </c>
      <c r="BJ244" s="38" t="str">
        <f t="shared" si="929"/>
        <v/>
      </c>
      <c r="BK244" s="38" t="str">
        <f t="shared" si="929"/>
        <v/>
      </c>
      <c r="BL244" s="38" t="str">
        <f t="shared" si="929"/>
        <v/>
      </c>
      <c r="BM244" s="38" t="str">
        <f t="shared" si="929"/>
        <v/>
      </c>
      <c r="BN244" s="38" t="str">
        <f t="shared" si="929"/>
        <v/>
      </c>
      <c r="BO244" s="38" t="str">
        <f t="shared" si="929"/>
        <v/>
      </c>
      <c r="BP244" s="38" t="str">
        <f t="shared" si="929"/>
        <v/>
      </c>
      <c r="BQ244" s="38" t="str">
        <f t="shared" si="929"/>
        <v/>
      </c>
      <c r="BR244" s="38" t="str">
        <f t="shared" si="929"/>
        <v/>
      </c>
      <c r="BS244" s="38" t="str">
        <f t="shared" si="929"/>
        <v/>
      </c>
      <c r="BT244" s="38" t="str">
        <f t="shared" si="929"/>
        <v/>
      </c>
      <c r="BU244" s="38" t="str">
        <f t="shared" si="929"/>
        <v/>
      </c>
      <c r="BV244" s="38" t="str">
        <f t="shared" si="929"/>
        <v/>
      </c>
      <c r="BW244" s="38" t="str">
        <f t="shared" si="929"/>
        <v/>
      </c>
      <c r="BX244" s="38" t="str">
        <f t="shared" ref="BX244:DC244" si="930">IF(BX$227="","",-BX228+BX239)</f>
        <v/>
      </c>
      <c r="BY244" s="38" t="str">
        <f t="shared" si="930"/>
        <v/>
      </c>
      <c r="BZ244" s="38" t="str">
        <f t="shared" si="930"/>
        <v/>
      </c>
      <c r="CA244" s="38" t="str">
        <f t="shared" si="930"/>
        <v/>
      </c>
      <c r="CB244" s="38" t="str">
        <f t="shared" si="930"/>
        <v/>
      </c>
      <c r="CC244" s="38" t="str">
        <f t="shared" si="930"/>
        <v/>
      </c>
      <c r="CD244" s="38" t="str">
        <f t="shared" si="930"/>
        <v/>
      </c>
      <c r="CE244" s="38" t="str">
        <f t="shared" si="930"/>
        <v/>
      </c>
      <c r="CF244" s="38" t="str">
        <f t="shared" si="930"/>
        <v/>
      </c>
      <c r="CG244" s="38" t="str">
        <f t="shared" si="930"/>
        <v/>
      </c>
      <c r="CH244" s="38" t="str">
        <f t="shared" si="930"/>
        <v/>
      </c>
      <c r="CI244" s="38" t="str">
        <f t="shared" si="930"/>
        <v/>
      </c>
      <c r="CJ244" s="38" t="str">
        <f t="shared" si="930"/>
        <v/>
      </c>
      <c r="CK244" s="38" t="str">
        <f t="shared" si="930"/>
        <v/>
      </c>
      <c r="CL244" s="38" t="str">
        <f t="shared" si="930"/>
        <v/>
      </c>
      <c r="CM244" s="38" t="str">
        <f t="shared" si="930"/>
        <v/>
      </c>
      <c r="CN244" s="38" t="str">
        <f t="shared" si="930"/>
        <v/>
      </c>
      <c r="CO244" s="38" t="str">
        <f t="shared" si="930"/>
        <v/>
      </c>
      <c r="CP244" s="38" t="str">
        <f t="shared" si="930"/>
        <v/>
      </c>
      <c r="CQ244" s="38" t="str">
        <f t="shared" si="930"/>
        <v/>
      </c>
      <c r="CR244" s="38" t="str">
        <f t="shared" si="930"/>
        <v/>
      </c>
      <c r="CS244" s="38" t="str">
        <f t="shared" si="930"/>
        <v/>
      </c>
      <c r="CT244" s="38" t="str">
        <f t="shared" si="930"/>
        <v/>
      </c>
      <c r="CU244" s="38" t="str">
        <f t="shared" si="930"/>
        <v/>
      </c>
      <c r="CV244" s="38" t="str">
        <f t="shared" si="930"/>
        <v/>
      </c>
      <c r="CW244" s="38" t="str">
        <f t="shared" si="930"/>
        <v/>
      </c>
      <c r="CX244" s="38" t="str">
        <f t="shared" si="930"/>
        <v/>
      </c>
      <c r="CY244" s="38" t="str">
        <f t="shared" si="930"/>
        <v/>
      </c>
      <c r="CZ244" s="38" t="str">
        <f t="shared" si="930"/>
        <v/>
      </c>
      <c r="DA244" s="38" t="str">
        <f t="shared" si="930"/>
        <v/>
      </c>
      <c r="DB244" s="38" t="str">
        <f t="shared" si="930"/>
        <v/>
      </c>
      <c r="DC244" s="38" t="str">
        <f t="shared" si="930"/>
        <v/>
      </c>
      <c r="DD244" s="38" t="str">
        <f t="shared" ref="DD244:EN244" si="931">IF(DD$227="","",-DD228+DD239)</f>
        <v/>
      </c>
      <c r="DE244" s="38" t="str">
        <f t="shared" si="931"/>
        <v/>
      </c>
      <c r="DF244" s="38" t="str">
        <f t="shared" si="931"/>
        <v/>
      </c>
      <c r="DG244" s="38" t="str">
        <f t="shared" si="931"/>
        <v/>
      </c>
      <c r="DH244" s="38" t="str">
        <f t="shared" si="931"/>
        <v/>
      </c>
      <c r="DI244" s="38" t="str">
        <f t="shared" si="931"/>
        <v/>
      </c>
      <c r="DJ244" s="38" t="str">
        <f t="shared" si="931"/>
        <v/>
      </c>
      <c r="DK244" s="38" t="str">
        <f t="shared" si="931"/>
        <v/>
      </c>
      <c r="DL244" s="38" t="str">
        <f t="shared" si="931"/>
        <v/>
      </c>
      <c r="DM244" s="38" t="str">
        <f t="shared" si="931"/>
        <v/>
      </c>
      <c r="DN244" s="38" t="str">
        <f t="shared" si="931"/>
        <v/>
      </c>
      <c r="DO244" s="38" t="str">
        <f t="shared" si="931"/>
        <v/>
      </c>
      <c r="DP244" s="38" t="str">
        <f t="shared" si="931"/>
        <v/>
      </c>
      <c r="DQ244" s="38" t="str">
        <f t="shared" si="931"/>
        <v/>
      </c>
      <c r="DR244" s="38" t="str">
        <f t="shared" si="931"/>
        <v/>
      </c>
      <c r="DS244" s="38" t="str">
        <f t="shared" si="931"/>
        <v/>
      </c>
      <c r="DT244" s="38" t="str">
        <f t="shared" si="931"/>
        <v/>
      </c>
      <c r="DU244" s="38" t="str">
        <f t="shared" si="931"/>
        <v/>
      </c>
      <c r="DV244" s="38" t="str">
        <f t="shared" si="931"/>
        <v/>
      </c>
      <c r="DW244" s="38" t="str">
        <f t="shared" si="931"/>
        <v/>
      </c>
      <c r="DX244" s="38" t="str">
        <f t="shared" si="931"/>
        <v/>
      </c>
      <c r="DY244" s="38" t="str">
        <f t="shared" si="931"/>
        <v/>
      </c>
      <c r="DZ244" s="38" t="str">
        <f t="shared" si="931"/>
        <v/>
      </c>
      <c r="EA244" s="38" t="str">
        <f t="shared" si="931"/>
        <v/>
      </c>
      <c r="EB244" s="38" t="str">
        <f t="shared" si="931"/>
        <v/>
      </c>
      <c r="EC244" s="38" t="str">
        <f t="shared" si="931"/>
        <v/>
      </c>
      <c r="ED244" s="38" t="str">
        <f t="shared" si="931"/>
        <v/>
      </c>
      <c r="EE244" s="38" t="str">
        <f t="shared" si="931"/>
        <v/>
      </c>
      <c r="EF244" s="38" t="str">
        <f t="shared" si="931"/>
        <v/>
      </c>
      <c r="EG244" s="38" t="str">
        <f t="shared" si="931"/>
        <v/>
      </c>
      <c r="EH244" s="38" t="str">
        <f t="shared" si="931"/>
        <v/>
      </c>
      <c r="EI244" s="38" t="str">
        <f t="shared" si="931"/>
        <v/>
      </c>
      <c r="EJ244" s="38" t="str">
        <f t="shared" si="931"/>
        <v/>
      </c>
      <c r="EK244" s="38" t="str">
        <f t="shared" si="931"/>
        <v/>
      </c>
      <c r="EL244" s="38" t="str">
        <f t="shared" si="931"/>
        <v/>
      </c>
      <c r="EM244" s="38" t="str">
        <f t="shared" si="931"/>
        <v/>
      </c>
      <c r="EN244" s="38" t="str">
        <f t="shared" si="931"/>
        <v/>
      </c>
      <c r="EP244" s="37"/>
      <c r="EQ244" s="24"/>
      <c r="ER244" s="24"/>
      <c r="ES244" s="24"/>
      <c r="ET244" s="33" t="s">
        <v>401</v>
      </c>
      <c r="EU244" s="33"/>
      <c r="EV244" s="225">
        <f t="shared" ref="EV244:GA244" ca="1" si="932">(EV$197&lt;=Timing_Reversion_Month)*(EV241/$I$254*$H$254)</f>
        <v>0</v>
      </c>
      <c r="EW244" s="225">
        <f t="shared" ca="1" si="932"/>
        <v>0</v>
      </c>
      <c r="EX244" s="225">
        <f t="shared" ca="1" si="932"/>
        <v>0</v>
      </c>
      <c r="EY244" s="225">
        <f t="shared" ca="1" si="932"/>
        <v>0</v>
      </c>
      <c r="EZ244" s="225">
        <f t="shared" ca="1" si="932"/>
        <v>0</v>
      </c>
      <c r="FA244" s="225">
        <f t="shared" ca="1" si="932"/>
        <v>0</v>
      </c>
      <c r="FB244" s="225">
        <f t="shared" ca="1" si="932"/>
        <v>0</v>
      </c>
      <c r="FC244" s="225">
        <f t="shared" ca="1" si="932"/>
        <v>0</v>
      </c>
      <c r="FD244" s="225">
        <f t="shared" ca="1" si="932"/>
        <v>0</v>
      </c>
      <c r="FE244" s="225">
        <f t="shared" ca="1" si="932"/>
        <v>0</v>
      </c>
      <c r="FF244" s="225">
        <f t="shared" ca="1" si="932"/>
        <v>0</v>
      </c>
      <c r="FG244" s="225">
        <f t="shared" ca="1" si="932"/>
        <v>0</v>
      </c>
      <c r="FH244" s="225">
        <f t="shared" ca="1" si="932"/>
        <v>0</v>
      </c>
      <c r="FI244" s="225">
        <f t="shared" ca="1" si="932"/>
        <v>0</v>
      </c>
      <c r="FJ244" s="225">
        <f t="shared" ca="1" si="932"/>
        <v>0</v>
      </c>
      <c r="FK244" s="225">
        <f t="shared" ca="1" si="932"/>
        <v>0</v>
      </c>
      <c r="FL244" s="225">
        <f t="shared" ca="1" si="932"/>
        <v>0</v>
      </c>
      <c r="FM244" s="225">
        <f t="shared" ca="1" si="932"/>
        <v>0</v>
      </c>
      <c r="FN244" s="225">
        <f t="shared" ca="1" si="932"/>
        <v>0</v>
      </c>
      <c r="FO244" s="225">
        <f t="shared" ca="1" si="932"/>
        <v>0</v>
      </c>
      <c r="FP244" s="225">
        <f t="shared" ca="1" si="932"/>
        <v>7.2759576141834273E-14</v>
      </c>
      <c r="FQ244" s="225">
        <f t="shared" ca="1" si="932"/>
        <v>0</v>
      </c>
      <c r="FR244" s="225">
        <f t="shared" ca="1" si="932"/>
        <v>0</v>
      </c>
      <c r="FS244" s="225">
        <f t="shared" ca="1" si="932"/>
        <v>4.5474735088646414E-14</v>
      </c>
      <c r="FT244" s="225">
        <f t="shared" ca="1" si="932"/>
        <v>0</v>
      </c>
      <c r="FU244" s="225">
        <f t="shared" ca="1" si="932"/>
        <v>0</v>
      </c>
      <c r="FV244" s="225">
        <f t="shared" ca="1" si="932"/>
        <v>0</v>
      </c>
      <c r="FW244" s="225">
        <f t="shared" ca="1" si="932"/>
        <v>0</v>
      </c>
      <c r="FX244" s="225">
        <f t="shared" ca="1" si="932"/>
        <v>0</v>
      </c>
      <c r="FY244" s="225">
        <f t="shared" ca="1" si="932"/>
        <v>0</v>
      </c>
      <c r="FZ244" s="225">
        <f t="shared" ca="1" si="932"/>
        <v>10.487460674741451</v>
      </c>
      <c r="GA244" s="225">
        <f t="shared" ca="1" si="932"/>
        <v>91.528871061622212</v>
      </c>
      <c r="GB244" s="225">
        <f t="shared" ref="GB244:HG244" ca="1" si="933">(GB$197&lt;=Timing_Reversion_Month)*(GB241/$I$254*$H$254)</f>
        <v>252.59869903900022</v>
      </c>
      <c r="GC244" s="225">
        <f t="shared" ca="1" si="933"/>
        <v>448.04191624884265</v>
      </c>
      <c r="GD244" s="225">
        <f t="shared" ca="1" si="933"/>
        <v>453.59510562384276</v>
      </c>
      <c r="GE244" s="225">
        <f t="shared" ca="1" si="933"/>
        <v>459.14829499884308</v>
      </c>
      <c r="GF244" s="225">
        <f t="shared" ca="1" si="933"/>
        <v>464.7014843738429</v>
      </c>
      <c r="GG244" s="225">
        <f t="shared" ca="1" si="933"/>
        <v>470.25467374884266</v>
      </c>
      <c r="GH244" s="225">
        <f t="shared" ca="1" si="933"/>
        <v>475.80786312384248</v>
      </c>
      <c r="GI244" s="225">
        <f t="shared" ca="1" si="933"/>
        <v>481.36105249884281</v>
      </c>
      <c r="GJ244" s="225">
        <f t="shared" ca="1" si="933"/>
        <v>486.91424187384268</v>
      </c>
      <c r="GK244" s="225">
        <f t="shared" ca="1" si="933"/>
        <v>492.46743124884301</v>
      </c>
      <c r="GL244" s="225">
        <f t="shared" ca="1" si="933"/>
        <v>498.02062062384306</v>
      </c>
      <c r="GM244" s="225">
        <f t="shared" ca="1" si="933"/>
        <v>435.00554704041252</v>
      </c>
      <c r="GN244" s="225">
        <f t="shared" ca="1" si="933"/>
        <v>440.72533209666238</v>
      </c>
      <c r="GO244" s="225">
        <f t="shared" ca="1" si="933"/>
        <v>92189.536970065106</v>
      </c>
      <c r="GP244" s="225">
        <f t="shared" ca="1" si="933"/>
        <v>0</v>
      </c>
      <c r="GQ244" s="225">
        <f t="shared" ca="1" si="933"/>
        <v>0</v>
      </c>
      <c r="GR244" s="225">
        <f t="shared" ca="1" si="933"/>
        <v>0</v>
      </c>
      <c r="GS244" s="225">
        <f t="shared" ca="1" si="933"/>
        <v>0</v>
      </c>
      <c r="GT244" s="225">
        <f t="shared" ca="1" si="933"/>
        <v>0</v>
      </c>
      <c r="GU244" s="225">
        <f t="shared" ca="1" si="933"/>
        <v>0</v>
      </c>
      <c r="GV244" s="225">
        <f t="shared" ca="1" si="933"/>
        <v>0</v>
      </c>
      <c r="GW244" s="225">
        <f t="shared" ca="1" si="933"/>
        <v>0</v>
      </c>
      <c r="GX244" s="225">
        <f t="shared" ca="1" si="933"/>
        <v>0</v>
      </c>
      <c r="GY244" s="225">
        <f t="shared" ca="1" si="933"/>
        <v>0</v>
      </c>
      <c r="GZ244" s="225">
        <f t="shared" ca="1" si="933"/>
        <v>0</v>
      </c>
      <c r="HA244" s="225">
        <f t="shared" ca="1" si="933"/>
        <v>0</v>
      </c>
      <c r="HB244" s="225">
        <f t="shared" ca="1" si="933"/>
        <v>0</v>
      </c>
      <c r="HC244" s="225">
        <f t="shared" ca="1" si="933"/>
        <v>0</v>
      </c>
      <c r="HD244" s="225">
        <f t="shared" ca="1" si="933"/>
        <v>0</v>
      </c>
      <c r="HE244" s="225">
        <f t="shared" ca="1" si="933"/>
        <v>0</v>
      </c>
      <c r="HF244" s="225">
        <f t="shared" ca="1" si="933"/>
        <v>0</v>
      </c>
      <c r="HG244" s="225">
        <f t="shared" ca="1" si="933"/>
        <v>0</v>
      </c>
      <c r="HH244" s="225">
        <f t="shared" ref="HH244:IM244" ca="1" si="934">(HH$197&lt;=Timing_Reversion_Month)*(HH241/$I$254*$H$254)</f>
        <v>0</v>
      </c>
      <c r="HI244" s="225">
        <f t="shared" ca="1" si="934"/>
        <v>0</v>
      </c>
      <c r="HJ244" s="225">
        <f t="shared" ca="1" si="934"/>
        <v>0</v>
      </c>
      <c r="HK244" s="225">
        <f t="shared" ca="1" si="934"/>
        <v>0</v>
      </c>
      <c r="HL244" s="225">
        <f t="shared" ca="1" si="934"/>
        <v>0</v>
      </c>
      <c r="HM244" s="225">
        <f t="shared" ca="1" si="934"/>
        <v>0</v>
      </c>
      <c r="HN244" s="225">
        <f t="shared" ca="1" si="934"/>
        <v>0</v>
      </c>
      <c r="HO244" s="225">
        <f t="shared" ca="1" si="934"/>
        <v>0</v>
      </c>
      <c r="HP244" s="225">
        <f t="shared" ca="1" si="934"/>
        <v>0</v>
      </c>
      <c r="HQ244" s="225">
        <f t="shared" ca="1" si="934"/>
        <v>0</v>
      </c>
      <c r="HR244" s="225">
        <f t="shared" ca="1" si="934"/>
        <v>0</v>
      </c>
      <c r="HS244" s="225">
        <f t="shared" ca="1" si="934"/>
        <v>0</v>
      </c>
      <c r="HT244" s="225">
        <f t="shared" ca="1" si="934"/>
        <v>0</v>
      </c>
      <c r="HU244" s="225">
        <f t="shared" ca="1" si="934"/>
        <v>0</v>
      </c>
      <c r="HV244" s="225">
        <f t="shared" ca="1" si="934"/>
        <v>0</v>
      </c>
      <c r="HW244" s="225">
        <f t="shared" ca="1" si="934"/>
        <v>0</v>
      </c>
      <c r="HX244" s="225">
        <f t="shared" ca="1" si="934"/>
        <v>0</v>
      </c>
      <c r="HY244" s="225">
        <f t="shared" ca="1" si="934"/>
        <v>0</v>
      </c>
      <c r="HZ244" s="225">
        <f t="shared" ca="1" si="934"/>
        <v>0</v>
      </c>
      <c r="IA244" s="225">
        <f t="shared" ca="1" si="934"/>
        <v>0</v>
      </c>
      <c r="IB244" s="225">
        <f t="shared" ca="1" si="934"/>
        <v>0</v>
      </c>
      <c r="IC244" s="225">
        <f t="shared" ca="1" si="934"/>
        <v>0</v>
      </c>
      <c r="ID244" s="225">
        <f t="shared" ca="1" si="934"/>
        <v>0</v>
      </c>
      <c r="IE244" s="225">
        <f t="shared" ca="1" si="934"/>
        <v>0</v>
      </c>
      <c r="IF244" s="225">
        <f t="shared" ca="1" si="934"/>
        <v>0</v>
      </c>
      <c r="IG244" s="225">
        <f t="shared" ca="1" si="934"/>
        <v>0</v>
      </c>
      <c r="IH244" s="225">
        <f t="shared" ca="1" si="934"/>
        <v>0</v>
      </c>
      <c r="II244" s="225">
        <f t="shared" ca="1" si="934"/>
        <v>0</v>
      </c>
      <c r="IJ244" s="225">
        <f t="shared" ca="1" si="934"/>
        <v>0</v>
      </c>
      <c r="IK244" s="225">
        <f t="shared" ca="1" si="934"/>
        <v>0</v>
      </c>
      <c r="IL244" s="225">
        <f t="shared" ca="1" si="934"/>
        <v>0</v>
      </c>
      <c r="IM244" s="225">
        <f t="shared" ca="1" si="934"/>
        <v>0</v>
      </c>
      <c r="IN244" s="225">
        <f t="shared" ref="IN244:JX244" ca="1" si="935">(IN$197&lt;=Timing_Reversion_Month)*(IN241/$I$254*$H$254)</f>
        <v>0</v>
      </c>
      <c r="IO244" s="225">
        <f t="shared" ca="1" si="935"/>
        <v>0</v>
      </c>
      <c r="IP244" s="225">
        <f t="shared" ca="1" si="935"/>
        <v>0</v>
      </c>
      <c r="IQ244" s="225">
        <f t="shared" ca="1" si="935"/>
        <v>0</v>
      </c>
      <c r="IR244" s="225">
        <f t="shared" ca="1" si="935"/>
        <v>0</v>
      </c>
      <c r="IS244" s="225">
        <f t="shared" ca="1" si="935"/>
        <v>0</v>
      </c>
      <c r="IT244" s="225">
        <f t="shared" ca="1" si="935"/>
        <v>0</v>
      </c>
      <c r="IU244" s="225">
        <f t="shared" ca="1" si="935"/>
        <v>0</v>
      </c>
      <c r="IV244" s="225">
        <f t="shared" ca="1" si="935"/>
        <v>0</v>
      </c>
      <c r="IW244" s="225">
        <f t="shared" ca="1" si="935"/>
        <v>0</v>
      </c>
      <c r="IX244" s="225">
        <f t="shared" ca="1" si="935"/>
        <v>0</v>
      </c>
      <c r="IY244" s="225">
        <f t="shared" ca="1" si="935"/>
        <v>0</v>
      </c>
      <c r="IZ244" s="225">
        <f t="shared" ca="1" si="935"/>
        <v>0</v>
      </c>
      <c r="JA244" s="225">
        <f t="shared" ca="1" si="935"/>
        <v>0</v>
      </c>
      <c r="JB244" s="225">
        <f t="shared" ca="1" si="935"/>
        <v>0</v>
      </c>
      <c r="JC244" s="225">
        <f t="shared" ca="1" si="935"/>
        <v>0</v>
      </c>
      <c r="JD244" s="225">
        <f t="shared" ca="1" si="935"/>
        <v>0</v>
      </c>
      <c r="JE244" s="225">
        <f t="shared" ca="1" si="935"/>
        <v>0</v>
      </c>
      <c r="JF244" s="225">
        <f t="shared" ca="1" si="935"/>
        <v>0</v>
      </c>
      <c r="JG244" s="225">
        <f t="shared" ca="1" si="935"/>
        <v>0</v>
      </c>
      <c r="JH244" s="225">
        <f t="shared" ca="1" si="935"/>
        <v>0</v>
      </c>
      <c r="JI244" s="225">
        <f t="shared" ca="1" si="935"/>
        <v>0</v>
      </c>
      <c r="JJ244" s="225">
        <f t="shared" ca="1" si="935"/>
        <v>0</v>
      </c>
      <c r="JK244" s="225">
        <f t="shared" ca="1" si="935"/>
        <v>0</v>
      </c>
      <c r="JL244" s="225">
        <f t="shared" ca="1" si="935"/>
        <v>0</v>
      </c>
      <c r="JM244" s="225">
        <f t="shared" ca="1" si="935"/>
        <v>0</v>
      </c>
      <c r="JN244" s="225">
        <f t="shared" ca="1" si="935"/>
        <v>0</v>
      </c>
      <c r="JO244" s="225">
        <f t="shared" ca="1" si="935"/>
        <v>0</v>
      </c>
      <c r="JP244" s="225">
        <f t="shared" ca="1" si="935"/>
        <v>0</v>
      </c>
      <c r="JQ244" s="225">
        <f t="shared" ca="1" si="935"/>
        <v>0</v>
      </c>
      <c r="JR244" s="225">
        <f t="shared" ca="1" si="935"/>
        <v>0</v>
      </c>
      <c r="JS244" s="225">
        <f t="shared" ca="1" si="935"/>
        <v>0</v>
      </c>
      <c r="JT244" s="225">
        <f t="shared" ca="1" si="935"/>
        <v>0</v>
      </c>
      <c r="JU244" s="225">
        <f t="shared" ca="1" si="935"/>
        <v>0</v>
      </c>
      <c r="JV244" s="225">
        <f t="shared" ca="1" si="935"/>
        <v>0</v>
      </c>
      <c r="JW244" s="225">
        <f t="shared" ca="1" si="935"/>
        <v>0</v>
      </c>
      <c r="JX244" s="225">
        <f t="shared" ca="1" si="935"/>
        <v>0</v>
      </c>
    </row>
    <row r="245" spans="1:284" s="7" customFormat="1" ht="16.5" x14ac:dyDescent="0.35">
      <c r="A245" s="406"/>
      <c r="B245" s="238" t="s">
        <v>212</v>
      </c>
      <c r="C245" s="235" t="str">
        <f>C240</f>
        <v>[Limited Partner Name]</v>
      </c>
      <c r="D245" s="233"/>
      <c r="E245" s="233"/>
      <c r="F245" s="604">
        <f ca="1">I240/I229</f>
        <v>1.5468540066449099</v>
      </c>
      <c r="G245" s="605">
        <f ca="1">IF($L$53=0,XIRR(OFFSET($M$245,0,0,1,Timing_Analysis_End_Month),OFFSET($M$196,0,0,1,Timing_Analysis_End_Month)),XIRR(OFFSET($L$245,0,0,1,Timing_Analysis_End_Month+1),OFFSET($L$196,0,0,1,Timing_Analysis_End_Month+1)))</f>
        <v>0.13629054427146911</v>
      </c>
      <c r="H245" s="239">
        <f ca="1">I245/$I$246</f>
        <v>0.86278703441678106</v>
      </c>
      <c r="I245" s="240">
        <f ca="1">SUM(L245:EN245)</f>
        <v>7604198.3072892688</v>
      </c>
      <c r="L245" s="39">
        <f t="shared" ref="L245:AQ245" ca="1" si="936">IF(L$227="","",-L229+L240)</f>
        <v>-3565501.5512782279</v>
      </c>
      <c r="M245" s="39">
        <f t="shared" ca="1" si="936"/>
        <v>-412884.6645134245</v>
      </c>
      <c r="N245" s="39">
        <f t="shared" ca="1" si="936"/>
        <v>-565359.45506853156</v>
      </c>
      <c r="O245" s="39">
        <f t="shared" ca="1" si="936"/>
        <v>-867738.72441396641</v>
      </c>
      <c r="P245" s="39">
        <f t="shared" ca="1" si="936"/>
        <v>-1394429.8586874492</v>
      </c>
      <c r="Q245" s="39">
        <f t="shared" ca="1" si="936"/>
        <v>-2194148.189800458</v>
      </c>
      <c r="R245" s="39">
        <f t="shared" ca="1" si="936"/>
        <v>-3239365.2971831975</v>
      </c>
      <c r="S245" s="39">
        <f t="shared" ca="1" si="936"/>
        <v>-1665925.8175721038</v>
      </c>
      <c r="T245" s="39">
        <f t="shared" ca="1" si="936"/>
        <v>0</v>
      </c>
      <c r="U245" s="39">
        <f t="shared" ca="1" si="936"/>
        <v>0</v>
      </c>
      <c r="V245" s="39">
        <f t="shared" ca="1" si="936"/>
        <v>0</v>
      </c>
      <c r="W245" s="39">
        <f t="shared" ca="1" si="936"/>
        <v>0</v>
      </c>
      <c r="X245" s="39">
        <f t="shared" ca="1" si="936"/>
        <v>0</v>
      </c>
      <c r="Y245" s="39">
        <f t="shared" ca="1" si="936"/>
        <v>0</v>
      </c>
      <c r="Z245" s="39">
        <f t="shared" ca="1" si="936"/>
        <v>0</v>
      </c>
      <c r="AA245" s="39">
        <f t="shared" ca="1" si="936"/>
        <v>0</v>
      </c>
      <c r="AB245" s="39">
        <f t="shared" ca="1" si="936"/>
        <v>0</v>
      </c>
      <c r="AC245" s="39">
        <f t="shared" ca="1" si="936"/>
        <v>0</v>
      </c>
      <c r="AD245" s="39">
        <f t="shared" ca="1" si="936"/>
        <v>0</v>
      </c>
      <c r="AE245" s="39">
        <f t="shared" ca="1" si="936"/>
        <v>0</v>
      </c>
      <c r="AF245" s="39">
        <f t="shared" ca="1" si="936"/>
        <v>1.3824319466948509E-11</v>
      </c>
      <c r="AG245" s="39">
        <f t="shared" ca="1" si="936"/>
        <v>0</v>
      </c>
      <c r="AH245" s="39">
        <f t="shared" ca="1" si="936"/>
        <v>0</v>
      </c>
      <c r="AI245" s="39">
        <f t="shared" ca="1" si="936"/>
        <v>8.6401996668428183E-12</v>
      </c>
      <c r="AJ245" s="39">
        <f t="shared" ca="1" si="936"/>
        <v>-1.0368239600211381E-11</v>
      </c>
      <c r="AK245" s="39">
        <f t="shared" ca="1" si="936"/>
        <v>0</v>
      </c>
      <c r="AL245" s="39">
        <f t="shared" ca="1" si="936"/>
        <v>0</v>
      </c>
      <c r="AM245" s="39">
        <f t="shared" ca="1" si="936"/>
        <v>0</v>
      </c>
      <c r="AN245" s="39">
        <f t="shared" ca="1" si="936"/>
        <v>0</v>
      </c>
      <c r="AO245" s="39">
        <f t="shared" ca="1" si="936"/>
        <v>0</v>
      </c>
      <c r="AP245" s="39">
        <f t="shared" ca="1" si="936"/>
        <v>1992.6175282008755</v>
      </c>
      <c r="AQ245" s="39">
        <f t="shared" ca="1" si="936"/>
        <v>17390.485501708215</v>
      </c>
      <c r="AR245" s="39">
        <f t="shared" ref="AR245:BW245" ca="1" si="937">IF(AR$227="","",-AR229+AR240)</f>
        <v>47993.752817410037</v>
      </c>
      <c r="AS245" s="39">
        <f t="shared" ca="1" si="937"/>
        <v>85127.964087280096</v>
      </c>
      <c r="AT245" s="39">
        <f t="shared" ca="1" si="937"/>
        <v>86183.070068530113</v>
      </c>
      <c r="AU245" s="39">
        <f t="shared" ca="1" si="937"/>
        <v>87238.17604978013</v>
      </c>
      <c r="AV245" s="39">
        <f t="shared" ca="1" si="937"/>
        <v>88293.282031030132</v>
      </c>
      <c r="AW245" s="39">
        <f t="shared" ca="1" si="937"/>
        <v>89348.388012280091</v>
      </c>
      <c r="AX245" s="39">
        <f t="shared" ca="1" si="937"/>
        <v>90403.49399353005</v>
      </c>
      <c r="AY245" s="39">
        <f t="shared" ca="1" si="937"/>
        <v>91458.599974780125</v>
      </c>
      <c r="AZ245" s="39">
        <f t="shared" ca="1" si="937"/>
        <v>92513.705956030084</v>
      </c>
      <c r="BA245" s="39">
        <f t="shared" ca="1" si="937"/>
        <v>93568.811937280101</v>
      </c>
      <c r="BB245" s="39">
        <f t="shared" ca="1" si="937"/>
        <v>94623.917918530118</v>
      </c>
      <c r="BC245" s="39">
        <f t="shared" ca="1" si="937"/>
        <v>82651.053937678371</v>
      </c>
      <c r="BD245" s="39">
        <f t="shared" ca="1" si="937"/>
        <v>83737.813098365834</v>
      </c>
      <c r="BE245" s="39">
        <f t="shared" ca="1" si="937"/>
        <v>20377026.732894216</v>
      </c>
      <c r="BF245" s="39" t="str">
        <f t="shared" si="937"/>
        <v/>
      </c>
      <c r="BG245" s="39" t="str">
        <f t="shared" si="937"/>
        <v/>
      </c>
      <c r="BH245" s="39" t="str">
        <f t="shared" si="937"/>
        <v/>
      </c>
      <c r="BI245" s="39" t="str">
        <f t="shared" si="937"/>
        <v/>
      </c>
      <c r="BJ245" s="39" t="str">
        <f t="shared" si="937"/>
        <v/>
      </c>
      <c r="BK245" s="39" t="str">
        <f t="shared" si="937"/>
        <v/>
      </c>
      <c r="BL245" s="39" t="str">
        <f t="shared" si="937"/>
        <v/>
      </c>
      <c r="BM245" s="39" t="str">
        <f t="shared" si="937"/>
        <v/>
      </c>
      <c r="BN245" s="39" t="str">
        <f t="shared" si="937"/>
        <v/>
      </c>
      <c r="BO245" s="39" t="str">
        <f t="shared" si="937"/>
        <v/>
      </c>
      <c r="BP245" s="39" t="str">
        <f t="shared" si="937"/>
        <v/>
      </c>
      <c r="BQ245" s="39" t="str">
        <f t="shared" si="937"/>
        <v/>
      </c>
      <c r="BR245" s="39" t="str">
        <f t="shared" si="937"/>
        <v/>
      </c>
      <c r="BS245" s="39" t="str">
        <f t="shared" si="937"/>
        <v/>
      </c>
      <c r="BT245" s="39" t="str">
        <f t="shared" si="937"/>
        <v/>
      </c>
      <c r="BU245" s="39" t="str">
        <f t="shared" si="937"/>
        <v/>
      </c>
      <c r="BV245" s="39" t="str">
        <f t="shared" si="937"/>
        <v/>
      </c>
      <c r="BW245" s="39" t="str">
        <f t="shared" si="937"/>
        <v/>
      </c>
      <c r="BX245" s="39" t="str">
        <f t="shared" ref="BX245:DC245" si="938">IF(BX$227="","",-BX229+BX240)</f>
        <v/>
      </c>
      <c r="BY245" s="39" t="str">
        <f t="shared" si="938"/>
        <v/>
      </c>
      <c r="BZ245" s="39" t="str">
        <f t="shared" si="938"/>
        <v/>
      </c>
      <c r="CA245" s="39" t="str">
        <f t="shared" si="938"/>
        <v/>
      </c>
      <c r="CB245" s="39" t="str">
        <f t="shared" si="938"/>
        <v/>
      </c>
      <c r="CC245" s="39" t="str">
        <f t="shared" si="938"/>
        <v/>
      </c>
      <c r="CD245" s="39" t="str">
        <f t="shared" si="938"/>
        <v/>
      </c>
      <c r="CE245" s="39" t="str">
        <f t="shared" si="938"/>
        <v/>
      </c>
      <c r="CF245" s="39" t="str">
        <f t="shared" si="938"/>
        <v/>
      </c>
      <c r="CG245" s="39" t="str">
        <f t="shared" si="938"/>
        <v/>
      </c>
      <c r="CH245" s="39" t="str">
        <f t="shared" si="938"/>
        <v/>
      </c>
      <c r="CI245" s="39" t="str">
        <f t="shared" si="938"/>
        <v/>
      </c>
      <c r="CJ245" s="39" t="str">
        <f t="shared" si="938"/>
        <v/>
      </c>
      <c r="CK245" s="39" t="str">
        <f t="shared" si="938"/>
        <v/>
      </c>
      <c r="CL245" s="39" t="str">
        <f t="shared" si="938"/>
        <v/>
      </c>
      <c r="CM245" s="39" t="str">
        <f t="shared" si="938"/>
        <v/>
      </c>
      <c r="CN245" s="39" t="str">
        <f t="shared" si="938"/>
        <v/>
      </c>
      <c r="CO245" s="39" t="str">
        <f t="shared" si="938"/>
        <v/>
      </c>
      <c r="CP245" s="39" t="str">
        <f t="shared" si="938"/>
        <v/>
      </c>
      <c r="CQ245" s="39" t="str">
        <f t="shared" si="938"/>
        <v/>
      </c>
      <c r="CR245" s="39" t="str">
        <f t="shared" si="938"/>
        <v/>
      </c>
      <c r="CS245" s="39" t="str">
        <f t="shared" si="938"/>
        <v/>
      </c>
      <c r="CT245" s="39" t="str">
        <f t="shared" si="938"/>
        <v/>
      </c>
      <c r="CU245" s="39" t="str">
        <f t="shared" si="938"/>
        <v/>
      </c>
      <c r="CV245" s="39" t="str">
        <f t="shared" si="938"/>
        <v/>
      </c>
      <c r="CW245" s="39" t="str">
        <f t="shared" si="938"/>
        <v/>
      </c>
      <c r="CX245" s="39" t="str">
        <f t="shared" si="938"/>
        <v/>
      </c>
      <c r="CY245" s="39" t="str">
        <f t="shared" si="938"/>
        <v/>
      </c>
      <c r="CZ245" s="39" t="str">
        <f t="shared" si="938"/>
        <v/>
      </c>
      <c r="DA245" s="39" t="str">
        <f t="shared" si="938"/>
        <v/>
      </c>
      <c r="DB245" s="39" t="str">
        <f t="shared" si="938"/>
        <v/>
      </c>
      <c r="DC245" s="39" t="str">
        <f t="shared" si="938"/>
        <v/>
      </c>
      <c r="DD245" s="39" t="str">
        <f t="shared" ref="DD245:EN245" si="939">IF(DD$227="","",-DD229+DD240)</f>
        <v/>
      </c>
      <c r="DE245" s="39" t="str">
        <f t="shared" si="939"/>
        <v/>
      </c>
      <c r="DF245" s="39" t="str">
        <f t="shared" si="939"/>
        <v/>
      </c>
      <c r="DG245" s="39" t="str">
        <f t="shared" si="939"/>
        <v/>
      </c>
      <c r="DH245" s="39" t="str">
        <f t="shared" si="939"/>
        <v/>
      </c>
      <c r="DI245" s="39" t="str">
        <f t="shared" si="939"/>
        <v/>
      </c>
      <c r="DJ245" s="39" t="str">
        <f t="shared" si="939"/>
        <v/>
      </c>
      <c r="DK245" s="39" t="str">
        <f t="shared" si="939"/>
        <v/>
      </c>
      <c r="DL245" s="39" t="str">
        <f t="shared" si="939"/>
        <v/>
      </c>
      <c r="DM245" s="39" t="str">
        <f t="shared" si="939"/>
        <v/>
      </c>
      <c r="DN245" s="39" t="str">
        <f t="shared" si="939"/>
        <v/>
      </c>
      <c r="DO245" s="39" t="str">
        <f t="shared" si="939"/>
        <v/>
      </c>
      <c r="DP245" s="39" t="str">
        <f t="shared" si="939"/>
        <v/>
      </c>
      <c r="DQ245" s="39" t="str">
        <f t="shared" si="939"/>
        <v/>
      </c>
      <c r="DR245" s="39" t="str">
        <f t="shared" si="939"/>
        <v/>
      </c>
      <c r="DS245" s="39" t="str">
        <f t="shared" si="939"/>
        <v/>
      </c>
      <c r="DT245" s="39" t="str">
        <f t="shared" si="939"/>
        <v/>
      </c>
      <c r="DU245" s="39" t="str">
        <f t="shared" si="939"/>
        <v/>
      </c>
      <c r="DV245" s="39" t="str">
        <f t="shared" si="939"/>
        <v/>
      </c>
      <c r="DW245" s="39" t="str">
        <f t="shared" si="939"/>
        <v/>
      </c>
      <c r="DX245" s="39" t="str">
        <f t="shared" si="939"/>
        <v/>
      </c>
      <c r="DY245" s="39" t="str">
        <f t="shared" si="939"/>
        <v/>
      </c>
      <c r="DZ245" s="39" t="str">
        <f t="shared" si="939"/>
        <v/>
      </c>
      <c r="EA245" s="39" t="str">
        <f t="shared" si="939"/>
        <v/>
      </c>
      <c r="EB245" s="39" t="str">
        <f t="shared" si="939"/>
        <v/>
      </c>
      <c r="EC245" s="39" t="str">
        <f t="shared" si="939"/>
        <v/>
      </c>
      <c r="ED245" s="39" t="str">
        <f t="shared" si="939"/>
        <v/>
      </c>
      <c r="EE245" s="39" t="str">
        <f t="shared" si="939"/>
        <v/>
      </c>
      <c r="EF245" s="39" t="str">
        <f t="shared" si="939"/>
        <v/>
      </c>
      <c r="EG245" s="39" t="str">
        <f t="shared" si="939"/>
        <v/>
      </c>
      <c r="EH245" s="39" t="str">
        <f t="shared" si="939"/>
        <v/>
      </c>
      <c r="EI245" s="39" t="str">
        <f t="shared" si="939"/>
        <v/>
      </c>
      <c r="EJ245" s="39" t="str">
        <f t="shared" si="939"/>
        <v/>
      </c>
      <c r="EK245" s="39" t="str">
        <f t="shared" si="939"/>
        <v/>
      </c>
      <c r="EL245" s="39" t="str">
        <f t="shared" si="939"/>
        <v/>
      </c>
      <c r="EM245" s="39" t="str">
        <f t="shared" si="939"/>
        <v/>
      </c>
      <c r="EN245" s="39" t="str">
        <f t="shared" si="939"/>
        <v/>
      </c>
      <c r="EP245" s="37"/>
      <c r="EQ245" s="24"/>
      <c r="ER245" s="24"/>
      <c r="ES245" s="24"/>
      <c r="ET245" s="33" t="s">
        <v>378</v>
      </c>
      <c r="EU245" s="33"/>
      <c r="EV245" s="222">
        <f ca="1">+EV244+EV241</f>
        <v>0</v>
      </c>
      <c r="EW245" s="222">
        <f t="shared" ref="EW245:HH245" ca="1" si="940">+EW244+EW241</f>
        <v>0</v>
      </c>
      <c r="EX245" s="222">
        <f t="shared" ca="1" si="940"/>
        <v>0</v>
      </c>
      <c r="EY245" s="222">
        <f t="shared" ca="1" si="940"/>
        <v>0</v>
      </c>
      <c r="EZ245" s="222">
        <f t="shared" ca="1" si="940"/>
        <v>0</v>
      </c>
      <c r="FA245" s="222">
        <f t="shared" ca="1" si="940"/>
        <v>0</v>
      </c>
      <c r="FB245" s="222">
        <f t="shared" ca="1" si="940"/>
        <v>0</v>
      </c>
      <c r="FC245" s="222">
        <f t="shared" ca="1" si="940"/>
        <v>0</v>
      </c>
      <c r="FD245" s="222">
        <f t="shared" ca="1" si="940"/>
        <v>0</v>
      </c>
      <c r="FE245" s="222">
        <f t="shared" ca="1" si="940"/>
        <v>0</v>
      </c>
      <c r="FF245" s="222">
        <f t="shared" ca="1" si="940"/>
        <v>0</v>
      </c>
      <c r="FG245" s="222">
        <f t="shared" ca="1" si="940"/>
        <v>0</v>
      </c>
      <c r="FH245" s="222">
        <f t="shared" ca="1" si="940"/>
        <v>0</v>
      </c>
      <c r="FI245" s="222">
        <f t="shared" ca="1" si="940"/>
        <v>0</v>
      </c>
      <c r="FJ245" s="222">
        <f t="shared" ca="1" si="940"/>
        <v>0</v>
      </c>
      <c r="FK245" s="222">
        <f t="shared" ca="1" si="940"/>
        <v>0</v>
      </c>
      <c r="FL245" s="222">
        <f t="shared" ca="1" si="940"/>
        <v>0</v>
      </c>
      <c r="FM245" s="222">
        <f t="shared" ca="1" si="940"/>
        <v>0</v>
      </c>
      <c r="FN245" s="222">
        <f t="shared" ca="1" si="940"/>
        <v>0</v>
      </c>
      <c r="FO245" s="222">
        <f t="shared" ca="1" si="940"/>
        <v>0</v>
      </c>
      <c r="FP245" s="222">
        <f t="shared" ca="1" si="940"/>
        <v>7.2759576141834263E-13</v>
      </c>
      <c r="FQ245" s="222">
        <f t="shared" ca="1" si="940"/>
        <v>0</v>
      </c>
      <c r="FR245" s="222">
        <f t="shared" ca="1" si="940"/>
        <v>0</v>
      </c>
      <c r="FS245" s="222">
        <f t="shared" ca="1" si="940"/>
        <v>4.5474735088646412E-13</v>
      </c>
      <c r="FT245" s="222">
        <f t="shared" ca="1" si="940"/>
        <v>0</v>
      </c>
      <c r="FU245" s="222">
        <f t="shared" ca="1" si="940"/>
        <v>0</v>
      </c>
      <c r="FV245" s="222">
        <f t="shared" ca="1" si="940"/>
        <v>0</v>
      </c>
      <c r="FW245" s="222">
        <f t="shared" ca="1" si="940"/>
        <v>0</v>
      </c>
      <c r="FX245" s="222">
        <f t="shared" ca="1" si="940"/>
        <v>0</v>
      </c>
      <c r="FY245" s="222">
        <f t="shared" ca="1" si="940"/>
        <v>0</v>
      </c>
      <c r="FZ245" s="222">
        <f t="shared" ca="1" si="940"/>
        <v>104.87460674741452</v>
      </c>
      <c r="GA245" s="222">
        <f t="shared" ca="1" si="940"/>
        <v>915.28871061622203</v>
      </c>
      <c r="GB245" s="222">
        <f t="shared" ca="1" si="940"/>
        <v>2525.9869903900021</v>
      </c>
      <c r="GC245" s="222">
        <f t="shared" ca="1" si="940"/>
        <v>4480.4191624884261</v>
      </c>
      <c r="GD245" s="222">
        <f t="shared" ca="1" si="940"/>
        <v>4535.9510562384276</v>
      </c>
      <c r="GE245" s="222">
        <f t="shared" ca="1" si="940"/>
        <v>4591.4829499884308</v>
      </c>
      <c r="GF245" s="222">
        <f t="shared" ca="1" si="940"/>
        <v>4647.0148437384287</v>
      </c>
      <c r="GG245" s="222">
        <f t="shared" ca="1" si="940"/>
        <v>4702.5467374884265</v>
      </c>
      <c r="GH245" s="222">
        <f t="shared" ca="1" si="940"/>
        <v>4758.0786312384244</v>
      </c>
      <c r="GI245" s="222">
        <f t="shared" ca="1" si="940"/>
        <v>4813.6105249884276</v>
      </c>
      <c r="GJ245" s="222">
        <f t="shared" ca="1" si="940"/>
        <v>4869.1424187384264</v>
      </c>
      <c r="GK245" s="222">
        <f t="shared" ca="1" si="940"/>
        <v>4924.6743124884297</v>
      </c>
      <c r="GL245" s="222">
        <f t="shared" ca="1" si="940"/>
        <v>4980.2062062384302</v>
      </c>
      <c r="GM245" s="222">
        <f t="shared" ca="1" si="940"/>
        <v>4350.0554704041251</v>
      </c>
      <c r="GN245" s="222">
        <f t="shared" ca="1" si="940"/>
        <v>4407.2533209666235</v>
      </c>
      <c r="GO245" s="222">
        <f t="shared" ca="1" si="940"/>
        <v>921895.36970065103</v>
      </c>
      <c r="GP245" s="222">
        <f t="shared" ca="1" si="940"/>
        <v>0</v>
      </c>
      <c r="GQ245" s="222">
        <f t="shared" ca="1" si="940"/>
        <v>0</v>
      </c>
      <c r="GR245" s="222">
        <f t="shared" ca="1" si="940"/>
        <v>0</v>
      </c>
      <c r="GS245" s="222">
        <f t="shared" ca="1" si="940"/>
        <v>0</v>
      </c>
      <c r="GT245" s="222">
        <f t="shared" ca="1" si="940"/>
        <v>0</v>
      </c>
      <c r="GU245" s="222">
        <f t="shared" ca="1" si="940"/>
        <v>0</v>
      </c>
      <c r="GV245" s="222">
        <f t="shared" ca="1" si="940"/>
        <v>0</v>
      </c>
      <c r="GW245" s="222">
        <f t="shared" ca="1" si="940"/>
        <v>0</v>
      </c>
      <c r="GX245" s="222">
        <f t="shared" ca="1" si="940"/>
        <v>0</v>
      </c>
      <c r="GY245" s="222">
        <f t="shared" ca="1" si="940"/>
        <v>0</v>
      </c>
      <c r="GZ245" s="222">
        <f t="shared" ca="1" si="940"/>
        <v>0</v>
      </c>
      <c r="HA245" s="222">
        <f t="shared" ca="1" si="940"/>
        <v>0</v>
      </c>
      <c r="HB245" s="222">
        <f t="shared" ca="1" si="940"/>
        <v>0</v>
      </c>
      <c r="HC245" s="222">
        <f t="shared" ca="1" si="940"/>
        <v>0</v>
      </c>
      <c r="HD245" s="222">
        <f t="shared" ca="1" si="940"/>
        <v>0</v>
      </c>
      <c r="HE245" s="222">
        <f t="shared" ca="1" si="940"/>
        <v>0</v>
      </c>
      <c r="HF245" s="222">
        <f t="shared" ca="1" si="940"/>
        <v>0</v>
      </c>
      <c r="HG245" s="222">
        <f t="shared" ca="1" si="940"/>
        <v>0</v>
      </c>
      <c r="HH245" s="222">
        <f t="shared" ca="1" si="940"/>
        <v>0</v>
      </c>
      <c r="HI245" s="222">
        <f t="shared" ref="HI245:JT245" ca="1" si="941">+HI244+HI241</f>
        <v>0</v>
      </c>
      <c r="HJ245" s="222">
        <f t="shared" ca="1" si="941"/>
        <v>0</v>
      </c>
      <c r="HK245" s="222">
        <f t="shared" ca="1" si="941"/>
        <v>0</v>
      </c>
      <c r="HL245" s="222">
        <f t="shared" ca="1" si="941"/>
        <v>0</v>
      </c>
      <c r="HM245" s="222">
        <f t="shared" ca="1" si="941"/>
        <v>0</v>
      </c>
      <c r="HN245" s="222">
        <f t="shared" ca="1" si="941"/>
        <v>0</v>
      </c>
      <c r="HO245" s="222">
        <f t="shared" ca="1" si="941"/>
        <v>0</v>
      </c>
      <c r="HP245" s="222">
        <f t="shared" ca="1" si="941"/>
        <v>0</v>
      </c>
      <c r="HQ245" s="222">
        <f t="shared" ca="1" si="941"/>
        <v>0</v>
      </c>
      <c r="HR245" s="222">
        <f t="shared" ca="1" si="941"/>
        <v>0</v>
      </c>
      <c r="HS245" s="222">
        <f t="shared" ca="1" si="941"/>
        <v>0</v>
      </c>
      <c r="HT245" s="222">
        <f t="shared" ca="1" si="941"/>
        <v>0</v>
      </c>
      <c r="HU245" s="222">
        <f t="shared" ca="1" si="941"/>
        <v>0</v>
      </c>
      <c r="HV245" s="222">
        <f t="shared" ca="1" si="941"/>
        <v>0</v>
      </c>
      <c r="HW245" s="222">
        <f t="shared" ca="1" si="941"/>
        <v>0</v>
      </c>
      <c r="HX245" s="222">
        <f t="shared" ca="1" si="941"/>
        <v>0</v>
      </c>
      <c r="HY245" s="222">
        <f t="shared" ca="1" si="941"/>
        <v>0</v>
      </c>
      <c r="HZ245" s="222">
        <f t="shared" ca="1" si="941"/>
        <v>0</v>
      </c>
      <c r="IA245" s="222">
        <f t="shared" ca="1" si="941"/>
        <v>0</v>
      </c>
      <c r="IB245" s="222">
        <f t="shared" ca="1" si="941"/>
        <v>0</v>
      </c>
      <c r="IC245" s="222">
        <f t="shared" ca="1" si="941"/>
        <v>0</v>
      </c>
      <c r="ID245" s="222">
        <f t="shared" ca="1" si="941"/>
        <v>0</v>
      </c>
      <c r="IE245" s="222">
        <f t="shared" ca="1" si="941"/>
        <v>0</v>
      </c>
      <c r="IF245" s="222">
        <f t="shared" ca="1" si="941"/>
        <v>0</v>
      </c>
      <c r="IG245" s="222">
        <f t="shared" ca="1" si="941"/>
        <v>0</v>
      </c>
      <c r="IH245" s="222">
        <f t="shared" ca="1" si="941"/>
        <v>0</v>
      </c>
      <c r="II245" s="222">
        <f t="shared" ca="1" si="941"/>
        <v>0</v>
      </c>
      <c r="IJ245" s="222">
        <f t="shared" ca="1" si="941"/>
        <v>0</v>
      </c>
      <c r="IK245" s="222">
        <f t="shared" ca="1" si="941"/>
        <v>0</v>
      </c>
      <c r="IL245" s="222">
        <f t="shared" ca="1" si="941"/>
        <v>0</v>
      </c>
      <c r="IM245" s="222">
        <f t="shared" ca="1" si="941"/>
        <v>0</v>
      </c>
      <c r="IN245" s="222">
        <f t="shared" ca="1" si="941"/>
        <v>0</v>
      </c>
      <c r="IO245" s="222">
        <f t="shared" ca="1" si="941"/>
        <v>0</v>
      </c>
      <c r="IP245" s="222">
        <f t="shared" ca="1" si="941"/>
        <v>0</v>
      </c>
      <c r="IQ245" s="222">
        <f t="shared" ca="1" si="941"/>
        <v>0</v>
      </c>
      <c r="IR245" s="222">
        <f t="shared" ca="1" si="941"/>
        <v>0</v>
      </c>
      <c r="IS245" s="222">
        <f t="shared" ca="1" si="941"/>
        <v>0</v>
      </c>
      <c r="IT245" s="222">
        <f t="shared" ca="1" si="941"/>
        <v>0</v>
      </c>
      <c r="IU245" s="222">
        <f t="shared" ca="1" si="941"/>
        <v>0</v>
      </c>
      <c r="IV245" s="222">
        <f t="shared" ca="1" si="941"/>
        <v>0</v>
      </c>
      <c r="IW245" s="222">
        <f t="shared" ca="1" si="941"/>
        <v>0</v>
      </c>
      <c r="IX245" s="222">
        <f t="shared" ca="1" si="941"/>
        <v>0</v>
      </c>
      <c r="IY245" s="222">
        <f t="shared" ca="1" si="941"/>
        <v>0</v>
      </c>
      <c r="IZ245" s="222">
        <f t="shared" ca="1" si="941"/>
        <v>0</v>
      </c>
      <c r="JA245" s="222">
        <f t="shared" ca="1" si="941"/>
        <v>0</v>
      </c>
      <c r="JB245" s="222">
        <f t="shared" ca="1" si="941"/>
        <v>0</v>
      </c>
      <c r="JC245" s="222">
        <f t="shared" ca="1" si="941"/>
        <v>0</v>
      </c>
      <c r="JD245" s="222">
        <f t="shared" ca="1" si="941"/>
        <v>0</v>
      </c>
      <c r="JE245" s="222">
        <f t="shared" ca="1" si="941"/>
        <v>0</v>
      </c>
      <c r="JF245" s="222">
        <f t="shared" ca="1" si="941"/>
        <v>0</v>
      </c>
      <c r="JG245" s="222">
        <f t="shared" ca="1" si="941"/>
        <v>0</v>
      </c>
      <c r="JH245" s="222">
        <f t="shared" ca="1" si="941"/>
        <v>0</v>
      </c>
      <c r="JI245" s="222">
        <f t="shared" ca="1" si="941"/>
        <v>0</v>
      </c>
      <c r="JJ245" s="222">
        <f t="shared" ca="1" si="941"/>
        <v>0</v>
      </c>
      <c r="JK245" s="222">
        <f t="shared" ca="1" si="941"/>
        <v>0</v>
      </c>
      <c r="JL245" s="222">
        <f t="shared" ca="1" si="941"/>
        <v>0</v>
      </c>
      <c r="JM245" s="222">
        <f t="shared" ca="1" si="941"/>
        <v>0</v>
      </c>
      <c r="JN245" s="222">
        <f t="shared" ca="1" si="941"/>
        <v>0</v>
      </c>
      <c r="JO245" s="222">
        <f t="shared" ca="1" si="941"/>
        <v>0</v>
      </c>
      <c r="JP245" s="222">
        <f t="shared" ca="1" si="941"/>
        <v>0</v>
      </c>
      <c r="JQ245" s="222">
        <f t="shared" ca="1" si="941"/>
        <v>0</v>
      </c>
      <c r="JR245" s="222">
        <f t="shared" ca="1" si="941"/>
        <v>0</v>
      </c>
      <c r="JS245" s="222">
        <f t="shared" ca="1" si="941"/>
        <v>0</v>
      </c>
      <c r="JT245" s="222">
        <f t="shared" ca="1" si="941"/>
        <v>0</v>
      </c>
      <c r="JU245" s="222">
        <f ca="1">+JU244+JU241</f>
        <v>0</v>
      </c>
      <c r="JV245" s="222">
        <f ca="1">+JV244+JV241</f>
        <v>0</v>
      </c>
      <c r="JW245" s="222">
        <f ca="1">+JW244+JW241</f>
        <v>0</v>
      </c>
      <c r="JX245" s="222">
        <f ca="1">+JX244+JX241</f>
        <v>0</v>
      </c>
    </row>
    <row r="246" spans="1:284" s="7" customFormat="1" x14ac:dyDescent="0.2">
      <c r="A246" s="406"/>
      <c r="B246" s="250" t="s">
        <v>70</v>
      </c>
      <c r="C246" s="251"/>
      <c r="D246" s="251"/>
      <c r="E246" s="251"/>
      <c r="F246" s="261">
        <f ca="1">I241/I230</f>
        <v>1.60213156386134</v>
      </c>
      <c r="G246" s="606">
        <f ca="1">IF($L$53=0,XIRR(OFFSET($M$246,0,0,1,Timing_Analysis_End_Month),OFFSET($M$196,0,0,1,Timing_Analysis_End_Month)),XIRR(OFFSET($L$246,0,0,1,Timing_Analysis_End_Month+1),OFFSET($L$196,0,0,1,Timing_Analysis_End_Month+1)))</f>
        <v>0.14798039793968204</v>
      </c>
      <c r="H246" s="252">
        <f ca="1">I246/$I$246</f>
        <v>1</v>
      </c>
      <c r="I246" s="253">
        <f ca="1">SUM(I244:I245)</f>
        <v>8813528.7202472687</v>
      </c>
      <c r="J246" s="386"/>
      <c r="K246" s="386"/>
      <c r="L246" s="387">
        <f t="shared" ref="L246:AQ246" ca="1" si="942">IF(L$227="","",SUM(L244:L245))</f>
        <v>-3753159.5276612928</v>
      </c>
      <c r="M246" s="387">
        <f t="shared" ca="1" si="942"/>
        <v>-434615.43632992054</v>
      </c>
      <c r="N246" s="387">
        <f t="shared" ca="1" si="942"/>
        <v>-595115.21586161223</v>
      </c>
      <c r="O246" s="387">
        <f t="shared" ca="1" si="942"/>
        <v>-913409.18359364884</v>
      </c>
      <c r="P246" s="387">
        <f t="shared" ca="1" si="942"/>
        <v>-1467820.9038815256</v>
      </c>
      <c r="Q246" s="387">
        <f t="shared" ca="1" si="942"/>
        <v>-2309629.6734741665</v>
      </c>
      <c r="R246" s="387">
        <f t="shared" ca="1" si="942"/>
        <v>-3409858.2075612606</v>
      </c>
      <c r="S246" s="387">
        <f t="shared" ca="1" si="942"/>
        <v>-1753606.1237601093</v>
      </c>
      <c r="T246" s="387">
        <f t="shared" ca="1" si="942"/>
        <v>0</v>
      </c>
      <c r="U246" s="387">
        <f t="shared" ca="1" si="942"/>
        <v>0</v>
      </c>
      <c r="V246" s="387">
        <f t="shared" ca="1" si="942"/>
        <v>0</v>
      </c>
      <c r="W246" s="387">
        <f t="shared" ca="1" si="942"/>
        <v>0</v>
      </c>
      <c r="X246" s="387">
        <f t="shared" ca="1" si="942"/>
        <v>0</v>
      </c>
      <c r="Y246" s="387">
        <f t="shared" ca="1" si="942"/>
        <v>0</v>
      </c>
      <c r="Z246" s="387">
        <f t="shared" ca="1" si="942"/>
        <v>0</v>
      </c>
      <c r="AA246" s="387">
        <f t="shared" ca="1" si="942"/>
        <v>0</v>
      </c>
      <c r="AB246" s="387">
        <f t="shared" ca="1" si="942"/>
        <v>0</v>
      </c>
      <c r="AC246" s="387">
        <f t="shared" ca="1" si="942"/>
        <v>0</v>
      </c>
      <c r="AD246" s="387">
        <f t="shared" ca="1" si="942"/>
        <v>0</v>
      </c>
      <c r="AE246" s="387">
        <f t="shared" ca="1" si="942"/>
        <v>0</v>
      </c>
      <c r="AF246" s="387">
        <f t="shared" ca="1" si="942"/>
        <v>1.4551915228366852E-11</v>
      </c>
      <c r="AG246" s="387">
        <f t="shared" ca="1" si="942"/>
        <v>0</v>
      </c>
      <c r="AH246" s="387">
        <f t="shared" ca="1" si="942"/>
        <v>0</v>
      </c>
      <c r="AI246" s="387">
        <f t="shared" ca="1" si="942"/>
        <v>9.0949470177292824E-12</v>
      </c>
      <c r="AJ246" s="387">
        <f t="shared" ca="1" si="942"/>
        <v>-1.0913936421275137E-11</v>
      </c>
      <c r="AK246" s="387">
        <f t="shared" ca="1" si="942"/>
        <v>0</v>
      </c>
      <c r="AL246" s="387">
        <f t="shared" ca="1" si="942"/>
        <v>0</v>
      </c>
      <c r="AM246" s="387">
        <f t="shared" ca="1" si="942"/>
        <v>0</v>
      </c>
      <c r="AN246" s="387">
        <f t="shared" ca="1" si="942"/>
        <v>0</v>
      </c>
      <c r="AO246" s="387">
        <f t="shared" ca="1" si="942"/>
        <v>0</v>
      </c>
      <c r="AP246" s="387">
        <f t="shared" ca="1" si="942"/>
        <v>2097.4921349482902</v>
      </c>
      <c r="AQ246" s="387">
        <f t="shared" ca="1" si="942"/>
        <v>18305.774212324439</v>
      </c>
      <c r="AR246" s="387">
        <f t="shared" ref="AR246:BW246" ca="1" si="943">IF(AR$227="","",SUM(AR244:AR245))</f>
        <v>50519.739807800041</v>
      </c>
      <c r="AS246" s="387">
        <f t="shared" ca="1" si="943"/>
        <v>89608.383249768522</v>
      </c>
      <c r="AT246" s="387">
        <f t="shared" ca="1" si="943"/>
        <v>90719.021124768537</v>
      </c>
      <c r="AU246" s="387">
        <f t="shared" ca="1" si="943"/>
        <v>91829.658999768566</v>
      </c>
      <c r="AV246" s="387">
        <f t="shared" ca="1" si="943"/>
        <v>92940.296874768566</v>
      </c>
      <c r="AW246" s="387">
        <f t="shared" ca="1" si="943"/>
        <v>94050.934749768523</v>
      </c>
      <c r="AX246" s="387">
        <f t="shared" ca="1" si="943"/>
        <v>95161.57262476848</v>
      </c>
      <c r="AY246" s="387">
        <f t="shared" ca="1" si="943"/>
        <v>96272.210499768553</v>
      </c>
      <c r="AZ246" s="387">
        <f t="shared" ca="1" si="943"/>
        <v>97382.84837476851</v>
      </c>
      <c r="BA246" s="387">
        <f t="shared" ca="1" si="943"/>
        <v>98493.486249768524</v>
      </c>
      <c r="BB246" s="387">
        <f t="shared" ca="1" si="943"/>
        <v>99604.124124768554</v>
      </c>
      <c r="BC246" s="387">
        <f t="shared" ca="1" si="943"/>
        <v>87001.109408082499</v>
      </c>
      <c r="BD246" s="387">
        <f t="shared" ca="1" si="943"/>
        <v>88145.066419332463</v>
      </c>
      <c r="BE246" s="387">
        <f t="shared" ca="1" si="943"/>
        <v>22258611.273515634</v>
      </c>
      <c r="BF246" s="387" t="str">
        <f t="shared" si="943"/>
        <v/>
      </c>
      <c r="BG246" s="387" t="str">
        <f t="shared" si="943"/>
        <v/>
      </c>
      <c r="BH246" s="387" t="str">
        <f t="shared" si="943"/>
        <v/>
      </c>
      <c r="BI246" s="387" t="str">
        <f t="shared" si="943"/>
        <v/>
      </c>
      <c r="BJ246" s="387" t="str">
        <f t="shared" si="943"/>
        <v/>
      </c>
      <c r="BK246" s="387" t="str">
        <f t="shared" si="943"/>
        <v/>
      </c>
      <c r="BL246" s="387" t="str">
        <f t="shared" si="943"/>
        <v/>
      </c>
      <c r="BM246" s="387" t="str">
        <f t="shared" si="943"/>
        <v/>
      </c>
      <c r="BN246" s="387" t="str">
        <f t="shared" si="943"/>
        <v/>
      </c>
      <c r="BO246" s="387" t="str">
        <f t="shared" si="943"/>
        <v/>
      </c>
      <c r="BP246" s="387" t="str">
        <f t="shared" si="943"/>
        <v/>
      </c>
      <c r="BQ246" s="387" t="str">
        <f t="shared" si="943"/>
        <v/>
      </c>
      <c r="BR246" s="387" t="str">
        <f t="shared" si="943"/>
        <v/>
      </c>
      <c r="BS246" s="387" t="str">
        <f t="shared" si="943"/>
        <v/>
      </c>
      <c r="BT246" s="387" t="str">
        <f t="shared" si="943"/>
        <v/>
      </c>
      <c r="BU246" s="387" t="str">
        <f t="shared" si="943"/>
        <v/>
      </c>
      <c r="BV246" s="387" t="str">
        <f t="shared" si="943"/>
        <v/>
      </c>
      <c r="BW246" s="387" t="str">
        <f t="shared" si="943"/>
        <v/>
      </c>
      <c r="BX246" s="387" t="str">
        <f t="shared" ref="BX246:DC246" si="944">IF(BX$227="","",SUM(BX244:BX245))</f>
        <v/>
      </c>
      <c r="BY246" s="387" t="str">
        <f t="shared" si="944"/>
        <v/>
      </c>
      <c r="BZ246" s="387" t="str">
        <f t="shared" si="944"/>
        <v/>
      </c>
      <c r="CA246" s="387" t="str">
        <f t="shared" si="944"/>
        <v/>
      </c>
      <c r="CB246" s="387" t="str">
        <f t="shared" si="944"/>
        <v/>
      </c>
      <c r="CC246" s="387" t="str">
        <f t="shared" si="944"/>
        <v/>
      </c>
      <c r="CD246" s="387" t="str">
        <f t="shared" si="944"/>
        <v/>
      </c>
      <c r="CE246" s="387" t="str">
        <f t="shared" si="944"/>
        <v/>
      </c>
      <c r="CF246" s="387" t="str">
        <f t="shared" si="944"/>
        <v/>
      </c>
      <c r="CG246" s="387" t="str">
        <f t="shared" si="944"/>
        <v/>
      </c>
      <c r="CH246" s="387" t="str">
        <f t="shared" si="944"/>
        <v/>
      </c>
      <c r="CI246" s="387" t="str">
        <f t="shared" si="944"/>
        <v/>
      </c>
      <c r="CJ246" s="387" t="str">
        <f t="shared" si="944"/>
        <v/>
      </c>
      <c r="CK246" s="387" t="str">
        <f t="shared" si="944"/>
        <v/>
      </c>
      <c r="CL246" s="387" t="str">
        <f t="shared" si="944"/>
        <v/>
      </c>
      <c r="CM246" s="387" t="str">
        <f t="shared" si="944"/>
        <v/>
      </c>
      <c r="CN246" s="387" t="str">
        <f t="shared" si="944"/>
        <v/>
      </c>
      <c r="CO246" s="387" t="str">
        <f t="shared" si="944"/>
        <v/>
      </c>
      <c r="CP246" s="387" t="str">
        <f t="shared" si="944"/>
        <v/>
      </c>
      <c r="CQ246" s="387" t="str">
        <f t="shared" si="944"/>
        <v/>
      </c>
      <c r="CR246" s="387" t="str">
        <f t="shared" si="944"/>
        <v/>
      </c>
      <c r="CS246" s="387" t="str">
        <f t="shared" si="944"/>
        <v/>
      </c>
      <c r="CT246" s="387" t="str">
        <f t="shared" si="944"/>
        <v/>
      </c>
      <c r="CU246" s="387" t="str">
        <f t="shared" si="944"/>
        <v/>
      </c>
      <c r="CV246" s="387" t="str">
        <f t="shared" si="944"/>
        <v/>
      </c>
      <c r="CW246" s="387" t="str">
        <f t="shared" si="944"/>
        <v/>
      </c>
      <c r="CX246" s="387" t="str">
        <f t="shared" si="944"/>
        <v/>
      </c>
      <c r="CY246" s="387" t="str">
        <f t="shared" si="944"/>
        <v/>
      </c>
      <c r="CZ246" s="387" t="str">
        <f t="shared" si="944"/>
        <v/>
      </c>
      <c r="DA246" s="387" t="str">
        <f t="shared" si="944"/>
        <v/>
      </c>
      <c r="DB246" s="387" t="str">
        <f t="shared" si="944"/>
        <v/>
      </c>
      <c r="DC246" s="387" t="str">
        <f t="shared" si="944"/>
        <v/>
      </c>
      <c r="DD246" s="387" t="str">
        <f t="shared" ref="DD246:EI246" si="945">IF(DD$227="","",SUM(DD244:DD245))</f>
        <v/>
      </c>
      <c r="DE246" s="387" t="str">
        <f t="shared" si="945"/>
        <v/>
      </c>
      <c r="DF246" s="387" t="str">
        <f t="shared" si="945"/>
        <v/>
      </c>
      <c r="DG246" s="387" t="str">
        <f t="shared" si="945"/>
        <v/>
      </c>
      <c r="DH246" s="387" t="str">
        <f t="shared" si="945"/>
        <v/>
      </c>
      <c r="DI246" s="387" t="str">
        <f t="shared" si="945"/>
        <v/>
      </c>
      <c r="DJ246" s="387" t="str">
        <f t="shared" si="945"/>
        <v/>
      </c>
      <c r="DK246" s="387" t="str">
        <f t="shared" si="945"/>
        <v/>
      </c>
      <c r="DL246" s="387" t="str">
        <f t="shared" si="945"/>
        <v/>
      </c>
      <c r="DM246" s="387" t="str">
        <f t="shared" si="945"/>
        <v/>
      </c>
      <c r="DN246" s="387" t="str">
        <f t="shared" si="945"/>
        <v/>
      </c>
      <c r="DO246" s="387" t="str">
        <f t="shared" si="945"/>
        <v/>
      </c>
      <c r="DP246" s="387" t="str">
        <f t="shared" si="945"/>
        <v/>
      </c>
      <c r="DQ246" s="387" t="str">
        <f t="shared" si="945"/>
        <v/>
      </c>
      <c r="DR246" s="387" t="str">
        <f t="shared" si="945"/>
        <v/>
      </c>
      <c r="DS246" s="387" t="str">
        <f t="shared" si="945"/>
        <v/>
      </c>
      <c r="DT246" s="387" t="str">
        <f t="shared" si="945"/>
        <v/>
      </c>
      <c r="DU246" s="387" t="str">
        <f t="shared" si="945"/>
        <v/>
      </c>
      <c r="DV246" s="387" t="str">
        <f t="shared" si="945"/>
        <v/>
      </c>
      <c r="DW246" s="387" t="str">
        <f t="shared" si="945"/>
        <v/>
      </c>
      <c r="DX246" s="387" t="str">
        <f t="shared" si="945"/>
        <v/>
      </c>
      <c r="DY246" s="387" t="str">
        <f t="shared" si="945"/>
        <v/>
      </c>
      <c r="DZ246" s="387" t="str">
        <f t="shared" si="945"/>
        <v/>
      </c>
      <c r="EA246" s="387" t="str">
        <f t="shared" si="945"/>
        <v/>
      </c>
      <c r="EB246" s="387" t="str">
        <f t="shared" si="945"/>
        <v/>
      </c>
      <c r="EC246" s="387" t="str">
        <f t="shared" si="945"/>
        <v/>
      </c>
      <c r="ED246" s="387" t="str">
        <f t="shared" si="945"/>
        <v/>
      </c>
      <c r="EE246" s="387" t="str">
        <f t="shared" si="945"/>
        <v/>
      </c>
      <c r="EF246" s="387" t="str">
        <f t="shared" si="945"/>
        <v/>
      </c>
      <c r="EG246" s="387" t="str">
        <f t="shared" si="945"/>
        <v/>
      </c>
      <c r="EH246" s="387" t="str">
        <f t="shared" si="945"/>
        <v/>
      </c>
      <c r="EI246" s="387" t="str">
        <f t="shared" si="945"/>
        <v/>
      </c>
      <c r="EJ246" s="387" t="str">
        <f>IF(EJ$227="","",SUM(EJ244:EJ245))</f>
        <v/>
      </c>
      <c r="EK246" s="387" t="str">
        <f>IF(EK$227="","",SUM(EK244:EK245))</f>
        <v/>
      </c>
      <c r="EL246" s="387" t="str">
        <f>IF(EL$227="","",SUM(EL244:EL245))</f>
        <v/>
      </c>
      <c r="EM246" s="387" t="str">
        <f>IF(EM$227="","",SUM(EM244:EM245))</f>
        <v/>
      </c>
      <c r="EN246" s="387" t="str">
        <f>IF(EN$227="","",SUM(EN244:EN245))</f>
        <v/>
      </c>
      <c r="EO246" s="386"/>
      <c r="EP246" s="227"/>
      <c r="EQ246" s="228"/>
      <c r="ER246" s="228"/>
      <c r="ES246" s="228"/>
      <c r="ET246" s="229" t="s">
        <v>373</v>
      </c>
      <c r="EU246" s="229"/>
      <c r="EV246" s="230">
        <f t="shared" ref="EV246:GA246" ca="1" si="946">IF(L244="",0,MAX(EV236-EV245,0))</f>
        <v>0</v>
      </c>
      <c r="EW246" s="230">
        <f t="shared" ca="1" si="946"/>
        <v>0</v>
      </c>
      <c r="EX246" s="230">
        <f t="shared" ca="1" si="946"/>
        <v>0</v>
      </c>
      <c r="EY246" s="230">
        <f t="shared" ca="1" si="946"/>
        <v>0</v>
      </c>
      <c r="EZ246" s="230">
        <f t="shared" ca="1" si="946"/>
        <v>0</v>
      </c>
      <c r="FA246" s="230">
        <f t="shared" ca="1" si="946"/>
        <v>0</v>
      </c>
      <c r="FB246" s="230">
        <f t="shared" ca="1" si="946"/>
        <v>0</v>
      </c>
      <c r="FC246" s="230">
        <f t="shared" ca="1" si="946"/>
        <v>0</v>
      </c>
      <c r="FD246" s="230">
        <f t="shared" ca="1" si="946"/>
        <v>0</v>
      </c>
      <c r="FE246" s="230">
        <f t="shared" ca="1" si="946"/>
        <v>0</v>
      </c>
      <c r="FF246" s="230">
        <f t="shared" ca="1" si="946"/>
        <v>0</v>
      </c>
      <c r="FG246" s="230">
        <f t="shared" ca="1" si="946"/>
        <v>0</v>
      </c>
      <c r="FH246" s="230">
        <f t="shared" ca="1" si="946"/>
        <v>0</v>
      </c>
      <c r="FI246" s="230">
        <f t="shared" ca="1" si="946"/>
        <v>0</v>
      </c>
      <c r="FJ246" s="230">
        <f t="shared" ca="1" si="946"/>
        <v>0</v>
      </c>
      <c r="FK246" s="230">
        <f t="shared" ca="1" si="946"/>
        <v>0</v>
      </c>
      <c r="FL246" s="230">
        <f t="shared" ca="1" si="946"/>
        <v>0</v>
      </c>
      <c r="FM246" s="230">
        <f t="shared" ca="1" si="946"/>
        <v>0</v>
      </c>
      <c r="FN246" s="230">
        <f t="shared" ca="1" si="946"/>
        <v>0</v>
      </c>
      <c r="FO246" s="230">
        <f t="shared" ca="1" si="946"/>
        <v>0</v>
      </c>
      <c r="FP246" s="230">
        <f t="shared" ca="1" si="946"/>
        <v>0</v>
      </c>
      <c r="FQ246" s="230">
        <f t="shared" ca="1" si="946"/>
        <v>0</v>
      </c>
      <c r="FR246" s="230">
        <f t="shared" ca="1" si="946"/>
        <v>0</v>
      </c>
      <c r="FS246" s="230">
        <f t="shared" ca="1" si="946"/>
        <v>0</v>
      </c>
      <c r="FT246" s="230">
        <f t="shared" ca="1" si="946"/>
        <v>0</v>
      </c>
      <c r="FU246" s="230">
        <f t="shared" ca="1" si="946"/>
        <v>0</v>
      </c>
      <c r="FV246" s="230">
        <f t="shared" ca="1" si="946"/>
        <v>0</v>
      </c>
      <c r="FW246" s="230">
        <f t="shared" ca="1" si="946"/>
        <v>0</v>
      </c>
      <c r="FX246" s="230">
        <f t="shared" ca="1" si="946"/>
        <v>0</v>
      </c>
      <c r="FY246" s="230">
        <f t="shared" ca="1" si="946"/>
        <v>0</v>
      </c>
      <c r="FZ246" s="230">
        <f t="shared" ca="1" si="946"/>
        <v>0</v>
      </c>
      <c r="GA246" s="230">
        <f t="shared" ca="1" si="946"/>
        <v>0</v>
      </c>
      <c r="GB246" s="230">
        <f t="shared" ref="GB246:HG246" ca="1" si="947">IF(AR244="",0,MAX(GB236-GB245,0))</f>
        <v>0</v>
      </c>
      <c r="GC246" s="230">
        <f t="shared" ca="1" si="947"/>
        <v>0</v>
      </c>
      <c r="GD246" s="230">
        <f t="shared" ca="1" si="947"/>
        <v>0</v>
      </c>
      <c r="GE246" s="230">
        <f t="shared" ca="1" si="947"/>
        <v>0</v>
      </c>
      <c r="GF246" s="230">
        <f t="shared" ca="1" si="947"/>
        <v>0</v>
      </c>
      <c r="GG246" s="230">
        <f t="shared" ca="1" si="947"/>
        <v>0</v>
      </c>
      <c r="GH246" s="230">
        <f t="shared" ca="1" si="947"/>
        <v>0</v>
      </c>
      <c r="GI246" s="230">
        <f t="shared" ca="1" si="947"/>
        <v>0</v>
      </c>
      <c r="GJ246" s="230">
        <f t="shared" ca="1" si="947"/>
        <v>0</v>
      </c>
      <c r="GK246" s="230">
        <f t="shared" ca="1" si="947"/>
        <v>0</v>
      </c>
      <c r="GL246" s="230">
        <f t="shared" ca="1" si="947"/>
        <v>0</v>
      </c>
      <c r="GM246" s="230">
        <f t="shared" ca="1" si="947"/>
        <v>0</v>
      </c>
      <c r="GN246" s="230">
        <f t="shared" ca="1" si="947"/>
        <v>0</v>
      </c>
      <c r="GO246" s="230">
        <f t="shared" ca="1" si="947"/>
        <v>959689.17092076677</v>
      </c>
      <c r="GP246" s="230">
        <f t="shared" si="947"/>
        <v>0</v>
      </c>
      <c r="GQ246" s="230">
        <f t="shared" si="947"/>
        <v>0</v>
      </c>
      <c r="GR246" s="230">
        <f t="shared" si="947"/>
        <v>0</v>
      </c>
      <c r="GS246" s="230">
        <f t="shared" si="947"/>
        <v>0</v>
      </c>
      <c r="GT246" s="230">
        <f t="shared" si="947"/>
        <v>0</v>
      </c>
      <c r="GU246" s="230">
        <f t="shared" si="947"/>
        <v>0</v>
      </c>
      <c r="GV246" s="230">
        <f t="shared" si="947"/>
        <v>0</v>
      </c>
      <c r="GW246" s="230">
        <f t="shared" si="947"/>
        <v>0</v>
      </c>
      <c r="GX246" s="230">
        <f t="shared" si="947"/>
        <v>0</v>
      </c>
      <c r="GY246" s="230">
        <f t="shared" si="947"/>
        <v>0</v>
      </c>
      <c r="GZ246" s="230">
        <f t="shared" si="947"/>
        <v>0</v>
      </c>
      <c r="HA246" s="230">
        <f t="shared" si="947"/>
        <v>0</v>
      </c>
      <c r="HB246" s="230">
        <f t="shared" si="947"/>
        <v>0</v>
      </c>
      <c r="HC246" s="230">
        <f t="shared" si="947"/>
        <v>0</v>
      </c>
      <c r="HD246" s="230">
        <f t="shared" si="947"/>
        <v>0</v>
      </c>
      <c r="HE246" s="230">
        <f t="shared" si="947"/>
        <v>0</v>
      </c>
      <c r="HF246" s="230">
        <f t="shared" si="947"/>
        <v>0</v>
      </c>
      <c r="HG246" s="230">
        <f t="shared" si="947"/>
        <v>0</v>
      </c>
      <c r="HH246" s="230">
        <f t="shared" ref="HH246:IM246" si="948">IF(BX244="",0,MAX(HH236-HH245,0))</f>
        <v>0</v>
      </c>
      <c r="HI246" s="230">
        <f t="shared" si="948"/>
        <v>0</v>
      </c>
      <c r="HJ246" s="230">
        <f t="shared" si="948"/>
        <v>0</v>
      </c>
      <c r="HK246" s="230">
        <f t="shared" si="948"/>
        <v>0</v>
      </c>
      <c r="HL246" s="230">
        <f t="shared" si="948"/>
        <v>0</v>
      </c>
      <c r="HM246" s="230">
        <f t="shared" si="948"/>
        <v>0</v>
      </c>
      <c r="HN246" s="230">
        <f t="shared" si="948"/>
        <v>0</v>
      </c>
      <c r="HO246" s="230">
        <f t="shared" si="948"/>
        <v>0</v>
      </c>
      <c r="HP246" s="230">
        <f t="shared" si="948"/>
        <v>0</v>
      </c>
      <c r="HQ246" s="230">
        <f t="shared" si="948"/>
        <v>0</v>
      </c>
      <c r="HR246" s="230">
        <f t="shared" si="948"/>
        <v>0</v>
      </c>
      <c r="HS246" s="230">
        <f t="shared" si="948"/>
        <v>0</v>
      </c>
      <c r="HT246" s="230">
        <f t="shared" si="948"/>
        <v>0</v>
      </c>
      <c r="HU246" s="230">
        <f t="shared" si="948"/>
        <v>0</v>
      </c>
      <c r="HV246" s="230">
        <f t="shared" si="948"/>
        <v>0</v>
      </c>
      <c r="HW246" s="230">
        <f t="shared" si="948"/>
        <v>0</v>
      </c>
      <c r="HX246" s="230">
        <f t="shared" si="948"/>
        <v>0</v>
      </c>
      <c r="HY246" s="230">
        <f t="shared" si="948"/>
        <v>0</v>
      </c>
      <c r="HZ246" s="230">
        <f t="shared" si="948"/>
        <v>0</v>
      </c>
      <c r="IA246" s="230">
        <f t="shared" si="948"/>
        <v>0</v>
      </c>
      <c r="IB246" s="230">
        <f t="shared" si="948"/>
        <v>0</v>
      </c>
      <c r="IC246" s="230">
        <f t="shared" si="948"/>
        <v>0</v>
      </c>
      <c r="ID246" s="230">
        <f t="shared" si="948"/>
        <v>0</v>
      </c>
      <c r="IE246" s="230">
        <f t="shared" si="948"/>
        <v>0</v>
      </c>
      <c r="IF246" s="230">
        <f t="shared" si="948"/>
        <v>0</v>
      </c>
      <c r="IG246" s="230">
        <f t="shared" si="948"/>
        <v>0</v>
      </c>
      <c r="IH246" s="230">
        <f t="shared" si="948"/>
        <v>0</v>
      </c>
      <c r="II246" s="230">
        <f t="shared" si="948"/>
        <v>0</v>
      </c>
      <c r="IJ246" s="230">
        <f t="shared" si="948"/>
        <v>0</v>
      </c>
      <c r="IK246" s="230">
        <f t="shared" si="948"/>
        <v>0</v>
      </c>
      <c r="IL246" s="230">
        <f t="shared" si="948"/>
        <v>0</v>
      </c>
      <c r="IM246" s="230">
        <f t="shared" si="948"/>
        <v>0</v>
      </c>
      <c r="IN246" s="230">
        <f t="shared" ref="IN246:JS246" si="949">IF(DD244="",0,MAX(IN236-IN245,0))</f>
        <v>0</v>
      </c>
      <c r="IO246" s="230">
        <f t="shared" si="949"/>
        <v>0</v>
      </c>
      <c r="IP246" s="230">
        <f t="shared" si="949"/>
        <v>0</v>
      </c>
      <c r="IQ246" s="230">
        <f t="shared" si="949"/>
        <v>0</v>
      </c>
      <c r="IR246" s="230">
        <f t="shared" si="949"/>
        <v>0</v>
      </c>
      <c r="IS246" s="230">
        <f t="shared" si="949"/>
        <v>0</v>
      </c>
      <c r="IT246" s="230">
        <f t="shared" si="949"/>
        <v>0</v>
      </c>
      <c r="IU246" s="230">
        <f t="shared" si="949"/>
        <v>0</v>
      </c>
      <c r="IV246" s="230">
        <f t="shared" si="949"/>
        <v>0</v>
      </c>
      <c r="IW246" s="230">
        <f t="shared" si="949"/>
        <v>0</v>
      </c>
      <c r="IX246" s="230">
        <f t="shared" si="949"/>
        <v>0</v>
      </c>
      <c r="IY246" s="230">
        <f t="shared" si="949"/>
        <v>0</v>
      </c>
      <c r="IZ246" s="230">
        <f t="shared" si="949"/>
        <v>0</v>
      </c>
      <c r="JA246" s="230">
        <f t="shared" si="949"/>
        <v>0</v>
      </c>
      <c r="JB246" s="230">
        <f t="shared" si="949"/>
        <v>0</v>
      </c>
      <c r="JC246" s="230">
        <f t="shared" si="949"/>
        <v>0</v>
      </c>
      <c r="JD246" s="230">
        <f t="shared" si="949"/>
        <v>0</v>
      </c>
      <c r="JE246" s="230">
        <f t="shared" si="949"/>
        <v>0</v>
      </c>
      <c r="JF246" s="230">
        <f t="shared" si="949"/>
        <v>0</v>
      </c>
      <c r="JG246" s="230">
        <f t="shared" si="949"/>
        <v>0</v>
      </c>
      <c r="JH246" s="230">
        <f t="shared" si="949"/>
        <v>0</v>
      </c>
      <c r="JI246" s="230">
        <f t="shared" si="949"/>
        <v>0</v>
      </c>
      <c r="JJ246" s="230">
        <f t="shared" si="949"/>
        <v>0</v>
      </c>
      <c r="JK246" s="230">
        <f t="shared" si="949"/>
        <v>0</v>
      </c>
      <c r="JL246" s="230">
        <f t="shared" si="949"/>
        <v>0</v>
      </c>
      <c r="JM246" s="230">
        <f t="shared" si="949"/>
        <v>0</v>
      </c>
      <c r="JN246" s="230">
        <f t="shared" si="949"/>
        <v>0</v>
      </c>
      <c r="JO246" s="230">
        <f t="shared" si="949"/>
        <v>0</v>
      </c>
      <c r="JP246" s="230">
        <f t="shared" si="949"/>
        <v>0</v>
      </c>
      <c r="JQ246" s="230">
        <f t="shared" si="949"/>
        <v>0</v>
      </c>
      <c r="JR246" s="230">
        <f t="shared" si="949"/>
        <v>0</v>
      </c>
      <c r="JS246" s="230">
        <f t="shared" si="949"/>
        <v>0</v>
      </c>
      <c r="JT246" s="230">
        <f>IF(EJ244="",0,MAX(JT236-JT245,0))</f>
        <v>0</v>
      </c>
      <c r="JU246" s="230">
        <f>IF(EK244="",0,MAX(JU236-JU245,0))</f>
        <v>0</v>
      </c>
      <c r="JV246" s="230">
        <f>IF(EL244="",0,MAX(JV236-JV245,0))</f>
        <v>0</v>
      </c>
      <c r="JW246" s="230">
        <f>IF(EM244="",0,MAX(JW236-JW245,0))</f>
        <v>0</v>
      </c>
      <c r="JX246" s="230">
        <f>IF(EN244="",0,MAX(JX236-JX245,0))</f>
        <v>0</v>
      </c>
    </row>
    <row r="247" spans="1:284" s="7" customFormat="1" ht="0.6" customHeight="1" x14ac:dyDescent="0.2">
      <c r="A247" s="406"/>
      <c r="B247" s="257" t="s">
        <v>409</v>
      </c>
      <c r="C247" s="257"/>
      <c r="D247" s="257"/>
      <c r="E247" s="257"/>
      <c r="F247" s="257"/>
      <c r="G247" s="257"/>
      <c r="H247" s="257"/>
      <c r="I247" s="257"/>
      <c r="EP247" s="37" t="s">
        <v>380</v>
      </c>
      <c r="EQ247" s="24"/>
      <c r="ER247" s="24"/>
      <c r="ES247" s="24"/>
      <c r="ET247" s="33" t="s">
        <v>402</v>
      </c>
      <c r="EU247" s="33"/>
      <c r="EV247" s="225">
        <f t="shared" ref="EV247:GA247" si="950">(EV$197&lt;=Timing_Reversion_Month)*EU251</f>
        <v>0</v>
      </c>
      <c r="EW247" s="225">
        <f t="shared" ca="1" si="950"/>
        <v>168892.17874475819</v>
      </c>
      <c r="EX247" s="225">
        <f t="shared" ca="1" si="950"/>
        <v>190052.45629198418</v>
      </c>
      <c r="EY247" s="225">
        <f t="shared" ca="1" si="950"/>
        <v>218636.00941022029</v>
      </c>
      <c r="EZ247" s="225">
        <f t="shared" ca="1" si="950"/>
        <v>261814.01449327162</v>
      </c>
      <c r="FA247" s="225">
        <f t="shared" ca="1" si="950"/>
        <v>330350.25413883885</v>
      </c>
      <c r="FB247" s="225">
        <f t="shared" ca="1" si="950"/>
        <v>437418.2146025867</v>
      </c>
      <c r="FC247" s="225">
        <f t="shared" ca="1" si="950"/>
        <v>595012.40480702231</v>
      </c>
      <c r="FD247" s="225">
        <f t="shared" ca="1" si="950"/>
        <v>679570.62987894937</v>
      </c>
      <c r="FE247" s="225">
        <f t="shared" ca="1" si="950"/>
        <v>686018.93487029488</v>
      </c>
      <c r="FF247" s="225">
        <f t="shared" ca="1" si="950"/>
        <v>692528.42649248231</v>
      </c>
      <c r="FG247" s="225">
        <f t="shared" ca="1" si="950"/>
        <v>699099.6853327821</v>
      </c>
      <c r="FH247" s="225">
        <f t="shared" ca="1" si="950"/>
        <v>705733.29748753703</v>
      </c>
      <c r="FI247" s="225">
        <f t="shared" ca="1" si="950"/>
        <v>712429.85461443674</v>
      </c>
      <c r="FJ247" s="225">
        <f t="shared" ca="1" si="950"/>
        <v>719189.95398528827</v>
      </c>
      <c r="FK247" s="225">
        <f t="shared" ca="1" si="950"/>
        <v>726014.19853928697</v>
      </c>
      <c r="FL247" s="225">
        <f t="shared" ca="1" si="950"/>
        <v>732903.19693679351</v>
      </c>
      <c r="FM247" s="225">
        <f t="shared" ca="1" si="950"/>
        <v>739857.5636136207</v>
      </c>
      <c r="FN247" s="225">
        <f t="shared" ca="1" si="950"/>
        <v>746877.91883583541</v>
      </c>
      <c r="FO247" s="225">
        <f t="shared" ca="1" si="950"/>
        <v>753964.88875508099</v>
      </c>
      <c r="FP247" s="225">
        <f t="shared" ca="1" si="950"/>
        <v>761119.10546442389</v>
      </c>
      <c r="FQ247" s="225">
        <f t="shared" ca="1" si="950"/>
        <v>768341.20705473085</v>
      </c>
      <c r="FR247" s="225">
        <f t="shared" ca="1" si="950"/>
        <v>775631.83767158084</v>
      </c>
      <c r="FS247" s="225">
        <f t="shared" ca="1" si="950"/>
        <v>782991.64757271658</v>
      </c>
      <c r="FT247" s="225">
        <f t="shared" ca="1" si="950"/>
        <v>790421.29318604211</v>
      </c>
      <c r="FU247" s="225">
        <f t="shared" ca="1" si="950"/>
        <v>797921.43716816977</v>
      </c>
      <c r="FV247" s="225">
        <f t="shared" ca="1" si="950"/>
        <v>805492.74846352346</v>
      </c>
      <c r="FW247" s="225">
        <f t="shared" ca="1" si="950"/>
        <v>813135.90236400208</v>
      </c>
      <c r="FX247" s="225">
        <f t="shared" ca="1" si="950"/>
        <v>820851.58056920941</v>
      </c>
      <c r="FY247" s="225">
        <f t="shared" ca="1" si="950"/>
        <v>828640.4712472558</v>
      </c>
      <c r="FZ247" s="225">
        <f t="shared" ca="1" si="950"/>
        <v>836503.26909613633</v>
      </c>
      <c r="GA247" s="225">
        <f t="shared" ca="1" si="950"/>
        <v>844346.28825961868</v>
      </c>
      <c r="GB247" s="225">
        <f t="shared" ref="GB247:HG247" ca="1" si="951">(GB$197&lt;=Timing_Reversion_Month)*GA251</f>
        <v>851534.35551444348</v>
      </c>
      <c r="GC247" s="225">
        <f t="shared" ca="1" si="951"/>
        <v>857341.00039925263</v>
      </c>
      <c r="GD247" s="225">
        <f t="shared" ca="1" si="951"/>
        <v>861443.75438012986</v>
      </c>
      <c r="GE247" s="225">
        <f t="shared" ca="1" si="951"/>
        <v>865535.45983961818</v>
      </c>
      <c r="GF247" s="225">
        <f t="shared" ca="1" si="951"/>
        <v>869616.01194058591</v>
      </c>
      <c r="GG247" s="225">
        <f t="shared" ca="1" si="951"/>
        <v>873685.30485112336</v>
      </c>
      <c r="GH247" s="225">
        <f t="shared" ca="1" si="951"/>
        <v>877743.23173510411</v>
      </c>
      <c r="GI247" s="225">
        <f t="shared" ca="1" si="951"/>
        <v>881789.68474265561</v>
      </c>
      <c r="GJ247" s="225">
        <f t="shared" ca="1" si="951"/>
        <v>885824.55500054033</v>
      </c>
      <c r="GK247" s="225">
        <f t="shared" ca="1" si="951"/>
        <v>889847.73260244506</v>
      </c>
      <c r="GL247" s="225">
        <f t="shared" ca="1" si="951"/>
        <v>893859.10659917828</v>
      </c>
      <c r="GM247" s="225">
        <f t="shared" ca="1" si="951"/>
        <v>897858.5649887746</v>
      </c>
      <c r="GN247" s="225">
        <f t="shared" ca="1" si="951"/>
        <v>902463.10907313123</v>
      </c>
      <c r="GO247" s="225">
        <f t="shared" ca="1" si="951"/>
        <v>907059.86665735627</v>
      </c>
      <c r="GP247" s="225">
        <f t="shared" ca="1" si="951"/>
        <v>0</v>
      </c>
      <c r="GQ247" s="225">
        <f t="shared" ca="1" si="951"/>
        <v>0</v>
      </c>
      <c r="GR247" s="225">
        <f t="shared" ca="1" si="951"/>
        <v>0</v>
      </c>
      <c r="GS247" s="225">
        <f t="shared" ca="1" si="951"/>
        <v>0</v>
      </c>
      <c r="GT247" s="225">
        <f t="shared" ca="1" si="951"/>
        <v>0</v>
      </c>
      <c r="GU247" s="225">
        <f t="shared" ca="1" si="951"/>
        <v>0</v>
      </c>
      <c r="GV247" s="225">
        <f t="shared" ca="1" si="951"/>
        <v>0</v>
      </c>
      <c r="GW247" s="225">
        <f t="shared" ca="1" si="951"/>
        <v>0</v>
      </c>
      <c r="GX247" s="225">
        <f t="shared" ca="1" si="951"/>
        <v>0</v>
      </c>
      <c r="GY247" s="225">
        <f t="shared" ca="1" si="951"/>
        <v>0</v>
      </c>
      <c r="GZ247" s="225">
        <f t="shared" ca="1" si="951"/>
        <v>0</v>
      </c>
      <c r="HA247" s="225">
        <f t="shared" ca="1" si="951"/>
        <v>0</v>
      </c>
      <c r="HB247" s="225">
        <f t="shared" ca="1" si="951"/>
        <v>0</v>
      </c>
      <c r="HC247" s="225">
        <f t="shared" ca="1" si="951"/>
        <v>0</v>
      </c>
      <c r="HD247" s="225">
        <f t="shared" ca="1" si="951"/>
        <v>0</v>
      </c>
      <c r="HE247" s="225">
        <f t="shared" ca="1" si="951"/>
        <v>0</v>
      </c>
      <c r="HF247" s="225">
        <f t="shared" ca="1" si="951"/>
        <v>0</v>
      </c>
      <c r="HG247" s="225">
        <f t="shared" ca="1" si="951"/>
        <v>0</v>
      </c>
      <c r="HH247" s="225">
        <f t="shared" ref="HH247:IM247" ca="1" si="952">(HH$197&lt;=Timing_Reversion_Month)*HG251</f>
        <v>0</v>
      </c>
      <c r="HI247" s="225">
        <f t="shared" ca="1" si="952"/>
        <v>0</v>
      </c>
      <c r="HJ247" s="225">
        <f t="shared" ca="1" si="952"/>
        <v>0</v>
      </c>
      <c r="HK247" s="225">
        <f t="shared" ca="1" si="952"/>
        <v>0</v>
      </c>
      <c r="HL247" s="225">
        <f t="shared" ca="1" si="952"/>
        <v>0</v>
      </c>
      <c r="HM247" s="225">
        <f t="shared" ca="1" si="952"/>
        <v>0</v>
      </c>
      <c r="HN247" s="225">
        <f t="shared" ca="1" si="952"/>
        <v>0</v>
      </c>
      <c r="HO247" s="225">
        <f t="shared" ca="1" si="952"/>
        <v>0</v>
      </c>
      <c r="HP247" s="225">
        <f t="shared" ca="1" si="952"/>
        <v>0</v>
      </c>
      <c r="HQ247" s="225">
        <f t="shared" ca="1" si="952"/>
        <v>0</v>
      </c>
      <c r="HR247" s="225">
        <f t="shared" ca="1" si="952"/>
        <v>0</v>
      </c>
      <c r="HS247" s="225">
        <f t="shared" ca="1" si="952"/>
        <v>0</v>
      </c>
      <c r="HT247" s="225">
        <f t="shared" ca="1" si="952"/>
        <v>0</v>
      </c>
      <c r="HU247" s="225">
        <f t="shared" ca="1" si="952"/>
        <v>0</v>
      </c>
      <c r="HV247" s="225">
        <f t="shared" ca="1" si="952"/>
        <v>0</v>
      </c>
      <c r="HW247" s="225">
        <f t="shared" ca="1" si="952"/>
        <v>0</v>
      </c>
      <c r="HX247" s="225">
        <f t="shared" ca="1" si="952"/>
        <v>0</v>
      </c>
      <c r="HY247" s="225">
        <f t="shared" ca="1" si="952"/>
        <v>0</v>
      </c>
      <c r="HZ247" s="225">
        <f t="shared" ca="1" si="952"/>
        <v>0</v>
      </c>
      <c r="IA247" s="225">
        <f t="shared" ca="1" si="952"/>
        <v>0</v>
      </c>
      <c r="IB247" s="225">
        <f t="shared" ca="1" si="952"/>
        <v>0</v>
      </c>
      <c r="IC247" s="225">
        <f t="shared" ca="1" si="952"/>
        <v>0</v>
      </c>
      <c r="ID247" s="225">
        <f t="shared" ca="1" si="952"/>
        <v>0</v>
      </c>
      <c r="IE247" s="225">
        <f t="shared" ca="1" si="952"/>
        <v>0</v>
      </c>
      <c r="IF247" s="225">
        <f t="shared" ca="1" si="952"/>
        <v>0</v>
      </c>
      <c r="IG247" s="225">
        <f t="shared" ca="1" si="952"/>
        <v>0</v>
      </c>
      <c r="IH247" s="225">
        <f t="shared" ca="1" si="952"/>
        <v>0</v>
      </c>
      <c r="II247" s="225">
        <f t="shared" ca="1" si="952"/>
        <v>0</v>
      </c>
      <c r="IJ247" s="225">
        <f t="shared" ca="1" si="952"/>
        <v>0</v>
      </c>
      <c r="IK247" s="225">
        <f t="shared" ca="1" si="952"/>
        <v>0</v>
      </c>
      <c r="IL247" s="225">
        <f t="shared" ca="1" si="952"/>
        <v>0</v>
      </c>
      <c r="IM247" s="225">
        <f t="shared" ca="1" si="952"/>
        <v>0</v>
      </c>
      <c r="IN247" s="225">
        <f t="shared" ref="IN247:JX247" ca="1" si="953">(IN$197&lt;=Timing_Reversion_Month)*IM251</f>
        <v>0</v>
      </c>
      <c r="IO247" s="225">
        <f t="shared" ca="1" si="953"/>
        <v>0</v>
      </c>
      <c r="IP247" s="225">
        <f t="shared" ca="1" si="953"/>
        <v>0</v>
      </c>
      <c r="IQ247" s="225">
        <f t="shared" ca="1" si="953"/>
        <v>0</v>
      </c>
      <c r="IR247" s="225">
        <f t="shared" ca="1" si="953"/>
        <v>0</v>
      </c>
      <c r="IS247" s="225">
        <f t="shared" ca="1" si="953"/>
        <v>0</v>
      </c>
      <c r="IT247" s="225">
        <f t="shared" ca="1" si="953"/>
        <v>0</v>
      </c>
      <c r="IU247" s="225">
        <f t="shared" ca="1" si="953"/>
        <v>0</v>
      </c>
      <c r="IV247" s="225">
        <f t="shared" ca="1" si="953"/>
        <v>0</v>
      </c>
      <c r="IW247" s="225">
        <f t="shared" ca="1" si="953"/>
        <v>0</v>
      </c>
      <c r="IX247" s="225">
        <f t="shared" ca="1" si="953"/>
        <v>0</v>
      </c>
      <c r="IY247" s="225">
        <f t="shared" ca="1" si="953"/>
        <v>0</v>
      </c>
      <c r="IZ247" s="225">
        <f t="shared" ca="1" si="953"/>
        <v>0</v>
      </c>
      <c r="JA247" s="225">
        <f t="shared" ca="1" si="953"/>
        <v>0</v>
      </c>
      <c r="JB247" s="225">
        <f t="shared" ca="1" si="953"/>
        <v>0</v>
      </c>
      <c r="JC247" s="225">
        <f t="shared" ca="1" si="953"/>
        <v>0</v>
      </c>
      <c r="JD247" s="225">
        <f t="shared" ca="1" si="953"/>
        <v>0</v>
      </c>
      <c r="JE247" s="225">
        <f t="shared" ca="1" si="953"/>
        <v>0</v>
      </c>
      <c r="JF247" s="225">
        <f t="shared" ca="1" si="953"/>
        <v>0</v>
      </c>
      <c r="JG247" s="225">
        <f t="shared" ca="1" si="953"/>
        <v>0</v>
      </c>
      <c r="JH247" s="225">
        <f t="shared" ca="1" si="953"/>
        <v>0</v>
      </c>
      <c r="JI247" s="225">
        <f t="shared" ca="1" si="953"/>
        <v>0</v>
      </c>
      <c r="JJ247" s="225">
        <f t="shared" ca="1" si="953"/>
        <v>0</v>
      </c>
      <c r="JK247" s="225">
        <f t="shared" ca="1" si="953"/>
        <v>0</v>
      </c>
      <c r="JL247" s="225">
        <f t="shared" ca="1" si="953"/>
        <v>0</v>
      </c>
      <c r="JM247" s="225">
        <f t="shared" ca="1" si="953"/>
        <v>0</v>
      </c>
      <c r="JN247" s="225">
        <f t="shared" ca="1" si="953"/>
        <v>0</v>
      </c>
      <c r="JO247" s="225">
        <f t="shared" ca="1" si="953"/>
        <v>0</v>
      </c>
      <c r="JP247" s="225">
        <f t="shared" ca="1" si="953"/>
        <v>0</v>
      </c>
      <c r="JQ247" s="225">
        <f t="shared" ca="1" si="953"/>
        <v>0</v>
      </c>
      <c r="JR247" s="225">
        <f t="shared" ca="1" si="953"/>
        <v>0</v>
      </c>
      <c r="JS247" s="225">
        <f t="shared" ca="1" si="953"/>
        <v>0</v>
      </c>
      <c r="JT247" s="225">
        <f t="shared" ca="1" si="953"/>
        <v>0</v>
      </c>
      <c r="JU247" s="225">
        <f t="shared" ca="1" si="953"/>
        <v>0</v>
      </c>
      <c r="JV247" s="225">
        <f t="shared" ca="1" si="953"/>
        <v>0</v>
      </c>
      <c r="JW247" s="225">
        <f t="shared" ca="1" si="953"/>
        <v>0</v>
      </c>
      <c r="JX247" s="225">
        <f t="shared" ca="1" si="953"/>
        <v>0</v>
      </c>
    </row>
    <row r="248" spans="1:284" s="7" customFormat="1" ht="0.6" customHeight="1" x14ac:dyDescent="0.2">
      <c r="A248" s="406"/>
      <c r="B248" s="238" t="s">
        <v>392</v>
      </c>
      <c r="C248" s="233"/>
      <c r="D248" s="233"/>
      <c r="E248" s="258" t="s">
        <v>410</v>
      </c>
      <c r="F248" s="258"/>
      <c r="G248" s="233"/>
      <c r="H248" s="256" t="s">
        <v>411</v>
      </c>
      <c r="I248" s="256" t="s">
        <v>412</v>
      </c>
      <c r="L248" s="52">
        <f>L227</f>
        <v>0</v>
      </c>
      <c r="M248" s="52">
        <f t="shared" ref="M248:BX248" si="954">M227</f>
        <v>1</v>
      </c>
      <c r="N248" s="52">
        <f t="shared" si="954"/>
        <v>2</v>
      </c>
      <c r="O248" s="52">
        <f t="shared" si="954"/>
        <v>3</v>
      </c>
      <c r="P248" s="52">
        <f t="shared" si="954"/>
        <v>4</v>
      </c>
      <c r="Q248" s="52">
        <f t="shared" si="954"/>
        <v>5</v>
      </c>
      <c r="R248" s="52">
        <f t="shared" si="954"/>
        <v>6</v>
      </c>
      <c r="S248" s="52">
        <f t="shared" si="954"/>
        <v>7</v>
      </c>
      <c r="T248" s="52">
        <f t="shared" si="954"/>
        <v>8</v>
      </c>
      <c r="U248" s="52">
        <f t="shared" si="954"/>
        <v>9</v>
      </c>
      <c r="V248" s="52">
        <f t="shared" si="954"/>
        <v>10</v>
      </c>
      <c r="W248" s="52">
        <f t="shared" si="954"/>
        <v>11</v>
      </c>
      <c r="X248" s="52">
        <f t="shared" si="954"/>
        <v>12</v>
      </c>
      <c r="Y248" s="52">
        <f t="shared" si="954"/>
        <v>13</v>
      </c>
      <c r="Z248" s="52">
        <f t="shared" si="954"/>
        <v>14</v>
      </c>
      <c r="AA248" s="52">
        <f t="shared" si="954"/>
        <v>15</v>
      </c>
      <c r="AB248" s="52">
        <f t="shared" si="954"/>
        <v>16</v>
      </c>
      <c r="AC248" s="52">
        <f t="shared" si="954"/>
        <v>17</v>
      </c>
      <c r="AD248" s="52">
        <f t="shared" si="954"/>
        <v>18</v>
      </c>
      <c r="AE248" s="52">
        <f t="shared" si="954"/>
        <v>19</v>
      </c>
      <c r="AF248" s="52">
        <f t="shared" si="954"/>
        <v>20</v>
      </c>
      <c r="AG248" s="52">
        <f t="shared" si="954"/>
        <v>21</v>
      </c>
      <c r="AH248" s="52">
        <f t="shared" si="954"/>
        <v>22</v>
      </c>
      <c r="AI248" s="52">
        <f t="shared" si="954"/>
        <v>23</v>
      </c>
      <c r="AJ248" s="52">
        <f t="shared" si="954"/>
        <v>24</v>
      </c>
      <c r="AK248" s="52">
        <f t="shared" si="954"/>
        <v>25</v>
      </c>
      <c r="AL248" s="52">
        <f t="shared" si="954"/>
        <v>26</v>
      </c>
      <c r="AM248" s="52">
        <f t="shared" si="954"/>
        <v>27</v>
      </c>
      <c r="AN248" s="52">
        <f t="shared" si="954"/>
        <v>28</v>
      </c>
      <c r="AO248" s="52">
        <f t="shared" si="954"/>
        <v>29</v>
      </c>
      <c r="AP248" s="52">
        <f t="shared" si="954"/>
        <v>30</v>
      </c>
      <c r="AQ248" s="52">
        <f t="shared" si="954"/>
        <v>31</v>
      </c>
      <c r="AR248" s="52">
        <f t="shared" si="954"/>
        <v>32</v>
      </c>
      <c r="AS248" s="52">
        <f t="shared" si="954"/>
        <v>33</v>
      </c>
      <c r="AT248" s="52">
        <f t="shared" si="954"/>
        <v>34</v>
      </c>
      <c r="AU248" s="52">
        <f t="shared" si="954"/>
        <v>35</v>
      </c>
      <c r="AV248" s="52">
        <f t="shared" si="954"/>
        <v>36</v>
      </c>
      <c r="AW248" s="52">
        <f t="shared" si="954"/>
        <v>37</v>
      </c>
      <c r="AX248" s="52">
        <f t="shared" si="954"/>
        <v>38</v>
      </c>
      <c r="AY248" s="52">
        <f t="shared" si="954"/>
        <v>39</v>
      </c>
      <c r="AZ248" s="52">
        <f t="shared" si="954"/>
        <v>40</v>
      </c>
      <c r="BA248" s="52">
        <f t="shared" si="954"/>
        <v>41</v>
      </c>
      <c r="BB248" s="52">
        <f t="shared" si="954"/>
        <v>42</v>
      </c>
      <c r="BC248" s="52">
        <f t="shared" si="954"/>
        <v>43</v>
      </c>
      <c r="BD248" s="52">
        <f t="shared" si="954"/>
        <v>44</v>
      </c>
      <c r="BE248" s="52">
        <f t="shared" si="954"/>
        <v>45</v>
      </c>
      <c r="BF248" s="52" t="str">
        <f t="shared" si="954"/>
        <v/>
      </c>
      <c r="BG248" s="52" t="str">
        <f t="shared" si="954"/>
        <v/>
      </c>
      <c r="BH248" s="52" t="str">
        <f t="shared" si="954"/>
        <v/>
      </c>
      <c r="BI248" s="52" t="str">
        <f t="shared" si="954"/>
        <v/>
      </c>
      <c r="BJ248" s="52" t="str">
        <f t="shared" si="954"/>
        <v/>
      </c>
      <c r="BK248" s="52" t="str">
        <f t="shared" si="954"/>
        <v/>
      </c>
      <c r="BL248" s="52" t="str">
        <f t="shared" si="954"/>
        <v/>
      </c>
      <c r="BM248" s="52" t="str">
        <f t="shared" si="954"/>
        <v/>
      </c>
      <c r="BN248" s="52" t="str">
        <f t="shared" si="954"/>
        <v/>
      </c>
      <c r="BO248" s="52" t="str">
        <f t="shared" si="954"/>
        <v/>
      </c>
      <c r="BP248" s="52" t="str">
        <f t="shared" si="954"/>
        <v/>
      </c>
      <c r="BQ248" s="52" t="str">
        <f t="shared" si="954"/>
        <v/>
      </c>
      <c r="BR248" s="52" t="str">
        <f t="shared" si="954"/>
        <v/>
      </c>
      <c r="BS248" s="52" t="str">
        <f t="shared" si="954"/>
        <v/>
      </c>
      <c r="BT248" s="52" t="str">
        <f t="shared" si="954"/>
        <v/>
      </c>
      <c r="BU248" s="52" t="str">
        <f t="shared" si="954"/>
        <v/>
      </c>
      <c r="BV248" s="52" t="str">
        <f t="shared" si="954"/>
        <v/>
      </c>
      <c r="BW248" s="52" t="str">
        <f t="shared" si="954"/>
        <v/>
      </c>
      <c r="BX248" s="52" t="str">
        <f t="shared" si="954"/>
        <v/>
      </c>
      <c r="BY248" s="52" t="str">
        <f t="shared" ref="BY248:EJ248" si="955">BY227</f>
        <v/>
      </c>
      <c r="BZ248" s="52" t="str">
        <f t="shared" si="955"/>
        <v/>
      </c>
      <c r="CA248" s="52" t="str">
        <f t="shared" si="955"/>
        <v/>
      </c>
      <c r="CB248" s="52" t="str">
        <f t="shared" si="955"/>
        <v/>
      </c>
      <c r="CC248" s="52" t="str">
        <f t="shared" si="955"/>
        <v/>
      </c>
      <c r="CD248" s="52" t="str">
        <f t="shared" si="955"/>
        <v/>
      </c>
      <c r="CE248" s="52" t="str">
        <f t="shared" si="955"/>
        <v/>
      </c>
      <c r="CF248" s="52" t="str">
        <f t="shared" si="955"/>
        <v/>
      </c>
      <c r="CG248" s="52" t="str">
        <f t="shared" si="955"/>
        <v/>
      </c>
      <c r="CH248" s="52" t="str">
        <f t="shared" si="955"/>
        <v/>
      </c>
      <c r="CI248" s="52" t="str">
        <f t="shared" si="955"/>
        <v/>
      </c>
      <c r="CJ248" s="52" t="str">
        <f t="shared" si="955"/>
        <v/>
      </c>
      <c r="CK248" s="52" t="str">
        <f t="shared" si="955"/>
        <v/>
      </c>
      <c r="CL248" s="52" t="str">
        <f t="shared" si="955"/>
        <v/>
      </c>
      <c r="CM248" s="52" t="str">
        <f t="shared" si="955"/>
        <v/>
      </c>
      <c r="CN248" s="52" t="str">
        <f t="shared" si="955"/>
        <v/>
      </c>
      <c r="CO248" s="52" t="str">
        <f t="shared" si="955"/>
        <v/>
      </c>
      <c r="CP248" s="52" t="str">
        <f t="shared" si="955"/>
        <v/>
      </c>
      <c r="CQ248" s="52" t="str">
        <f t="shared" si="955"/>
        <v/>
      </c>
      <c r="CR248" s="52" t="str">
        <f t="shared" si="955"/>
        <v/>
      </c>
      <c r="CS248" s="52" t="str">
        <f t="shared" si="955"/>
        <v/>
      </c>
      <c r="CT248" s="52" t="str">
        <f t="shared" si="955"/>
        <v/>
      </c>
      <c r="CU248" s="52" t="str">
        <f t="shared" si="955"/>
        <v/>
      </c>
      <c r="CV248" s="52" t="str">
        <f t="shared" si="955"/>
        <v/>
      </c>
      <c r="CW248" s="52" t="str">
        <f t="shared" si="955"/>
        <v/>
      </c>
      <c r="CX248" s="52" t="str">
        <f t="shared" si="955"/>
        <v/>
      </c>
      <c r="CY248" s="52" t="str">
        <f t="shared" si="955"/>
        <v/>
      </c>
      <c r="CZ248" s="52" t="str">
        <f t="shared" si="955"/>
        <v/>
      </c>
      <c r="DA248" s="52" t="str">
        <f t="shared" si="955"/>
        <v/>
      </c>
      <c r="DB248" s="52" t="str">
        <f t="shared" si="955"/>
        <v/>
      </c>
      <c r="DC248" s="52" t="str">
        <f t="shared" si="955"/>
        <v/>
      </c>
      <c r="DD248" s="52" t="str">
        <f t="shared" si="955"/>
        <v/>
      </c>
      <c r="DE248" s="52" t="str">
        <f t="shared" si="955"/>
        <v/>
      </c>
      <c r="DF248" s="52" t="str">
        <f t="shared" si="955"/>
        <v/>
      </c>
      <c r="DG248" s="52" t="str">
        <f t="shared" si="955"/>
        <v/>
      </c>
      <c r="DH248" s="52" t="str">
        <f t="shared" si="955"/>
        <v/>
      </c>
      <c r="DI248" s="52" t="str">
        <f t="shared" si="955"/>
        <v/>
      </c>
      <c r="DJ248" s="52" t="str">
        <f t="shared" si="955"/>
        <v/>
      </c>
      <c r="DK248" s="52" t="str">
        <f t="shared" si="955"/>
        <v/>
      </c>
      <c r="DL248" s="52" t="str">
        <f t="shared" si="955"/>
        <v/>
      </c>
      <c r="DM248" s="52" t="str">
        <f t="shared" si="955"/>
        <v/>
      </c>
      <c r="DN248" s="52" t="str">
        <f t="shared" si="955"/>
        <v/>
      </c>
      <c r="DO248" s="52" t="str">
        <f t="shared" si="955"/>
        <v/>
      </c>
      <c r="DP248" s="52" t="str">
        <f t="shared" si="955"/>
        <v/>
      </c>
      <c r="DQ248" s="52" t="str">
        <f t="shared" si="955"/>
        <v/>
      </c>
      <c r="DR248" s="52" t="str">
        <f t="shared" si="955"/>
        <v/>
      </c>
      <c r="DS248" s="52" t="str">
        <f t="shared" si="955"/>
        <v/>
      </c>
      <c r="DT248" s="52" t="str">
        <f t="shared" si="955"/>
        <v/>
      </c>
      <c r="DU248" s="52" t="str">
        <f t="shared" si="955"/>
        <v/>
      </c>
      <c r="DV248" s="52" t="str">
        <f t="shared" si="955"/>
        <v/>
      </c>
      <c r="DW248" s="52" t="str">
        <f t="shared" si="955"/>
        <v/>
      </c>
      <c r="DX248" s="52" t="str">
        <f t="shared" si="955"/>
        <v/>
      </c>
      <c r="DY248" s="52" t="str">
        <f t="shared" si="955"/>
        <v/>
      </c>
      <c r="DZ248" s="52" t="str">
        <f t="shared" si="955"/>
        <v/>
      </c>
      <c r="EA248" s="52" t="str">
        <f t="shared" si="955"/>
        <v/>
      </c>
      <c r="EB248" s="52" t="str">
        <f t="shared" si="955"/>
        <v/>
      </c>
      <c r="EC248" s="52" t="str">
        <f t="shared" si="955"/>
        <v/>
      </c>
      <c r="ED248" s="52" t="str">
        <f t="shared" si="955"/>
        <v/>
      </c>
      <c r="EE248" s="52" t="str">
        <f t="shared" si="955"/>
        <v/>
      </c>
      <c r="EF248" s="52" t="str">
        <f t="shared" si="955"/>
        <v/>
      </c>
      <c r="EG248" s="52" t="str">
        <f t="shared" si="955"/>
        <v/>
      </c>
      <c r="EH248" s="52" t="str">
        <f t="shared" si="955"/>
        <v/>
      </c>
      <c r="EI248" s="52" t="str">
        <f t="shared" si="955"/>
        <v/>
      </c>
      <c r="EJ248" s="52" t="str">
        <f t="shared" si="955"/>
        <v/>
      </c>
      <c r="EK248" s="52" t="str">
        <f>EK227</f>
        <v/>
      </c>
      <c r="EL248" s="52" t="str">
        <f>EL227</f>
        <v/>
      </c>
      <c r="EM248" s="52" t="str">
        <f>EM227</f>
        <v/>
      </c>
      <c r="EN248" s="52" t="str">
        <f>EN227</f>
        <v/>
      </c>
      <c r="EP248" s="37"/>
      <c r="EQ248" s="24"/>
      <c r="ER248" s="24"/>
      <c r="ES248" s="24"/>
      <c r="ET248" s="33" t="s">
        <v>403</v>
      </c>
      <c r="EU248" s="33"/>
      <c r="EV248" s="225">
        <f t="shared" ref="EV248:GA248" si="956">(EV$197&lt;=Timing_Reversion_Month)*(EV247*((1+$EP249)^(1/12)-1))</f>
        <v>0</v>
      </c>
      <c r="EW248" s="225">
        <f t="shared" ca="1" si="956"/>
        <v>1602.5829123795984</v>
      </c>
      <c r="EX248" s="225">
        <f t="shared" ca="1" si="956"/>
        <v>1803.3684044635327</v>
      </c>
      <c r="EY248" s="225">
        <f t="shared" ca="1" si="956"/>
        <v>2074.5918213371306</v>
      </c>
      <c r="EZ248" s="225">
        <f t="shared" ca="1" si="956"/>
        <v>2484.2989708985788</v>
      </c>
      <c r="FA248" s="225">
        <f t="shared" ca="1" si="956"/>
        <v>3134.6251574103276</v>
      </c>
      <c r="FB248" s="225">
        <f t="shared" ca="1" si="956"/>
        <v>4150.5708641789552</v>
      </c>
      <c r="FC248" s="225">
        <f t="shared" ca="1" si="956"/>
        <v>5645.9495027221401</v>
      </c>
      <c r="FD248" s="225">
        <f t="shared" ca="1" si="956"/>
        <v>6448.3049913455252</v>
      </c>
      <c r="FE248" s="225">
        <f t="shared" ca="1" si="956"/>
        <v>6509.491622187441</v>
      </c>
      <c r="FF248" s="225">
        <f t="shared" ca="1" si="956"/>
        <v>6571.2588402997799</v>
      </c>
      <c r="FG248" s="225">
        <f t="shared" ca="1" si="956"/>
        <v>6633.6121547549337</v>
      </c>
      <c r="FH248" s="225">
        <f t="shared" ca="1" si="956"/>
        <v>6696.5571268997364</v>
      </c>
      <c r="FI248" s="225">
        <f t="shared" ca="1" si="956"/>
        <v>6760.0993708514934</v>
      </c>
      <c r="FJ248" s="225">
        <f t="shared" ca="1" si="956"/>
        <v>6824.2445539987093</v>
      </c>
      <c r="FK248" s="225">
        <f t="shared" ca="1" si="956"/>
        <v>6888.9983975065588</v>
      </c>
      <c r="FL248" s="225">
        <f t="shared" ca="1" si="956"/>
        <v>6954.3666768271723</v>
      </c>
      <c r="FM248" s="225">
        <f t="shared" ca="1" si="956"/>
        <v>7020.35522221475</v>
      </c>
      <c r="FN248" s="225">
        <f t="shared" ca="1" si="956"/>
        <v>7086.9699192455646</v>
      </c>
      <c r="FO248" s="225">
        <f t="shared" ca="1" si="956"/>
        <v>7154.2167093429043</v>
      </c>
      <c r="FP248" s="225">
        <f t="shared" ca="1" si="956"/>
        <v>7222.1015903069938</v>
      </c>
      <c r="FQ248" s="225">
        <f t="shared" ca="1" si="956"/>
        <v>7290.6306168499395</v>
      </c>
      <c r="FR248" s="225">
        <f t="shared" ca="1" si="956"/>
        <v>7359.8099011357599</v>
      </c>
      <c r="FS248" s="225">
        <f t="shared" ca="1" si="956"/>
        <v>7429.6456133255315</v>
      </c>
      <c r="FT248" s="225">
        <f t="shared" ca="1" si="956"/>
        <v>7500.1439821277108</v>
      </c>
      <c r="FU248" s="225">
        <f t="shared" ca="1" si="956"/>
        <v>7571.3112953536793</v>
      </c>
      <c r="FV248" s="225">
        <f t="shared" ca="1" si="956"/>
        <v>7643.15390047856</v>
      </c>
      <c r="FW248" s="225">
        <f t="shared" ca="1" si="956"/>
        <v>7715.6782052073522</v>
      </c>
      <c r="FX248" s="225">
        <f t="shared" ca="1" si="956"/>
        <v>7788.8906780464404</v>
      </c>
      <c r="FY248" s="225">
        <f t="shared" ca="1" si="956"/>
        <v>7862.7978488805265</v>
      </c>
      <c r="FZ248" s="225">
        <f t="shared" ca="1" si="956"/>
        <v>7937.4063095550382</v>
      </c>
      <c r="GA248" s="225">
        <f t="shared" ca="1" si="956"/>
        <v>8011.8270943792895</v>
      </c>
      <c r="GB248" s="225">
        <f t="shared" ref="GB248:HG248" ca="1" si="957">(GB$197&lt;=Timing_Reversion_Month)*(GB247*((1+$EP249)^(1/12)-1))</f>
        <v>8080.0331761601783</v>
      </c>
      <c r="GC248" s="225">
        <f t="shared" ca="1" si="957"/>
        <v>8135.131227116789</v>
      </c>
      <c r="GD248" s="225">
        <f t="shared" ca="1" si="957"/>
        <v>8174.0614101028686</v>
      </c>
      <c r="GE248" s="225">
        <f t="shared" ca="1" si="957"/>
        <v>8212.8867559572573</v>
      </c>
      <c r="GF248" s="225">
        <f t="shared" ca="1" si="957"/>
        <v>8251.6062699021168</v>
      </c>
      <c r="GG248" s="225">
        <f t="shared" ca="1" si="957"/>
        <v>8290.2189477203738</v>
      </c>
      <c r="GH248" s="225">
        <f t="shared" ca="1" si="957"/>
        <v>8328.7237756661452</v>
      </c>
      <c r="GI248" s="225">
        <f t="shared" ca="1" si="957"/>
        <v>8367.1197303743211</v>
      </c>
      <c r="GJ248" s="225">
        <f t="shared" ca="1" si="957"/>
        <v>8405.4057787692982</v>
      </c>
      <c r="GK248" s="225">
        <f t="shared" ca="1" si="957"/>
        <v>8443.5808779728231</v>
      </c>
      <c r="GL248" s="225">
        <f t="shared" ca="1" si="957"/>
        <v>8481.6439752109964</v>
      </c>
      <c r="GM248" s="225">
        <f t="shared" ca="1" si="957"/>
        <v>8519.5940077203577</v>
      </c>
      <c r="GN248" s="225">
        <f t="shared" ca="1" si="957"/>
        <v>8563.2855730949759</v>
      </c>
      <c r="GO248" s="225">
        <f t="shared" ca="1" si="957"/>
        <v>8606.9032539821619</v>
      </c>
      <c r="GP248" s="225">
        <f t="shared" ca="1" si="957"/>
        <v>0</v>
      </c>
      <c r="GQ248" s="225">
        <f t="shared" ca="1" si="957"/>
        <v>0</v>
      </c>
      <c r="GR248" s="225">
        <f t="shared" ca="1" si="957"/>
        <v>0</v>
      </c>
      <c r="GS248" s="225">
        <f t="shared" ca="1" si="957"/>
        <v>0</v>
      </c>
      <c r="GT248" s="225">
        <f t="shared" ca="1" si="957"/>
        <v>0</v>
      </c>
      <c r="GU248" s="225">
        <f t="shared" ca="1" si="957"/>
        <v>0</v>
      </c>
      <c r="GV248" s="225">
        <f t="shared" ca="1" si="957"/>
        <v>0</v>
      </c>
      <c r="GW248" s="225">
        <f t="shared" ca="1" si="957"/>
        <v>0</v>
      </c>
      <c r="GX248" s="225">
        <f t="shared" ca="1" si="957"/>
        <v>0</v>
      </c>
      <c r="GY248" s="225">
        <f t="shared" ca="1" si="957"/>
        <v>0</v>
      </c>
      <c r="GZ248" s="225">
        <f t="shared" ca="1" si="957"/>
        <v>0</v>
      </c>
      <c r="HA248" s="225">
        <f t="shared" ca="1" si="957"/>
        <v>0</v>
      </c>
      <c r="HB248" s="225">
        <f t="shared" ca="1" si="957"/>
        <v>0</v>
      </c>
      <c r="HC248" s="225">
        <f t="shared" ca="1" si="957"/>
        <v>0</v>
      </c>
      <c r="HD248" s="225">
        <f t="shared" ca="1" si="957"/>
        <v>0</v>
      </c>
      <c r="HE248" s="225">
        <f t="shared" ca="1" si="957"/>
        <v>0</v>
      </c>
      <c r="HF248" s="225">
        <f t="shared" ca="1" si="957"/>
        <v>0</v>
      </c>
      <c r="HG248" s="225">
        <f t="shared" ca="1" si="957"/>
        <v>0</v>
      </c>
      <c r="HH248" s="225">
        <f t="shared" ref="HH248:IM248" ca="1" si="958">(HH$197&lt;=Timing_Reversion_Month)*(HH247*((1+$EP249)^(1/12)-1))</f>
        <v>0</v>
      </c>
      <c r="HI248" s="225">
        <f t="shared" ca="1" si="958"/>
        <v>0</v>
      </c>
      <c r="HJ248" s="225">
        <f t="shared" ca="1" si="958"/>
        <v>0</v>
      </c>
      <c r="HK248" s="225">
        <f t="shared" ca="1" si="958"/>
        <v>0</v>
      </c>
      <c r="HL248" s="225">
        <f t="shared" ca="1" si="958"/>
        <v>0</v>
      </c>
      <c r="HM248" s="225">
        <f t="shared" ca="1" si="958"/>
        <v>0</v>
      </c>
      <c r="HN248" s="225">
        <f t="shared" ca="1" si="958"/>
        <v>0</v>
      </c>
      <c r="HO248" s="225">
        <f t="shared" ca="1" si="958"/>
        <v>0</v>
      </c>
      <c r="HP248" s="225">
        <f t="shared" ca="1" si="958"/>
        <v>0</v>
      </c>
      <c r="HQ248" s="225">
        <f t="shared" ca="1" si="958"/>
        <v>0</v>
      </c>
      <c r="HR248" s="225">
        <f t="shared" ca="1" si="958"/>
        <v>0</v>
      </c>
      <c r="HS248" s="225">
        <f t="shared" ca="1" si="958"/>
        <v>0</v>
      </c>
      <c r="HT248" s="225">
        <f t="shared" ca="1" si="958"/>
        <v>0</v>
      </c>
      <c r="HU248" s="225">
        <f t="shared" ca="1" si="958"/>
        <v>0</v>
      </c>
      <c r="HV248" s="225">
        <f t="shared" ca="1" si="958"/>
        <v>0</v>
      </c>
      <c r="HW248" s="225">
        <f t="shared" ca="1" si="958"/>
        <v>0</v>
      </c>
      <c r="HX248" s="225">
        <f t="shared" ca="1" si="958"/>
        <v>0</v>
      </c>
      <c r="HY248" s="225">
        <f t="shared" ca="1" si="958"/>
        <v>0</v>
      </c>
      <c r="HZ248" s="225">
        <f t="shared" ca="1" si="958"/>
        <v>0</v>
      </c>
      <c r="IA248" s="225">
        <f t="shared" ca="1" si="958"/>
        <v>0</v>
      </c>
      <c r="IB248" s="225">
        <f t="shared" ca="1" si="958"/>
        <v>0</v>
      </c>
      <c r="IC248" s="225">
        <f t="shared" ca="1" si="958"/>
        <v>0</v>
      </c>
      <c r="ID248" s="225">
        <f t="shared" ca="1" si="958"/>
        <v>0</v>
      </c>
      <c r="IE248" s="225">
        <f t="shared" ca="1" si="958"/>
        <v>0</v>
      </c>
      <c r="IF248" s="225">
        <f t="shared" ca="1" si="958"/>
        <v>0</v>
      </c>
      <c r="IG248" s="225">
        <f t="shared" ca="1" si="958"/>
        <v>0</v>
      </c>
      <c r="IH248" s="225">
        <f t="shared" ca="1" si="958"/>
        <v>0</v>
      </c>
      <c r="II248" s="225">
        <f t="shared" ca="1" si="958"/>
        <v>0</v>
      </c>
      <c r="IJ248" s="225">
        <f t="shared" ca="1" si="958"/>
        <v>0</v>
      </c>
      <c r="IK248" s="225">
        <f t="shared" ca="1" si="958"/>
        <v>0</v>
      </c>
      <c r="IL248" s="225">
        <f t="shared" ca="1" si="958"/>
        <v>0</v>
      </c>
      <c r="IM248" s="225">
        <f t="shared" ca="1" si="958"/>
        <v>0</v>
      </c>
      <c r="IN248" s="225">
        <f t="shared" ref="IN248:JS248" ca="1" si="959">(IN$197&lt;=Timing_Reversion_Month)*(IN247*((1+$EP249)^(1/12)-1))</f>
        <v>0</v>
      </c>
      <c r="IO248" s="225">
        <f t="shared" ca="1" si="959"/>
        <v>0</v>
      </c>
      <c r="IP248" s="225">
        <f t="shared" ca="1" si="959"/>
        <v>0</v>
      </c>
      <c r="IQ248" s="225">
        <f t="shared" ca="1" si="959"/>
        <v>0</v>
      </c>
      <c r="IR248" s="225">
        <f t="shared" ca="1" si="959"/>
        <v>0</v>
      </c>
      <c r="IS248" s="225">
        <f t="shared" ca="1" si="959"/>
        <v>0</v>
      </c>
      <c r="IT248" s="225">
        <f t="shared" ca="1" si="959"/>
        <v>0</v>
      </c>
      <c r="IU248" s="225">
        <f t="shared" ca="1" si="959"/>
        <v>0</v>
      </c>
      <c r="IV248" s="225">
        <f t="shared" ca="1" si="959"/>
        <v>0</v>
      </c>
      <c r="IW248" s="225">
        <f t="shared" ca="1" si="959"/>
        <v>0</v>
      </c>
      <c r="IX248" s="225">
        <f t="shared" ca="1" si="959"/>
        <v>0</v>
      </c>
      <c r="IY248" s="225">
        <f t="shared" ca="1" si="959"/>
        <v>0</v>
      </c>
      <c r="IZ248" s="225">
        <f t="shared" ca="1" si="959"/>
        <v>0</v>
      </c>
      <c r="JA248" s="225">
        <f t="shared" ca="1" si="959"/>
        <v>0</v>
      </c>
      <c r="JB248" s="225">
        <f t="shared" ca="1" si="959"/>
        <v>0</v>
      </c>
      <c r="JC248" s="225">
        <f t="shared" ca="1" si="959"/>
        <v>0</v>
      </c>
      <c r="JD248" s="225">
        <f t="shared" ca="1" si="959"/>
        <v>0</v>
      </c>
      <c r="JE248" s="225">
        <f t="shared" ca="1" si="959"/>
        <v>0</v>
      </c>
      <c r="JF248" s="225">
        <f t="shared" ca="1" si="959"/>
        <v>0</v>
      </c>
      <c r="JG248" s="225">
        <f t="shared" ca="1" si="959"/>
        <v>0</v>
      </c>
      <c r="JH248" s="225">
        <f t="shared" ca="1" si="959"/>
        <v>0</v>
      </c>
      <c r="JI248" s="225">
        <f t="shared" ca="1" si="959"/>
        <v>0</v>
      </c>
      <c r="JJ248" s="225">
        <f t="shared" ca="1" si="959"/>
        <v>0</v>
      </c>
      <c r="JK248" s="225">
        <f t="shared" ca="1" si="959"/>
        <v>0</v>
      </c>
      <c r="JL248" s="225">
        <f t="shared" ca="1" si="959"/>
        <v>0</v>
      </c>
      <c r="JM248" s="225">
        <f t="shared" ca="1" si="959"/>
        <v>0</v>
      </c>
      <c r="JN248" s="225">
        <f t="shared" ca="1" si="959"/>
        <v>0</v>
      </c>
      <c r="JO248" s="225">
        <f t="shared" ca="1" si="959"/>
        <v>0</v>
      </c>
      <c r="JP248" s="225">
        <f t="shared" ca="1" si="959"/>
        <v>0</v>
      </c>
      <c r="JQ248" s="225">
        <f t="shared" ca="1" si="959"/>
        <v>0</v>
      </c>
      <c r="JR248" s="225">
        <f t="shared" ca="1" si="959"/>
        <v>0</v>
      </c>
      <c r="JS248" s="225">
        <f t="shared" ca="1" si="959"/>
        <v>0</v>
      </c>
      <c r="JT248" s="225">
        <f ca="1">(JT$197&lt;=Timing_Reversion_Month)*(JT247*((1+$EP249)^(1/12)-1))</f>
        <v>0</v>
      </c>
      <c r="JU248" s="225">
        <f ca="1">(JU$197&lt;=Timing_Reversion_Month)*(JU247*((1+$EP249)^(1/12)-1))</f>
        <v>0</v>
      </c>
      <c r="JV248" s="225">
        <f ca="1">(JV$197&lt;=Timing_Reversion_Month)*(JV247*((1+$EP249)^(1/12)-1))</f>
        <v>0</v>
      </c>
      <c r="JW248" s="225">
        <f ca="1">(JW$197&lt;=Timing_Reversion_Month)*(JW247*((1+$EP249)^(1/12)-1))</f>
        <v>0</v>
      </c>
      <c r="JX248" s="225">
        <f ca="1">(JX$197&lt;=Timing_Reversion_Month)*(JX247*((1+$EP249)^(1/12)-1))</f>
        <v>0</v>
      </c>
    </row>
    <row r="249" spans="1:284" s="7" customFormat="1" ht="0.6" customHeight="1" x14ac:dyDescent="0.2">
      <c r="A249" s="406"/>
      <c r="B249" s="231" t="s">
        <v>393</v>
      </c>
      <c r="C249" s="232" t="s">
        <v>395</v>
      </c>
      <c r="D249" s="233"/>
      <c r="E249" s="249">
        <f>H249</f>
        <v>0.1</v>
      </c>
      <c r="F249" s="249"/>
      <c r="G249" s="233"/>
      <c r="H249" s="236">
        <v>0.1</v>
      </c>
      <c r="I249" s="237">
        <f ca="1">SUM(L249:EN249)</f>
        <v>73186.071360617687</v>
      </c>
      <c r="L249" s="38">
        <f t="shared" ref="L249:U250" ca="1" si="960">IF(L$227="","",L$228*$H249)</f>
        <v>18765.797638306463</v>
      </c>
      <c r="M249" s="38">
        <f t="shared" ca="1" si="960"/>
        <v>2173.0771816496031</v>
      </c>
      <c r="N249" s="38">
        <f t="shared" ca="1" si="960"/>
        <v>2975.5760793080613</v>
      </c>
      <c r="O249" s="38">
        <f t="shared" ca="1" si="960"/>
        <v>4567.0459179682457</v>
      </c>
      <c r="P249" s="38">
        <f t="shared" ca="1" si="960"/>
        <v>7339.1045194076287</v>
      </c>
      <c r="Q249" s="38">
        <f t="shared" ca="1" si="960"/>
        <v>11548.148367370835</v>
      </c>
      <c r="R249" s="38">
        <f t="shared" ca="1" si="960"/>
        <v>17049.291037806306</v>
      </c>
      <c r="S249" s="38">
        <f t="shared" ca="1" si="960"/>
        <v>8768.030618800547</v>
      </c>
      <c r="T249" s="38">
        <f t="shared" ca="1" si="960"/>
        <v>0</v>
      </c>
      <c r="U249" s="38">
        <f t="shared" ca="1" si="960"/>
        <v>0</v>
      </c>
      <c r="V249" s="38">
        <f t="shared" ref="V249:AE250" ca="1" si="961">IF(V$227="","",V$228*$H249)</f>
        <v>0</v>
      </c>
      <c r="W249" s="38">
        <f t="shared" ca="1" si="961"/>
        <v>0</v>
      </c>
      <c r="X249" s="38">
        <f t="shared" ca="1" si="961"/>
        <v>0</v>
      </c>
      <c r="Y249" s="38">
        <f t="shared" ca="1" si="961"/>
        <v>0</v>
      </c>
      <c r="Z249" s="38">
        <f t="shared" ca="1" si="961"/>
        <v>0</v>
      </c>
      <c r="AA249" s="38">
        <f t="shared" ca="1" si="961"/>
        <v>0</v>
      </c>
      <c r="AB249" s="38">
        <f t="shared" ca="1" si="961"/>
        <v>0</v>
      </c>
      <c r="AC249" s="38">
        <f t="shared" ca="1" si="961"/>
        <v>0</v>
      </c>
      <c r="AD249" s="38">
        <f t="shared" ca="1" si="961"/>
        <v>0</v>
      </c>
      <c r="AE249" s="38">
        <f t="shared" ca="1" si="961"/>
        <v>0</v>
      </c>
      <c r="AF249" s="38">
        <f t="shared" ref="AF249:AO250" ca="1" si="962">IF(AF$227="","",AF$228*$H249)</f>
        <v>0</v>
      </c>
      <c r="AG249" s="38">
        <f t="shared" ca="1" si="962"/>
        <v>0</v>
      </c>
      <c r="AH249" s="38">
        <f t="shared" ca="1" si="962"/>
        <v>0</v>
      </c>
      <c r="AI249" s="38">
        <f t="shared" ca="1" si="962"/>
        <v>0</v>
      </c>
      <c r="AJ249" s="38">
        <f t="shared" ca="1" si="962"/>
        <v>5.4569682106375705E-14</v>
      </c>
      <c r="AK249" s="38">
        <f t="shared" ca="1" si="962"/>
        <v>0</v>
      </c>
      <c r="AL249" s="38">
        <f t="shared" ca="1" si="962"/>
        <v>0</v>
      </c>
      <c r="AM249" s="38">
        <f t="shared" ca="1" si="962"/>
        <v>0</v>
      </c>
      <c r="AN249" s="38">
        <f t="shared" ca="1" si="962"/>
        <v>0</v>
      </c>
      <c r="AO249" s="38">
        <f t="shared" ca="1" si="962"/>
        <v>0</v>
      </c>
      <c r="AP249" s="38">
        <f t="shared" ref="AP249:AY250" ca="1" si="963">IF(AP$227="","",AP$228*$H249)</f>
        <v>0</v>
      </c>
      <c r="AQ249" s="38">
        <f t="shared" ca="1" si="963"/>
        <v>0</v>
      </c>
      <c r="AR249" s="38">
        <f t="shared" ca="1" si="963"/>
        <v>0</v>
      </c>
      <c r="AS249" s="38">
        <f t="shared" ca="1" si="963"/>
        <v>0</v>
      </c>
      <c r="AT249" s="38">
        <f t="shared" ca="1" si="963"/>
        <v>0</v>
      </c>
      <c r="AU249" s="38">
        <f t="shared" ca="1" si="963"/>
        <v>0</v>
      </c>
      <c r="AV249" s="38">
        <f t="shared" ca="1" si="963"/>
        <v>0</v>
      </c>
      <c r="AW249" s="38">
        <f t="shared" ca="1" si="963"/>
        <v>0</v>
      </c>
      <c r="AX249" s="38">
        <f t="shared" ca="1" si="963"/>
        <v>0</v>
      </c>
      <c r="AY249" s="38">
        <f t="shared" ca="1" si="963"/>
        <v>0</v>
      </c>
      <c r="AZ249" s="38">
        <f t="shared" ref="AZ249:BI250" ca="1" si="964">IF(AZ$227="","",AZ$228*$H249)</f>
        <v>0</v>
      </c>
      <c r="BA249" s="38">
        <f t="shared" ca="1" si="964"/>
        <v>0</v>
      </c>
      <c r="BB249" s="38">
        <f t="shared" ca="1" si="964"/>
        <v>0</v>
      </c>
      <c r="BC249" s="38">
        <f t="shared" ca="1" si="964"/>
        <v>0</v>
      </c>
      <c r="BD249" s="38">
        <f t="shared" ca="1" si="964"/>
        <v>0</v>
      </c>
      <c r="BE249" s="38">
        <f t="shared" ca="1" si="964"/>
        <v>0</v>
      </c>
      <c r="BF249" s="38" t="str">
        <f t="shared" si="964"/>
        <v/>
      </c>
      <c r="BG249" s="38" t="str">
        <f t="shared" si="964"/>
        <v/>
      </c>
      <c r="BH249" s="38" t="str">
        <f t="shared" si="964"/>
        <v/>
      </c>
      <c r="BI249" s="38" t="str">
        <f t="shared" si="964"/>
        <v/>
      </c>
      <c r="BJ249" s="38" t="str">
        <f t="shared" ref="BJ249:BS250" si="965">IF(BJ$227="","",BJ$228*$H249)</f>
        <v/>
      </c>
      <c r="BK249" s="38" t="str">
        <f t="shared" si="965"/>
        <v/>
      </c>
      <c r="BL249" s="38" t="str">
        <f t="shared" si="965"/>
        <v/>
      </c>
      <c r="BM249" s="38" t="str">
        <f t="shared" si="965"/>
        <v/>
      </c>
      <c r="BN249" s="38" t="str">
        <f t="shared" si="965"/>
        <v/>
      </c>
      <c r="BO249" s="38" t="str">
        <f t="shared" si="965"/>
        <v/>
      </c>
      <c r="BP249" s="38" t="str">
        <f t="shared" si="965"/>
        <v/>
      </c>
      <c r="BQ249" s="38" t="str">
        <f t="shared" si="965"/>
        <v/>
      </c>
      <c r="BR249" s="38" t="str">
        <f t="shared" si="965"/>
        <v/>
      </c>
      <c r="BS249" s="38" t="str">
        <f t="shared" si="965"/>
        <v/>
      </c>
      <c r="BT249" s="38" t="str">
        <f t="shared" ref="BT249:CC250" si="966">IF(BT$227="","",BT$228*$H249)</f>
        <v/>
      </c>
      <c r="BU249" s="38" t="str">
        <f t="shared" si="966"/>
        <v/>
      </c>
      <c r="BV249" s="38" t="str">
        <f t="shared" si="966"/>
        <v/>
      </c>
      <c r="BW249" s="38" t="str">
        <f t="shared" si="966"/>
        <v/>
      </c>
      <c r="BX249" s="38" t="str">
        <f t="shared" si="966"/>
        <v/>
      </c>
      <c r="BY249" s="38" t="str">
        <f t="shared" si="966"/>
        <v/>
      </c>
      <c r="BZ249" s="38" t="str">
        <f t="shared" si="966"/>
        <v/>
      </c>
      <c r="CA249" s="38" t="str">
        <f t="shared" si="966"/>
        <v/>
      </c>
      <c r="CB249" s="38" t="str">
        <f t="shared" si="966"/>
        <v/>
      </c>
      <c r="CC249" s="38" t="str">
        <f t="shared" si="966"/>
        <v/>
      </c>
      <c r="CD249" s="38" t="str">
        <f t="shared" ref="CD249:CM250" si="967">IF(CD$227="","",CD$228*$H249)</f>
        <v/>
      </c>
      <c r="CE249" s="38" t="str">
        <f t="shared" si="967"/>
        <v/>
      </c>
      <c r="CF249" s="38" t="str">
        <f t="shared" si="967"/>
        <v/>
      </c>
      <c r="CG249" s="38" t="str">
        <f t="shared" si="967"/>
        <v/>
      </c>
      <c r="CH249" s="38" t="str">
        <f t="shared" si="967"/>
        <v/>
      </c>
      <c r="CI249" s="38" t="str">
        <f t="shared" si="967"/>
        <v/>
      </c>
      <c r="CJ249" s="38" t="str">
        <f t="shared" si="967"/>
        <v/>
      </c>
      <c r="CK249" s="38" t="str">
        <f t="shared" si="967"/>
        <v/>
      </c>
      <c r="CL249" s="38" t="str">
        <f t="shared" si="967"/>
        <v/>
      </c>
      <c r="CM249" s="38" t="str">
        <f t="shared" si="967"/>
        <v/>
      </c>
      <c r="CN249" s="38" t="str">
        <f t="shared" ref="CN249:CW250" si="968">IF(CN$227="","",CN$228*$H249)</f>
        <v/>
      </c>
      <c r="CO249" s="38" t="str">
        <f t="shared" si="968"/>
        <v/>
      </c>
      <c r="CP249" s="38" t="str">
        <f t="shared" si="968"/>
        <v/>
      </c>
      <c r="CQ249" s="38" t="str">
        <f t="shared" si="968"/>
        <v/>
      </c>
      <c r="CR249" s="38" t="str">
        <f t="shared" si="968"/>
        <v/>
      </c>
      <c r="CS249" s="38" t="str">
        <f t="shared" si="968"/>
        <v/>
      </c>
      <c r="CT249" s="38" t="str">
        <f t="shared" si="968"/>
        <v/>
      </c>
      <c r="CU249" s="38" t="str">
        <f t="shared" si="968"/>
        <v/>
      </c>
      <c r="CV249" s="38" t="str">
        <f t="shared" si="968"/>
        <v/>
      </c>
      <c r="CW249" s="38" t="str">
        <f t="shared" si="968"/>
        <v/>
      </c>
      <c r="CX249" s="38" t="str">
        <f t="shared" ref="CX249:DG250" si="969">IF(CX$227="","",CX$228*$H249)</f>
        <v/>
      </c>
      <c r="CY249" s="38" t="str">
        <f t="shared" si="969"/>
        <v/>
      </c>
      <c r="CZ249" s="38" t="str">
        <f t="shared" si="969"/>
        <v/>
      </c>
      <c r="DA249" s="38" t="str">
        <f t="shared" si="969"/>
        <v/>
      </c>
      <c r="DB249" s="38" t="str">
        <f t="shared" si="969"/>
        <v/>
      </c>
      <c r="DC249" s="38" t="str">
        <f t="shared" si="969"/>
        <v/>
      </c>
      <c r="DD249" s="38" t="str">
        <f t="shared" si="969"/>
        <v/>
      </c>
      <c r="DE249" s="38" t="str">
        <f t="shared" si="969"/>
        <v/>
      </c>
      <c r="DF249" s="38" t="str">
        <f t="shared" si="969"/>
        <v/>
      </c>
      <c r="DG249" s="38" t="str">
        <f t="shared" si="969"/>
        <v/>
      </c>
      <c r="DH249" s="38" t="str">
        <f t="shared" ref="DH249:DQ250" si="970">IF(DH$227="","",DH$228*$H249)</f>
        <v/>
      </c>
      <c r="DI249" s="38" t="str">
        <f t="shared" si="970"/>
        <v/>
      </c>
      <c r="DJ249" s="38" t="str">
        <f t="shared" si="970"/>
        <v/>
      </c>
      <c r="DK249" s="38" t="str">
        <f t="shared" si="970"/>
        <v/>
      </c>
      <c r="DL249" s="38" t="str">
        <f t="shared" si="970"/>
        <v/>
      </c>
      <c r="DM249" s="38" t="str">
        <f t="shared" si="970"/>
        <v/>
      </c>
      <c r="DN249" s="38" t="str">
        <f t="shared" si="970"/>
        <v/>
      </c>
      <c r="DO249" s="38" t="str">
        <f t="shared" si="970"/>
        <v/>
      </c>
      <c r="DP249" s="38" t="str">
        <f t="shared" si="970"/>
        <v/>
      </c>
      <c r="DQ249" s="38" t="str">
        <f t="shared" si="970"/>
        <v/>
      </c>
      <c r="DR249" s="38" t="str">
        <f t="shared" ref="DR249:EA250" si="971">IF(DR$227="","",DR$228*$H249)</f>
        <v/>
      </c>
      <c r="DS249" s="38" t="str">
        <f t="shared" si="971"/>
        <v/>
      </c>
      <c r="DT249" s="38" t="str">
        <f t="shared" si="971"/>
        <v/>
      </c>
      <c r="DU249" s="38" t="str">
        <f t="shared" si="971"/>
        <v/>
      </c>
      <c r="DV249" s="38" t="str">
        <f t="shared" si="971"/>
        <v/>
      </c>
      <c r="DW249" s="38" t="str">
        <f t="shared" si="971"/>
        <v/>
      </c>
      <c r="DX249" s="38" t="str">
        <f t="shared" si="971"/>
        <v/>
      </c>
      <c r="DY249" s="38" t="str">
        <f t="shared" si="971"/>
        <v/>
      </c>
      <c r="DZ249" s="38" t="str">
        <f t="shared" si="971"/>
        <v/>
      </c>
      <c r="EA249" s="38" t="str">
        <f t="shared" si="971"/>
        <v/>
      </c>
      <c r="EB249" s="38" t="str">
        <f t="shared" ref="EB249:EN250" si="972">IF(EB$227="","",EB$228*$H249)</f>
        <v/>
      </c>
      <c r="EC249" s="38" t="str">
        <f t="shared" si="972"/>
        <v/>
      </c>
      <c r="ED249" s="38" t="str">
        <f t="shared" si="972"/>
        <v/>
      </c>
      <c r="EE249" s="38" t="str">
        <f t="shared" si="972"/>
        <v/>
      </c>
      <c r="EF249" s="38" t="str">
        <f t="shared" si="972"/>
        <v/>
      </c>
      <c r="EG249" s="38" t="str">
        <f t="shared" si="972"/>
        <v/>
      </c>
      <c r="EH249" s="38" t="str">
        <f t="shared" si="972"/>
        <v/>
      </c>
      <c r="EI249" s="38" t="str">
        <f t="shared" si="972"/>
        <v/>
      </c>
      <c r="EJ249" s="38" t="str">
        <f t="shared" si="972"/>
        <v/>
      </c>
      <c r="EK249" s="38" t="str">
        <f t="shared" si="972"/>
        <v/>
      </c>
      <c r="EL249" s="38" t="str">
        <f t="shared" si="972"/>
        <v/>
      </c>
      <c r="EM249" s="38" t="str">
        <f t="shared" si="972"/>
        <v/>
      </c>
      <c r="EN249" s="38" t="str">
        <f t="shared" si="972"/>
        <v/>
      </c>
      <c r="EP249" s="220">
        <f>F255</f>
        <v>0.12</v>
      </c>
      <c r="EQ249" s="24" t="s">
        <v>376</v>
      </c>
      <c r="ER249" s="24"/>
      <c r="ES249" s="24"/>
      <c r="ET249" s="33" t="s">
        <v>383</v>
      </c>
      <c r="EU249" s="33"/>
      <c r="EV249" s="225">
        <f ca="1">EV241</f>
        <v>0</v>
      </c>
      <c r="EW249" s="225">
        <f t="shared" ref="EW249:HH249" ca="1" si="973">EW241</f>
        <v>0</v>
      </c>
      <c r="EX249" s="225">
        <f t="shared" ca="1" si="973"/>
        <v>0</v>
      </c>
      <c r="EY249" s="225">
        <f t="shared" ca="1" si="973"/>
        <v>0</v>
      </c>
      <c r="EZ249" s="225">
        <f t="shared" ca="1" si="973"/>
        <v>0</v>
      </c>
      <c r="FA249" s="225">
        <f t="shared" ca="1" si="973"/>
        <v>0</v>
      </c>
      <c r="FB249" s="225">
        <f t="shared" ca="1" si="973"/>
        <v>0</v>
      </c>
      <c r="FC249" s="225">
        <f t="shared" ca="1" si="973"/>
        <v>0</v>
      </c>
      <c r="FD249" s="225">
        <f t="shared" ca="1" si="973"/>
        <v>0</v>
      </c>
      <c r="FE249" s="225">
        <f t="shared" ca="1" si="973"/>
        <v>0</v>
      </c>
      <c r="FF249" s="225">
        <f t="shared" ca="1" si="973"/>
        <v>0</v>
      </c>
      <c r="FG249" s="225">
        <f t="shared" ca="1" si="973"/>
        <v>0</v>
      </c>
      <c r="FH249" s="225">
        <f t="shared" ca="1" si="973"/>
        <v>0</v>
      </c>
      <c r="FI249" s="225">
        <f t="shared" ca="1" si="973"/>
        <v>0</v>
      </c>
      <c r="FJ249" s="225">
        <f t="shared" ca="1" si="973"/>
        <v>0</v>
      </c>
      <c r="FK249" s="225">
        <f t="shared" ca="1" si="973"/>
        <v>0</v>
      </c>
      <c r="FL249" s="225">
        <f t="shared" ca="1" si="973"/>
        <v>0</v>
      </c>
      <c r="FM249" s="225">
        <f t="shared" ca="1" si="973"/>
        <v>0</v>
      </c>
      <c r="FN249" s="225">
        <f t="shared" ca="1" si="973"/>
        <v>0</v>
      </c>
      <c r="FO249" s="225">
        <f t="shared" ca="1" si="973"/>
        <v>0</v>
      </c>
      <c r="FP249" s="225">
        <f t="shared" ca="1" si="973"/>
        <v>6.5483618527650841E-13</v>
      </c>
      <c r="FQ249" s="225">
        <f t="shared" ca="1" si="973"/>
        <v>0</v>
      </c>
      <c r="FR249" s="225">
        <f t="shared" ca="1" si="973"/>
        <v>0</v>
      </c>
      <c r="FS249" s="225">
        <f t="shared" ca="1" si="973"/>
        <v>4.0927261579781772E-13</v>
      </c>
      <c r="FT249" s="225">
        <f t="shared" ca="1" si="973"/>
        <v>0</v>
      </c>
      <c r="FU249" s="225">
        <f t="shared" ca="1" si="973"/>
        <v>0</v>
      </c>
      <c r="FV249" s="225">
        <f t="shared" ca="1" si="973"/>
        <v>0</v>
      </c>
      <c r="FW249" s="225">
        <f t="shared" ca="1" si="973"/>
        <v>0</v>
      </c>
      <c r="FX249" s="225">
        <f t="shared" ca="1" si="973"/>
        <v>0</v>
      </c>
      <c r="FY249" s="225">
        <f t="shared" ca="1" si="973"/>
        <v>0</v>
      </c>
      <c r="FZ249" s="225">
        <f t="shared" ca="1" si="973"/>
        <v>94.387146072673062</v>
      </c>
      <c r="GA249" s="225">
        <f t="shared" ca="1" si="973"/>
        <v>823.75983955459981</v>
      </c>
      <c r="GB249" s="225">
        <f t="shared" ca="1" si="973"/>
        <v>2273.388291351002</v>
      </c>
      <c r="GC249" s="225">
        <f t="shared" ca="1" si="973"/>
        <v>4032.3772462395837</v>
      </c>
      <c r="GD249" s="225">
        <f t="shared" ca="1" si="973"/>
        <v>4082.3559506145848</v>
      </c>
      <c r="GE249" s="225">
        <f t="shared" ca="1" si="973"/>
        <v>4132.3346549895878</v>
      </c>
      <c r="GF249" s="225">
        <f t="shared" ca="1" si="973"/>
        <v>4182.3133593645862</v>
      </c>
      <c r="GG249" s="225">
        <f t="shared" ca="1" si="973"/>
        <v>4232.2920637395837</v>
      </c>
      <c r="GH249" s="225">
        <f t="shared" ca="1" si="973"/>
        <v>4282.2707681145821</v>
      </c>
      <c r="GI249" s="225">
        <f t="shared" ca="1" si="973"/>
        <v>4332.2494724895851</v>
      </c>
      <c r="GJ249" s="225">
        <f t="shared" ca="1" si="973"/>
        <v>4382.2281768645835</v>
      </c>
      <c r="GK249" s="225">
        <f t="shared" ca="1" si="973"/>
        <v>4432.2068812395864</v>
      </c>
      <c r="GL249" s="225">
        <f t="shared" ca="1" si="973"/>
        <v>4482.1855856145876</v>
      </c>
      <c r="GM249" s="225">
        <f t="shared" ca="1" si="973"/>
        <v>3915.0499233637129</v>
      </c>
      <c r="GN249" s="225">
        <f t="shared" ca="1" si="973"/>
        <v>3966.5279888699611</v>
      </c>
      <c r="GO249" s="225">
        <f t="shared" ca="1" si="973"/>
        <v>829705.83273058594</v>
      </c>
      <c r="GP249" s="225">
        <f t="shared" ca="1" si="973"/>
        <v>0</v>
      </c>
      <c r="GQ249" s="225">
        <f t="shared" ca="1" si="973"/>
        <v>0</v>
      </c>
      <c r="GR249" s="225">
        <f t="shared" ca="1" si="973"/>
        <v>0</v>
      </c>
      <c r="GS249" s="225">
        <f t="shared" ca="1" si="973"/>
        <v>0</v>
      </c>
      <c r="GT249" s="225">
        <f t="shared" ca="1" si="973"/>
        <v>0</v>
      </c>
      <c r="GU249" s="225">
        <f t="shared" ca="1" si="973"/>
        <v>0</v>
      </c>
      <c r="GV249" s="225">
        <f t="shared" ca="1" si="973"/>
        <v>0</v>
      </c>
      <c r="GW249" s="225">
        <f t="shared" ca="1" si="973"/>
        <v>0</v>
      </c>
      <c r="GX249" s="225">
        <f t="shared" ca="1" si="973"/>
        <v>0</v>
      </c>
      <c r="GY249" s="225">
        <f t="shared" ca="1" si="973"/>
        <v>0</v>
      </c>
      <c r="GZ249" s="225">
        <f t="shared" ca="1" si="973"/>
        <v>0</v>
      </c>
      <c r="HA249" s="225">
        <f t="shared" ca="1" si="973"/>
        <v>0</v>
      </c>
      <c r="HB249" s="225">
        <f t="shared" ca="1" si="973"/>
        <v>0</v>
      </c>
      <c r="HC249" s="225">
        <f t="shared" ca="1" si="973"/>
        <v>0</v>
      </c>
      <c r="HD249" s="225">
        <f t="shared" ca="1" si="973"/>
        <v>0</v>
      </c>
      <c r="HE249" s="225">
        <f t="shared" ca="1" si="973"/>
        <v>0</v>
      </c>
      <c r="HF249" s="225">
        <f t="shared" ca="1" si="973"/>
        <v>0</v>
      </c>
      <c r="HG249" s="225">
        <f t="shared" ca="1" si="973"/>
        <v>0</v>
      </c>
      <c r="HH249" s="225">
        <f t="shared" ca="1" si="973"/>
        <v>0</v>
      </c>
      <c r="HI249" s="225">
        <f t="shared" ref="HI249:JT249" ca="1" si="974">HI241</f>
        <v>0</v>
      </c>
      <c r="HJ249" s="225">
        <f t="shared" ca="1" si="974"/>
        <v>0</v>
      </c>
      <c r="HK249" s="225">
        <f t="shared" ca="1" si="974"/>
        <v>0</v>
      </c>
      <c r="HL249" s="225">
        <f t="shared" ca="1" si="974"/>
        <v>0</v>
      </c>
      <c r="HM249" s="225">
        <f t="shared" ca="1" si="974"/>
        <v>0</v>
      </c>
      <c r="HN249" s="225">
        <f t="shared" ca="1" si="974"/>
        <v>0</v>
      </c>
      <c r="HO249" s="225">
        <f t="shared" ca="1" si="974"/>
        <v>0</v>
      </c>
      <c r="HP249" s="225">
        <f t="shared" ca="1" si="974"/>
        <v>0</v>
      </c>
      <c r="HQ249" s="225">
        <f t="shared" ca="1" si="974"/>
        <v>0</v>
      </c>
      <c r="HR249" s="225">
        <f t="shared" ca="1" si="974"/>
        <v>0</v>
      </c>
      <c r="HS249" s="225">
        <f t="shared" ca="1" si="974"/>
        <v>0</v>
      </c>
      <c r="HT249" s="225">
        <f t="shared" ca="1" si="974"/>
        <v>0</v>
      </c>
      <c r="HU249" s="225">
        <f t="shared" ca="1" si="974"/>
        <v>0</v>
      </c>
      <c r="HV249" s="225">
        <f t="shared" ca="1" si="974"/>
        <v>0</v>
      </c>
      <c r="HW249" s="225">
        <f t="shared" ca="1" si="974"/>
        <v>0</v>
      </c>
      <c r="HX249" s="225">
        <f t="shared" ca="1" si="974"/>
        <v>0</v>
      </c>
      <c r="HY249" s="225">
        <f t="shared" ca="1" si="974"/>
        <v>0</v>
      </c>
      <c r="HZ249" s="225">
        <f t="shared" ca="1" si="974"/>
        <v>0</v>
      </c>
      <c r="IA249" s="225">
        <f t="shared" ca="1" si="974"/>
        <v>0</v>
      </c>
      <c r="IB249" s="225">
        <f t="shared" ca="1" si="974"/>
        <v>0</v>
      </c>
      <c r="IC249" s="225">
        <f t="shared" ca="1" si="974"/>
        <v>0</v>
      </c>
      <c r="ID249" s="225">
        <f t="shared" ca="1" si="974"/>
        <v>0</v>
      </c>
      <c r="IE249" s="225">
        <f t="shared" ca="1" si="974"/>
        <v>0</v>
      </c>
      <c r="IF249" s="225">
        <f t="shared" ca="1" si="974"/>
        <v>0</v>
      </c>
      <c r="IG249" s="225">
        <f t="shared" ca="1" si="974"/>
        <v>0</v>
      </c>
      <c r="IH249" s="225">
        <f t="shared" ca="1" si="974"/>
        <v>0</v>
      </c>
      <c r="II249" s="225">
        <f t="shared" ca="1" si="974"/>
        <v>0</v>
      </c>
      <c r="IJ249" s="225">
        <f t="shared" ca="1" si="974"/>
        <v>0</v>
      </c>
      <c r="IK249" s="225">
        <f t="shared" ca="1" si="974"/>
        <v>0</v>
      </c>
      <c r="IL249" s="225">
        <f t="shared" ca="1" si="974"/>
        <v>0</v>
      </c>
      <c r="IM249" s="225">
        <f t="shared" ca="1" si="974"/>
        <v>0</v>
      </c>
      <c r="IN249" s="225">
        <f t="shared" ca="1" si="974"/>
        <v>0</v>
      </c>
      <c r="IO249" s="225">
        <f t="shared" ca="1" si="974"/>
        <v>0</v>
      </c>
      <c r="IP249" s="225">
        <f t="shared" ca="1" si="974"/>
        <v>0</v>
      </c>
      <c r="IQ249" s="225">
        <f t="shared" ca="1" si="974"/>
        <v>0</v>
      </c>
      <c r="IR249" s="225">
        <f t="shared" ca="1" si="974"/>
        <v>0</v>
      </c>
      <c r="IS249" s="225">
        <f t="shared" ca="1" si="974"/>
        <v>0</v>
      </c>
      <c r="IT249" s="225">
        <f t="shared" ca="1" si="974"/>
        <v>0</v>
      </c>
      <c r="IU249" s="225">
        <f t="shared" ca="1" si="974"/>
        <v>0</v>
      </c>
      <c r="IV249" s="225">
        <f t="shared" ca="1" si="974"/>
        <v>0</v>
      </c>
      <c r="IW249" s="225">
        <f t="shared" ca="1" si="974"/>
        <v>0</v>
      </c>
      <c r="IX249" s="225">
        <f t="shared" ca="1" si="974"/>
        <v>0</v>
      </c>
      <c r="IY249" s="225">
        <f t="shared" ca="1" si="974"/>
        <v>0</v>
      </c>
      <c r="IZ249" s="225">
        <f t="shared" ca="1" si="974"/>
        <v>0</v>
      </c>
      <c r="JA249" s="225">
        <f t="shared" ca="1" si="974"/>
        <v>0</v>
      </c>
      <c r="JB249" s="225">
        <f t="shared" ca="1" si="974"/>
        <v>0</v>
      </c>
      <c r="JC249" s="225">
        <f t="shared" ca="1" si="974"/>
        <v>0</v>
      </c>
      <c r="JD249" s="225">
        <f t="shared" ca="1" si="974"/>
        <v>0</v>
      </c>
      <c r="JE249" s="225">
        <f t="shared" ca="1" si="974"/>
        <v>0</v>
      </c>
      <c r="JF249" s="225">
        <f t="shared" ca="1" si="974"/>
        <v>0</v>
      </c>
      <c r="JG249" s="225">
        <f t="shared" ca="1" si="974"/>
        <v>0</v>
      </c>
      <c r="JH249" s="225">
        <f t="shared" ca="1" si="974"/>
        <v>0</v>
      </c>
      <c r="JI249" s="225">
        <f t="shared" ca="1" si="974"/>
        <v>0</v>
      </c>
      <c r="JJ249" s="225">
        <f t="shared" ca="1" si="974"/>
        <v>0</v>
      </c>
      <c r="JK249" s="225">
        <f t="shared" ca="1" si="974"/>
        <v>0</v>
      </c>
      <c r="JL249" s="225">
        <f t="shared" ca="1" si="974"/>
        <v>0</v>
      </c>
      <c r="JM249" s="225">
        <f t="shared" ca="1" si="974"/>
        <v>0</v>
      </c>
      <c r="JN249" s="225">
        <f t="shared" ca="1" si="974"/>
        <v>0</v>
      </c>
      <c r="JO249" s="225">
        <f t="shared" ca="1" si="974"/>
        <v>0</v>
      </c>
      <c r="JP249" s="225">
        <f t="shared" ca="1" si="974"/>
        <v>0</v>
      </c>
      <c r="JQ249" s="225">
        <f t="shared" ca="1" si="974"/>
        <v>0</v>
      </c>
      <c r="JR249" s="225">
        <f t="shared" ca="1" si="974"/>
        <v>0</v>
      </c>
      <c r="JS249" s="225">
        <f t="shared" ca="1" si="974"/>
        <v>0</v>
      </c>
      <c r="JT249" s="225">
        <f t="shared" ca="1" si="974"/>
        <v>0</v>
      </c>
      <c r="JU249" s="225">
        <f ca="1">JU241</f>
        <v>0</v>
      </c>
      <c r="JV249" s="225">
        <f ca="1">JV241</f>
        <v>0</v>
      </c>
      <c r="JW249" s="225">
        <f ca="1">JW241</f>
        <v>0</v>
      </c>
      <c r="JX249" s="225">
        <f ca="1">JX241</f>
        <v>0</v>
      </c>
    </row>
    <row r="250" spans="1:284" s="7" customFormat="1" ht="0.6" customHeight="1" x14ac:dyDescent="0.35">
      <c r="A250" s="406"/>
      <c r="B250" s="238" t="s">
        <v>394</v>
      </c>
      <c r="C250" s="232" t="s">
        <v>396</v>
      </c>
      <c r="D250" s="233"/>
      <c r="E250" s="239">
        <f>1-E249</f>
        <v>0.9</v>
      </c>
      <c r="F250" s="239"/>
      <c r="G250" s="233"/>
      <c r="H250" s="239">
        <f>1-H249</f>
        <v>0.9</v>
      </c>
      <c r="I250" s="240">
        <f ca="1">SUM(L250:EN250)</f>
        <v>658674.64224555925</v>
      </c>
      <c r="L250" s="39">
        <f t="shared" ca="1" si="960"/>
        <v>168892.17874475819</v>
      </c>
      <c r="M250" s="39">
        <f t="shared" ca="1" si="960"/>
        <v>19557.694634846426</v>
      </c>
      <c r="N250" s="39">
        <f t="shared" ca="1" si="960"/>
        <v>26780.184713772553</v>
      </c>
      <c r="O250" s="39">
        <f t="shared" ca="1" si="960"/>
        <v>41103.41326171421</v>
      </c>
      <c r="P250" s="39">
        <f t="shared" ca="1" si="960"/>
        <v>66051.940674668658</v>
      </c>
      <c r="Q250" s="39">
        <f t="shared" ca="1" si="960"/>
        <v>103933.33530633751</v>
      </c>
      <c r="R250" s="39">
        <f t="shared" ca="1" si="960"/>
        <v>153443.61934025673</v>
      </c>
      <c r="S250" s="39">
        <f t="shared" ca="1" si="960"/>
        <v>78912.275569204925</v>
      </c>
      <c r="T250" s="39">
        <f t="shared" ca="1" si="960"/>
        <v>0</v>
      </c>
      <c r="U250" s="39">
        <f t="shared" ca="1" si="960"/>
        <v>0</v>
      </c>
      <c r="V250" s="39">
        <f t="shared" ca="1" si="961"/>
        <v>0</v>
      </c>
      <c r="W250" s="39">
        <f t="shared" ca="1" si="961"/>
        <v>0</v>
      </c>
      <c r="X250" s="39">
        <f t="shared" ca="1" si="961"/>
        <v>0</v>
      </c>
      <c r="Y250" s="39">
        <f t="shared" ca="1" si="961"/>
        <v>0</v>
      </c>
      <c r="Z250" s="39">
        <f t="shared" ca="1" si="961"/>
        <v>0</v>
      </c>
      <c r="AA250" s="39">
        <f t="shared" ca="1" si="961"/>
        <v>0</v>
      </c>
      <c r="AB250" s="39">
        <f t="shared" ca="1" si="961"/>
        <v>0</v>
      </c>
      <c r="AC250" s="39">
        <f t="shared" ca="1" si="961"/>
        <v>0</v>
      </c>
      <c r="AD250" s="39">
        <f t="shared" ca="1" si="961"/>
        <v>0</v>
      </c>
      <c r="AE250" s="39">
        <f t="shared" ca="1" si="961"/>
        <v>0</v>
      </c>
      <c r="AF250" s="39">
        <f t="shared" ca="1" si="962"/>
        <v>0</v>
      </c>
      <c r="AG250" s="39">
        <f t="shared" ca="1" si="962"/>
        <v>0</v>
      </c>
      <c r="AH250" s="39">
        <f t="shared" ca="1" si="962"/>
        <v>0</v>
      </c>
      <c r="AI250" s="39">
        <f t="shared" ca="1" si="962"/>
        <v>0</v>
      </c>
      <c r="AJ250" s="39">
        <f t="shared" ca="1" si="962"/>
        <v>4.9112713895738138E-13</v>
      </c>
      <c r="AK250" s="39">
        <f t="shared" ca="1" si="962"/>
        <v>0</v>
      </c>
      <c r="AL250" s="39">
        <f t="shared" ca="1" si="962"/>
        <v>0</v>
      </c>
      <c r="AM250" s="39">
        <f t="shared" ca="1" si="962"/>
        <v>0</v>
      </c>
      <c r="AN250" s="39">
        <f t="shared" ca="1" si="962"/>
        <v>0</v>
      </c>
      <c r="AO250" s="39">
        <f t="shared" ca="1" si="962"/>
        <v>0</v>
      </c>
      <c r="AP250" s="39">
        <f t="shared" ca="1" si="963"/>
        <v>0</v>
      </c>
      <c r="AQ250" s="39">
        <f t="shared" ca="1" si="963"/>
        <v>0</v>
      </c>
      <c r="AR250" s="39">
        <f t="shared" ca="1" si="963"/>
        <v>0</v>
      </c>
      <c r="AS250" s="39">
        <f t="shared" ca="1" si="963"/>
        <v>0</v>
      </c>
      <c r="AT250" s="39">
        <f t="shared" ca="1" si="963"/>
        <v>0</v>
      </c>
      <c r="AU250" s="39">
        <f t="shared" ca="1" si="963"/>
        <v>0</v>
      </c>
      <c r="AV250" s="39">
        <f t="shared" ca="1" si="963"/>
        <v>0</v>
      </c>
      <c r="AW250" s="39">
        <f t="shared" ca="1" si="963"/>
        <v>0</v>
      </c>
      <c r="AX250" s="39">
        <f t="shared" ca="1" si="963"/>
        <v>0</v>
      </c>
      <c r="AY250" s="39">
        <f t="shared" ca="1" si="963"/>
        <v>0</v>
      </c>
      <c r="AZ250" s="39">
        <f t="shared" ca="1" si="964"/>
        <v>0</v>
      </c>
      <c r="BA250" s="39">
        <f t="shared" ca="1" si="964"/>
        <v>0</v>
      </c>
      <c r="BB250" s="39">
        <f t="shared" ca="1" si="964"/>
        <v>0</v>
      </c>
      <c r="BC250" s="39">
        <f t="shared" ca="1" si="964"/>
        <v>0</v>
      </c>
      <c r="BD250" s="39">
        <f t="shared" ca="1" si="964"/>
        <v>0</v>
      </c>
      <c r="BE250" s="39">
        <f t="shared" ca="1" si="964"/>
        <v>0</v>
      </c>
      <c r="BF250" s="39" t="str">
        <f t="shared" si="964"/>
        <v/>
      </c>
      <c r="BG250" s="39" t="str">
        <f t="shared" si="964"/>
        <v/>
      </c>
      <c r="BH250" s="39" t="str">
        <f t="shared" si="964"/>
        <v/>
      </c>
      <c r="BI250" s="39" t="str">
        <f t="shared" si="964"/>
        <v/>
      </c>
      <c r="BJ250" s="39" t="str">
        <f t="shared" si="965"/>
        <v/>
      </c>
      <c r="BK250" s="39" t="str">
        <f t="shared" si="965"/>
        <v/>
      </c>
      <c r="BL250" s="39" t="str">
        <f t="shared" si="965"/>
        <v/>
      </c>
      <c r="BM250" s="39" t="str">
        <f t="shared" si="965"/>
        <v/>
      </c>
      <c r="BN250" s="39" t="str">
        <f t="shared" si="965"/>
        <v/>
      </c>
      <c r="BO250" s="39" t="str">
        <f t="shared" si="965"/>
        <v/>
      </c>
      <c r="BP250" s="39" t="str">
        <f t="shared" si="965"/>
        <v/>
      </c>
      <c r="BQ250" s="39" t="str">
        <f t="shared" si="965"/>
        <v/>
      </c>
      <c r="BR250" s="39" t="str">
        <f t="shared" si="965"/>
        <v/>
      </c>
      <c r="BS250" s="39" t="str">
        <f t="shared" si="965"/>
        <v/>
      </c>
      <c r="BT250" s="39" t="str">
        <f t="shared" si="966"/>
        <v/>
      </c>
      <c r="BU250" s="39" t="str">
        <f t="shared" si="966"/>
        <v/>
      </c>
      <c r="BV250" s="39" t="str">
        <f t="shared" si="966"/>
        <v/>
      </c>
      <c r="BW250" s="39" t="str">
        <f t="shared" si="966"/>
        <v/>
      </c>
      <c r="BX250" s="39" t="str">
        <f t="shared" si="966"/>
        <v/>
      </c>
      <c r="BY250" s="39" t="str">
        <f t="shared" si="966"/>
        <v/>
      </c>
      <c r="BZ250" s="39" t="str">
        <f t="shared" si="966"/>
        <v/>
      </c>
      <c r="CA250" s="39" t="str">
        <f t="shared" si="966"/>
        <v/>
      </c>
      <c r="CB250" s="39" t="str">
        <f t="shared" si="966"/>
        <v/>
      </c>
      <c r="CC250" s="39" t="str">
        <f t="shared" si="966"/>
        <v/>
      </c>
      <c r="CD250" s="39" t="str">
        <f t="shared" si="967"/>
        <v/>
      </c>
      <c r="CE250" s="39" t="str">
        <f t="shared" si="967"/>
        <v/>
      </c>
      <c r="CF250" s="39" t="str">
        <f t="shared" si="967"/>
        <v/>
      </c>
      <c r="CG250" s="39" t="str">
        <f t="shared" si="967"/>
        <v/>
      </c>
      <c r="CH250" s="39" t="str">
        <f t="shared" si="967"/>
        <v/>
      </c>
      <c r="CI250" s="39" t="str">
        <f t="shared" si="967"/>
        <v/>
      </c>
      <c r="CJ250" s="39" t="str">
        <f t="shared" si="967"/>
        <v/>
      </c>
      <c r="CK250" s="39" t="str">
        <f t="shared" si="967"/>
        <v/>
      </c>
      <c r="CL250" s="39" t="str">
        <f t="shared" si="967"/>
        <v/>
      </c>
      <c r="CM250" s="39" t="str">
        <f t="shared" si="967"/>
        <v/>
      </c>
      <c r="CN250" s="39" t="str">
        <f t="shared" si="968"/>
        <v/>
      </c>
      <c r="CO250" s="39" t="str">
        <f t="shared" si="968"/>
        <v/>
      </c>
      <c r="CP250" s="39" t="str">
        <f t="shared" si="968"/>
        <v/>
      </c>
      <c r="CQ250" s="39" t="str">
        <f t="shared" si="968"/>
        <v/>
      </c>
      <c r="CR250" s="39" t="str">
        <f t="shared" si="968"/>
        <v/>
      </c>
      <c r="CS250" s="39" t="str">
        <f t="shared" si="968"/>
        <v/>
      </c>
      <c r="CT250" s="39" t="str">
        <f t="shared" si="968"/>
        <v/>
      </c>
      <c r="CU250" s="39" t="str">
        <f t="shared" si="968"/>
        <v/>
      </c>
      <c r="CV250" s="39" t="str">
        <f t="shared" si="968"/>
        <v/>
      </c>
      <c r="CW250" s="39" t="str">
        <f t="shared" si="968"/>
        <v/>
      </c>
      <c r="CX250" s="39" t="str">
        <f t="shared" si="969"/>
        <v/>
      </c>
      <c r="CY250" s="39" t="str">
        <f t="shared" si="969"/>
        <v/>
      </c>
      <c r="CZ250" s="39" t="str">
        <f t="shared" si="969"/>
        <v/>
      </c>
      <c r="DA250" s="39" t="str">
        <f t="shared" si="969"/>
        <v/>
      </c>
      <c r="DB250" s="39" t="str">
        <f t="shared" si="969"/>
        <v/>
      </c>
      <c r="DC250" s="39" t="str">
        <f t="shared" si="969"/>
        <v/>
      </c>
      <c r="DD250" s="39" t="str">
        <f t="shared" si="969"/>
        <v/>
      </c>
      <c r="DE250" s="39" t="str">
        <f t="shared" si="969"/>
        <v/>
      </c>
      <c r="DF250" s="39" t="str">
        <f t="shared" si="969"/>
        <v/>
      </c>
      <c r="DG250" s="39" t="str">
        <f t="shared" si="969"/>
        <v/>
      </c>
      <c r="DH250" s="39" t="str">
        <f t="shared" si="970"/>
        <v/>
      </c>
      <c r="DI250" s="39" t="str">
        <f t="shared" si="970"/>
        <v/>
      </c>
      <c r="DJ250" s="39" t="str">
        <f t="shared" si="970"/>
        <v/>
      </c>
      <c r="DK250" s="39" t="str">
        <f t="shared" si="970"/>
        <v/>
      </c>
      <c r="DL250" s="39" t="str">
        <f t="shared" si="970"/>
        <v/>
      </c>
      <c r="DM250" s="39" t="str">
        <f t="shared" si="970"/>
        <v/>
      </c>
      <c r="DN250" s="39" t="str">
        <f t="shared" si="970"/>
        <v/>
      </c>
      <c r="DO250" s="39" t="str">
        <f t="shared" si="970"/>
        <v/>
      </c>
      <c r="DP250" s="39" t="str">
        <f t="shared" si="970"/>
        <v/>
      </c>
      <c r="DQ250" s="39" t="str">
        <f t="shared" si="970"/>
        <v/>
      </c>
      <c r="DR250" s="39" t="str">
        <f t="shared" si="971"/>
        <v/>
      </c>
      <c r="DS250" s="39" t="str">
        <f t="shared" si="971"/>
        <v/>
      </c>
      <c r="DT250" s="39" t="str">
        <f t="shared" si="971"/>
        <v/>
      </c>
      <c r="DU250" s="39" t="str">
        <f t="shared" si="971"/>
        <v/>
      </c>
      <c r="DV250" s="39" t="str">
        <f t="shared" si="971"/>
        <v/>
      </c>
      <c r="DW250" s="39" t="str">
        <f t="shared" si="971"/>
        <v/>
      </c>
      <c r="DX250" s="39" t="str">
        <f t="shared" si="971"/>
        <v/>
      </c>
      <c r="DY250" s="39" t="str">
        <f t="shared" si="971"/>
        <v/>
      </c>
      <c r="DZ250" s="39" t="str">
        <f t="shared" si="971"/>
        <v/>
      </c>
      <c r="EA250" s="39" t="str">
        <f t="shared" si="971"/>
        <v/>
      </c>
      <c r="EB250" s="39" t="str">
        <f t="shared" si="972"/>
        <v/>
      </c>
      <c r="EC250" s="39" t="str">
        <f t="shared" si="972"/>
        <v/>
      </c>
      <c r="ED250" s="39" t="str">
        <f t="shared" si="972"/>
        <v/>
      </c>
      <c r="EE250" s="39" t="str">
        <f t="shared" si="972"/>
        <v/>
      </c>
      <c r="EF250" s="39" t="str">
        <f t="shared" si="972"/>
        <v/>
      </c>
      <c r="EG250" s="39" t="str">
        <f t="shared" si="972"/>
        <v/>
      </c>
      <c r="EH250" s="39" t="str">
        <f t="shared" si="972"/>
        <v/>
      </c>
      <c r="EI250" s="39" t="str">
        <f t="shared" si="972"/>
        <v/>
      </c>
      <c r="EJ250" s="39" t="str">
        <f t="shared" si="972"/>
        <v/>
      </c>
      <c r="EK250" s="39" t="str">
        <f t="shared" si="972"/>
        <v/>
      </c>
      <c r="EL250" s="39" t="str">
        <f t="shared" si="972"/>
        <v/>
      </c>
      <c r="EM250" s="39" t="str">
        <f t="shared" si="972"/>
        <v/>
      </c>
      <c r="EN250" s="39" t="str">
        <f t="shared" si="972"/>
        <v/>
      </c>
      <c r="EP250" s="37"/>
      <c r="EQ250" s="24"/>
      <c r="ER250" s="24"/>
      <c r="ES250" s="24"/>
      <c r="ET250" s="33" t="s">
        <v>407</v>
      </c>
      <c r="EU250" s="33"/>
      <c r="EV250" s="225">
        <f t="shared" ref="EV250:GA250" ca="1" si="975">(EV$197&lt;=Timing_Reversion_Month)*(MIN(EV247+EV248-EV249,MAX(EV246,0)*$I$255))</f>
        <v>0</v>
      </c>
      <c r="EW250" s="225">
        <f t="shared" ca="1" si="975"/>
        <v>0</v>
      </c>
      <c r="EX250" s="225">
        <f t="shared" ca="1" si="975"/>
        <v>0</v>
      </c>
      <c r="EY250" s="225">
        <f t="shared" ca="1" si="975"/>
        <v>0</v>
      </c>
      <c r="EZ250" s="225">
        <f t="shared" ca="1" si="975"/>
        <v>0</v>
      </c>
      <c r="FA250" s="225">
        <f t="shared" ca="1" si="975"/>
        <v>0</v>
      </c>
      <c r="FB250" s="225">
        <f t="shared" ca="1" si="975"/>
        <v>0</v>
      </c>
      <c r="FC250" s="225">
        <f t="shared" ca="1" si="975"/>
        <v>0</v>
      </c>
      <c r="FD250" s="225">
        <f t="shared" ca="1" si="975"/>
        <v>0</v>
      </c>
      <c r="FE250" s="225">
        <f t="shared" ca="1" si="975"/>
        <v>0</v>
      </c>
      <c r="FF250" s="225">
        <f t="shared" ca="1" si="975"/>
        <v>0</v>
      </c>
      <c r="FG250" s="225">
        <f t="shared" ca="1" si="975"/>
        <v>0</v>
      </c>
      <c r="FH250" s="225">
        <f t="shared" ca="1" si="975"/>
        <v>0</v>
      </c>
      <c r="FI250" s="225">
        <f t="shared" ca="1" si="975"/>
        <v>0</v>
      </c>
      <c r="FJ250" s="225">
        <f t="shared" ca="1" si="975"/>
        <v>0</v>
      </c>
      <c r="FK250" s="225">
        <f t="shared" ca="1" si="975"/>
        <v>0</v>
      </c>
      <c r="FL250" s="225">
        <f t="shared" ca="1" si="975"/>
        <v>0</v>
      </c>
      <c r="FM250" s="225">
        <f t="shared" ca="1" si="975"/>
        <v>0</v>
      </c>
      <c r="FN250" s="225">
        <f t="shared" ca="1" si="975"/>
        <v>0</v>
      </c>
      <c r="FO250" s="225">
        <f t="shared" ca="1" si="975"/>
        <v>0</v>
      </c>
      <c r="FP250" s="225">
        <f t="shared" ca="1" si="975"/>
        <v>0</v>
      </c>
      <c r="FQ250" s="225">
        <f t="shared" ca="1" si="975"/>
        <v>0</v>
      </c>
      <c r="FR250" s="225">
        <f t="shared" ca="1" si="975"/>
        <v>0</v>
      </c>
      <c r="FS250" s="225">
        <f t="shared" ca="1" si="975"/>
        <v>0</v>
      </c>
      <c r="FT250" s="225">
        <f t="shared" ca="1" si="975"/>
        <v>0</v>
      </c>
      <c r="FU250" s="225">
        <f t="shared" ca="1" si="975"/>
        <v>0</v>
      </c>
      <c r="FV250" s="225">
        <f t="shared" ca="1" si="975"/>
        <v>0</v>
      </c>
      <c r="FW250" s="225">
        <f t="shared" ca="1" si="975"/>
        <v>0</v>
      </c>
      <c r="FX250" s="225">
        <f t="shared" ca="1" si="975"/>
        <v>0</v>
      </c>
      <c r="FY250" s="225">
        <f t="shared" ca="1" si="975"/>
        <v>0</v>
      </c>
      <c r="FZ250" s="225">
        <f t="shared" ca="1" si="975"/>
        <v>0</v>
      </c>
      <c r="GA250" s="225">
        <f t="shared" ca="1" si="975"/>
        <v>0</v>
      </c>
      <c r="GB250" s="225">
        <f t="shared" ref="GB250:HG250" ca="1" si="976">(GB$197&lt;=Timing_Reversion_Month)*(MIN(GB247+GB248-GB249,MAX(GB246,0)*$I$255))</f>
        <v>0</v>
      </c>
      <c r="GC250" s="225">
        <f t="shared" ca="1" si="976"/>
        <v>0</v>
      </c>
      <c r="GD250" s="225">
        <f t="shared" ca="1" si="976"/>
        <v>0</v>
      </c>
      <c r="GE250" s="225">
        <f t="shared" ca="1" si="976"/>
        <v>0</v>
      </c>
      <c r="GF250" s="225">
        <f t="shared" ca="1" si="976"/>
        <v>0</v>
      </c>
      <c r="GG250" s="225">
        <f t="shared" ca="1" si="976"/>
        <v>0</v>
      </c>
      <c r="GH250" s="225">
        <f t="shared" ca="1" si="976"/>
        <v>0</v>
      </c>
      <c r="GI250" s="225">
        <f t="shared" ca="1" si="976"/>
        <v>0</v>
      </c>
      <c r="GJ250" s="225">
        <f t="shared" ca="1" si="976"/>
        <v>0</v>
      </c>
      <c r="GK250" s="225">
        <f t="shared" ca="1" si="976"/>
        <v>0</v>
      </c>
      <c r="GL250" s="225">
        <f t="shared" ca="1" si="976"/>
        <v>0</v>
      </c>
      <c r="GM250" s="225">
        <f t="shared" ca="1" si="976"/>
        <v>0</v>
      </c>
      <c r="GN250" s="225">
        <f t="shared" ca="1" si="976"/>
        <v>0</v>
      </c>
      <c r="GO250" s="225">
        <f t="shared" ca="1" si="976"/>
        <v>85960.937180752517</v>
      </c>
      <c r="GP250" s="225">
        <f t="shared" ca="1" si="976"/>
        <v>0</v>
      </c>
      <c r="GQ250" s="225">
        <f t="shared" ca="1" si="976"/>
        <v>0</v>
      </c>
      <c r="GR250" s="225">
        <f t="shared" ca="1" si="976"/>
        <v>0</v>
      </c>
      <c r="GS250" s="225">
        <f t="shared" ca="1" si="976"/>
        <v>0</v>
      </c>
      <c r="GT250" s="225">
        <f t="shared" ca="1" si="976"/>
        <v>0</v>
      </c>
      <c r="GU250" s="225">
        <f t="shared" ca="1" si="976"/>
        <v>0</v>
      </c>
      <c r="GV250" s="225">
        <f t="shared" ca="1" si="976"/>
        <v>0</v>
      </c>
      <c r="GW250" s="225">
        <f t="shared" ca="1" si="976"/>
        <v>0</v>
      </c>
      <c r="GX250" s="225">
        <f t="shared" ca="1" si="976"/>
        <v>0</v>
      </c>
      <c r="GY250" s="225">
        <f t="shared" ca="1" si="976"/>
        <v>0</v>
      </c>
      <c r="GZ250" s="225">
        <f t="shared" ca="1" si="976"/>
        <v>0</v>
      </c>
      <c r="HA250" s="225">
        <f t="shared" ca="1" si="976"/>
        <v>0</v>
      </c>
      <c r="HB250" s="225">
        <f t="shared" ca="1" si="976"/>
        <v>0</v>
      </c>
      <c r="HC250" s="225">
        <f t="shared" ca="1" si="976"/>
        <v>0</v>
      </c>
      <c r="HD250" s="225">
        <f t="shared" ca="1" si="976"/>
        <v>0</v>
      </c>
      <c r="HE250" s="225">
        <f t="shared" ca="1" si="976"/>
        <v>0</v>
      </c>
      <c r="HF250" s="225">
        <f t="shared" ca="1" si="976"/>
        <v>0</v>
      </c>
      <c r="HG250" s="225">
        <f t="shared" ca="1" si="976"/>
        <v>0</v>
      </c>
      <c r="HH250" s="225">
        <f t="shared" ref="HH250:IM250" ca="1" si="977">(HH$197&lt;=Timing_Reversion_Month)*(MIN(HH247+HH248-HH249,MAX(HH246,0)*$I$255))</f>
        <v>0</v>
      </c>
      <c r="HI250" s="225">
        <f t="shared" ca="1" si="977"/>
        <v>0</v>
      </c>
      <c r="HJ250" s="225">
        <f t="shared" ca="1" si="977"/>
        <v>0</v>
      </c>
      <c r="HK250" s="225">
        <f t="shared" ca="1" si="977"/>
        <v>0</v>
      </c>
      <c r="HL250" s="225">
        <f t="shared" ca="1" si="977"/>
        <v>0</v>
      </c>
      <c r="HM250" s="225">
        <f t="shared" ca="1" si="977"/>
        <v>0</v>
      </c>
      <c r="HN250" s="225">
        <f t="shared" ca="1" si="977"/>
        <v>0</v>
      </c>
      <c r="HO250" s="225">
        <f t="shared" ca="1" si="977"/>
        <v>0</v>
      </c>
      <c r="HP250" s="225">
        <f t="shared" ca="1" si="977"/>
        <v>0</v>
      </c>
      <c r="HQ250" s="225">
        <f t="shared" ca="1" si="977"/>
        <v>0</v>
      </c>
      <c r="HR250" s="225">
        <f t="shared" ca="1" si="977"/>
        <v>0</v>
      </c>
      <c r="HS250" s="225">
        <f t="shared" ca="1" si="977"/>
        <v>0</v>
      </c>
      <c r="HT250" s="225">
        <f t="shared" ca="1" si="977"/>
        <v>0</v>
      </c>
      <c r="HU250" s="225">
        <f t="shared" ca="1" si="977"/>
        <v>0</v>
      </c>
      <c r="HV250" s="225">
        <f t="shared" ca="1" si="977"/>
        <v>0</v>
      </c>
      <c r="HW250" s="225">
        <f t="shared" ca="1" si="977"/>
        <v>0</v>
      </c>
      <c r="HX250" s="225">
        <f t="shared" ca="1" si="977"/>
        <v>0</v>
      </c>
      <c r="HY250" s="225">
        <f t="shared" ca="1" si="977"/>
        <v>0</v>
      </c>
      <c r="HZ250" s="225">
        <f t="shared" ca="1" si="977"/>
        <v>0</v>
      </c>
      <c r="IA250" s="225">
        <f t="shared" ca="1" si="977"/>
        <v>0</v>
      </c>
      <c r="IB250" s="225">
        <f t="shared" ca="1" si="977"/>
        <v>0</v>
      </c>
      <c r="IC250" s="225">
        <f t="shared" ca="1" si="977"/>
        <v>0</v>
      </c>
      <c r="ID250" s="225">
        <f t="shared" ca="1" si="977"/>
        <v>0</v>
      </c>
      <c r="IE250" s="225">
        <f t="shared" ca="1" si="977"/>
        <v>0</v>
      </c>
      <c r="IF250" s="225">
        <f t="shared" ca="1" si="977"/>
        <v>0</v>
      </c>
      <c r="IG250" s="225">
        <f t="shared" ca="1" si="977"/>
        <v>0</v>
      </c>
      <c r="IH250" s="225">
        <f t="shared" ca="1" si="977"/>
        <v>0</v>
      </c>
      <c r="II250" s="225">
        <f t="shared" ca="1" si="977"/>
        <v>0</v>
      </c>
      <c r="IJ250" s="225">
        <f t="shared" ca="1" si="977"/>
        <v>0</v>
      </c>
      <c r="IK250" s="225">
        <f t="shared" ca="1" si="977"/>
        <v>0</v>
      </c>
      <c r="IL250" s="225">
        <f t="shared" ca="1" si="977"/>
        <v>0</v>
      </c>
      <c r="IM250" s="225">
        <f t="shared" ca="1" si="977"/>
        <v>0</v>
      </c>
      <c r="IN250" s="225">
        <f t="shared" ref="IN250:JS250" ca="1" si="978">(IN$197&lt;=Timing_Reversion_Month)*(MIN(IN247+IN248-IN249,MAX(IN246,0)*$I$255))</f>
        <v>0</v>
      </c>
      <c r="IO250" s="225">
        <f t="shared" ca="1" si="978"/>
        <v>0</v>
      </c>
      <c r="IP250" s="225">
        <f t="shared" ca="1" si="978"/>
        <v>0</v>
      </c>
      <c r="IQ250" s="225">
        <f t="shared" ca="1" si="978"/>
        <v>0</v>
      </c>
      <c r="IR250" s="225">
        <f t="shared" ca="1" si="978"/>
        <v>0</v>
      </c>
      <c r="IS250" s="225">
        <f t="shared" ca="1" si="978"/>
        <v>0</v>
      </c>
      <c r="IT250" s="225">
        <f t="shared" ca="1" si="978"/>
        <v>0</v>
      </c>
      <c r="IU250" s="225">
        <f t="shared" ca="1" si="978"/>
        <v>0</v>
      </c>
      <c r="IV250" s="225">
        <f t="shared" ca="1" si="978"/>
        <v>0</v>
      </c>
      <c r="IW250" s="225">
        <f t="shared" ca="1" si="978"/>
        <v>0</v>
      </c>
      <c r="IX250" s="225">
        <f t="shared" ca="1" si="978"/>
        <v>0</v>
      </c>
      <c r="IY250" s="225">
        <f t="shared" ca="1" si="978"/>
        <v>0</v>
      </c>
      <c r="IZ250" s="225">
        <f t="shared" ca="1" si="978"/>
        <v>0</v>
      </c>
      <c r="JA250" s="225">
        <f t="shared" ca="1" si="978"/>
        <v>0</v>
      </c>
      <c r="JB250" s="225">
        <f t="shared" ca="1" si="978"/>
        <v>0</v>
      </c>
      <c r="JC250" s="225">
        <f t="shared" ca="1" si="978"/>
        <v>0</v>
      </c>
      <c r="JD250" s="225">
        <f t="shared" ca="1" si="978"/>
        <v>0</v>
      </c>
      <c r="JE250" s="225">
        <f t="shared" ca="1" si="978"/>
        <v>0</v>
      </c>
      <c r="JF250" s="225">
        <f t="shared" ca="1" si="978"/>
        <v>0</v>
      </c>
      <c r="JG250" s="225">
        <f t="shared" ca="1" si="978"/>
        <v>0</v>
      </c>
      <c r="JH250" s="225">
        <f t="shared" ca="1" si="978"/>
        <v>0</v>
      </c>
      <c r="JI250" s="225">
        <f t="shared" ca="1" si="978"/>
        <v>0</v>
      </c>
      <c r="JJ250" s="225">
        <f t="shared" ca="1" si="978"/>
        <v>0</v>
      </c>
      <c r="JK250" s="225">
        <f t="shared" ca="1" si="978"/>
        <v>0</v>
      </c>
      <c r="JL250" s="225">
        <f t="shared" ca="1" si="978"/>
        <v>0</v>
      </c>
      <c r="JM250" s="225">
        <f t="shared" ca="1" si="978"/>
        <v>0</v>
      </c>
      <c r="JN250" s="225">
        <f t="shared" ca="1" si="978"/>
        <v>0</v>
      </c>
      <c r="JO250" s="225">
        <f t="shared" ca="1" si="978"/>
        <v>0</v>
      </c>
      <c r="JP250" s="225">
        <f t="shared" ca="1" si="978"/>
        <v>0</v>
      </c>
      <c r="JQ250" s="225">
        <f t="shared" ca="1" si="978"/>
        <v>0</v>
      </c>
      <c r="JR250" s="225">
        <f t="shared" ca="1" si="978"/>
        <v>0</v>
      </c>
      <c r="JS250" s="225">
        <f t="shared" ca="1" si="978"/>
        <v>0</v>
      </c>
      <c r="JT250" s="225">
        <f ca="1">(JT$197&lt;=Timing_Reversion_Month)*(MIN(JT247+JT248-JT249,MAX(JT246,0)*$I$255))</f>
        <v>0</v>
      </c>
      <c r="JU250" s="225">
        <f ca="1">(JU$197&lt;=Timing_Reversion_Month)*(MIN(JU247+JU248-JU249,MAX(JU246,0)*$I$255))</f>
        <v>0</v>
      </c>
      <c r="JV250" s="225">
        <f ca="1">(JV$197&lt;=Timing_Reversion_Month)*(MIN(JV247+JV248-JV249,MAX(JV246,0)*$I$255))</f>
        <v>0</v>
      </c>
      <c r="JW250" s="225">
        <f ca="1">(JW$197&lt;=Timing_Reversion_Month)*(MIN(JW247+JW248-JW249,MAX(JW246,0)*$I$255))</f>
        <v>0</v>
      </c>
      <c r="JX250" s="225">
        <f ca="1">(JX$197&lt;=Timing_Reversion_Month)*(MIN(JX247+JX248-JX249,MAX(JX246,0)*$I$255))</f>
        <v>0</v>
      </c>
    </row>
    <row r="251" spans="1:284" s="7" customFormat="1" ht="0.6" customHeight="1" x14ac:dyDescent="0.2">
      <c r="A251" s="406"/>
      <c r="B251" s="231" t="s">
        <v>70</v>
      </c>
      <c r="C251" s="233"/>
      <c r="D251" s="233"/>
      <c r="E251" s="241">
        <f>SUM(E249:E250)</f>
        <v>1</v>
      </c>
      <c r="F251" s="241"/>
      <c r="G251" s="233"/>
      <c r="H251" s="241">
        <f>SUM(H249:H250)</f>
        <v>1</v>
      </c>
      <c r="I251" s="242">
        <f ca="1">SUM(I249:I250)</f>
        <v>731860.7136061769</v>
      </c>
      <c r="L251" s="38">
        <f t="shared" ref="L251:AQ251" ca="1" si="979">IF(L227="","",SUM(L249:L250))</f>
        <v>187657.97638306464</v>
      </c>
      <c r="M251" s="38">
        <f t="shared" ca="1" si="979"/>
        <v>21730.771816496028</v>
      </c>
      <c r="N251" s="38">
        <f t="shared" ca="1" si="979"/>
        <v>29755.760793080615</v>
      </c>
      <c r="O251" s="38">
        <f t="shared" ca="1" si="979"/>
        <v>45670.459179682453</v>
      </c>
      <c r="P251" s="38">
        <f t="shared" ca="1" si="979"/>
        <v>73391.045194076287</v>
      </c>
      <c r="Q251" s="38">
        <f t="shared" ca="1" si="979"/>
        <v>115481.48367370834</v>
      </c>
      <c r="R251" s="38">
        <f t="shared" ca="1" si="979"/>
        <v>170492.91037806304</v>
      </c>
      <c r="S251" s="38">
        <f t="shared" ca="1" si="979"/>
        <v>87680.306188005474</v>
      </c>
      <c r="T251" s="38">
        <f t="shared" ca="1" si="979"/>
        <v>0</v>
      </c>
      <c r="U251" s="38">
        <f t="shared" ca="1" si="979"/>
        <v>0</v>
      </c>
      <c r="V251" s="38">
        <f t="shared" ca="1" si="979"/>
        <v>0</v>
      </c>
      <c r="W251" s="38">
        <f t="shared" ca="1" si="979"/>
        <v>0</v>
      </c>
      <c r="X251" s="38">
        <f t="shared" ca="1" si="979"/>
        <v>0</v>
      </c>
      <c r="Y251" s="38">
        <f t="shared" ca="1" si="979"/>
        <v>0</v>
      </c>
      <c r="Z251" s="38">
        <f t="shared" ca="1" si="979"/>
        <v>0</v>
      </c>
      <c r="AA251" s="38">
        <f t="shared" ca="1" si="979"/>
        <v>0</v>
      </c>
      <c r="AB251" s="38">
        <f t="shared" ca="1" si="979"/>
        <v>0</v>
      </c>
      <c r="AC251" s="38">
        <f t="shared" ca="1" si="979"/>
        <v>0</v>
      </c>
      <c r="AD251" s="38">
        <f t="shared" ca="1" si="979"/>
        <v>0</v>
      </c>
      <c r="AE251" s="38">
        <f t="shared" ca="1" si="979"/>
        <v>0</v>
      </c>
      <c r="AF251" s="38">
        <f t="shared" ca="1" si="979"/>
        <v>0</v>
      </c>
      <c r="AG251" s="38">
        <f t="shared" ca="1" si="979"/>
        <v>0</v>
      </c>
      <c r="AH251" s="38">
        <f t="shared" ca="1" si="979"/>
        <v>0</v>
      </c>
      <c r="AI251" s="38">
        <f t="shared" ca="1" si="979"/>
        <v>0</v>
      </c>
      <c r="AJ251" s="38">
        <f t="shared" ca="1" si="979"/>
        <v>5.4569682106375712E-13</v>
      </c>
      <c r="AK251" s="38">
        <f t="shared" ca="1" si="979"/>
        <v>0</v>
      </c>
      <c r="AL251" s="38">
        <f t="shared" ca="1" si="979"/>
        <v>0</v>
      </c>
      <c r="AM251" s="38">
        <f t="shared" ca="1" si="979"/>
        <v>0</v>
      </c>
      <c r="AN251" s="38">
        <f t="shared" ca="1" si="979"/>
        <v>0</v>
      </c>
      <c r="AO251" s="38">
        <f t="shared" ca="1" si="979"/>
        <v>0</v>
      </c>
      <c r="AP251" s="38">
        <f t="shared" ca="1" si="979"/>
        <v>0</v>
      </c>
      <c r="AQ251" s="38">
        <f t="shared" ca="1" si="979"/>
        <v>0</v>
      </c>
      <c r="AR251" s="38">
        <f t="shared" ref="AR251:BW251" ca="1" si="980">IF(AR227="","",SUM(AR249:AR250))</f>
        <v>0</v>
      </c>
      <c r="AS251" s="38">
        <f t="shared" ca="1" si="980"/>
        <v>0</v>
      </c>
      <c r="AT251" s="38">
        <f t="shared" ca="1" si="980"/>
        <v>0</v>
      </c>
      <c r="AU251" s="38">
        <f t="shared" ca="1" si="980"/>
        <v>0</v>
      </c>
      <c r="AV251" s="38">
        <f t="shared" ca="1" si="980"/>
        <v>0</v>
      </c>
      <c r="AW251" s="38">
        <f t="shared" ca="1" si="980"/>
        <v>0</v>
      </c>
      <c r="AX251" s="38">
        <f t="shared" ca="1" si="980"/>
        <v>0</v>
      </c>
      <c r="AY251" s="38">
        <f t="shared" ca="1" si="980"/>
        <v>0</v>
      </c>
      <c r="AZ251" s="38">
        <f t="shared" ca="1" si="980"/>
        <v>0</v>
      </c>
      <c r="BA251" s="38">
        <f t="shared" ca="1" si="980"/>
        <v>0</v>
      </c>
      <c r="BB251" s="38">
        <f t="shared" ca="1" si="980"/>
        <v>0</v>
      </c>
      <c r="BC251" s="38">
        <f t="shared" ca="1" si="980"/>
        <v>0</v>
      </c>
      <c r="BD251" s="38">
        <f t="shared" ca="1" si="980"/>
        <v>0</v>
      </c>
      <c r="BE251" s="38">
        <f t="shared" ca="1" si="980"/>
        <v>0</v>
      </c>
      <c r="BF251" s="38" t="str">
        <f t="shared" si="980"/>
        <v/>
      </c>
      <c r="BG251" s="38" t="str">
        <f t="shared" si="980"/>
        <v/>
      </c>
      <c r="BH251" s="38" t="str">
        <f t="shared" si="980"/>
        <v/>
      </c>
      <c r="BI251" s="38" t="str">
        <f t="shared" si="980"/>
        <v/>
      </c>
      <c r="BJ251" s="38" t="str">
        <f t="shared" si="980"/>
        <v/>
      </c>
      <c r="BK251" s="38" t="str">
        <f t="shared" si="980"/>
        <v/>
      </c>
      <c r="BL251" s="38" t="str">
        <f t="shared" si="980"/>
        <v/>
      </c>
      <c r="BM251" s="38" t="str">
        <f t="shared" si="980"/>
        <v/>
      </c>
      <c r="BN251" s="38" t="str">
        <f t="shared" si="980"/>
        <v/>
      </c>
      <c r="BO251" s="38" t="str">
        <f t="shared" si="980"/>
        <v/>
      </c>
      <c r="BP251" s="38" t="str">
        <f t="shared" si="980"/>
        <v/>
      </c>
      <c r="BQ251" s="38" t="str">
        <f t="shared" si="980"/>
        <v/>
      </c>
      <c r="BR251" s="38" t="str">
        <f t="shared" si="980"/>
        <v/>
      </c>
      <c r="BS251" s="38" t="str">
        <f t="shared" si="980"/>
        <v/>
      </c>
      <c r="BT251" s="38" t="str">
        <f t="shared" si="980"/>
        <v/>
      </c>
      <c r="BU251" s="38" t="str">
        <f t="shared" si="980"/>
        <v/>
      </c>
      <c r="BV251" s="38" t="str">
        <f t="shared" si="980"/>
        <v/>
      </c>
      <c r="BW251" s="38" t="str">
        <f t="shared" si="980"/>
        <v/>
      </c>
      <c r="BX251" s="38" t="str">
        <f t="shared" ref="BX251:DC251" si="981">IF(BX227="","",SUM(BX249:BX250))</f>
        <v/>
      </c>
      <c r="BY251" s="38" t="str">
        <f t="shared" si="981"/>
        <v/>
      </c>
      <c r="BZ251" s="38" t="str">
        <f t="shared" si="981"/>
        <v/>
      </c>
      <c r="CA251" s="38" t="str">
        <f t="shared" si="981"/>
        <v/>
      </c>
      <c r="CB251" s="38" t="str">
        <f t="shared" si="981"/>
        <v/>
      </c>
      <c r="CC251" s="38" t="str">
        <f t="shared" si="981"/>
        <v/>
      </c>
      <c r="CD251" s="38" t="str">
        <f t="shared" si="981"/>
        <v/>
      </c>
      <c r="CE251" s="38" t="str">
        <f t="shared" si="981"/>
        <v/>
      </c>
      <c r="CF251" s="38" t="str">
        <f t="shared" si="981"/>
        <v/>
      </c>
      <c r="CG251" s="38" t="str">
        <f t="shared" si="981"/>
        <v/>
      </c>
      <c r="CH251" s="38" t="str">
        <f t="shared" si="981"/>
        <v/>
      </c>
      <c r="CI251" s="38" t="str">
        <f t="shared" si="981"/>
        <v/>
      </c>
      <c r="CJ251" s="38" t="str">
        <f t="shared" si="981"/>
        <v/>
      </c>
      <c r="CK251" s="38" t="str">
        <f t="shared" si="981"/>
        <v/>
      </c>
      <c r="CL251" s="38" t="str">
        <f t="shared" si="981"/>
        <v/>
      </c>
      <c r="CM251" s="38" t="str">
        <f t="shared" si="981"/>
        <v/>
      </c>
      <c r="CN251" s="38" t="str">
        <f t="shared" si="981"/>
        <v/>
      </c>
      <c r="CO251" s="38" t="str">
        <f t="shared" si="981"/>
        <v/>
      </c>
      <c r="CP251" s="38" t="str">
        <f t="shared" si="981"/>
        <v/>
      </c>
      <c r="CQ251" s="38" t="str">
        <f t="shared" si="981"/>
        <v/>
      </c>
      <c r="CR251" s="38" t="str">
        <f t="shared" si="981"/>
        <v/>
      </c>
      <c r="CS251" s="38" t="str">
        <f t="shared" si="981"/>
        <v/>
      </c>
      <c r="CT251" s="38" t="str">
        <f t="shared" si="981"/>
        <v/>
      </c>
      <c r="CU251" s="38" t="str">
        <f t="shared" si="981"/>
        <v/>
      </c>
      <c r="CV251" s="38" t="str">
        <f t="shared" si="981"/>
        <v/>
      </c>
      <c r="CW251" s="38" t="str">
        <f t="shared" si="981"/>
        <v/>
      </c>
      <c r="CX251" s="38" t="str">
        <f t="shared" si="981"/>
        <v/>
      </c>
      <c r="CY251" s="38" t="str">
        <f t="shared" si="981"/>
        <v/>
      </c>
      <c r="CZ251" s="38" t="str">
        <f t="shared" si="981"/>
        <v/>
      </c>
      <c r="DA251" s="38" t="str">
        <f t="shared" si="981"/>
        <v/>
      </c>
      <c r="DB251" s="38" t="str">
        <f t="shared" si="981"/>
        <v/>
      </c>
      <c r="DC251" s="38" t="str">
        <f t="shared" si="981"/>
        <v/>
      </c>
      <c r="DD251" s="38" t="str">
        <f t="shared" ref="DD251:EI251" si="982">IF(DD227="","",SUM(DD249:DD250))</f>
        <v/>
      </c>
      <c r="DE251" s="38" t="str">
        <f t="shared" si="982"/>
        <v/>
      </c>
      <c r="DF251" s="38" t="str">
        <f t="shared" si="982"/>
        <v/>
      </c>
      <c r="DG251" s="38" t="str">
        <f t="shared" si="982"/>
        <v/>
      </c>
      <c r="DH251" s="38" t="str">
        <f t="shared" si="982"/>
        <v/>
      </c>
      <c r="DI251" s="38" t="str">
        <f t="shared" si="982"/>
        <v/>
      </c>
      <c r="DJ251" s="38" t="str">
        <f t="shared" si="982"/>
        <v/>
      </c>
      <c r="DK251" s="38" t="str">
        <f t="shared" si="982"/>
        <v/>
      </c>
      <c r="DL251" s="38" t="str">
        <f t="shared" si="982"/>
        <v/>
      </c>
      <c r="DM251" s="38" t="str">
        <f t="shared" si="982"/>
        <v/>
      </c>
      <c r="DN251" s="38" t="str">
        <f t="shared" si="982"/>
        <v/>
      </c>
      <c r="DO251" s="38" t="str">
        <f t="shared" si="982"/>
        <v/>
      </c>
      <c r="DP251" s="38" t="str">
        <f t="shared" si="982"/>
        <v/>
      </c>
      <c r="DQ251" s="38" t="str">
        <f t="shared" si="982"/>
        <v/>
      </c>
      <c r="DR251" s="38" t="str">
        <f t="shared" si="982"/>
        <v/>
      </c>
      <c r="DS251" s="38" t="str">
        <f t="shared" si="982"/>
        <v/>
      </c>
      <c r="DT251" s="38" t="str">
        <f t="shared" si="982"/>
        <v/>
      </c>
      <c r="DU251" s="38" t="str">
        <f t="shared" si="982"/>
        <v/>
      </c>
      <c r="DV251" s="38" t="str">
        <f t="shared" si="982"/>
        <v/>
      </c>
      <c r="DW251" s="38" t="str">
        <f t="shared" si="982"/>
        <v/>
      </c>
      <c r="DX251" s="38" t="str">
        <f t="shared" si="982"/>
        <v/>
      </c>
      <c r="DY251" s="38" t="str">
        <f t="shared" si="982"/>
        <v/>
      </c>
      <c r="DZ251" s="38" t="str">
        <f t="shared" si="982"/>
        <v/>
      </c>
      <c r="EA251" s="38" t="str">
        <f t="shared" si="982"/>
        <v/>
      </c>
      <c r="EB251" s="38" t="str">
        <f t="shared" si="982"/>
        <v/>
      </c>
      <c r="EC251" s="38" t="str">
        <f t="shared" si="982"/>
        <v/>
      </c>
      <c r="ED251" s="38" t="str">
        <f t="shared" si="982"/>
        <v/>
      </c>
      <c r="EE251" s="38" t="str">
        <f t="shared" si="982"/>
        <v/>
      </c>
      <c r="EF251" s="38" t="str">
        <f t="shared" si="982"/>
        <v/>
      </c>
      <c r="EG251" s="38" t="str">
        <f t="shared" si="982"/>
        <v/>
      </c>
      <c r="EH251" s="38" t="str">
        <f t="shared" si="982"/>
        <v/>
      </c>
      <c r="EI251" s="38" t="str">
        <f t="shared" si="982"/>
        <v/>
      </c>
      <c r="EJ251" s="38" t="str">
        <f>IF(EJ227="","",SUM(EJ249:EJ250))</f>
        <v/>
      </c>
      <c r="EK251" s="38" t="str">
        <f>IF(EK227="","",SUM(EK249:EK250))</f>
        <v/>
      </c>
      <c r="EL251" s="38" t="str">
        <f>IF(EL227="","",SUM(EL249:EL250))</f>
        <v/>
      </c>
      <c r="EM251" s="38" t="str">
        <f>IF(EM227="","",SUM(EM249:EM250))</f>
        <v/>
      </c>
      <c r="EN251" s="38" t="str">
        <f>IF(EN227="","",SUM(EN249:EN250))</f>
        <v/>
      </c>
      <c r="EP251" s="37"/>
      <c r="EQ251" s="24"/>
      <c r="ER251" s="24"/>
      <c r="ES251" s="24"/>
      <c r="ET251" s="33" t="s">
        <v>406</v>
      </c>
      <c r="EU251" s="33"/>
      <c r="EV251" s="225">
        <f t="shared" ref="EV251:GA251" ca="1" si="983">(EV$197&lt;=Timing_Reversion_Month)*(EV247+EV248+EV240-EV249-EV250)</f>
        <v>168892.17874475819</v>
      </c>
      <c r="EW251" s="225">
        <f t="shared" ca="1" si="983"/>
        <v>190052.45629198418</v>
      </c>
      <c r="EX251" s="225">
        <f t="shared" ca="1" si="983"/>
        <v>218636.00941022029</v>
      </c>
      <c r="EY251" s="225">
        <f t="shared" ca="1" si="983"/>
        <v>261814.01449327162</v>
      </c>
      <c r="EZ251" s="225">
        <f t="shared" ca="1" si="983"/>
        <v>330350.25413883885</v>
      </c>
      <c r="FA251" s="225">
        <f t="shared" ca="1" si="983"/>
        <v>437418.2146025867</v>
      </c>
      <c r="FB251" s="225">
        <f t="shared" ca="1" si="983"/>
        <v>595012.40480702231</v>
      </c>
      <c r="FC251" s="225">
        <f t="shared" ca="1" si="983"/>
        <v>679570.62987894937</v>
      </c>
      <c r="FD251" s="225">
        <f t="shared" ca="1" si="983"/>
        <v>686018.93487029488</v>
      </c>
      <c r="FE251" s="225">
        <f t="shared" ca="1" si="983"/>
        <v>692528.42649248231</v>
      </c>
      <c r="FF251" s="225">
        <f t="shared" ca="1" si="983"/>
        <v>699099.6853327821</v>
      </c>
      <c r="FG251" s="225">
        <f t="shared" ca="1" si="983"/>
        <v>705733.29748753703</v>
      </c>
      <c r="FH251" s="225">
        <f t="shared" ca="1" si="983"/>
        <v>712429.85461443674</v>
      </c>
      <c r="FI251" s="225">
        <f t="shared" ca="1" si="983"/>
        <v>719189.95398528827</v>
      </c>
      <c r="FJ251" s="225">
        <f t="shared" ca="1" si="983"/>
        <v>726014.19853928697</v>
      </c>
      <c r="FK251" s="225">
        <f t="shared" ca="1" si="983"/>
        <v>732903.19693679351</v>
      </c>
      <c r="FL251" s="225">
        <f t="shared" ca="1" si="983"/>
        <v>739857.5636136207</v>
      </c>
      <c r="FM251" s="225">
        <f t="shared" ca="1" si="983"/>
        <v>746877.91883583541</v>
      </c>
      <c r="FN251" s="225">
        <f t="shared" ca="1" si="983"/>
        <v>753964.88875508099</v>
      </c>
      <c r="FO251" s="225">
        <f t="shared" ca="1" si="983"/>
        <v>761119.10546442389</v>
      </c>
      <c r="FP251" s="225">
        <f t="shared" ca="1" si="983"/>
        <v>768341.20705473085</v>
      </c>
      <c r="FQ251" s="225">
        <f t="shared" ca="1" si="983"/>
        <v>775631.83767158084</v>
      </c>
      <c r="FR251" s="225">
        <f t="shared" ca="1" si="983"/>
        <v>782991.64757271658</v>
      </c>
      <c r="FS251" s="225">
        <f t="shared" ca="1" si="983"/>
        <v>790421.29318604211</v>
      </c>
      <c r="FT251" s="225">
        <f t="shared" ca="1" si="983"/>
        <v>797921.43716816977</v>
      </c>
      <c r="FU251" s="225">
        <f t="shared" ca="1" si="983"/>
        <v>805492.74846352346</v>
      </c>
      <c r="FV251" s="225">
        <f t="shared" ca="1" si="983"/>
        <v>813135.90236400208</v>
      </c>
      <c r="FW251" s="225">
        <f t="shared" ca="1" si="983"/>
        <v>820851.58056920941</v>
      </c>
      <c r="FX251" s="225">
        <f t="shared" ca="1" si="983"/>
        <v>828640.4712472558</v>
      </c>
      <c r="FY251" s="225">
        <f t="shared" ca="1" si="983"/>
        <v>836503.26909613633</v>
      </c>
      <c r="FZ251" s="225">
        <f t="shared" ca="1" si="983"/>
        <v>844346.28825961868</v>
      </c>
      <c r="GA251" s="225">
        <f t="shared" ca="1" si="983"/>
        <v>851534.35551444348</v>
      </c>
      <c r="GB251" s="225">
        <f t="shared" ref="GB251:HG251" ca="1" si="984">(GB$197&lt;=Timing_Reversion_Month)*(GB247+GB248+GB240-GB249-GB250)</f>
        <v>857341.00039925263</v>
      </c>
      <c r="GC251" s="225">
        <f t="shared" ca="1" si="984"/>
        <v>861443.75438012986</v>
      </c>
      <c r="GD251" s="225">
        <f t="shared" ca="1" si="984"/>
        <v>865535.45983961818</v>
      </c>
      <c r="GE251" s="225">
        <f t="shared" ca="1" si="984"/>
        <v>869616.01194058591</v>
      </c>
      <c r="GF251" s="225">
        <f t="shared" ca="1" si="984"/>
        <v>873685.30485112336</v>
      </c>
      <c r="GG251" s="225">
        <f t="shared" ca="1" si="984"/>
        <v>877743.23173510411</v>
      </c>
      <c r="GH251" s="225">
        <f t="shared" ca="1" si="984"/>
        <v>881789.68474265561</v>
      </c>
      <c r="GI251" s="225">
        <f t="shared" ca="1" si="984"/>
        <v>885824.55500054033</v>
      </c>
      <c r="GJ251" s="225">
        <f t="shared" ca="1" si="984"/>
        <v>889847.73260244506</v>
      </c>
      <c r="GK251" s="225">
        <f t="shared" ca="1" si="984"/>
        <v>893859.10659917828</v>
      </c>
      <c r="GL251" s="225">
        <f t="shared" ca="1" si="984"/>
        <v>897858.5649887746</v>
      </c>
      <c r="GM251" s="225">
        <f t="shared" ca="1" si="984"/>
        <v>902463.10907313123</v>
      </c>
      <c r="GN251" s="225">
        <f t="shared" ca="1" si="984"/>
        <v>907059.86665735627</v>
      </c>
      <c r="GO251" s="225">
        <f t="shared" ca="1" si="984"/>
        <v>0</v>
      </c>
      <c r="GP251" s="225">
        <f t="shared" ca="1" si="984"/>
        <v>0</v>
      </c>
      <c r="GQ251" s="225">
        <f t="shared" ca="1" si="984"/>
        <v>0</v>
      </c>
      <c r="GR251" s="225">
        <f t="shared" ca="1" si="984"/>
        <v>0</v>
      </c>
      <c r="GS251" s="225">
        <f t="shared" ca="1" si="984"/>
        <v>0</v>
      </c>
      <c r="GT251" s="225">
        <f t="shared" ca="1" si="984"/>
        <v>0</v>
      </c>
      <c r="GU251" s="225">
        <f t="shared" ca="1" si="984"/>
        <v>0</v>
      </c>
      <c r="GV251" s="225">
        <f t="shared" ca="1" si="984"/>
        <v>0</v>
      </c>
      <c r="GW251" s="225">
        <f t="shared" ca="1" si="984"/>
        <v>0</v>
      </c>
      <c r="GX251" s="225">
        <f t="shared" ca="1" si="984"/>
        <v>0</v>
      </c>
      <c r="GY251" s="225">
        <f t="shared" ca="1" si="984"/>
        <v>0</v>
      </c>
      <c r="GZ251" s="225">
        <f t="shared" ca="1" si="984"/>
        <v>0</v>
      </c>
      <c r="HA251" s="225">
        <f t="shared" ca="1" si="984"/>
        <v>0</v>
      </c>
      <c r="HB251" s="225">
        <f t="shared" ca="1" si="984"/>
        <v>0</v>
      </c>
      <c r="HC251" s="225">
        <f t="shared" ca="1" si="984"/>
        <v>0</v>
      </c>
      <c r="HD251" s="225">
        <f t="shared" ca="1" si="984"/>
        <v>0</v>
      </c>
      <c r="HE251" s="225">
        <f t="shared" ca="1" si="984"/>
        <v>0</v>
      </c>
      <c r="HF251" s="225">
        <f t="shared" ca="1" si="984"/>
        <v>0</v>
      </c>
      <c r="HG251" s="225">
        <f t="shared" ca="1" si="984"/>
        <v>0</v>
      </c>
      <c r="HH251" s="225">
        <f t="shared" ref="HH251:IM251" ca="1" si="985">(HH$197&lt;=Timing_Reversion_Month)*(HH247+HH248+HH240-HH249-HH250)</f>
        <v>0</v>
      </c>
      <c r="HI251" s="225">
        <f t="shared" ca="1" si="985"/>
        <v>0</v>
      </c>
      <c r="HJ251" s="225">
        <f t="shared" ca="1" si="985"/>
        <v>0</v>
      </c>
      <c r="HK251" s="225">
        <f t="shared" ca="1" si="985"/>
        <v>0</v>
      </c>
      <c r="HL251" s="225">
        <f t="shared" ca="1" si="985"/>
        <v>0</v>
      </c>
      <c r="HM251" s="225">
        <f t="shared" ca="1" si="985"/>
        <v>0</v>
      </c>
      <c r="HN251" s="225">
        <f t="shared" ca="1" si="985"/>
        <v>0</v>
      </c>
      <c r="HO251" s="225">
        <f t="shared" ca="1" si="985"/>
        <v>0</v>
      </c>
      <c r="HP251" s="225">
        <f t="shared" ca="1" si="985"/>
        <v>0</v>
      </c>
      <c r="HQ251" s="225">
        <f t="shared" ca="1" si="985"/>
        <v>0</v>
      </c>
      <c r="HR251" s="225">
        <f t="shared" ca="1" si="985"/>
        <v>0</v>
      </c>
      <c r="HS251" s="225">
        <f t="shared" ca="1" si="985"/>
        <v>0</v>
      </c>
      <c r="HT251" s="225">
        <f t="shared" ca="1" si="985"/>
        <v>0</v>
      </c>
      <c r="HU251" s="225">
        <f t="shared" ca="1" si="985"/>
        <v>0</v>
      </c>
      <c r="HV251" s="225">
        <f t="shared" ca="1" si="985"/>
        <v>0</v>
      </c>
      <c r="HW251" s="225">
        <f t="shared" ca="1" si="985"/>
        <v>0</v>
      </c>
      <c r="HX251" s="225">
        <f t="shared" ca="1" si="985"/>
        <v>0</v>
      </c>
      <c r="HY251" s="225">
        <f t="shared" ca="1" si="985"/>
        <v>0</v>
      </c>
      <c r="HZ251" s="225">
        <f t="shared" ca="1" si="985"/>
        <v>0</v>
      </c>
      <c r="IA251" s="225">
        <f t="shared" ca="1" si="985"/>
        <v>0</v>
      </c>
      <c r="IB251" s="225">
        <f t="shared" ca="1" si="985"/>
        <v>0</v>
      </c>
      <c r="IC251" s="225">
        <f t="shared" ca="1" si="985"/>
        <v>0</v>
      </c>
      <c r="ID251" s="225">
        <f t="shared" ca="1" si="985"/>
        <v>0</v>
      </c>
      <c r="IE251" s="225">
        <f t="shared" ca="1" si="985"/>
        <v>0</v>
      </c>
      <c r="IF251" s="225">
        <f t="shared" ca="1" si="985"/>
        <v>0</v>
      </c>
      <c r="IG251" s="225">
        <f t="shared" ca="1" si="985"/>
        <v>0</v>
      </c>
      <c r="IH251" s="225">
        <f t="shared" ca="1" si="985"/>
        <v>0</v>
      </c>
      <c r="II251" s="225">
        <f t="shared" ca="1" si="985"/>
        <v>0</v>
      </c>
      <c r="IJ251" s="225">
        <f t="shared" ca="1" si="985"/>
        <v>0</v>
      </c>
      <c r="IK251" s="225">
        <f t="shared" ca="1" si="985"/>
        <v>0</v>
      </c>
      <c r="IL251" s="225">
        <f t="shared" ca="1" si="985"/>
        <v>0</v>
      </c>
      <c r="IM251" s="225">
        <f t="shared" ca="1" si="985"/>
        <v>0</v>
      </c>
      <c r="IN251" s="225">
        <f t="shared" ref="IN251:JS251" ca="1" si="986">(IN$197&lt;=Timing_Reversion_Month)*(IN247+IN248+IN240-IN249-IN250)</f>
        <v>0</v>
      </c>
      <c r="IO251" s="225">
        <f t="shared" ca="1" si="986"/>
        <v>0</v>
      </c>
      <c r="IP251" s="225">
        <f t="shared" ca="1" si="986"/>
        <v>0</v>
      </c>
      <c r="IQ251" s="225">
        <f t="shared" ca="1" si="986"/>
        <v>0</v>
      </c>
      <c r="IR251" s="225">
        <f t="shared" ca="1" si="986"/>
        <v>0</v>
      </c>
      <c r="IS251" s="225">
        <f t="shared" ca="1" si="986"/>
        <v>0</v>
      </c>
      <c r="IT251" s="225">
        <f t="shared" ca="1" si="986"/>
        <v>0</v>
      </c>
      <c r="IU251" s="225">
        <f t="shared" ca="1" si="986"/>
        <v>0</v>
      </c>
      <c r="IV251" s="225">
        <f t="shared" ca="1" si="986"/>
        <v>0</v>
      </c>
      <c r="IW251" s="225">
        <f t="shared" ca="1" si="986"/>
        <v>0</v>
      </c>
      <c r="IX251" s="225">
        <f t="shared" ca="1" si="986"/>
        <v>0</v>
      </c>
      <c r="IY251" s="225">
        <f t="shared" ca="1" si="986"/>
        <v>0</v>
      </c>
      <c r="IZ251" s="225">
        <f t="shared" ca="1" si="986"/>
        <v>0</v>
      </c>
      <c r="JA251" s="225">
        <f t="shared" ca="1" si="986"/>
        <v>0</v>
      </c>
      <c r="JB251" s="225">
        <f t="shared" ca="1" si="986"/>
        <v>0</v>
      </c>
      <c r="JC251" s="225">
        <f t="shared" ca="1" si="986"/>
        <v>0</v>
      </c>
      <c r="JD251" s="225">
        <f t="shared" ca="1" si="986"/>
        <v>0</v>
      </c>
      <c r="JE251" s="225">
        <f t="shared" ca="1" si="986"/>
        <v>0</v>
      </c>
      <c r="JF251" s="225">
        <f t="shared" ca="1" si="986"/>
        <v>0</v>
      </c>
      <c r="JG251" s="225">
        <f t="shared" ca="1" si="986"/>
        <v>0</v>
      </c>
      <c r="JH251" s="225">
        <f t="shared" ca="1" si="986"/>
        <v>0</v>
      </c>
      <c r="JI251" s="225">
        <f t="shared" ca="1" si="986"/>
        <v>0</v>
      </c>
      <c r="JJ251" s="225">
        <f t="shared" ca="1" si="986"/>
        <v>0</v>
      </c>
      <c r="JK251" s="225">
        <f t="shared" ca="1" si="986"/>
        <v>0</v>
      </c>
      <c r="JL251" s="225">
        <f t="shared" ca="1" si="986"/>
        <v>0</v>
      </c>
      <c r="JM251" s="225">
        <f t="shared" ca="1" si="986"/>
        <v>0</v>
      </c>
      <c r="JN251" s="225">
        <f t="shared" ca="1" si="986"/>
        <v>0</v>
      </c>
      <c r="JO251" s="225">
        <f t="shared" ca="1" si="986"/>
        <v>0</v>
      </c>
      <c r="JP251" s="225">
        <f t="shared" ca="1" si="986"/>
        <v>0</v>
      </c>
      <c r="JQ251" s="225">
        <f t="shared" ca="1" si="986"/>
        <v>0</v>
      </c>
      <c r="JR251" s="225">
        <f t="shared" ca="1" si="986"/>
        <v>0</v>
      </c>
      <c r="JS251" s="225">
        <f t="shared" ca="1" si="986"/>
        <v>0</v>
      </c>
      <c r="JT251" s="225">
        <f ca="1">(JT$197&lt;=Timing_Reversion_Month)*(JT247+JT248+JT240-JT249-JT250)</f>
        <v>0</v>
      </c>
      <c r="JU251" s="225">
        <f ca="1">(JU$197&lt;=Timing_Reversion_Month)*(JU247+JU248+JU240-JU249-JU250)</f>
        <v>0</v>
      </c>
      <c r="JV251" s="225">
        <f ca="1">(JV$197&lt;=Timing_Reversion_Month)*(JV247+JV248+JV240-JV249-JV250)</f>
        <v>0</v>
      </c>
      <c r="JW251" s="225">
        <f ca="1">(JW$197&lt;=Timing_Reversion_Month)*(JW247+JW248+JW240-JW249-JW250)</f>
        <v>0</v>
      </c>
      <c r="JX251" s="225">
        <f ca="1">(JX$197&lt;=Timing_Reversion_Month)*(JX247+JX248+JX240-JX249-JX250)</f>
        <v>0</v>
      </c>
    </row>
    <row r="252" spans="1:284" s="7" customFormat="1" ht="0.6" customHeight="1" x14ac:dyDescent="0.2">
      <c r="A252" s="406"/>
      <c r="B252" s="231"/>
      <c r="C252" s="233"/>
      <c r="D252" s="233"/>
      <c r="E252" s="235"/>
      <c r="F252" s="235"/>
      <c r="G252" s="235"/>
      <c r="H252" s="241"/>
      <c r="I252" s="242"/>
      <c r="EP252" s="37"/>
      <c r="EQ252" s="24"/>
      <c r="ER252" s="24"/>
      <c r="ES252" s="33" t="s">
        <v>379</v>
      </c>
      <c r="ET252" s="223">
        <f ca="1">XIRR(OFFSET(EV252,,,1,Timing_Reversion_Month+1),OFFSET($EV$23,,,1,Timing_Reversion_Month+1))</f>
        <v>0.11988095641136168</v>
      </c>
      <c r="EU252" s="33"/>
      <c r="EV252" s="222">
        <f ca="1">+-EV240+EV249+EV250</f>
        <v>-168892.17874475819</v>
      </c>
      <c r="EW252" s="222">
        <f t="shared" ref="EW252:HH252" ca="1" si="987">+-EW240+EW249+EW250</f>
        <v>-19557.694634846426</v>
      </c>
      <c r="EX252" s="222">
        <f t="shared" ca="1" si="987"/>
        <v>-26780.184713772553</v>
      </c>
      <c r="EY252" s="222">
        <f t="shared" ca="1" si="987"/>
        <v>-41103.41326171421</v>
      </c>
      <c r="EZ252" s="222">
        <f t="shared" ca="1" si="987"/>
        <v>-66051.940674668658</v>
      </c>
      <c r="FA252" s="222">
        <f t="shared" ca="1" si="987"/>
        <v>-103933.33530633751</v>
      </c>
      <c r="FB252" s="222">
        <f t="shared" ca="1" si="987"/>
        <v>-153443.61934025673</v>
      </c>
      <c r="FC252" s="222">
        <f t="shared" ca="1" si="987"/>
        <v>-78912.275569204925</v>
      </c>
      <c r="FD252" s="222">
        <f t="shared" ca="1" si="987"/>
        <v>0</v>
      </c>
      <c r="FE252" s="222">
        <f t="shared" ca="1" si="987"/>
        <v>0</v>
      </c>
      <c r="FF252" s="222">
        <f t="shared" ca="1" si="987"/>
        <v>0</v>
      </c>
      <c r="FG252" s="222">
        <f t="shared" ca="1" si="987"/>
        <v>0</v>
      </c>
      <c r="FH252" s="222">
        <f t="shared" ca="1" si="987"/>
        <v>0</v>
      </c>
      <c r="FI252" s="222">
        <f t="shared" ca="1" si="987"/>
        <v>0</v>
      </c>
      <c r="FJ252" s="222">
        <f t="shared" ca="1" si="987"/>
        <v>0</v>
      </c>
      <c r="FK252" s="222">
        <f t="shared" ca="1" si="987"/>
        <v>0</v>
      </c>
      <c r="FL252" s="222">
        <f t="shared" ca="1" si="987"/>
        <v>0</v>
      </c>
      <c r="FM252" s="222">
        <f t="shared" ca="1" si="987"/>
        <v>0</v>
      </c>
      <c r="FN252" s="222">
        <f t="shared" ca="1" si="987"/>
        <v>0</v>
      </c>
      <c r="FO252" s="222">
        <f t="shared" ca="1" si="987"/>
        <v>0</v>
      </c>
      <c r="FP252" s="222">
        <f t="shared" ca="1" si="987"/>
        <v>6.5483618527650841E-13</v>
      </c>
      <c r="FQ252" s="222">
        <f t="shared" ca="1" si="987"/>
        <v>0</v>
      </c>
      <c r="FR252" s="222">
        <f t="shared" ca="1" si="987"/>
        <v>0</v>
      </c>
      <c r="FS252" s="222">
        <f t="shared" ca="1" si="987"/>
        <v>4.0927261579781772E-13</v>
      </c>
      <c r="FT252" s="222">
        <f t="shared" ca="1" si="987"/>
        <v>-4.9112713895738138E-13</v>
      </c>
      <c r="FU252" s="222">
        <f t="shared" ca="1" si="987"/>
        <v>0</v>
      </c>
      <c r="FV252" s="222">
        <f t="shared" ca="1" si="987"/>
        <v>0</v>
      </c>
      <c r="FW252" s="222">
        <f t="shared" ca="1" si="987"/>
        <v>0</v>
      </c>
      <c r="FX252" s="222">
        <f t="shared" ca="1" si="987"/>
        <v>0</v>
      </c>
      <c r="FY252" s="222">
        <f t="shared" ca="1" si="987"/>
        <v>0</v>
      </c>
      <c r="FZ252" s="222">
        <f t="shared" ca="1" si="987"/>
        <v>94.387146072673062</v>
      </c>
      <c r="GA252" s="222">
        <f t="shared" ca="1" si="987"/>
        <v>823.75983955459981</v>
      </c>
      <c r="GB252" s="222">
        <f t="shared" ca="1" si="987"/>
        <v>2273.388291351002</v>
      </c>
      <c r="GC252" s="222">
        <f t="shared" ca="1" si="987"/>
        <v>4032.3772462395837</v>
      </c>
      <c r="GD252" s="222">
        <f t="shared" ca="1" si="987"/>
        <v>4082.3559506145848</v>
      </c>
      <c r="GE252" s="222">
        <f t="shared" ca="1" si="987"/>
        <v>4132.3346549895878</v>
      </c>
      <c r="GF252" s="222">
        <f t="shared" ca="1" si="987"/>
        <v>4182.3133593645862</v>
      </c>
      <c r="GG252" s="222">
        <f t="shared" ca="1" si="987"/>
        <v>4232.2920637395837</v>
      </c>
      <c r="GH252" s="222">
        <f t="shared" ca="1" si="987"/>
        <v>4282.2707681145821</v>
      </c>
      <c r="GI252" s="222">
        <f t="shared" ca="1" si="987"/>
        <v>4332.2494724895851</v>
      </c>
      <c r="GJ252" s="222">
        <f t="shared" ca="1" si="987"/>
        <v>4382.2281768645835</v>
      </c>
      <c r="GK252" s="222">
        <f t="shared" ca="1" si="987"/>
        <v>4432.2068812395864</v>
      </c>
      <c r="GL252" s="222">
        <f t="shared" ca="1" si="987"/>
        <v>4482.1855856145876</v>
      </c>
      <c r="GM252" s="222">
        <f t="shared" ca="1" si="987"/>
        <v>3915.0499233637129</v>
      </c>
      <c r="GN252" s="222">
        <f t="shared" ca="1" si="987"/>
        <v>3966.5279888699611</v>
      </c>
      <c r="GO252" s="222">
        <f t="shared" ca="1" si="987"/>
        <v>915666.76991133846</v>
      </c>
      <c r="GP252" s="222">
        <f t="shared" ca="1" si="987"/>
        <v>0</v>
      </c>
      <c r="GQ252" s="222">
        <f t="shared" ca="1" si="987"/>
        <v>0</v>
      </c>
      <c r="GR252" s="222">
        <f t="shared" ca="1" si="987"/>
        <v>0</v>
      </c>
      <c r="GS252" s="222">
        <f t="shared" ca="1" si="987"/>
        <v>0</v>
      </c>
      <c r="GT252" s="222">
        <f t="shared" ca="1" si="987"/>
        <v>0</v>
      </c>
      <c r="GU252" s="222">
        <f t="shared" ca="1" si="987"/>
        <v>0</v>
      </c>
      <c r="GV252" s="222">
        <f t="shared" ca="1" si="987"/>
        <v>0</v>
      </c>
      <c r="GW252" s="222">
        <f t="shared" ca="1" si="987"/>
        <v>0</v>
      </c>
      <c r="GX252" s="222">
        <f t="shared" ca="1" si="987"/>
        <v>0</v>
      </c>
      <c r="GY252" s="222">
        <f t="shared" ca="1" si="987"/>
        <v>0</v>
      </c>
      <c r="GZ252" s="222">
        <f t="shared" ca="1" si="987"/>
        <v>0</v>
      </c>
      <c r="HA252" s="222">
        <f t="shared" ca="1" si="987"/>
        <v>0</v>
      </c>
      <c r="HB252" s="222">
        <f t="shared" ca="1" si="987"/>
        <v>0</v>
      </c>
      <c r="HC252" s="222">
        <f t="shared" ca="1" si="987"/>
        <v>0</v>
      </c>
      <c r="HD252" s="222">
        <f t="shared" ca="1" si="987"/>
        <v>0</v>
      </c>
      <c r="HE252" s="222">
        <f t="shared" ca="1" si="987"/>
        <v>0</v>
      </c>
      <c r="HF252" s="222">
        <f t="shared" ca="1" si="987"/>
        <v>0</v>
      </c>
      <c r="HG252" s="222">
        <f t="shared" ca="1" si="987"/>
        <v>0</v>
      </c>
      <c r="HH252" s="222">
        <f t="shared" ca="1" si="987"/>
        <v>0</v>
      </c>
      <c r="HI252" s="222">
        <f t="shared" ref="HI252:JT252" ca="1" si="988">+-HI240+HI249+HI250</f>
        <v>0</v>
      </c>
      <c r="HJ252" s="222">
        <f t="shared" ca="1" si="988"/>
        <v>0</v>
      </c>
      <c r="HK252" s="222">
        <f t="shared" ca="1" si="988"/>
        <v>0</v>
      </c>
      <c r="HL252" s="222">
        <f t="shared" ca="1" si="988"/>
        <v>0</v>
      </c>
      <c r="HM252" s="222">
        <f t="shared" ca="1" si="988"/>
        <v>0</v>
      </c>
      <c r="HN252" s="222">
        <f t="shared" ca="1" si="988"/>
        <v>0</v>
      </c>
      <c r="HO252" s="222">
        <f t="shared" ca="1" si="988"/>
        <v>0</v>
      </c>
      <c r="HP252" s="222">
        <f t="shared" ca="1" si="988"/>
        <v>0</v>
      </c>
      <c r="HQ252" s="222">
        <f t="shared" ca="1" si="988"/>
        <v>0</v>
      </c>
      <c r="HR252" s="222">
        <f t="shared" ca="1" si="988"/>
        <v>0</v>
      </c>
      <c r="HS252" s="222">
        <f t="shared" ca="1" si="988"/>
        <v>0</v>
      </c>
      <c r="HT252" s="222">
        <f t="shared" ca="1" si="988"/>
        <v>0</v>
      </c>
      <c r="HU252" s="222">
        <f t="shared" ca="1" si="988"/>
        <v>0</v>
      </c>
      <c r="HV252" s="222">
        <f t="shared" ca="1" si="988"/>
        <v>0</v>
      </c>
      <c r="HW252" s="222">
        <f t="shared" ca="1" si="988"/>
        <v>0</v>
      </c>
      <c r="HX252" s="222">
        <f t="shared" ca="1" si="988"/>
        <v>0</v>
      </c>
      <c r="HY252" s="222">
        <f t="shared" ca="1" si="988"/>
        <v>0</v>
      </c>
      <c r="HZ252" s="222">
        <f t="shared" ca="1" si="988"/>
        <v>0</v>
      </c>
      <c r="IA252" s="222">
        <f t="shared" ca="1" si="988"/>
        <v>0</v>
      </c>
      <c r="IB252" s="222">
        <f t="shared" ca="1" si="988"/>
        <v>0</v>
      </c>
      <c r="IC252" s="222">
        <f t="shared" ca="1" si="988"/>
        <v>0</v>
      </c>
      <c r="ID252" s="222">
        <f t="shared" ca="1" si="988"/>
        <v>0</v>
      </c>
      <c r="IE252" s="222">
        <f t="shared" ca="1" si="988"/>
        <v>0</v>
      </c>
      <c r="IF252" s="222">
        <f t="shared" ca="1" si="988"/>
        <v>0</v>
      </c>
      <c r="IG252" s="222">
        <f t="shared" ca="1" si="988"/>
        <v>0</v>
      </c>
      <c r="IH252" s="222">
        <f t="shared" ca="1" si="988"/>
        <v>0</v>
      </c>
      <c r="II252" s="222">
        <f t="shared" ca="1" si="988"/>
        <v>0</v>
      </c>
      <c r="IJ252" s="222">
        <f t="shared" ca="1" si="988"/>
        <v>0</v>
      </c>
      <c r="IK252" s="222">
        <f t="shared" ca="1" si="988"/>
        <v>0</v>
      </c>
      <c r="IL252" s="222">
        <f t="shared" ca="1" si="988"/>
        <v>0</v>
      </c>
      <c r="IM252" s="222">
        <f t="shared" ca="1" si="988"/>
        <v>0</v>
      </c>
      <c r="IN252" s="222">
        <f t="shared" ca="1" si="988"/>
        <v>0</v>
      </c>
      <c r="IO252" s="222">
        <f t="shared" ca="1" si="988"/>
        <v>0</v>
      </c>
      <c r="IP252" s="222">
        <f t="shared" ca="1" si="988"/>
        <v>0</v>
      </c>
      <c r="IQ252" s="222">
        <f t="shared" ca="1" si="988"/>
        <v>0</v>
      </c>
      <c r="IR252" s="222">
        <f t="shared" ca="1" si="988"/>
        <v>0</v>
      </c>
      <c r="IS252" s="222">
        <f t="shared" ca="1" si="988"/>
        <v>0</v>
      </c>
      <c r="IT252" s="222">
        <f t="shared" ca="1" si="988"/>
        <v>0</v>
      </c>
      <c r="IU252" s="222">
        <f t="shared" ca="1" si="988"/>
        <v>0</v>
      </c>
      <c r="IV252" s="222">
        <f t="shared" ca="1" si="988"/>
        <v>0</v>
      </c>
      <c r="IW252" s="222">
        <f t="shared" ca="1" si="988"/>
        <v>0</v>
      </c>
      <c r="IX252" s="222">
        <f t="shared" ca="1" si="988"/>
        <v>0</v>
      </c>
      <c r="IY252" s="222">
        <f t="shared" ca="1" si="988"/>
        <v>0</v>
      </c>
      <c r="IZ252" s="222">
        <f t="shared" ca="1" si="988"/>
        <v>0</v>
      </c>
      <c r="JA252" s="222">
        <f t="shared" ca="1" si="988"/>
        <v>0</v>
      </c>
      <c r="JB252" s="222">
        <f t="shared" ca="1" si="988"/>
        <v>0</v>
      </c>
      <c r="JC252" s="222">
        <f t="shared" ca="1" si="988"/>
        <v>0</v>
      </c>
      <c r="JD252" s="222">
        <f t="shared" ca="1" si="988"/>
        <v>0</v>
      </c>
      <c r="JE252" s="222">
        <f t="shared" ca="1" si="988"/>
        <v>0</v>
      </c>
      <c r="JF252" s="222">
        <f t="shared" ca="1" si="988"/>
        <v>0</v>
      </c>
      <c r="JG252" s="222">
        <f t="shared" ca="1" si="988"/>
        <v>0</v>
      </c>
      <c r="JH252" s="222">
        <f t="shared" ca="1" si="988"/>
        <v>0</v>
      </c>
      <c r="JI252" s="222">
        <f t="shared" ca="1" si="988"/>
        <v>0</v>
      </c>
      <c r="JJ252" s="222">
        <f t="shared" ca="1" si="988"/>
        <v>0</v>
      </c>
      <c r="JK252" s="222">
        <f t="shared" ca="1" si="988"/>
        <v>0</v>
      </c>
      <c r="JL252" s="222">
        <f t="shared" ca="1" si="988"/>
        <v>0</v>
      </c>
      <c r="JM252" s="222">
        <f t="shared" ca="1" si="988"/>
        <v>0</v>
      </c>
      <c r="JN252" s="222">
        <f t="shared" ca="1" si="988"/>
        <v>0</v>
      </c>
      <c r="JO252" s="222">
        <f t="shared" ca="1" si="988"/>
        <v>0</v>
      </c>
      <c r="JP252" s="222">
        <f t="shared" ca="1" si="988"/>
        <v>0</v>
      </c>
      <c r="JQ252" s="222">
        <f t="shared" ca="1" si="988"/>
        <v>0</v>
      </c>
      <c r="JR252" s="222">
        <f t="shared" ca="1" si="988"/>
        <v>0</v>
      </c>
      <c r="JS252" s="222">
        <f t="shared" ca="1" si="988"/>
        <v>0</v>
      </c>
      <c r="JT252" s="222">
        <f t="shared" ca="1" si="988"/>
        <v>0</v>
      </c>
      <c r="JU252" s="222">
        <f ca="1">+-JU240+JU249+JU250</f>
        <v>0</v>
      </c>
      <c r="JV252" s="222">
        <f ca="1">+-JV240+JV249+JV250</f>
        <v>0</v>
      </c>
      <c r="JW252" s="222">
        <f ca="1">+-JW240+JW249+JW250</f>
        <v>0</v>
      </c>
      <c r="JX252" s="222">
        <f ca="1">+-JX240+JX249+JX250</f>
        <v>0</v>
      </c>
    </row>
    <row r="253" spans="1:284" s="7" customFormat="1" ht="0.6" customHeight="1" x14ac:dyDescent="0.2">
      <c r="A253" s="406"/>
      <c r="B253" s="238" t="s">
        <v>366</v>
      </c>
      <c r="C253" s="233"/>
      <c r="D253" s="233"/>
      <c r="E253" s="233"/>
      <c r="F253" s="243" t="s">
        <v>362</v>
      </c>
      <c r="G253" s="244" t="str">
        <f>B249&amp;" Promote"</f>
        <v>GP 1 Promote</v>
      </c>
      <c r="H253" s="244" t="str">
        <f>"Dist. % to "&amp;$B$249</f>
        <v>Dist. % to GP 1</v>
      </c>
      <c r="I253" s="244" t="str">
        <f>"Dist. % to "&amp;$B$250</f>
        <v>Dist. % to GP 2</v>
      </c>
      <c r="EP253" s="37"/>
      <c r="EQ253" s="24"/>
      <c r="ER253" s="24"/>
      <c r="ES253" s="24"/>
      <c r="ET253" s="33" t="s">
        <v>401</v>
      </c>
      <c r="EU253" s="33"/>
      <c r="EV253" s="225">
        <f t="shared" ref="EV253:GA253" ca="1" si="989">(EV$197&lt;=Timing_Reversion_Month)*(EV250/$I$255*$H$255)</f>
        <v>0</v>
      </c>
      <c r="EW253" s="225">
        <f t="shared" ca="1" si="989"/>
        <v>0</v>
      </c>
      <c r="EX253" s="225">
        <f t="shared" ca="1" si="989"/>
        <v>0</v>
      </c>
      <c r="EY253" s="225">
        <f t="shared" ca="1" si="989"/>
        <v>0</v>
      </c>
      <c r="EZ253" s="225">
        <f t="shared" ca="1" si="989"/>
        <v>0</v>
      </c>
      <c r="FA253" s="225">
        <f t="shared" ca="1" si="989"/>
        <v>0</v>
      </c>
      <c r="FB253" s="225">
        <f t="shared" ca="1" si="989"/>
        <v>0</v>
      </c>
      <c r="FC253" s="225">
        <f t="shared" ca="1" si="989"/>
        <v>0</v>
      </c>
      <c r="FD253" s="225">
        <f t="shared" ca="1" si="989"/>
        <v>0</v>
      </c>
      <c r="FE253" s="225">
        <f t="shared" ca="1" si="989"/>
        <v>0</v>
      </c>
      <c r="FF253" s="225">
        <f t="shared" ca="1" si="989"/>
        <v>0</v>
      </c>
      <c r="FG253" s="225">
        <f t="shared" ca="1" si="989"/>
        <v>0</v>
      </c>
      <c r="FH253" s="225">
        <f t="shared" ca="1" si="989"/>
        <v>0</v>
      </c>
      <c r="FI253" s="225">
        <f t="shared" ca="1" si="989"/>
        <v>0</v>
      </c>
      <c r="FJ253" s="225">
        <f t="shared" ca="1" si="989"/>
        <v>0</v>
      </c>
      <c r="FK253" s="225">
        <f t="shared" ca="1" si="989"/>
        <v>0</v>
      </c>
      <c r="FL253" s="225">
        <f t="shared" ca="1" si="989"/>
        <v>0</v>
      </c>
      <c r="FM253" s="225">
        <f t="shared" ca="1" si="989"/>
        <v>0</v>
      </c>
      <c r="FN253" s="225">
        <f t="shared" ca="1" si="989"/>
        <v>0</v>
      </c>
      <c r="FO253" s="225">
        <f t="shared" ca="1" si="989"/>
        <v>0</v>
      </c>
      <c r="FP253" s="225">
        <f t="shared" ca="1" si="989"/>
        <v>0</v>
      </c>
      <c r="FQ253" s="225">
        <f t="shared" ca="1" si="989"/>
        <v>0</v>
      </c>
      <c r="FR253" s="225">
        <f t="shared" ca="1" si="989"/>
        <v>0</v>
      </c>
      <c r="FS253" s="225">
        <f t="shared" ca="1" si="989"/>
        <v>0</v>
      </c>
      <c r="FT253" s="225">
        <f t="shared" ca="1" si="989"/>
        <v>0</v>
      </c>
      <c r="FU253" s="225">
        <f t="shared" ca="1" si="989"/>
        <v>0</v>
      </c>
      <c r="FV253" s="225">
        <f t="shared" ca="1" si="989"/>
        <v>0</v>
      </c>
      <c r="FW253" s="225">
        <f t="shared" ca="1" si="989"/>
        <v>0</v>
      </c>
      <c r="FX253" s="225">
        <f t="shared" ca="1" si="989"/>
        <v>0</v>
      </c>
      <c r="FY253" s="225">
        <f t="shared" ca="1" si="989"/>
        <v>0</v>
      </c>
      <c r="FZ253" s="225">
        <f t="shared" ca="1" si="989"/>
        <v>0</v>
      </c>
      <c r="GA253" s="225">
        <f t="shared" ca="1" si="989"/>
        <v>0</v>
      </c>
      <c r="GB253" s="225">
        <f t="shared" ref="GB253:HG253" ca="1" si="990">(GB$197&lt;=Timing_Reversion_Month)*(GB250/$I$255*$H$255)</f>
        <v>0</v>
      </c>
      <c r="GC253" s="225">
        <f t="shared" ca="1" si="990"/>
        <v>0</v>
      </c>
      <c r="GD253" s="225">
        <f t="shared" ca="1" si="990"/>
        <v>0</v>
      </c>
      <c r="GE253" s="225">
        <f t="shared" ca="1" si="990"/>
        <v>0</v>
      </c>
      <c r="GF253" s="225">
        <f t="shared" ca="1" si="990"/>
        <v>0</v>
      </c>
      <c r="GG253" s="225">
        <f t="shared" ca="1" si="990"/>
        <v>0</v>
      </c>
      <c r="GH253" s="225">
        <f t="shared" ca="1" si="990"/>
        <v>0</v>
      </c>
      <c r="GI253" s="225">
        <f t="shared" ca="1" si="990"/>
        <v>0</v>
      </c>
      <c r="GJ253" s="225">
        <f t="shared" ca="1" si="990"/>
        <v>0</v>
      </c>
      <c r="GK253" s="225">
        <f t="shared" ca="1" si="990"/>
        <v>0</v>
      </c>
      <c r="GL253" s="225">
        <f t="shared" ca="1" si="990"/>
        <v>0</v>
      </c>
      <c r="GM253" s="225">
        <f t="shared" ca="1" si="990"/>
        <v>0</v>
      </c>
      <c r="GN253" s="225">
        <f t="shared" ca="1" si="990"/>
        <v>0</v>
      </c>
      <c r="GO253" s="225">
        <f t="shared" ca="1" si="990"/>
        <v>26406.300964022012</v>
      </c>
      <c r="GP253" s="225">
        <f t="shared" ca="1" si="990"/>
        <v>0</v>
      </c>
      <c r="GQ253" s="225">
        <f t="shared" ca="1" si="990"/>
        <v>0</v>
      </c>
      <c r="GR253" s="225">
        <f t="shared" ca="1" si="990"/>
        <v>0</v>
      </c>
      <c r="GS253" s="225">
        <f t="shared" ca="1" si="990"/>
        <v>0</v>
      </c>
      <c r="GT253" s="225">
        <f t="shared" ca="1" si="990"/>
        <v>0</v>
      </c>
      <c r="GU253" s="225">
        <f t="shared" ca="1" si="990"/>
        <v>0</v>
      </c>
      <c r="GV253" s="225">
        <f t="shared" ca="1" si="990"/>
        <v>0</v>
      </c>
      <c r="GW253" s="225">
        <f t="shared" ca="1" si="990"/>
        <v>0</v>
      </c>
      <c r="GX253" s="225">
        <f t="shared" ca="1" si="990"/>
        <v>0</v>
      </c>
      <c r="GY253" s="225">
        <f t="shared" ca="1" si="990"/>
        <v>0</v>
      </c>
      <c r="GZ253" s="225">
        <f t="shared" ca="1" si="990"/>
        <v>0</v>
      </c>
      <c r="HA253" s="225">
        <f t="shared" ca="1" si="990"/>
        <v>0</v>
      </c>
      <c r="HB253" s="225">
        <f t="shared" ca="1" si="990"/>
        <v>0</v>
      </c>
      <c r="HC253" s="225">
        <f t="shared" ca="1" si="990"/>
        <v>0</v>
      </c>
      <c r="HD253" s="225">
        <f t="shared" ca="1" si="990"/>
        <v>0</v>
      </c>
      <c r="HE253" s="225">
        <f t="shared" ca="1" si="990"/>
        <v>0</v>
      </c>
      <c r="HF253" s="225">
        <f t="shared" ca="1" si="990"/>
        <v>0</v>
      </c>
      <c r="HG253" s="225">
        <f t="shared" ca="1" si="990"/>
        <v>0</v>
      </c>
      <c r="HH253" s="225">
        <f t="shared" ref="HH253:IM253" ca="1" si="991">(HH$197&lt;=Timing_Reversion_Month)*(HH250/$I$255*$H$255)</f>
        <v>0</v>
      </c>
      <c r="HI253" s="225">
        <f t="shared" ca="1" si="991"/>
        <v>0</v>
      </c>
      <c r="HJ253" s="225">
        <f t="shared" ca="1" si="991"/>
        <v>0</v>
      </c>
      <c r="HK253" s="225">
        <f t="shared" ca="1" si="991"/>
        <v>0</v>
      </c>
      <c r="HL253" s="225">
        <f t="shared" ca="1" si="991"/>
        <v>0</v>
      </c>
      <c r="HM253" s="225">
        <f t="shared" ca="1" si="991"/>
        <v>0</v>
      </c>
      <c r="HN253" s="225">
        <f t="shared" ca="1" si="991"/>
        <v>0</v>
      </c>
      <c r="HO253" s="225">
        <f t="shared" ca="1" si="991"/>
        <v>0</v>
      </c>
      <c r="HP253" s="225">
        <f t="shared" ca="1" si="991"/>
        <v>0</v>
      </c>
      <c r="HQ253" s="225">
        <f t="shared" ca="1" si="991"/>
        <v>0</v>
      </c>
      <c r="HR253" s="225">
        <f t="shared" ca="1" si="991"/>
        <v>0</v>
      </c>
      <c r="HS253" s="225">
        <f t="shared" ca="1" si="991"/>
        <v>0</v>
      </c>
      <c r="HT253" s="225">
        <f t="shared" ca="1" si="991"/>
        <v>0</v>
      </c>
      <c r="HU253" s="225">
        <f t="shared" ca="1" si="991"/>
        <v>0</v>
      </c>
      <c r="HV253" s="225">
        <f t="shared" ca="1" si="991"/>
        <v>0</v>
      </c>
      <c r="HW253" s="225">
        <f t="shared" ca="1" si="991"/>
        <v>0</v>
      </c>
      <c r="HX253" s="225">
        <f t="shared" ca="1" si="991"/>
        <v>0</v>
      </c>
      <c r="HY253" s="225">
        <f t="shared" ca="1" si="991"/>
        <v>0</v>
      </c>
      <c r="HZ253" s="225">
        <f t="shared" ca="1" si="991"/>
        <v>0</v>
      </c>
      <c r="IA253" s="225">
        <f t="shared" ca="1" si="991"/>
        <v>0</v>
      </c>
      <c r="IB253" s="225">
        <f t="shared" ca="1" si="991"/>
        <v>0</v>
      </c>
      <c r="IC253" s="225">
        <f t="shared" ca="1" si="991"/>
        <v>0</v>
      </c>
      <c r="ID253" s="225">
        <f t="shared" ca="1" si="991"/>
        <v>0</v>
      </c>
      <c r="IE253" s="225">
        <f t="shared" ca="1" si="991"/>
        <v>0</v>
      </c>
      <c r="IF253" s="225">
        <f t="shared" ca="1" si="991"/>
        <v>0</v>
      </c>
      <c r="IG253" s="225">
        <f t="shared" ca="1" si="991"/>
        <v>0</v>
      </c>
      <c r="IH253" s="225">
        <f t="shared" ca="1" si="991"/>
        <v>0</v>
      </c>
      <c r="II253" s="225">
        <f t="shared" ca="1" si="991"/>
        <v>0</v>
      </c>
      <c r="IJ253" s="225">
        <f t="shared" ca="1" si="991"/>
        <v>0</v>
      </c>
      <c r="IK253" s="225">
        <f t="shared" ca="1" si="991"/>
        <v>0</v>
      </c>
      <c r="IL253" s="225">
        <f t="shared" ca="1" si="991"/>
        <v>0</v>
      </c>
      <c r="IM253" s="225">
        <f t="shared" ca="1" si="991"/>
        <v>0</v>
      </c>
      <c r="IN253" s="225">
        <f t="shared" ref="IN253:JX253" ca="1" si="992">(IN$197&lt;=Timing_Reversion_Month)*(IN250/$I$255*$H$255)</f>
        <v>0</v>
      </c>
      <c r="IO253" s="225">
        <f t="shared" ca="1" si="992"/>
        <v>0</v>
      </c>
      <c r="IP253" s="225">
        <f t="shared" ca="1" si="992"/>
        <v>0</v>
      </c>
      <c r="IQ253" s="225">
        <f t="shared" ca="1" si="992"/>
        <v>0</v>
      </c>
      <c r="IR253" s="225">
        <f t="shared" ca="1" si="992"/>
        <v>0</v>
      </c>
      <c r="IS253" s="225">
        <f t="shared" ca="1" si="992"/>
        <v>0</v>
      </c>
      <c r="IT253" s="225">
        <f t="shared" ca="1" si="992"/>
        <v>0</v>
      </c>
      <c r="IU253" s="225">
        <f t="shared" ca="1" si="992"/>
        <v>0</v>
      </c>
      <c r="IV253" s="225">
        <f t="shared" ca="1" si="992"/>
        <v>0</v>
      </c>
      <c r="IW253" s="225">
        <f t="shared" ca="1" si="992"/>
        <v>0</v>
      </c>
      <c r="IX253" s="225">
        <f t="shared" ca="1" si="992"/>
        <v>0</v>
      </c>
      <c r="IY253" s="225">
        <f t="shared" ca="1" si="992"/>
        <v>0</v>
      </c>
      <c r="IZ253" s="225">
        <f t="shared" ca="1" si="992"/>
        <v>0</v>
      </c>
      <c r="JA253" s="225">
        <f t="shared" ca="1" si="992"/>
        <v>0</v>
      </c>
      <c r="JB253" s="225">
        <f t="shared" ca="1" si="992"/>
        <v>0</v>
      </c>
      <c r="JC253" s="225">
        <f t="shared" ca="1" si="992"/>
        <v>0</v>
      </c>
      <c r="JD253" s="225">
        <f t="shared" ca="1" si="992"/>
        <v>0</v>
      </c>
      <c r="JE253" s="225">
        <f t="shared" ca="1" si="992"/>
        <v>0</v>
      </c>
      <c r="JF253" s="225">
        <f t="shared" ca="1" si="992"/>
        <v>0</v>
      </c>
      <c r="JG253" s="225">
        <f t="shared" ca="1" si="992"/>
        <v>0</v>
      </c>
      <c r="JH253" s="225">
        <f t="shared" ca="1" si="992"/>
        <v>0</v>
      </c>
      <c r="JI253" s="225">
        <f t="shared" ca="1" si="992"/>
        <v>0</v>
      </c>
      <c r="JJ253" s="225">
        <f t="shared" ca="1" si="992"/>
        <v>0</v>
      </c>
      <c r="JK253" s="225">
        <f t="shared" ca="1" si="992"/>
        <v>0</v>
      </c>
      <c r="JL253" s="225">
        <f t="shared" ca="1" si="992"/>
        <v>0</v>
      </c>
      <c r="JM253" s="225">
        <f t="shared" ca="1" si="992"/>
        <v>0</v>
      </c>
      <c r="JN253" s="225">
        <f t="shared" ca="1" si="992"/>
        <v>0</v>
      </c>
      <c r="JO253" s="225">
        <f t="shared" ca="1" si="992"/>
        <v>0</v>
      </c>
      <c r="JP253" s="225">
        <f t="shared" ca="1" si="992"/>
        <v>0</v>
      </c>
      <c r="JQ253" s="225">
        <f t="shared" ca="1" si="992"/>
        <v>0</v>
      </c>
      <c r="JR253" s="225">
        <f t="shared" ca="1" si="992"/>
        <v>0</v>
      </c>
      <c r="JS253" s="225">
        <f t="shared" ca="1" si="992"/>
        <v>0</v>
      </c>
      <c r="JT253" s="225">
        <f t="shared" ca="1" si="992"/>
        <v>0</v>
      </c>
      <c r="JU253" s="225">
        <f t="shared" ca="1" si="992"/>
        <v>0</v>
      </c>
      <c r="JV253" s="225">
        <f t="shared" ca="1" si="992"/>
        <v>0</v>
      </c>
      <c r="JW253" s="225">
        <f t="shared" ca="1" si="992"/>
        <v>0</v>
      </c>
      <c r="JX253" s="225">
        <f t="shared" ca="1" si="992"/>
        <v>0</v>
      </c>
    </row>
    <row r="254" spans="1:284" ht="0.6" customHeight="1" x14ac:dyDescent="0.2">
      <c r="B254" s="231" t="s">
        <v>365</v>
      </c>
      <c r="C254" s="233"/>
      <c r="D254" s="245"/>
      <c r="E254" s="245" t="s">
        <v>363</v>
      </c>
      <c r="F254" s="246">
        <v>0.09</v>
      </c>
      <c r="G254" s="249">
        <v>0</v>
      </c>
      <c r="H254" s="249">
        <f>G254+(1-G254)*$H$249</f>
        <v>0.1</v>
      </c>
      <c r="I254" s="247">
        <f>1-H254</f>
        <v>0.9</v>
      </c>
      <c r="J254" s="7"/>
      <c r="K254" s="7"/>
      <c r="L254" s="38">
        <f t="shared" ref="L254:AQ254" ca="1" si="993">IF(L$227="","",EV245)</f>
        <v>0</v>
      </c>
      <c r="M254" s="38">
        <f t="shared" ca="1" si="993"/>
        <v>0</v>
      </c>
      <c r="N254" s="38">
        <f t="shared" ca="1" si="993"/>
        <v>0</v>
      </c>
      <c r="O254" s="38">
        <f t="shared" ca="1" si="993"/>
        <v>0</v>
      </c>
      <c r="P254" s="38">
        <f t="shared" ca="1" si="993"/>
        <v>0</v>
      </c>
      <c r="Q254" s="38">
        <f t="shared" ca="1" si="993"/>
        <v>0</v>
      </c>
      <c r="R254" s="38">
        <f t="shared" ca="1" si="993"/>
        <v>0</v>
      </c>
      <c r="S254" s="38">
        <f t="shared" ca="1" si="993"/>
        <v>0</v>
      </c>
      <c r="T254" s="38">
        <f t="shared" ca="1" si="993"/>
        <v>0</v>
      </c>
      <c r="U254" s="38">
        <f t="shared" ca="1" si="993"/>
        <v>0</v>
      </c>
      <c r="V254" s="38">
        <f t="shared" ca="1" si="993"/>
        <v>0</v>
      </c>
      <c r="W254" s="38">
        <f t="shared" ca="1" si="993"/>
        <v>0</v>
      </c>
      <c r="X254" s="38">
        <f t="shared" ca="1" si="993"/>
        <v>0</v>
      </c>
      <c r="Y254" s="38">
        <f t="shared" ca="1" si="993"/>
        <v>0</v>
      </c>
      <c r="Z254" s="38">
        <f t="shared" ca="1" si="993"/>
        <v>0</v>
      </c>
      <c r="AA254" s="38">
        <f t="shared" ca="1" si="993"/>
        <v>0</v>
      </c>
      <c r="AB254" s="38">
        <f t="shared" ca="1" si="993"/>
        <v>0</v>
      </c>
      <c r="AC254" s="38">
        <f t="shared" ca="1" si="993"/>
        <v>0</v>
      </c>
      <c r="AD254" s="38">
        <f t="shared" ca="1" si="993"/>
        <v>0</v>
      </c>
      <c r="AE254" s="38">
        <f t="shared" ca="1" si="993"/>
        <v>0</v>
      </c>
      <c r="AF254" s="38">
        <f t="shared" ca="1" si="993"/>
        <v>7.2759576141834263E-13</v>
      </c>
      <c r="AG254" s="38">
        <f t="shared" ca="1" si="993"/>
        <v>0</v>
      </c>
      <c r="AH254" s="38">
        <f t="shared" ca="1" si="993"/>
        <v>0</v>
      </c>
      <c r="AI254" s="38">
        <f t="shared" ca="1" si="993"/>
        <v>4.5474735088646412E-13</v>
      </c>
      <c r="AJ254" s="38">
        <f t="shared" ca="1" si="993"/>
        <v>0</v>
      </c>
      <c r="AK254" s="38">
        <f t="shared" ca="1" si="993"/>
        <v>0</v>
      </c>
      <c r="AL254" s="38">
        <f t="shared" ca="1" si="993"/>
        <v>0</v>
      </c>
      <c r="AM254" s="38">
        <f t="shared" ca="1" si="993"/>
        <v>0</v>
      </c>
      <c r="AN254" s="38">
        <f t="shared" ca="1" si="993"/>
        <v>0</v>
      </c>
      <c r="AO254" s="38">
        <f t="shared" ca="1" si="993"/>
        <v>0</v>
      </c>
      <c r="AP254" s="38">
        <f t="shared" ca="1" si="993"/>
        <v>104.87460674741452</v>
      </c>
      <c r="AQ254" s="38">
        <f t="shared" ca="1" si="993"/>
        <v>915.28871061622203</v>
      </c>
      <c r="AR254" s="38">
        <f t="shared" ref="AR254:BW254" ca="1" si="994">IF(AR$227="","",GB245)</f>
        <v>2525.9869903900021</v>
      </c>
      <c r="AS254" s="38">
        <f t="shared" ca="1" si="994"/>
        <v>4480.4191624884261</v>
      </c>
      <c r="AT254" s="38">
        <f t="shared" ca="1" si="994"/>
        <v>4535.9510562384276</v>
      </c>
      <c r="AU254" s="38">
        <f t="shared" ca="1" si="994"/>
        <v>4591.4829499884308</v>
      </c>
      <c r="AV254" s="38">
        <f t="shared" ca="1" si="994"/>
        <v>4647.0148437384287</v>
      </c>
      <c r="AW254" s="38">
        <f t="shared" ca="1" si="994"/>
        <v>4702.5467374884265</v>
      </c>
      <c r="AX254" s="38">
        <f t="shared" ca="1" si="994"/>
        <v>4758.0786312384244</v>
      </c>
      <c r="AY254" s="38">
        <f t="shared" ca="1" si="994"/>
        <v>4813.6105249884276</v>
      </c>
      <c r="AZ254" s="38">
        <f t="shared" ca="1" si="994"/>
        <v>4869.1424187384264</v>
      </c>
      <c r="BA254" s="38">
        <f t="shared" ca="1" si="994"/>
        <v>4924.6743124884297</v>
      </c>
      <c r="BB254" s="38">
        <f t="shared" ca="1" si="994"/>
        <v>4980.2062062384302</v>
      </c>
      <c r="BC254" s="38">
        <f t="shared" ca="1" si="994"/>
        <v>4350.0554704041251</v>
      </c>
      <c r="BD254" s="38">
        <f t="shared" ca="1" si="994"/>
        <v>4407.2533209666235</v>
      </c>
      <c r="BE254" s="38">
        <f t="shared" ca="1" si="994"/>
        <v>921895.36970065103</v>
      </c>
      <c r="BF254" s="38" t="str">
        <f t="shared" si="994"/>
        <v/>
      </c>
      <c r="BG254" s="38" t="str">
        <f t="shared" si="994"/>
        <v/>
      </c>
      <c r="BH254" s="38" t="str">
        <f t="shared" si="994"/>
        <v/>
      </c>
      <c r="BI254" s="38" t="str">
        <f t="shared" si="994"/>
        <v/>
      </c>
      <c r="BJ254" s="38" t="str">
        <f t="shared" si="994"/>
        <v/>
      </c>
      <c r="BK254" s="38" t="str">
        <f t="shared" si="994"/>
        <v/>
      </c>
      <c r="BL254" s="38" t="str">
        <f t="shared" si="994"/>
        <v/>
      </c>
      <c r="BM254" s="38" t="str">
        <f t="shared" si="994"/>
        <v/>
      </c>
      <c r="BN254" s="38" t="str">
        <f t="shared" si="994"/>
        <v/>
      </c>
      <c r="BO254" s="38" t="str">
        <f t="shared" si="994"/>
        <v/>
      </c>
      <c r="BP254" s="38" t="str">
        <f t="shared" si="994"/>
        <v/>
      </c>
      <c r="BQ254" s="38" t="str">
        <f t="shared" si="994"/>
        <v/>
      </c>
      <c r="BR254" s="38" t="str">
        <f t="shared" si="994"/>
        <v/>
      </c>
      <c r="BS254" s="38" t="str">
        <f t="shared" si="994"/>
        <v/>
      </c>
      <c r="BT254" s="38" t="str">
        <f t="shared" si="994"/>
        <v/>
      </c>
      <c r="BU254" s="38" t="str">
        <f t="shared" si="994"/>
        <v/>
      </c>
      <c r="BV254" s="38" t="str">
        <f t="shared" si="994"/>
        <v/>
      </c>
      <c r="BW254" s="38" t="str">
        <f t="shared" si="994"/>
        <v/>
      </c>
      <c r="BX254" s="38" t="str">
        <f t="shared" ref="BX254:DC254" si="995">IF(BX$227="","",HH245)</f>
        <v/>
      </c>
      <c r="BY254" s="38" t="str">
        <f t="shared" si="995"/>
        <v/>
      </c>
      <c r="BZ254" s="38" t="str">
        <f t="shared" si="995"/>
        <v/>
      </c>
      <c r="CA254" s="38" t="str">
        <f t="shared" si="995"/>
        <v/>
      </c>
      <c r="CB254" s="38" t="str">
        <f t="shared" si="995"/>
        <v/>
      </c>
      <c r="CC254" s="38" t="str">
        <f t="shared" si="995"/>
        <v/>
      </c>
      <c r="CD254" s="38" t="str">
        <f t="shared" si="995"/>
        <v/>
      </c>
      <c r="CE254" s="38" t="str">
        <f t="shared" si="995"/>
        <v/>
      </c>
      <c r="CF254" s="38" t="str">
        <f t="shared" si="995"/>
        <v/>
      </c>
      <c r="CG254" s="38" t="str">
        <f t="shared" si="995"/>
        <v/>
      </c>
      <c r="CH254" s="38" t="str">
        <f t="shared" si="995"/>
        <v/>
      </c>
      <c r="CI254" s="38" t="str">
        <f t="shared" si="995"/>
        <v/>
      </c>
      <c r="CJ254" s="38" t="str">
        <f t="shared" si="995"/>
        <v/>
      </c>
      <c r="CK254" s="38" t="str">
        <f t="shared" si="995"/>
        <v/>
      </c>
      <c r="CL254" s="38" t="str">
        <f t="shared" si="995"/>
        <v/>
      </c>
      <c r="CM254" s="38" t="str">
        <f t="shared" si="995"/>
        <v/>
      </c>
      <c r="CN254" s="38" t="str">
        <f t="shared" si="995"/>
        <v/>
      </c>
      <c r="CO254" s="38" t="str">
        <f t="shared" si="995"/>
        <v/>
      </c>
      <c r="CP254" s="38" t="str">
        <f t="shared" si="995"/>
        <v/>
      </c>
      <c r="CQ254" s="38" t="str">
        <f t="shared" si="995"/>
        <v/>
      </c>
      <c r="CR254" s="38" t="str">
        <f t="shared" si="995"/>
        <v/>
      </c>
      <c r="CS254" s="38" t="str">
        <f t="shared" si="995"/>
        <v/>
      </c>
      <c r="CT254" s="38" t="str">
        <f t="shared" si="995"/>
        <v/>
      </c>
      <c r="CU254" s="38" t="str">
        <f t="shared" si="995"/>
        <v/>
      </c>
      <c r="CV254" s="38" t="str">
        <f t="shared" si="995"/>
        <v/>
      </c>
      <c r="CW254" s="38" t="str">
        <f t="shared" si="995"/>
        <v/>
      </c>
      <c r="CX254" s="38" t="str">
        <f t="shared" si="995"/>
        <v/>
      </c>
      <c r="CY254" s="38" t="str">
        <f t="shared" si="995"/>
        <v/>
      </c>
      <c r="CZ254" s="38" t="str">
        <f t="shared" si="995"/>
        <v/>
      </c>
      <c r="DA254" s="38" t="str">
        <f t="shared" si="995"/>
        <v/>
      </c>
      <c r="DB254" s="38" t="str">
        <f t="shared" si="995"/>
        <v/>
      </c>
      <c r="DC254" s="38" t="str">
        <f t="shared" si="995"/>
        <v/>
      </c>
      <c r="DD254" s="38" t="str">
        <f t="shared" ref="DD254:EI254" si="996">IF(DD$227="","",IN245)</f>
        <v/>
      </c>
      <c r="DE254" s="38" t="str">
        <f t="shared" si="996"/>
        <v/>
      </c>
      <c r="DF254" s="38" t="str">
        <f t="shared" si="996"/>
        <v/>
      </c>
      <c r="DG254" s="38" t="str">
        <f t="shared" si="996"/>
        <v/>
      </c>
      <c r="DH254" s="38" t="str">
        <f t="shared" si="996"/>
        <v/>
      </c>
      <c r="DI254" s="38" t="str">
        <f t="shared" si="996"/>
        <v/>
      </c>
      <c r="DJ254" s="38" t="str">
        <f t="shared" si="996"/>
        <v/>
      </c>
      <c r="DK254" s="38" t="str">
        <f t="shared" si="996"/>
        <v/>
      </c>
      <c r="DL254" s="38" t="str">
        <f t="shared" si="996"/>
        <v/>
      </c>
      <c r="DM254" s="38" t="str">
        <f t="shared" si="996"/>
        <v/>
      </c>
      <c r="DN254" s="38" t="str">
        <f t="shared" si="996"/>
        <v/>
      </c>
      <c r="DO254" s="38" t="str">
        <f t="shared" si="996"/>
        <v/>
      </c>
      <c r="DP254" s="38" t="str">
        <f t="shared" si="996"/>
        <v/>
      </c>
      <c r="DQ254" s="38" t="str">
        <f t="shared" si="996"/>
        <v/>
      </c>
      <c r="DR254" s="38" t="str">
        <f t="shared" si="996"/>
        <v/>
      </c>
      <c r="DS254" s="38" t="str">
        <f t="shared" si="996"/>
        <v/>
      </c>
      <c r="DT254" s="38" t="str">
        <f t="shared" si="996"/>
        <v/>
      </c>
      <c r="DU254" s="38" t="str">
        <f t="shared" si="996"/>
        <v/>
      </c>
      <c r="DV254" s="38" t="str">
        <f t="shared" si="996"/>
        <v/>
      </c>
      <c r="DW254" s="38" t="str">
        <f t="shared" si="996"/>
        <v/>
      </c>
      <c r="DX254" s="38" t="str">
        <f t="shared" si="996"/>
        <v/>
      </c>
      <c r="DY254" s="38" t="str">
        <f t="shared" si="996"/>
        <v/>
      </c>
      <c r="DZ254" s="38" t="str">
        <f t="shared" si="996"/>
        <v/>
      </c>
      <c r="EA254" s="38" t="str">
        <f t="shared" si="996"/>
        <v/>
      </c>
      <c r="EB254" s="38" t="str">
        <f t="shared" si="996"/>
        <v/>
      </c>
      <c r="EC254" s="38" t="str">
        <f t="shared" si="996"/>
        <v/>
      </c>
      <c r="ED254" s="38" t="str">
        <f t="shared" si="996"/>
        <v/>
      </c>
      <c r="EE254" s="38" t="str">
        <f t="shared" si="996"/>
        <v/>
      </c>
      <c r="EF254" s="38" t="str">
        <f t="shared" si="996"/>
        <v/>
      </c>
      <c r="EG254" s="38" t="str">
        <f t="shared" si="996"/>
        <v/>
      </c>
      <c r="EH254" s="38" t="str">
        <f t="shared" si="996"/>
        <v/>
      </c>
      <c r="EI254" s="38" t="str">
        <f t="shared" si="996"/>
        <v/>
      </c>
      <c r="EJ254" s="38" t="str">
        <f>IF(EJ$227="","",JT245)</f>
        <v/>
      </c>
      <c r="EK254" s="38" t="str">
        <f>IF(EK$227="","",JU245)</f>
        <v/>
      </c>
      <c r="EL254" s="38" t="str">
        <f>IF(EL$227="","",JV245)</f>
        <v/>
      </c>
      <c r="EM254" s="38" t="str">
        <f>IF(EM$227="","",JW245)</f>
        <v/>
      </c>
      <c r="EN254" s="38" t="str">
        <f>IF(EN$227="","",JX245)</f>
        <v/>
      </c>
      <c r="EO254" s="7"/>
      <c r="EP254" s="37"/>
      <c r="EQ254" s="24"/>
      <c r="ER254" s="24"/>
      <c r="ES254" s="24"/>
      <c r="ET254" s="33" t="s">
        <v>384</v>
      </c>
      <c r="EU254" s="33"/>
      <c r="EV254" s="222">
        <f ca="1">+EV253+EV250</f>
        <v>0</v>
      </c>
      <c r="EW254" s="222">
        <f t="shared" ref="EW254:HH254" ca="1" si="997">+EW253+EW250</f>
        <v>0</v>
      </c>
      <c r="EX254" s="222">
        <f t="shared" ca="1" si="997"/>
        <v>0</v>
      </c>
      <c r="EY254" s="222">
        <f t="shared" ca="1" si="997"/>
        <v>0</v>
      </c>
      <c r="EZ254" s="222">
        <f t="shared" ca="1" si="997"/>
        <v>0</v>
      </c>
      <c r="FA254" s="222">
        <f t="shared" ca="1" si="997"/>
        <v>0</v>
      </c>
      <c r="FB254" s="222">
        <f t="shared" ca="1" si="997"/>
        <v>0</v>
      </c>
      <c r="FC254" s="222">
        <f t="shared" ca="1" si="997"/>
        <v>0</v>
      </c>
      <c r="FD254" s="222">
        <f t="shared" ca="1" si="997"/>
        <v>0</v>
      </c>
      <c r="FE254" s="222">
        <f t="shared" ca="1" si="997"/>
        <v>0</v>
      </c>
      <c r="FF254" s="222">
        <f t="shared" ca="1" si="997"/>
        <v>0</v>
      </c>
      <c r="FG254" s="222">
        <f t="shared" ca="1" si="997"/>
        <v>0</v>
      </c>
      <c r="FH254" s="222">
        <f t="shared" ca="1" si="997"/>
        <v>0</v>
      </c>
      <c r="FI254" s="222">
        <f t="shared" ca="1" si="997"/>
        <v>0</v>
      </c>
      <c r="FJ254" s="222">
        <f t="shared" ca="1" si="997"/>
        <v>0</v>
      </c>
      <c r="FK254" s="222">
        <f t="shared" ca="1" si="997"/>
        <v>0</v>
      </c>
      <c r="FL254" s="222">
        <f t="shared" ca="1" si="997"/>
        <v>0</v>
      </c>
      <c r="FM254" s="222">
        <f t="shared" ca="1" si="997"/>
        <v>0</v>
      </c>
      <c r="FN254" s="222">
        <f t="shared" ca="1" si="997"/>
        <v>0</v>
      </c>
      <c r="FO254" s="222">
        <f t="shared" ca="1" si="997"/>
        <v>0</v>
      </c>
      <c r="FP254" s="222">
        <f t="shared" ca="1" si="997"/>
        <v>0</v>
      </c>
      <c r="FQ254" s="222">
        <f t="shared" ca="1" si="997"/>
        <v>0</v>
      </c>
      <c r="FR254" s="222">
        <f t="shared" ca="1" si="997"/>
        <v>0</v>
      </c>
      <c r="FS254" s="222">
        <f t="shared" ca="1" si="997"/>
        <v>0</v>
      </c>
      <c r="FT254" s="222">
        <f t="shared" ca="1" si="997"/>
        <v>0</v>
      </c>
      <c r="FU254" s="222">
        <f t="shared" ca="1" si="997"/>
        <v>0</v>
      </c>
      <c r="FV254" s="222">
        <f t="shared" ca="1" si="997"/>
        <v>0</v>
      </c>
      <c r="FW254" s="222">
        <f t="shared" ca="1" si="997"/>
        <v>0</v>
      </c>
      <c r="FX254" s="222">
        <f t="shared" ca="1" si="997"/>
        <v>0</v>
      </c>
      <c r="FY254" s="222">
        <f t="shared" ca="1" si="997"/>
        <v>0</v>
      </c>
      <c r="FZ254" s="222">
        <f t="shared" ca="1" si="997"/>
        <v>0</v>
      </c>
      <c r="GA254" s="222">
        <f t="shared" ca="1" si="997"/>
        <v>0</v>
      </c>
      <c r="GB254" s="222">
        <f t="shared" ca="1" si="997"/>
        <v>0</v>
      </c>
      <c r="GC254" s="222">
        <f t="shared" ca="1" si="997"/>
        <v>0</v>
      </c>
      <c r="GD254" s="222">
        <f t="shared" ca="1" si="997"/>
        <v>0</v>
      </c>
      <c r="GE254" s="222">
        <f t="shared" ca="1" si="997"/>
        <v>0</v>
      </c>
      <c r="GF254" s="222">
        <f t="shared" ca="1" si="997"/>
        <v>0</v>
      </c>
      <c r="GG254" s="222">
        <f t="shared" ca="1" si="997"/>
        <v>0</v>
      </c>
      <c r="GH254" s="222">
        <f t="shared" ca="1" si="997"/>
        <v>0</v>
      </c>
      <c r="GI254" s="222">
        <f t="shared" ca="1" si="997"/>
        <v>0</v>
      </c>
      <c r="GJ254" s="222">
        <f t="shared" ca="1" si="997"/>
        <v>0</v>
      </c>
      <c r="GK254" s="222">
        <f t="shared" ca="1" si="997"/>
        <v>0</v>
      </c>
      <c r="GL254" s="222">
        <f t="shared" ca="1" si="997"/>
        <v>0</v>
      </c>
      <c r="GM254" s="222">
        <f t="shared" ca="1" si="997"/>
        <v>0</v>
      </c>
      <c r="GN254" s="222">
        <f t="shared" ca="1" si="997"/>
        <v>0</v>
      </c>
      <c r="GO254" s="222">
        <f t="shared" ca="1" si="997"/>
        <v>112367.23814477453</v>
      </c>
      <c r="GP254" s="222">
        <f t="shared" ca="1" si="997"/>
        <v>0</v>
      </c>
      <c r="GQ254" s="222">
        <f t="shared" ca="1" si="997"/>
        <v>0</v>
      </c>
      <c r="GR254" s="222">
        <f t="shared" ca="1" si="997"/>
        <v>0</v>
      </c>
      <c r="GS254" s="222">
        <f t="shared" ca="1" si="997"/>
        <v>0</v>
      </c>
      <c r="GT254" s="222">
        <f t="shared" ca="1" si="997"/>
        <v>0</v>
      </c>
      <c r="GU254" s="222">
        <f t="shared" ca="1" si="997"/>
        <v>0</v>
      </c>
      <c r="GV254" s="222">
        <f t="shared" ca="1" si="997"/>
        <v>0</v>
      </c>
      <c r="GW254" s="222">
        <f t="shared" ca="1" si="997"/>
        <v>0</v>
      </c>
      <c r="GX254" s="222">
        <f t="shared" ca="1" si="997"/>
        <v>0</v>
      </c>
      <c r="GY254" s="222">
        <f t="shared" ca="1" si="997"/>
        <v>0</v>
      </c>
      <c r="GZ254" s="222">
        <f t="shared" ca="1" si="997"/>
        <v>0</v>
      </c>
      <c r="HA254" s="222">
        <f t="shared" ca="1" si="997"/>
        <v>0</v>
      </c>
      <c r="HB254" s="222">
        <f t="shared" ca="1" si="997"/>
        <v>0</v>
      </c>
      <c r="HC254" s="222">
        <f t="shared" ca="1" si="997"/>
        <v>0</v>
      </c>
      <c r="HD254" s="222">
        <f t="shared" ca="1" si="997"/>
        <v>0</v>
      </c>
      <c r="HE254" s="222">
        <f t="shared" ca="1" si="997"/>
        <v>0</v>
      </c>
      <c r="HF254" s="222">
        <f t="shared" ca="1" si="997"/>
        <v>0</v>
      </c>
      <c r="HG254" s="222">
        <f t="shared" ca="1" si="997"/>
        <v>0</v>
      </c>
      <c r="HH254" s="222">
        <f t="shared" ca="1" si="997"/>
        <v>0</v>
      </c>
      <c r="HI254" s="222">
        <f t="shared" ref="HI254:JT254" ca="1" si="998">+HI253+HI250</f>
        <v>0</v>
      </c>
      <c r="HJ254" s="222">
        <f t="shared" ca="1" si="998"/>
        <v>0</v>
      </c>
      <c r="HK254" s="222">
        <f t="shared" ca="1" si="998"/>
        <v>0</v>
      </c>
      <c r="HL254" s="222">
        <f t="shared" ca="1" si="998"/>
        <v>0</v>
      </c>
      <c r="HM254" s="222">
        <f t="shared" ca="1" si="998"/>
        <v>0</v>
      </c>
      <c r="HN254" s="222">
        <f t="shared" ca="1" si="998"/>
        <v>0</v>
      </c>
      <c r="HO254" s="222">
        <f t="shared" ca="1" si="998"/>
        <v>0</v>
      </c>
      <c r="HP254" s="222">
        <f t="shared" ca="1" si="998"/>
        <v>0</v>
      </c>
      <c r="HQ254" s="222">
        <f t="shared" ca="1" si="998"/>
        <v>0</v>
      </c>
      <c r="HR254" s="222">
        <f t="shared" ca="1" si="998"/>
        <v>0</v>
      </c>
      <c r="HS254" s="222">
        <f t="shared" ca="1" si="998"/>
        <v>0</v>
      </c>
      <c r="HT254" s="222">
        <f t="shared" ca="1" si="998"/>
        <v>0</v>
      </c>
      <c r="HU254" s="222">
        <f t="shared" ca="1" si="998"/>
        <v>0</v>
      </c>
      <c r="HV254" s="222">
        <f t="shared" ca="1" si="998"/>
        <v>0</v>
      </c>
      <c r="HW254" s="222">
        <f t="shared" ca="1" si="998"/>
        <v>0</v>
      </c>
      <c r="HX254" s="222">
        <f t="shared" ca="1" si="998"/>
        <v>0</v>
      </c>
      <c r="HY254" s="222">
        <f t="shared" ca="1" si="998"/>
        <v>0</v>
      </c>
      <c r="HZ254" s="222">
        <f t="shared" ca="1" si="998"/>
        <v>0</v>
      </c>
      <c r="IA254" s="222">
        <f t="shared" ca="1" si="998"/>
        <v>0</v>
      </c>
      <c r="IB254" s="222">
        <f t="shared" ca="1" si="998"/>
        <v>0</v>
      </c>
      <c r="IC254" s="222">
        <f t="shared" ca="1" si="998"/>
        <v>0</v>
      </c>
      <c r="ID254" s="222">
        <f t="shared" ca="1" si="998"/>
        <v>0</v>
      </c>
      <c r="IE254" s="222">
        <f t="shared" ca="1" si="998"/>
        <v>0</v>
      </c>
      <c r="IF254" s="222">
        <f t="shared" ca="1" si="998"/>
        <v>0</v>
      </c>
      <c r="IG254" s="222">
        <f t="shared" ca="1" si="998"/>
        <v>0</v>
      </c>
      <c r="IH254" s="222">
        <f t="shared" ca="1" si="998"/>
        <v>0</v>
      </c>
      <c r="II254" s="222">
        <f t="shared" ca="1" si="998"/>
        <v>0</v>
      </c>
      <c r="IJ254" s="222">
        <f t="shared" ca="1" si="998"/>
        <v>0</v>
      </c>
      <c r="IK254" s="222">
        <f t="shared" ca="1" si="998"/>
        <v>0</v>
      </c>
      <c r="IL254" s="222">
        <f t="shared" ca="1" si="998"/>
        <v>0</v>
      </c>
      <c r="IM254" s="222">
        <f t="shared" ca="1" si="998"/>
        <v>0</v>
      </c>
      <c r="IN254" s="222">
        <f t="shared" ca="1" si="998"/>
        <v>0</v>
      </c>
      <c r="IO254" s="222">
        <f t="shared" ca="1" si="998"/>
        <v>0</v>
      </c>
      <c r="IP254" s="222">
        <f t="shared" ca="1" si="998"/>
        <v>0</v>
      </c>
      <c r="IQ254" s="222">
        <f t="shared" ca="1" si="998"/>
        <v>0</v>
      </c>
      <c r="IR254" s="222">
        <f t="shared" ca="1" si="998"/>
        <v>0</v>
      </c>
      <c r="IS254" s="222">
        <f t="shared" ca="1" si="998"/>
        <v>0</v>
      </c>
      <c r="IT254" s="222">
        <f t="shared" ca="1" si="998"/>
        <v>0</v>
      </c>
      <c r="IU254" s="222">
        <f t="shared" ca="1" si="998"/>
        <v>0</v>
      </c>
      <c r="IV254" s="222">
        <f t="shared" ca="1" si="998"/>
        <v>0</v>
      </c>
      <c r="IW254" s="222">
        <f t="shared" ca="1" si="998"/>
        <v>0</v>
      </c>
      <c r="IX254" s="222">
        <f t="shared" ca="1" si="998"/>
        <v>0</v>
      </c>
      <c r="IY254" s="222">
        <f t="shared" ca="1" si="998"/>
        <v>0</v>
      </c>
      <c r="IZ254" s="222">
        <f t="shared" ca="1" si="998"/>
        <v>0</v>
      </c>
      <c r="JA254" s="222">
        <f t="shared" ca="1" si="998"/>
        <v>0</v>
      </c>
      <c r="JB254" s="222">
        <f t="shared" ca="1" si="998"/>
        <v>0</v>
      </c>
      <c r="JC254" s="222">
        <f t="shared" ca="1" si="998"/>
        <v>0</v>
      </c>
      <c r="JD254" s="222">
        <f t="shared" ca="1" si="998"/>
        <v>0</v>
      </c>
      <c r="JE254" s="222">
        <f t="shared" ca="1" si="998"/>
        <v>0</v>
      </c>
      <c r="JF254" s="222">
        <f t="shared" ca="1" si="998"/>
        <v>0</v>
      </c>
      <c r="JG254" s="222">
        <f t="shared" ca="1" si="998"/>
        <v>0</v>
      </c>
      <c r="JH254" s="222">
        <f t="shared" ca="1" si="998"/>
        <v>0</v>
      </c>
      <c r="JI254" s="222">
        <f t="shared" ca="1" si="998"/>
        <v>0</v>
      </c>
      <c r="JJ254" s="222">
        <f t="shared" ca="1" si="998"/>
        <v>0</v>
      </c>
      <c r="JK254" s="222">
        <f t="shared" ca="1" si="998"/>
        <v>0</v>
      </c>
      <c r="JL254" s="222">
        <f t="shared" ca="1" si="998"/>
        <v>0</v>
      </c>
      <c r="JM254" s="222">
        <f t="shared" ca="1" si="998"/>
        <v>0</v>
      </c>
      <c r="JN254" s="222">
        <f t="shared" ca="1" si="998"/>
        <v>0</v>
      </c>
      <c r="JO254" s="222">
        <f t="shared" ca="1" si="998"/>
        <v>0</v>
      </c>
      <c r="JP254" s="222">
        <f t="shared" ca="1" si="998"/>
        <v>0</v>
      </c>
      <c r="JQ254" s="222">
        <f t="shared" ca="1" si="998"/>
        <v>0</v>
      </c>
      <c r="JR254" s="222">
        <f t="shared" ca="1" si="998"/>
        <v>0</v>
      </c>
      <c r="JS254" s="222">
        <f t="shared" ca="1" si="998"/>
        <v>0</v>
      </c>
      <c r="JT254" s="222">
        <f t="shared" ca="1" si="998"/>
        <v>0</v>
      </c>
      <c r="JU254" s="222">
        <f ca="1">+JU253+JU250</f>
        <v>0</v>
      </c>
      <c r="JV254" s="222">
        <f ca="1">+JV253+JV250</f>
        <v>0</v>
      </c>
      <c r="JW254" s="222">
        <f ca="1">+JW253+JW250</f>
        <v>0</v>
      </c>
      <c r="JX254" s="222">
        <f ca="1">+JX253+JX250</f>
        <v>0</v>
      </c>
    </row>
    <row r="255" spans="1:284" ht="0.6" customHeight="1" x14ac:dyDescent="0.2">
      <c r="B255" s="231" t="s">
        <v>359</v>
      </c>
      <c r="C255" s="233"/>
      <c r="D255" s="245"/>
      <c r="E255" s="245" t="s">
        <v>363</v>
      </c>
      <c r="F255" s="246">
        <v>0.12</v>
      </c>
      <c r="G255" s="236">
        <v>0.15</v>
      </c>
      <c r="H255" s="249">
        <f t="shared" ref="H255:H257" si="999">G255+(1-G255)*$H$249</f>
        <v>0.23499999999999999</v>
      </c>
      <c r="I255" s="247">
        <f>1-H255</f>
        <v>0.76500000000000001</v>
      </c>
      <c r="J255" s="7"/>
      <c r="K255" s="7"/>
      <c r="L255" s="38">
        <f t="shared" ref="L255:AQ255" ca="1" si="1000">IF(L$227="","",EV254)</f>
        <v>0</v>
      </c>
      <c r="M255" s="38">
        <f t="shared" ca="1" si="1000"/>
        <v>0</v>
      </c>
      <c r="N255" s="38">
        <f t="shared" ca="1" si="1000"/>
        <v>0</v>
      </c>
      <c r="O255" s="38">
        <f t="shared" ca="1" si="1000"/>
        <v>0</v>
      </c>
      <c r="P255" s="38">
        <f t="shared" ca="1" si="1000"/>
        <v>0</v>
      </c>
      <c r="Q255" s="38">
        <f t="shared" ca="1" si="1000"/>
        <v>0</v>
      </c>
      <c r="R255" s="38">
        <f t="shared" ca="1" si="1000"/>
        <v>0</v>
      </c>
      <c r="S255" s="38">
        <f t="shared" ca="1" si="1000"/>
        <v>0</v>
      </c>
      <c r="T255" s="38">
        <f t="shared" ca="1" si="1000"/>
        <v>0</v>
      </c>
      <c r="U255" s="38">
        <f t="shared" ca="1" si="1000"/>
        <v>0</v>
      </c>
      <c r="V255" s="38">
        <f t="shared" ca="1" si="1000"/>
        <v>0</v>
      </c>
      <c r="W255" s="38">
        <f t="shared" ca="1" si="1000"/>
        <v>0</v>
      </c>
      <c r="X255" s="38">
        <f t="shared" ca="1" si="1000"/>
        <v>0</v>
      </c>
      <c r="Y255" s="38">
        <f t="shared" ca="1" si="1000"/>
        <v>0</v>
      </c>
      <c r="Z255" s="38">
        <f t="shared" ca="1" si="1000"/>
        <v>0</v>
      </c>
      <c r="AA255" s="38">
        <f t="shared" ca="1" si="1000"/>
        <v>0</v>
      </c>
      <c r="AB255" s="38">
        <f t="shared" ca="1" si="1000"/>
        <v>0</v>
      </c>
      <c r="AC255" s="38">
        <f t="shared" ca="1" si="1000"/>
        <v>0</v>
      </c>
      <c r="AD255" s="38">
        <f t="shared" ca="1" si="1000"/>
        <v>0</v>
      </c>
      <c r="AE255" s="38">
        <f t="shared" ca="1" si="1000"/>
        <v>0</v>
      </c>
      <c r="AF255" s="38">
        <f t="shared" ca="1" si="1000"/>
        <v>0</v>
      </c>
      <c r="AG255" s="38">
        <f t="shared" ca="1" si="1000"/>
        <v>0</v>
      </c>
      <c r="AH255" s="38">
        <f t="shared" ca="1" si="1000"/>
        <v>0</v>
      </c>
      <c r="AI255" s="38">
        <f t="shared" ca="1" si="1000"/>
        <v>0</v>
      </c>
      <c r="AJ255" s="38">
        <f t="shared" ca="1" si="1000"/>
        <v>0</v>
      </c>
      <c r="AK255" s="38">
        <f t="shared" ca="1" si="1000"/>
        <v>0</v>
      </c>
      <c r="AL255" s="38">
        <f t="shared" ca="1" si="1000"/>
        <v>0</v>
      </c>
      <c r="AM255" s="38">
        <f t="shared" ca="1" si="1000"/>
        <v>0</v>
      </c>
      <c r="AN255" s="38">
        <f t="shared" ca="1" si="1000"/>
        <v>0</v>
      </c>
      <c r="AO255" s="38">
        <f t="shared" ca="1" si="1000"/>
        <v>0</v>
      </c>
      <c r="AP255" s="38">
        <f t="shared" ca="1" si="1000"/>
        <v>0</v>
      </c>
      <c r="AQ255" s="38">
        <f t="shared" ca="1" si="1000"/>
        <v>0</v>
      </c>
      <c r="AR255" s="38">
        <f t="shared" ref="AR255:BW255" ca="1" si="1001">IF(AR$227="","",GB254)</f>
        <v>0</v>
      </c>
      <c r="AS255" s="38">
        <f t="shared" ca="1" si="1001"/>
        <v>0</v>
      </c>
      <c r="AT255" s="38">
        <f t="shared" ca="1" si="1001"/>
        <v>0</v>
      </c>
      <c r="AU255" s="38">
        <f t="shared" ca="1" si="1001"/>
        <v>0</v>
      </c>
      <c r="AV255" s="38">
        <f t="shared" ca="1" si="1001"/>
        <v>0</v>
      </c>
      <c r="AW255" s="38">
        <f t="shared" ca="1" si="1001"/>
        <v>0</v>
      </c>
      <c r="AX255" s="38">
        <f t="shared" ca="1" si="1001"/>
        <v>0</v>
      </c>
      <c r="AY255" s="38">
        <f t="shared" ca="1" si="1001"/>
        <v>0</v>
      </c>
      <c r="AZ255" s="38">
        <f t="shared" ca="1" si="1001"/>
        <v>0</v>
      </c>
      <c r="BA255" s="38">
        <f t="shared" ca="1" si="1001"/>
        <v>0</v>
      </c>
      <c r="BB255" s="38">
        <f t="shared" ca="1" si="1001"/>
        <v>0</v>
      </c>
      <c r="BC255" s="38">
        <f t="shared" ca="1" si="1001"/>
        <v>0</v>
      </c>
      <c r="BD255" s="38">
        <f t="shared" ca="1" si="1001"/>
        <v>0</v>
      </c>
      <c r="BE255" s="38">
        <f t="shared" ca="1" si="1001"/>
        <v>112367.23814477453</v>
      </c>
      <c r="BF255" s="38" t="str">
        <f t="shared" si="1001"/>
        <v/>
      </c>
      <c r="BG255" s="38" t="str">
        <f t="shared" si="1001"/>
        <v/>
      </c>
      <c r="BH255" s="38" t="str">
        <f t="shared" si="1001"/>
        <v/>
      </c>
      <c r="BI255" s="38" t="str">
        <f t="shared" si="1001"/>
        <v/>
      </c>
      <c r="BJ255" s="38" t="str">
        <f t="shared" si="1001"/>
        <v/>
      </c>
      <c r="BK255" s="38" t="str">
        <f t="shared" si="1001"/>
        <v/>
      </c>
      <c r="BL255" s="38" t="str">
        <f t="shared" si="1001"/>
        <v/>
      </c>
      <c r="BM255" s="38" t="str">
        <f t="shared" si="1001"/>
        <v/>
      </c>
      <c r="BN255" s="38" t="str">
        <f t="shared" si="1001"/>
        <v/>
      </c>
      <c r="BO255" s="38" t="str">
        <f t="shared" si="1001"/>
        <v/>
      </c>
      <c r="BP255" s="38" t="str">
        <f t="shared" si="1001"/>
        <v/>
      </c>
      <c r="BQ255" s="38" t="str">
        <f t="shared" si="1001"/>
        <v/>
      </c>
      <c r="BR255" s="38" t="str">
        <f t="shared" si="1001"/>
        <v/>
      </c>
      <c r="BS255" s="38" t="str">
        <f t="shared" si="1001"/>
        <v/>
      </c>
      <c r="BT255" s="38" t="str">
        <f t="shared" si="1001"/>
        <v/>
      </c>
      <c r="BU255" s="38" t="str">
        <f t="shared" si="1001"/>
        <v/>
      </c>
      <c r="BV255" s="38" t="str">
        <f t="shared" si="1001"/>
        <v/>
      </c>
      <c r="BW255" s="38" t="str">
        <f t="shared" si="1001"/>
        <v/>
      </c>
      <c r="BX255" s="38" t="str">
        <f t="shared" ref="BX255:DC255" si="1002">IF(BX$227="","",HH254)</f>
        <v/>
      </c>
      <c r="BY255" s="38" t="str">
        <f t="shared" si="1002"/>
        <v/>
      </c>
      <c r="BZ255" s="38" t="str">
        <f t="shared" si="1002"/>
        <v/>
      </c>
      <c r="CA255" s="38" t="str">
        <f t="shared" si="1002"/>
        <v/>
      </c>
      <c r="CB255" s="38" t="str">
        <f t="shared" si="1002"/>
        <v/>
      </c>
      <c r="CC255" s="38" t="str">
        <f t="shared" si="1002"/>
        <v/>
      </c>
      <c r="CD255" s="38" t="str">
        <f t="shared" si="1002"/>
        <v/>
      </c>
      <c r="CE255" s="38" t="str">
        <f t="shared" si="1002"/>
        <v/>
      </c>
      <c r="CF255" s="38" t="str">
        <f t="shared" si="1002"/>
        <v/>
      </c>
      <c r="CG255" s="38" t="str">
        <f t="shared" si="1002"/>
        <v/>
      </c>
      <c r="CH255" s="38" t="str">
        <f t="shared" si="1002"/>
        <v/>
      </c>
      <c r="CI255" s="38" t="str">
        <f t="shared" si="1002"/>
        <v/>
      </c>
      <c r="CJ255" s="38" t="str">
        <f t="shared" si="1002"/>
        <v/>
      </c>
      <c r="CK255" s="38" t="str">
        <f t="shared" si="1002"/>
        <v/>
      </c>
      <c r="CL255" s="38" t="str">
        <f t="shared" si="1002"/>
        <v/>
      </c>
      <c r="CM255" s="38" t="str">
        <f t="shared" si="1002"/>
        <v/>
      </c>
      <c r="CN255" s="38" t="str">
        <f t="shared" si="1002"/>
        <v/>
      </c>
      <c r="CO255" s="38" t="str">
        <f t="shared" si="1002"/>
        <v/>
      </c>
      <c r="CP255" s="38" t="str">
        <f t="shared" si="1002"/>
        <v/>
      </c>
      <c r="CQ255" s="38" t="str">
        <f t="shared" si="1002"/>
        <v/>
      </c>
      <c r="CR255" s="38" t="str">
        <f t="shared" si="1002"/>
        <v/>
      </c>
      <c r="CS255" s="38" t="str">
        <f t="shared" si="1002"/>
        <v/>
      </c>
      <c r="CT255" s="38" t="str">
        <f t="shared" si="1002"/>
        <v/>
      </c>
      <c r="CU255" s="38" t="str">
        <f t="shared" si="1002"/>
        <v/>
      </c>
      <c r="CV255" s="38" t="str">
        <f t="shared" si="1002"/>
        <v/>
      </c>
      <c r="CW255" s="38" t="str">
        <f t="shared" si="1002"/>
        <v/>
      </c>
      <c r="CX255" s="38" t="str">
        <f t="shared" si="1002"/>
        <v/>
      </c>
      <c r="CY255" s="38" t="str">
        <f t="shared" si="1002"/>
        <v/>
      </c>
      <c r="CZ255" s="38" t="str">
        <f t="shared" si="1002"/>
        <v/>
      </c>
      <c r="DA255" s="38" t="str">
        <f t="shared" si="1002"/>
        <v/>
      </c>
      <c r="DB255" s="38" t="str">
        <f t="shared" si="1002"/>
        <v/>
      </c>
      <c r="DC255" s="38" t="str">
        <f t="shared" si="1002"/>
        <v/>
      </c>
      <c r="DD255" s="38" t="str">
        <f t="shared" ref="DD255:EI255" si="1003">IF(DD$227="","",IN254)</f>
        <v/>
      </c>
      <c r="DE255" s="38" t="str">
        <f t="shared" si="1003"/>
        <v/>
      </c>
      <c r="DF255" s="38" t="str">
        <f t="shared" si="1003"/>
        <v/>
      </c>
      <c r="DG255" s="38" t="str">
        <f t="shared" si="1003"/>
        <v/>
      </c>
      <c r="DH255" s="38" t="str">
        <f t="shared" si="1003"/>
        <v/>
      </c>
      <c r="DI255" s="38" t="str">
        <f t="shared" si="1003"/>
        <v/>
      </c>
      <c r="DJ255" s="38" t="str">
        <f t="shared" si="1003"/>
        <v/>
      </c>
      <c r="DK255" s="38" t="str">
        <f t="shared" si="1003"/>
        <v/>
      </c>
      <c r="DL255" s="38" t="str">
        <f t="shared" si="1003"/>
        <v/>
      </c>
      <c r="DM255" s="38" t="str">
        <f t="shared" si="1003"/>
        <v/>
      </c>
      <c r="DN255" s="38" t="str">
        <f t="shared" si="1003"/>
        <v/>
      </c>
      <c r="DO255" s="38" t="str">
        <f t="shared" si="1003"/>
        <v/>
      </c>
      <c r="DP255" s="38" t="str">
        <f t="shared" si="1003"/>
        <v/>
      </c>
      <c r="DQ255" s="38" t="str">
        <f t="shared" si="1003"/>
        <v/>
      </c>
      <c r="DR255" s="38" t="str">
        <f t="shared" si="1003"/>
        <v/>
      </c>
      <c r="DS255" s="38" t="str">
        <f t="shared" si="1003"/>
        <v/>
      </c>
      <c r="DT255" s="38" t="str">
        <f t="shared" si="1003"/>
        <v/>
      </c>
      <c r="DU255" s="38" t="str">
        <f t="shared" si="1003"/>
        <v/>
      </c>
      <c r="DV255" s="38" t="str">
        <f t="shared" si="1003"/>
        <v/>
      </c>
      <c r="DW255" s="38" t="str">
        <f t="shared" si="1003"/>
        <v/>
      </c>
      <c r="DX255" s="38" t="str">
        <f t="shared" si="1003"/>
        <v/>
      </c>
      <c r="DY255" s="38" t="str">
        <f t="shared" si="1003"/>
        <v/>
      </c>
      <c r="DZ255" s="38" t="str">
        <f t="shared" si="1003"/>
        <v/>
      </c>
      <c r="EA255" s="38" t="str">
        <f t="shared" si="1003"/>
        <v/>
      </c>
      <c r="EB255" s="38" t="str">
        <f t="shared" si="1003"/>
        <v/>
      </c>
      <c r="EC255" s="38" t="str">
        <f t="shared" si="1003"/>
        <v/>
      </c>
      <c r="ED255" s="38" t="str">
        <f t="shared" si="1003"/>
        <v/>
      </c>
      <c r="EE255" s="38" t="str">
        <f t="shared" si="1003"/>
        <v/>
      </c>
      <c r="EF255" s="38" t="str">
        <f t="shared" si="1003"/>
        <v/>
      </c>
      <c r="EG255" s="38" t="str">
        <f t="shared" si="1003"/>
        <v/>
      </c>
      <c r="EH255" s="38" t="str">
        <f t="shared" si="1003"/>
        <v/>
      </c>
      <c r="EI255" s="38" t="str">
        <f t="shared" si="1003"/>
        <v/>
      </c>
      <c r="EJ255" s="38" t="str">
        <f>IF(EJ$227="","",JT254)</f>
        <v/>
      </c>
      <c r="EK255" s="38" t="str">
        <f>IF(EK$227="","",JU254)</f>
        <v/>
      </c>
      <c r="EL255" s="38" t="str">
        <f>IF(EL$227="","",JV254)</f>
        <v/>
      </c>
      <c r="EM255" s="38" t="str">
        <f>IF(EM$227="","",JW254)</f>
        <v/>
      </c>
      <c r="EN255" s="38" t="str">
        <f>IF(EN$227="","",JX254)</f>
        <v/>
      </c>
      <c r="EP255" s="228"/>
      <c r="EQ255" s="228"/>
      <c r="ER255" s="228"/>
      <c r="ES255" s="228"/>
      <c r="ET255" s="229" t="s">
        <v>373</v>
      </c>
      <c r="EU255" s="229"/>
      <c r="EV255" s="230">
        <f ca="1">MAX(EV236-EV245-EV254,0)</f>
        <v>0</v>
      </c>
      <c r="EW255" s="230">
        <f t="shared" ref="EW255:HH255" ca="1" si="1004">MAX(EW236-EW245-EW254,0)</f>
        <v>0</v>
      </c>
      <c r="EX255" s="230">
        <f t="shared" ca="1" si="1004"/>
        <v>0</v>
      </c>
      <c r="EY255" s="230">
        <f t="shared" ca="1" si="1004"/>
        <v>0</v>
      </c>
      <c r="EZ255" s="230">
        <f t="shared" ca="1" si="1004"/>
        <v>0</v>
      </c>
      <c r="FA255" s="230">
        <f t="shared" ca="1" si="1004"/>
        <v>0</v>
      </c>
      <c r="FB255" s="230">
        <f t="shared" ca="1" si="1004"/>
        <v>0</v>
      </c>
      <c r="FC255" s="230">
        <f t="shared" ca="1" si="1004"/>
        <v>0</v>
      </c>
      <c r="FD255" s="230">
        <f t="shared" ca="1" si="1004"/>
        <v>0</v>
      </c>
      <c r="FE255" s="230">
        <f t="shared" ca="1" si="1004"/>
        <v>0</v>
      </c>
      <c r="FF255" s="230">
        <f t="shared" ca="1" si="1004"/>
        <v>0</v>
      </c>
      <c r="FG255" s="230">
        <f t="shared" ca="1" si="1004"/>
        <v>0</v>
      </c>
      <c r="FH255" s="230">
        <f t="shared" ca="1" si="1004"/>
        <v>0</v>
      </c>
      <c r="FI255" s="230">
        <f t="shared" ca="1" si="1004"/>
        <v>0</v>
      </c>
      <c r="FJ255" s="230">
        <f t="shared" ca="1" si="1004"/>
        <v>0</v>
      </c>
      <c r="FK255" s="230">
        <f t="shared" ca="1" si="1004"/>
        <v>0</v>
      </c>
      <c r="FL255" s="230">
        <f t="shared" ca="1" si="1004"/>
        <v>0</v>
      </c>
      <c r="FM255" s="230">
        <f t="shared" ca="1" si="1004"/>
        <v>0</v>
      </c>
      <c r="FN255" s="230">
        <f t="shared" ca="1" si="1004"/>
        <v>0</v>
      </c>
      <c r="FO255" s="230">
        <f t="shared" ca="1" si="1004"/>
        <v>0</v>
      </c>
      <c r="FP255" s="230">
        <f t="shared" ca="1" si="1004"/>
        <v>0</v>
      </c>
      <c r="FQ255" s="230">
        <f t="shared" ca="1" si="1004"/>
        <v>0</v>
      </c>
      <c r="FR255" s="230">
        <f t="shared" ca="1" si="1004"/>
        <v>0</v>
      </c>
      <c r="FS255" s="230">
        <f t="shared" ca="1" si="1004"/>
        <v>0</v>
      </c>
      <c r="FT255" s="230">
        <f t="shared" ca="1" si="1004"/>
        <v>0</v>
      </c>
      <c r="FU255" s="230">
        <f t="shared" ca="1" si="1004"/>
        <v>0</v>
      </c>
      <c r="FV255" s="230">
        <f t="shared" ca="1" si="1004"/>
        <v>0</v>
      </c>
      <c r="FW255" s="230">
        <f t="shared" ca="1" si="1004"/>
        <v>0</v>
      </c>
      <c r="FX255" s="230">
        <f t="shared" ca="1" si="1004"/>
        <v>0</v>
      </c>
      <c r="FY255" s="230">
        <f t="shared" ca="1" si="1004"/>
        <v>0</v>
      </c>
      <c r="FZ255" s="230">
        <f t="shared" ca="1" si="1004"/>
        <v>0</v>
      </c>
      <c r="GA255" s="230">
        <f t="shared" ca="1" si="1004"/>
        <v>0</v>
      </c>
      <c r="GB255" s="230">
        <f t="shared" ca="1" si="1004"/>
        <v>0</v>
      </c>
      <c r="GC255" s="230">
        <f t="shared" ca="1" si="1004"/>
        <v>0</v>
      </c>
      <c r="GD255" s="230">
        <f t="shared" ca="1" si="1004"/>
        <v>0</v>
      </c>
      <c r="GE255" s="230">
        <f t="shared" ca="1" si="1004"/>
        <v>0</v>
      </c>
      <c r="GF255" s="230">
        <f t="shared" ca="1" si="1004"/>
        <v>0</v>
      </c>
      <c r="GG255" s="230">
        <f t="shared" ca="1" si="1004"/>
        <v>0</v>
      </c>
      <c r="GH255" s="230">
        <f t="shared" ca="1" si="1004"/>
        <v>0</v>
      </c>
      <c r="GI255" s="230">
        <f t="shared" ca="1" si="1004"/>
        <v>0</v>
      </c>
      <c r="GJ255" s="230">
        <f t="shared" ca="1" si="1004"/>
        <v>0</v>
      </c>
      <c r="GK255" s="230">
        <f t="shared" ca="1" si="1004"/>
        <v>0</v>
      </c>
      <c r="GL255" s="230">
        <f t="shared" ca="1" si="1004"/>
        <v>0</v>
      </c>
      <c r="GM255" s="230">
        <f t="shared" ca="1" si="1004"/>
        <v>0</v>
      </c>
      <c r="GN255" s="230">
        <f t="shared" ca="1" si="1004"/>
        <v>0</v>
      </c>
      <c r="GO255" s="230">
        <f t="shared" ca="1" si="1004"/>
        <v>847321.9327759922</v>
      </c>
      <c r="GP255" s="230">
        <f t="shared" ca="1" si="1004"/>
        <v>0</v>
      </c>
      <c r="GQ255" s="230">
        <f t="shared" ca="1" si="1004"/>
        <v>0</v>
      </c>
      <c r="GR255" s="230">
        <f t="shared" ca="1" si="1004"/>
        <v>0</v>
      </c>
      <c r="GS255" s="230">
        <f t="shared" ca="1" si="1004"/>
        <v>0</v>
      </c>
      <c r="GT255" s="230">
        <f t="shared" ca="1" si="1004"/>
        <v>0</v>
      </c>
      <c r="GU255" s="230">
        <f t="shared" ca="1" si="1004"/>
        <v>0</v>
      </c>
      <c r="GV255" s="230">
        <f t="shared" ca="1" si="1004"/>
        <v>0</v>
      </c>
      <c r="GW255" s="230">
        <f t="shared" ca="1" si="1004"/>
        <v>0</v>
      </c>
      <c r="GX255" s="230">
        <f t="shared" ca="1" si="1004"/>
        <v>0</v>
      </c>
      <c r="GY255" s="230">
        <f t="shared" ca="1" si="1004"/>
        <v>0</v>
      </c>
      <c r="GZ255" s="230">
        <f t="shared" ca="1" si="1004"/>
        <v>0</v>
      </c>
      <c r="HA255" s="230">
        <f t="shared" ca="1" si="1004"/>
        <v>0</v>
      </c>
      <c r="HB255" s="230">
        <f t="shared" ca="1" si="1004"/>
        <v>0</v>
      </c>
      <c r="HC255" s="230">
        <f t="shared" ca="1" si="1004"/>
        <v>0</v>
      </c>
      <c r="HD255" s="230">
        <f t="shared" ca="1" si="1004"/>
        <v>0</v>
      </c>
      <c r="HE255" s="230">
        <f t="shared" ca="1" si="1004"/>
        <v>0</v>
      </c>
      <c r="HF255" s="230">
        <f t="shared" ca="1" si="1004"/>
        <v>0</v>
      </c>
      <c r="HG255" s="230">
        <f t="shared" ca="1" si="1004"/>
        <v>0</v>
      </c>
      <c r="HH255" s="230">
        <f t="shared" ca="1" si="1004"/>
        <v>0</v>
      </c>
      <c r="HI255" s="230">
        <f t="shared" ref="HI255:JT255" ca="1" si="1005">MAX(HI236-HI245-HI254,0)</f>
        <v>0</v>
      </c>
      <c r="HJ255" s="230">
        <f t="shared" ca="1" si="1005"/>
        <v>0</v>
      </c>
      <c r="HK255" s="230">
        <f t="shared" ca="1" si="1005"/>
        <v>0</v>
      </c>
      <c r="HL255" s="230">
        <f t="shared" ca="1" si="1005"/>
        <v>0</v>
      </c>
      <c r="HM255" s="230">
        <f t="shared" ca="1" si="1005"/>
        <v>0</v>
      </c>
      <c r="HN255" s="230">
        <f t="shared" ca="1" si="1005"/>
        <v>0</v>
      </c>
      <c r="HO255" s="230">
        <f t="shared" ca="1" si="1005"/>
        <v>0</v>
      </c>
      <c r="HP255" s="230">
        <f t="shared" ca="1" si="1005"/>
        <v>0</v>
      </c>
      <c r="HQ255" s="230">
        <f t="shared" ca="1" si="1005"/>
        <v>0</v>
      </c>
      <c r="HR255" s="230">
        <f t="shared" ca="1" si="1005"/>
        <v>0</v>
      </c>
      <c r="HS255" s="230">
        <f t="shared" ca="1" si="1005"/>
        <v>0</v>
      </c>
      <c r="HT255" s="230">
        <f t="shared" ca="1" si="1005"/>
        <v>0</v>
      </c>
      <c r="HU255" s="230">
        <f t="shared" ca="1" si="1005"/>
        <v>0</v>
      </c>
      <c r="HV255" s="230">
        <f t="shared" ca="1" si="1005"/>
        <v>0</v>
      </c>
      <c r="HW255" s="230">
        <f t="shared" ca="1" si="1005"/>
        <v>0</v>
      </c>
      <c r="HX255" s="230">
        <f t="shared" ca="1" si="1005"/>
        <v>0</v>
      </c>
      <c r="HY255" s="230">
        <f t="shared" ca="1" si="1005"/>
        <v>0</v>
      </c>
      <c r="HZ255" s="230">
        <f t="shared" ca="1" si="1005"/>
        <v>0</v>
      </c>
      <c r="IA255" s="230">
        <f t="shared" ca="1" si="1005"/>
        <v>0</v>
      </c>
      <c r="IB255" s="230">
        <f t="shared" ca="1" si="1005"/>
        <v>0</v>
      </c>
      <c r="IC255" s="230">
        <f t="shared" ca="1" si="1005"/>
        <v>0</v>
      </c>
      <c r="ID255" s="230">
        <f t="shared" ca="1" si="1005"/>
        <v>0</v>
      </c>
      <c r="IE255" s="230">
        <f t="shared" ca="1" si="1005"/>
        <v>0</v>
      </c>
      <c r="IF255" s="230">
        <f t="shared" ca="1" si="1005"/>
        <v>0</v>
      </c>
      <c r="IG255" s="230">
        <f t="shared" ca="1" si="1005"/>
        <v>0</v>
      </c>
      <c r="IH255" s="230">
        <f t="shared" ca="1" si="1005"/>
        <v>0</v>
      </c>
      <c r="II255" s="230">
        <f t="shared" ca="1" si="1005"/>
        <v>0</v>
      </c>
      <c r="IJ255" s="230">
        <f t="shared" ca="1" si="1005"/>
        <v>0</v>
      </c>
      <c r="IK255" s="230">
        <f t="shared" ca="1" si="1005"/>
        <v>0</v>
      </c>
      <c r="IL255" s="230">
        <f t="shared" ca="1" si="1005"/>
        <v>0</v>
      </c>
      <c r="IM255" s="230">
        <f t="shared" ca="1" si="1005"/>
        <v>0</v>
      </c>
      <c r="IN255" s="230">
        <f t="shared" ca="1" si="1005"/>
        <v>0</v>
      </c>
      <c r="IO255" s="230">
        <f t="shared" ca="1" si="1005"/>
        <v>0</v>
      </c>
      <c r="IP255" s="230">
        <f t="shared" ca="1" si="1005"/>
        <v>0</v>
      </c>
      <c r="IQ255" s="230">
        <f t="shared" ca="1" si="1005"/>
        <v>0</v>
      </c>
      <c r="IR255" s="230">
        <f t="shared" ca="1" si="1005"/>
        <v>0</v>
      </c>
      <c r="IS255" s="230">
        <f t="shared" ca="1" si="1005"/>
        <v>0</v>
      </c>
      <c r="IT255" s="230">
        <f t="shared" ca="1" si="1005"/>
        <v>0</v>
      </c>
      <c r="IU255" s="230">
        <f t="shared" ca="1" si="1005"/>
        <v>0</v>
      </c>
      <c r="IV255" s="230">
        <f t="shared" ca="1" si="1005"/>
        <v>0</v>
      </c>
      <c r="IW255" s="230">
        <f t="shared" ca="1" si="1005"/>
        <v>0</v>
      </c>
      <c r="IX255" s="230">
        <f t="shared" ca="1" si="1005"/>
        <v>0</v>
      </c>
      <c r="IY255" s="230">
        <f t="shared" ca="1" si="1005"/>
        <v>0</v>
      </c>
      <c r="IZ255" s="230">
        <f t="shared" ca="1" si="1005"/>
        <v>0</v>
      </c>
      <c r="JA255" s="230">
        <f t="shared" ca="1" si="1005"/>
        <v>0</v>
      </c>
      <c r="JB255" s="230">
        <f t="shared" ca="1" si="1005"/>
        <v>0</v>
      </c>
      <c r="JC255" s="230">
        <f t="shared" ca="1" si="1005"/>
        <v>0</v>
      </c>
      <c r="JD255" s="230">
        <f t="shared" ca="1" si="1005"/>
        <v>0</v>
      </c>
      <c r="JE255" s="230">
        <f t="shared" ca="1" si="1005"/>
        <v>0</v>
      </c>
      <c r="JF255" s="230">
        <f t="shared" ca="1" si="1005"/>
        <v>0</v>
      </c>
      <c r="JG255" s="230">
        <f t="shared" ca="1" si="1005"/>
        <v>0</v>
      </c>
      <c r="JH255" s="230">
        <f t="shared" ca="1" si="1005"/>
        <v>0</v>
      </c>
      <c r="JI255" s="230">
        <f t="shared" ca="1" si="1005"/>
        <v>0</v>
      </c>
      <c r="JJ255" s="230">
        <f t="shared" ca="1" si="1005"/>
        <v>0</v>
      </c>
      <c r="JK255" s="230">
        <f t="shared" ca="1" si="1005"/>
        <v>0</v>
      </c>
      <c r="JL255" s="230">
        <f t="shared" ca="1" si="1005"/>
        <v>0</v>
      </c>
      <c r="JM255" s="230">
        <f t="shared" ca="1" si="1005"/>
        <v>0</v>
      </c>
      <c r="JN255" s="230">
        <f t="shared" ca="1" si="1005"/>
        <v>0</v>
      </c>
      <c r="JO255" s="230">
        <f t="shared" ca="1" si="1005"/>
        <v>0</v>
      </c>
      <c r="JP255" s="230">
        <f t="shared" ca="1" si="1005"/>
        <v>0</v>
      </c>
      <c r="JQ255" s="230">
        <f t="shared" ca="1" si="1005"/>
        <v>0</v>
      </c>
      <c r="JR255" s="230">
        <f t="shared" ca="1" si="1005"/>
        <v>0</v>
      </c>
      <c r="JS255" s="230">
        <f t="shared" ca="1" si="1005"/>
        <v>0</v>
      </c>
      <c r="JT255" s="230">
        <f t="shared" ca="1" si="1005"/>
        <v>0</v>
      </c>
      <c r="JU255" s="230">
        <f ca="1">MAX(JU236-JU245-JU254,0)</f>
        <v>0</v>
      </c>
      <c r="JV255" s="230">
        <f ca="1">MAX(JV236-JV245-JV254,0)</f>
        <v>0</v>
      </c>
      <c r="JW255" s="230">
        <f ca="1">MAX(JW236-JW245-JW254,0)</f>
        <v>0</v>
      </c>
      <c r="JX255" s="230">
        <f ca="1">MAX(JX236-JX245-JX254,0)</f>
        <v>0</v>
      </c>
    </row>
    <row r="256" spans="1:284" ht="0.6" customHeight="1" x14ac:dyDescent="0.2">
      <c r="B256" s="231" t="s">
        <v>360</v>
      </c>
      <c r="C256" s="233"/>
      <c r="D256" s="245"/>
      <c r="E256" s="245" t="s">
        <v>363</v>
      </c>
      <c r="F256" s="246">
        <v>0.15</v>
      </c>
      <c r="G256" s="236">
        <v>0.3</v>
      </c>
      <c r="H256" s="249">
        <f t="shared" si="999"/>
        <v>0.37</v>
      </c>
      <c r="I256" s="247">
        <f>1-H256</f>
        <v>0.63</v>
      </c>
      <c r="L256" s="38">
        <f t="shared" ref="L256:AQ256" ca="1" si="1006">IF(L$227="","",EV263)</f>
        <v>0</v>
      </c>
      <c r="M256" s="38">
        <f t="shared" ca="1" si="1006"/>
        <v>0</v>
      </c>
      <c r="N256" s="38">
        <f t="shared" ca="1" si="1006"/>
        <v>0</v>
      </c>
      <c r="O256" s="38">
        <f t="shared" ca="1" si="1006"/>
        <v>0</v>
      </c>
      <c r="P256" s="38">
        <f t="shared" ca="1" si="1006"/>
        <v>0</v>
      </c>
      <c r="Q256" s="38">
        <f t="shared" ca="1" si="1006"/>
        <v>0</v>
      </c>
      <c r="R256" s="38">
        <f t="shared" ca="1" si="1006"/>
        <v>0</v>
      </c>
      <c r="S256" s="38">
        <f t="shared" ca="1" si="1006"/>
        <v>0</v>
      </c>
      <c r="T256" s="38">
        <f t="shared" ca="1" si="1006"/>
        <v>0</v>
      </c>
      <c r="U256" s="38">
        <f t="shared" ca="1" si="1006"/>
        <v>0</v>
      </c>
      <c r="V256" s="38">
        <f t="shared" ca="1" si="1006"/>
        <v>0</v>
      </c>
      <c r="W256" s="38">
        <f t="shared" ca="1" si="1006"/>
        <v>0</v>
      </c>
      <c r="X256" s="38">
        <f t="shared" ca="1" si="1006"/>
        <v>0</v>
      </c>
      <c r="Y256" s="38">
        <f t="shared" ca="1" si="1006"/>
        <v>0</v>
      </c>
      <c r="Z256" s="38">
        <f t="shared" ca="1" si="1006"/>
        <v>0</v>
      </c>
      <c r="AA256" s="38">
        <f t="shared" ca="1" si="1006"/>
        <v>0</v>
      </c>
      <c r="AB256" s="38">
        <f t="shared" ca="1" si="1006"/>
        <v>0</v>
      </c>
      <c r="AC256" s="38">
        <f t="shared" ca="1" si="1006"/>
        <v>0</v>
      </c>
      <c r="AD256" s="38">
        <f t="shared" ca="1" si="1006"/>
        <v>0</v>
      </c>
      <c r="AE256" s="38">
        <f t="shared" ca="1" si="1006"/>
        <v>0</v>
      </c>
      <c r="AF256" s="38">
        <f t="shared" ca="1" si="1006"/>
        <v>0</v>
      </c>
      <c r="AG256" s="38">
        <f t="shared" ca="1" si="1006"/>
        <v>0</v>
      </c>
      <c r="AH256" s="38">
        <f t="shared" ca="1" si="1006"/>
        <v>0</v>
      </c>
      <c r="AI256" s="38">
        <f t="shared" ca="1" si="1006"/>
        <v>0</v>
      </c>
      <c r="AJ256" s="38">
        <f t="shared" ca="1" si="1006"/>
        <v>0</v>
      </c>
      <c r="AK256" s="38">
        <f t="shared" ca="1" si="1006"/>
        <v>0</v>
      </c>
      <c r="AL256" s="38">
        <f t="shared" ca="1" si="1006"/>
        <v>0</v>
      </c>
      <c r="AM256" s="38">
        <f t="shared" ca="1" si="1006"/>
        <v>0</v>
      </c>
      <c r="AN256" s="38">
        <f t="shared" ca="1" si="1006"/>
        <v>0</v>
      </c>
      <c r="AO256" s="38">
        <f t="shared" ca="1" si="1006"/>
        <v>0</v>
      </c>
      <c r="AP256" s="38">
        <f t="shared" ca="1" si="1006"/>
        <v>0</v>
      </c>
      <c r="AQ256" s="38">
        <f t="shared" ca="1" si="1006"/>
        <v>0</v>
      </c>
      <c r="AR256" s="38">
        <f t="shared" ref="AR256:BW256" ca="1" si="1007">IF(AR$227="","",GB263)</f>
        <v>0</v>
      </c>
      <c r="AS256" s="38">
        <f t="shared" ca="1" si="1007"/>
        <v>0</v>
      </c>
      <c r="AT256" s="38">
        <f t="shared" ca="1" si="1007"/>
        <v>0</v>
      </c>
      <c r="AU256" s="38">
        <f t="shared" ca="1" si="1007"/>
        <v>0</v>
      </c>
      <c r="AV256" s="38">
        <f t="shared" ca="1" si="1007"/>
        <v>0</v>
      </c>
      <c r="AW256" s="38">
        <f t="shared" ca="1" si="1007"/>
        <v>0</v>
      </c>
      <c r="AX256" s="38">
        <f t="shared" ca="1" si="1007"/>
        <v>0</v>
      </c>
      <c r="AY256" s="38">
        <f t="shared" ca="1" si="1007"/>
        <v>0</v>
      </c>
      <c r="AZ256" s="38">
        <f t="shared" ca="1" si="1007"/>
        <v>0</v>
      </c>
      <c r="BA256" s="38">
        <f t="shared" ca="1" si="1007"/>
        <v>0</v>
      </c>
      <c r="BB256" s="38">
        <f t="shared" ca="1" si="1007"/>
        <v>0</v>
      </c>
      <c r="BC256" s="38">
        <f t="shared" ca="1" si="1007"/>
        <v>0</v>
      </c>
      <c r="BD256" s="38">
        <f t="shared" ca="1" si="1007"/>
        <v>0</v>
      </c>
      <c r="BE256" s="38">
        <f t="shared" ca="1" si="1007"/>
        <v>145840.41062254875</v>
      </c>
      <c r="BF256" s="38" t="str">
        <f t="shared" si="1007"/>
        <v/>
      </c>
      <c r="BG256" s="38" t="str">
        <f t="shared" si="1007"/>
        <v/>
      </c>
      <c r="BH256" s="38" t="str">
        <f t="shared" si="1007"/>
        <v/>
      </c>
      <c r="BI256" s="38" t="str">
        <f t="shared" si="1007"/>
        <v/>
      </c>
      <c r="BJ256" s="38" t="str">
        <f t="shared" si="1007"/>
        <v/>
      </c>
      <c r="BK256" s="38" t="str">
        <f t="shared" si="1007"/>
        <v/>
      </c>
      <c r="BL256" s="38" t="str">
        <f t="shared" si="1007"/>
        <v/>
      </c>
      <c r="BM256" s="38" t="str">
        <f t="shared" si="1007"/>
        <v/>
      </c>
      <c r="BN256" s="38" t="str">
        <f t="shared" si="1007"/>
        <v/>
      </c>
      <c r="BO256" s="38" t="str">
        <f t="shared" si="1007"/>
        <v/>
      </c>
      <c r="BP256" s="38" t="str">
        <f t="shared" si="1007"/>
        <v/>
      </c>
      <c r="BQ256" s="38" t="str">
        <f t="shared" si="1007"/>
        <v/>
      </c>
      <c r="BR256" s="38" t="str">
        <f t="shared" si="1007"/>
        <v/>
      </c>
      <c r="BS256" s="38" t="str">
        <f t="shared" si="1007"/>
        <v/>
      </c>
      <c r="BT256" s="38" t="str">
        <f t="shared" si="1007"/>
        <v/>
      </c>
      <c r="BU256" s="38" t="str">
        <f t="shared" si="1007"/>
        <v/>
      </c>
      <c r="BV256" s="38" t="str">
        <f t="shared" si="1007"/>
        <v/>
      </c>
      <c r="BW256" s="38" t="str">
        <f t="shared" si="1007"/>
        <v/>
      </c>
      <c r="BX256" s="38" t="str">
        <f t="shared" ref="BX256:DC256" si="1008">IF(BX$227="","",HH263)</f>
        <v/>
      </c>
      <c r="BY256" s="38" t="str">
        <f t="shared" si="1008"/>
        <v/>
      </c>
      <c r="BZ256" s="38" t="str">
        <f t="shared" si="1008"/>
        <v/>
      </c>
      <c r="CA256" s="38" t="str">
        <f t="shared" si="1008"/>
        <v/>
      </c>
      <c r="CB256" s="38" t="str">
        <f t="shared" si="1008"/>
        <v/>
      </c>
      <c r="CC256" s="38" t="str">
        <f t="shared" si="1008"/>
        <v/>
      </c>
      <c r="CD256" s="38" t="str">
        <f t="shared" si="1008"/>
        <v/>
      </c>
      <c r="CE256" s="38" t="str">
        <f t="shared" si="1008"/>
        <v/>
      </c>
      <c r="CF256" s="38" t="str">
        <f t="shared" si="1008"/>
        <v/>
      </c>
      <c r="CG256" s="38" t="str">
        <f t="shared" si="1008"/>
        <v/>
      </c>
      <c r="CH256" s="38" t="str">
        <f t="shared" si="1008"/>
        <v/>
      </c>
      <c r="CI256" s="38" t="str">
        <f t="shared" si="1008"/>
        <v/>
      </c>
      <c r="CJ256" s="38" t="str">
        <f t="shared" si="1008"/>
        <v/>
      </c>
      <c r="CK256" s="38" t="str">
        <f t="shared" si="1008"/>
        <v/>
      </c>
      <c r="CL256" s="38" t="str">
        <f t="shared" si="1008"/>
        <v/>
      </c>
      <c r="CM256" s="38" t="str">
        <f t="shared" si="1008"/>
        <v/>
      </c>
      <c r="CN256" s="38" t="str">
        <f t="shared" si="1008"/>
        <v/>
      </c>
      <c r="CO256" s="38" t="str">
        <f t="shared" si="1008"/>
        <v/>
      </c>
      <c r="CP256" s="38" t="str">
        <f t="shared" si="1008"/>
        <v/>
      </c>
      <c r="CQ256" s="38" t="str">
        <f t="shared" si="1008"/>
        <v/>
      </c>
      <c r="CR256" s="38" t="str">
        <f t="shared" si="1008"/>
        <v/>
      </c>
      <c r="CS256" s="38" t="str">
        <f t="shared" si="1008"/>
        <v/>
      </c>
      <c r="CT256" s="38" t="str">
        <f t="shared" si="1008"/>
        <v/>
      </c>
      <c r="CU256" s="38" t="str">
        <f t="shared" si="1008"/>
        <v/>
      </c>
      <c r="CV256" s="38" t="str">
        <f t="shared" si="1008"/>
        <v/>
      </c>
      <c r="CW256" s="38" t="str">
        <f t="shared" si="1008"/>
        <v/>
      </c>
      <c r="CX256" s="38" t="str">
        <f t="shared" si="1008"/>
        <v/>
      </c>
      <c r="CY256" s="38" t="str">
        <f t="shared" si="1008"/>
        <v/>
      </c>
      <c r="CZ256" s="38" t="str">
        <f t="shared" si="1008"/>
        <v/>
      </c>
      <c r="DA256" s="38" t="str">
        <f t="shared" si="1008"/>
        <v/>
      </c>
      <c r="DB256" s="38" t="str">
        <f t="shared" si="1008"/>
        <v/>
      </c>
      <c r="DC256" s="38" t="str">
        <f t="shared" si="1008"/>
        <v/>
      </c>
      <c r="DD256" s="38" t="str">
        <f t="shared" ref="DD256:EI256" si="1009">IF(DD$227="","",IN263)</f>
        <v/>
      </c>
      <c r="DE256" s="38" t="str">
        <f t="shared" si="1009"/>
        <v/>
      </c>
      <c r="DF256" s="38" t="str">
        <f t="shared" si="1009"/>
        <v/>
      </c>
      <c r="DG256" s="38" t="str">
        <f t="shared" si="1009"/>
        <v/>
      </c>
      <c r="DH256" s="38" t="str">
        <f t="shared" si="1009"/>
        <v/>
      </c>
      <c r="DI256" s="38" t="str">
        <f t="shared" si="1009"/>
        <v/>
      </c>
      <c r="DJ256" s="38" t="str">
        <f t="shared" si="1009"/>
        <v/>
      </c>
      <c r="DK256" s="38" t="str">
        <f t="shared" si="1009"/>
        <v/>
      </c>
      <c r="DL256" s="38" t="str">
        <f t="shared" si="1009"/>
        <v/>
      </c>
      <c r="DM256" s="38" t="str">
        <f t="shared" si="1009"/>
        <v/>
      </c>
      <c r="DN256" s="38" t="str">
        <f t="shared" si="1009"/>
        <v/>
      </c>
      <c r="DO256" s="38" t="str">
        <f t="shared" si="1009"/>
        <v/>
      </c>
      <c r="DP256" s="38" t="str">
        <f t="shared" si="1009"/>
        <v/>
      </c>
      <c r="DQ256" s="38" t="str">
        <f t="shared" si="1009"/>
        <v/>
      </c>
      <c r="DR256" s="38" t="str">
        <f t="shared" si="1009"/>
        <v/>
      </c>
      <c r="DS256" s="38" t="str">
        <f t="shared" si="1009"/>
        <v/>
      </c>
      <c r="DT256" s="38" t="str">
        <f t="shared" si="1009"/>
        <v/>
      </c>
      <c r="DU256" s="38" t="str">
        <f t="shared" si="1009"/>
        <v/>
      </c>
      <c r="DV256" s="38" t="str">
        <f t="shared" si="1009"/>
        <v/>
      </c>
      <c r="DW256" s="38" t="str">
        <f t="shared" si="1009"/>
        <v/>
      </c>
      <c r="DX256" s="38" t="str">
        <f t="shared" si="1009"/>
        <v/>
      </c>
      <c r="DY256" s="38" t="str">
        <f t="shared" si="1009"/>
        <v/>
      </c>
      <c r="DZ256" s="38" t="str">
        <f t="shared" si="1009"/>
        <v/>
      </c>
      <c r="EA256" s="38" t="str">
        <f t="shared" si="1009"/>
        <v/>
      </c>
      <c r="EB256" s="38" t="str">
        <f t="shared" si="1009"/>
        <v/>
      </c>
      <c r="EC256" s="38" t="str">
        <f t="shared" si="1009"/>
        <v/>
      </c>
      <c r="ED256" s="38" t="str">
        <f t="shared" si="1009"/>
        <v/>
      </c>
      <c r="EE256" s="38" t="str">
        <f t="shared" si="1009"/>
        <v/>
      </c>
      <c r="EF256" s="38" t="str">
        <f t="shared" si="1009"/>
        <v/>
      </c>
      <c r="EG256" s="38" t="str">
        <f t="shared" si="1009"/>
        <v/>
      </c>
      <c r="EH256" s="38" t="str">
        <f t="shared" si="1009"/>
        <v/>
      </c>
      <c r="EI256" s="38" t="str">
        <f t="shared" si="1009"/>
        <v/>
      </c>
      <c r="EJ256" s="38" t="str">
        <f>IF(EJ$227="","",JT263)</f>
        <v/>
      </c>
      <c r="EK256" s="38" t="str">
        <f>IF(EK$227="","",JU263)</f>
        <v/>
      </c>
      <c r="EL256" s="38" t="str">
        <f>IF(EL$227="","",JV263)</f>
        <v/>
      </c>
      <c r="EM256" s="38" t="str">
        <f>IF(EM$227="","",JW263)</f>
        <v/>
      </c>
      <c r="EN256" s="38" t="str">
        <f>IF(EN$227="","",JX263)</f>
        <v/>
      </c>
      <c r="EP256" s="37" t="s">
        <v>386</v>
      </c>
      <c r="EQ256" s="24"/>
      <c r="ER256" s="24"/>
      <c r="ES256" s="24"/>
      <c r="ET256" s="33" t="s">
        <v>402</v>
      </c>
      <c r="EU256" s="33"/>
      <c r="EV256" s="225">
        <f t="shared" ref="EV256:GA256" si="1010">(EV$197&lt;=Timing_Reversion_Month)*EU260</f>
        <v>0</v>
      </c>
      <c r="EW256" s="225">
        <f t="shared" ca="1" si="1010"/>
        <v>168892.17874475819</v>
      </c>
      <c r="EX256" s="225">
        <f t="shared" ca="1" si="1010"/>
        <v>190428.4312220125</v>
      </c>
      <c r="EY256" s="225">
        <f t="shared" ca="1" si="1010"/>
        <v>219439.46918672894</v>
      </c>
      <c r="EZ256" s="225">
        <f t="shared" ca="1" si="1010"/>
        <v>263113.59759890242</v>
      </c>
      <c r="FA256" s="225">
        <f t="shared" ca="1" si="1010"/>
        <v>332247.89220992592</v>
      </c>
      <c r="FB256" s="225">
        <f t="shared" ca="1" si="1010"/>
        <v>440073.48397029913</v>
      </c>
      <c r="FC256" s="225">
        <f t="shared" ca="1" si="1010"/>
        <v>598672.52761389827</v>
      </c>
      <c r="FD256" s="225">
        <f t="shared" ca="1" si="1010"/>
        <v>684598.20210629865</v>
      </c>
      <c r="FE256" s="225">
        <f t="shared" ca="1" si="1010"/>
        <v>692618.21316745493</v>
      </c>
      <c r="FF256" s="225">
        <f t="shared" ca="1" si="1010"/>
        <v>700732.17799188895</v>
      </c>
      <c r="FG256" s="225">
        <f t="shared" ca="1" si="1010"/>
        <v>708941.19724013179</v>
      </c>
      <c r="FH256" s="225">
        <f t="shared" ca="1" si="1010"/>
        <v>717246.38446686137</v>
      </c>
      <c r="FI256" s="225">
        <f t="shared" ca="1" si="1010"/>
        <v>725648.86627195589</v>
      </c>
      <c r="FJ256" s="225">
        <f t="shared" ca="1" si="1010"/>
        <v>734149.78245331766</v>
      </c>
      <c r="FK256" s="225">
        <f t="shared" ca="1" si="1010"/>
        <v>742750.28616148676</v>
      </c>
      <c r="FL256" s="225">
        <f t="shared" ca="1" si="1010"/>
        <v>751451.54405606585</v>
      </c>
      <c r="FM256" s="225">
        <f t="shared" ca="1" si="1010"/>
        <v>760254.73646397819</v>
      </c>
      <c r="FN256" s="225">
        <f t="shared" ca="1" si="1010"/>
        <v>769161.05753957876</v>
      </c>
      <c r="FO256" s="225">
        <f t="shared" ca="1" si="1010"/>
        <v>778171.71542664152</v>
      </c>
      <c r="FP256" s="225">
        <f t="shared" ca="1" si="1010"/>
        <v>787287.93242224446</v>
      </c>
      <c r="FQ256" s="225">
        <f t="shared" ca="1" si="1010"/>
        <v>796510.94514257414</v>
      </c>
      <c r="FR256" s="225">
        <f t="shared" ca="1" si="1010"/>
        <v>805842.00469067332</v>
      </c>
      <c r="FS256" s="225">
        <f t="shared" ca="1" si="1010"/>
        <v>815282.37682615267</v>
      </c>
      <c r="FT256" s="225">
        <f t="shared" ca="1" si="1010"/>
        <v>824833.34213689168</v>
      </c>
      <c r="FU256" s="225">
        <f t="shared" ca="1" si="1010"/>
        <v>834496.19621275039</v>
      </c>
      <c r="FV256" s="225">
        <f t="shared" ca="1" si="1010"/>
        <v>844272.24982131645</v>
      </c>
      <c r="FW256" s="225">
        <f t="shared" ca="1" si="1010"/>
        <v>854162.82908571092</v>
      </c>
      <c r="FX256" s="225">
        <f t="shared" ca="1" si="1010"/>
        <v>864169.27566447691</v>
      </c>
      <c r="FY256" s="225">
        <f t="shared" ca="1" si="1010"/>
        <v>874292.94693357614</v>
      </c>
      <c r="FZ256" s="225">
        <f t="shared" ca="1" si="1010"/>
        <v>884535.2161705168</v>
      </c>
      <c r="GA256" s="225">
        <f t="shared" ca="1" si="1010"/>
        <v>894803.08559456631</v>
      </c>
      <c r="GB256" s="225">
        <f t="shared" ref="GB256:HG256" ca="1" si="1011">(GB$197&lt;=Timing_Reversion_Month)*GA260</f>
        <v>904461.8695623806</v>
      </c>
      <c r="GC256" s="225">
        <f t="shared" ca="1" si="1011"/>
        <v>912784.17693012813</v>
      </c>
      <c r="GD256" s="225">
        <f t="shared" ca="1" si="1011"/>
        <v>919444.99048238178</v>
      </c>
      <c r="GE256" s="225">
        <f t="shared" ca="1" si="1011"/>
        <v>926133.85620764375</v>
      </c>
      <c r="GF256" s="225">
        <f t="shared" ca="1" si="1011"/>
        <v>932851.10273479018</v>
      </c>
      <c r="GG256" s="225">
        <f t="shared" ca="1" si="1011"/>
        <v>939597.06254255725</v>
      </c>
      <c r="GH256" s="225">
        <f t="shared" ca="1" si="1011"/>
        <v>946372.07200464199</v>
      </c>
      <c r="GI256" s="225">
        <f t="shared" ca="1" si="1011"/>
        <v>953176.47143533127</v>
      </c>
      <c r="GJ256" s="225">
        <f t="shared" ca="1" si="1011"/>
        <v>960010.60513566562</v>
      </c>
      <c r="GK256" s="225">
        <f t="shared" ca="1" si="1011"/>
        <v>966874.82144014351</v>
      </c>
      <c r="GL256" s="225">
        <f t="shared" ca="1" si="1011"/>
        <v>973769.47276397329</v>
      </c>
      <c r="GM256" s="225">
        <f t="shared" ca="1" si="1011"/>
        <v>980694.91565087799</v>
      </c>
      <c r="GN256" s="225">
        <f t="shared" ca="1" si="1011"/>
        <v>988268.62518808688</v>
      </c>
      <c r="GO256" s="225">
        <f t="shared" ca="1" si="1011"/>
        <v>995879.58203779312</v>
      </c>
      <c r="GP256" s="225">
        <f t="shared" ca="1" si="1011"/>
        <v>0</v>
      </c>
      <c r="GQ256" s="225">
        <f t="shared" ca="1" si="1011"/>
        <v>0</v>
      </c>
      <c r="GR256" s="225">
        <f t="shared" ca="1" si="1011"/>
        <v>0</v>
      </c>
      <c r="GS256" s="225">
        <f t="shared" ca="1" si="1011"/>
        <v>0</v>
      </c>
      <c r="GT256" s="225">
        <f t="shared" ca="1" si="1011"/>
        <v>0</v>
      </c>
      <c r="GU256" s="225">
        <f t="shared" ca="1" si="1011"/>
        <v>0</v>
      </c>
      <c r="GV256" s="225">
        <f t="shared" ca="1" si="1011"/>
        <v>0</v>
      </c>
      <c r="GW256" s="225">
        <f t="shared" ca="1" si="1011"/>
        <v>0</v>
      </c>
      <c r="GX256" s="225">
        <f t="shared" ca="1" si="1011"/>
        <v>0</v>
      </c>
      <c r="GY256" s="225">
        <f t="shared" ca="1" si="1011"/>
        <v>0</v>
      </c>
      <c r="GZ256" s="225">
        <f t="shared" ca="1" si="1011"/>
        <v>0</v>
      </c>
      <c r="HA256" s="225">
        <f t="shared" ca="1" si="1011"/>
        <v>0</v>
      </c>
      <c r="HB256" s="225">
        <f t="shared" ca="1" si="1011"/>
        <v>0</v>
      </c>
      <c r="HC256" s="225">
        <f t="shared" ca="1" si="1011"/>
        <v>0</v>
      </c>
      <c r="HD256" s="225">
        <f t="shared" ca="1" si="1011"/>
        <v>0</v>
      </c>
      <c r="HE256" s="225">
        <f t="shared" ca="1" si="1011"/>
        <v>0</v>
      </c>
      <c r="HF256" s="225">
        <f t="shared" ca="1" si="1011"/>
        <v>0</v>
      </c>
      <c r="HG256" s="225">
        <f t="shared" ca="1" si="1011"/>
        <v>0</v>
      </c>
      <c r="HH256" s="225">
        <f t="shared" ref="HH256:IM256" ca="1" si="1012">(HH$197&lt;=Timing_Reversion_Month)*HG260</f>
        <v>0</v>
      </c>
      <c r="HI256" s="225">
        <f t="shared" ca="1" si="1012"/>
        <v>0</v>
      </c>
      <c r="HJ256" s="225">
        <f t="shared" ca="1" si="1012"/>
        <v>0</v>
      </c>
      <c r="HK256" s="225">
        <f t="shared" ca="1" si="1012"/>
        <v>0</v>
      </c>
      <c r="HL256" s="225">
        <f t="shared" ca="1" si="1012"/>
        <v>0</v>
      </c>
      <c r="HM256" s="225">
        <f t="shared" ca="1" si="1012"/>
        <v>0</v>
      </c>
      <c r="HN256" s="225">
        <f t="shared" ca="1" si="1012"/>
        <v>0</v>
      </c>
      <c r="HO256" s="225">
        <f t="shared" ca="1" si="1012"/>
        <v>0</v>
      </c>
      <c r="HP256" s="225">
        <f t="shared" ca="1" si="1012"/>
        <v>0</v>
      </c>
      <c r="HQ256" s="225">
        <f t="shared" ca="1" si="1012"/>
        <v>0</v>
      </c>
      <c r="HR256" s="225">
        <f t="shared" ca="1" si="1012"/>
        <v>0</v>
      </c>
      <c r="HS256" s="225">
        <f t="shared" ca="1" si="1012"/>
        <v>0</v>
      </c>
      <c r="HT256" s="225">
        <f t="shared" ca="1" si="1012"/>
        <v>0</v>
      </c>
      <c r="HU256" s="225">
        <f t="shared" ca="1" si="1012"/>
        <v>0</v>
      </c>
      <c r="HV256" s="225">
        <f t="shared" ca="1" si="1012"/>
        <v>0</v>
      </c>
      <c r="HW256" s="225">
        <f t="shared" ca="1" si="1012"/>
        <v>0</v>
      </c>
      <c r="HX256" s="225">
        <f t="shared" ca="1" si="1012"/>
        <v>0</v>
      </c>
      <c r="HY256" s="225">
        <f t="shared" ca="1" si="1012"/>
        <v>0</v>
      </c>
      <c r="HZ256" s="225">
        <f t="shared" ca="1" si="1012"/>
        <v>0</v>
      </c>
      <c r="IA256" s="225">
        <f t="shared" ca="1" si="1012"/>
        <v>0</v>
      </c>
      <c r="IB256" s="225">
        <f t="shared" ca="1" si="1012"/>
        <v>0</v>
      </c>
      <c r="IC256" s="225">
        <f t="shared" ca="1" si="1012"/>
        <v>0</v>
      </c>
      <c r="ID256" s="225">
        <f t="shared" ca="1" si="1012"/>
        <v>0</v>
      </c>
      <c r="IE256" s="225">
        <f t="shared" ca="1" si="1012"/>
        <v>0</v>
      </c>
      <c r="IF256" s="225">
        <f t="shared" ca="1" si="1012"/>
        <v>0</v>
      </c>
      <c r="IG256" s="225">
        <f t="shared" ca="1" si="1012"/>
        <v>0</v>
      </c>
      <c r="IH256" s="225">
        <f t="shared" ca="1" si="1012"/>
        <v>0</v>
      </c>
      <c r="II256" s="225">
        <f t="shared" ca="1" si="1012"/>
        <v>0</v>
      </c>
      <c r="IJ256" s="225">
        <f t="shared" ca="1" si="1012"/>
        <v>0</v>
      </c>
      <c r="IK256" s="225">
        <f t="shared" ca="1" si="1012"/>
        <v>0</v>
      </c>
      <c r="IL256" s="225">
        <f t="shared" ca="1" si="1012"/>
        <v>0</v>
      </c>
      <c r="IM256" s="225">
        <f t="shared" ca="1" si="1012"/>
        <v>0</v>
      </c>
      <c r="IN256" s="225">
        <f t="shared" ref="IN256:JX256" ca="1" si="1013">(IN$197&lt;=Timing_Reversion_Month)*IM260</f>
        <v>0</v>
      </c>
      <c r="IO256" s="225">
        <f t="shared" ca="1" si="1013"/>
        <v>0</v>
      </c>
      <c r="IP256" s="225">
        <f t="shared" ca="1" si="1013"/>
        <v>0</v>
      </c>
      <c r="IQ256" s="225">
        <f t="shared" ca="1" si="1013"/>
        <v>0</v>
      </c>
      <c r="IR256" s="225">
        <f t="shared" ca="1" si="1013"/>
        <v>0</v>
      </c>
      <c r="IS256" s="225">
        <f t="shared" ca="1" si="1013"/>
        <v>0</v>
      </c>
      <c r="IT256" s="225">
        <f t="shared" ca="1" si="1013"/>
        <v>0</v>
      </c>
      <c r="IU256" s="225">
        <f t="shared" ca="1" si="1013"/>
        <v>0</v>
      </c>
      <c r="IV256" s="225">
        <f t="shared" ca="1" si="1013"/>
        <v>0</v>
      </c>
      <c r="IW256" s="225">
        <f t="shared" ca="1" si="1013"/>
        <v>0</v>
      </c>
      <c r="IX256" s="225">
        <f t="shared" ca="1" si="1013"/>
        <v>0</v>
      </c>
      <c r="IY256" s="225">
        <f t="shared" ca="1" si="1013"/>
        <v>0</v>
      </c>
      <c r="IZ256" s="225">
        <f t="shared" ca="1" si="1013"/>
        <v>0</v>
      </c>
      <c r="JA256" s="225">
        <f t="shared" ca="1" si="1013"/>
        <v>0</v>
      </c>
      <c r="JB256" s="225">
        <f t="shared" ca="1" si="1013"/>
        <v>0</v>
      </c>
      <c r="JC256" s="225">
        <f t="shared" ca="1" si="1013"/>
        <v>0</v>
      </c>
      <c r="JD256" s="225">
        <f t="shared" ca="1" si="1013"/>
        <v>0</v>
      </c>
      <c r="JE256" s="225">
        <f t="shared" ca="1" si="1013"/>
        <v>0</v>
      </c>
      <c r="JF256" s="225">
        <f t="shared" ca="1" si="1013"/>
        <v>0</v>
      </c>
      <c r="JG256" s="225">
        <f t="shared" ca="1" si="1013"/>
        <v>0</v>
      </c>
      <c r="JH256" s="225">
        <f t="shared" ca="1" si="1013"/>
        <v>0</v>
      </c>
      <c r="JI256" s="225">
        <f t="shared" ca="1" si="1013"/>
        <v>0</v>
      </c>
      <c r="JJ256" s="225">
        <f t="shared" ca="1" si="1013"/>
        <v>0</v>
      </c>
      <c r="JK256" s="225">
        <f t="shared" ca="1" si="1013"/>
        <v>0</v>
      </c>
      <c r="JL256" s="225">
        <f t="shared" ca="1" si="1013"/>
        <v>0</v>
      </c>
      <c r="JM256" s="225">
        <f t="shared" ca="1" si="1013"/>
        <v>0</v>
      </c>
      <c r="JN256" s="225">
        <f t="shared" ca="1" si="1013"/>
        <v>0</v>
      </c>
      <c r="JO256" s="225">
        <f t="shared" ca="1" si="1013"/>
        <v>0</v>
      </c>
      <c r="JP256" s="225">
        <f t="shared" ca="1" si="1013"/>
        <v>0</v>
      </c>
      <c r="JQ256" s="225">
        <f t="shared" ca="1" si="1013"/>
        <v>0</v>
      </c>
      <c r="JR256" s="225">
        <f t="shared" ca="1" si="1013"/>
        <v>0</v>
      </c>
      <c r="JS256" s="225">
        <f t="shared" ca="1" si="1013"/>
        <v>0</v>
      </c>
      <c r="JT256" s="225">
        <f t="shared" ca="1" si="1013"/>
        <v>0</v>
      </c>
      <c r="JU256" s="225">
        <f t="shared" ca="1" si="1013"/>
        <v>0</v>
      </c>
      <c r="JV256" s="225">
        <f t="shared" ca="1" si="1013"/>
        <v>0</v>
      </c>
      <c r="JW256" s="225">
        <f t="shared" ca="1" si="1013"/>
        <v>0</v>
      </c>
      <c r="JX256" s="225">
        <f t="shared" ca="1" si="1013"/>
        <v>0</v>
      </c>
    </row>
    <row r="257" spans="1:284" ht="0.6" customHeight="1" x14ac:dyDescent="0.2">
      <c r="B257" s="231" t="s">
        <v>361</v>
      </c>
      <c r="C257" s="233"/>
      <c r="D257" s="245"/>
      <c r="E257" s="245" t="s">
        <v>364</v>
      </c>
      <c r="F257" s="248">
        <f>F256</f>
        <v>0.15</v>
      </c>
      <c r="G257" s="236">
        <v>0.4</v>
      </c>
      <c r="H257" s="249">
        <f t="shared" si="999"/>
        <v>0.46</v>
      </c>
      <c r="I257" s="247">
        <f>1-H257</f>
        <v>0.54</v>
      </c>
      <c r="L257" s="38">
        <f t="shared" ref="L257:AQ257" ca="1" si="1014">IF(L$227="","",EV267)</f>
        <v>0</v>
      </c>
      <c r="M257" s="38">
        <f t="shared" ca="1" si="1014"/>
        <v>0</v>
      </c>
      <c r="N257" s="38">
        <f t="shared" ca="1" si="1014"/>
        <v>0</v>
      </c>
      <c r="O257" s="38">
        <f t="shared" ca="1" si="1014"/>
        <v>0</v>
      </c>
      <c r="P257" s="38">
        <f t="shared" ca="1" si="1014"/>
        <v>0</v>
      </c>
      <c r="Q257" s="38">
        <f t="shared" ca="1" si="1014"/>
        <v>0</v>
      </c>
      <c r="R257" s="38">
        <f t="shared" ca="1" si="1014"/>
        <v>0</v>
      </c>
      <c r="S257" s="38">
        <f t="shared" ca="1" si="1014"/>
        <v>0</v>
      </c>
      <c r="T257" s="38">
        <f t="shared" ca="1" si="1014"/>
        <v>0</v>
      </c>
      <c r="U257" s="38">
        <f t="shared" ca="1" si="1014"/>
        <v>0</v>
      </c>
      <c r="V257" s="38">
        <f t="shared" ca="1" si="1014"/>
        <v>0</v>
      </c>
      <c r="W257" s="38">
        <f t="shared" ca="1" si="1014"/>
        <v>0</v>
      </c>
      <c r="X257" s="38">
        <f t="shared" ca="1" si="1014"/>
        <v>0</v>
      </c>
      <c r="Y257" s="38">
        <f t="shared" ca="1" si="1014"/>
        <v>0</v>
      </c>
      <c r="Z257" s="38">
        <f t="shared" ca="1" si="1014"/>
        <v>0</v>
      </c>
      <c r="AA257" s="38">
        <f t="shared" ca="1" si="1014"/>
        <v>0</v>
      </c>
      <c r="AB257" s="38">
        <f t="shared" ca="1" si="1014"/>
        <v>0</v>
      </c>
      <c r="AC257" s="38">
        <f t="shared" ca="1" si="1014"/>
        <v>0</v>
      </c>
      <c r="AD257" s="38">
        <f t="shared" ca="1" si="1014"/>
        <v>0</v>
      </c>
      <c r="AE257" s="38">
        <f t="shared" ca="1" si="1014"/>
        <v>0</v>
      </c>
      <c r="AF257" s="38">
        <f t="shared" ca="1" si="1014"/>
        <v>0</v>
      </c>
      <c r="AG257" s="38">
        <f t="shared" ca="1" si="1014"/>
        <v>0</v>
      </c>
      <c r="AH257" s="38">
        <f t="shared" ca="1" si="1014"/>
        <v>0</v>
      </c>
      <c r="AI257" s="38">
        <f t="shared" ca="1" si="1014"/>
        <v>0</v>
      </c>
      <c r="AJ257" s="38">
        <f t="shared" ca="1" si="1014"/>
        <v>0</v>
      </c>
      <c r="AK257" s="38">
        <f t="shared" ca="1" si="1014"/>
        <v>0</v>
      </c>
      <c r="AL257" s="38">
        <f t="shared" ca="1" si="1014"/>
        <v>0</v>
      </c>
      <c r="AM257" s="38">
        <f t="shared" ca="1" si="1014"/>
        <v>0</v>
      </c>
      <c r="AN257" s="38">
        <f t="shared" ca="1" si="1014"/>
        <v>0</v>
      </c>
      <c r="AO257" s="38">
        <f t="shared" ca="1" si="1014"/>
        <v>0</v>
      </c>
      <c r="AP257" s="38">
        <f t="shared" ca="1" si="1014"/>
        <v>0</v>
      </c>
      <c r="AQ257" s="38">
        <f t="shared" ca="1" si="1014"/>
        <v>0</v>
      </c>
      <c r="AR257" s="38">
        <f t="shared" ref="AR257:BW257" ca="1" si="1015">IF(AR$227="","",GB267)</f>
        <v>0</v>
      </c>
      <c r="AS257" s="38">
        <f t="shared" ca="1" si="1015"/>
        <v>0</v>
      </c>
      <c r="AT257" s="38">
        <f t="shared" ca="1" si="1015"/>
        <v>0</v>
      </c>
      <c r="AU257" s="38">
        <f t="shared" ca="1" si="1015"/>
        <v>0</v>
      </c>
      <c r="AV257" s="38">
        <f t="shared" ca="1" si="1015"/>
        <v>0</v>
      </c>
      <c r="AW257" s="38">
        <f t="shared" ca="1" si="1015"/>
        <v>0</v>
      </c>
      <c r="AX257" s="38">
        <f t="shared" ca="1" si="1015"/>
        <v>0</v>
      </c>
      <c r="AY257" s="38">
        <f t="shared" ca="1" si="1015"/>
        <v>0</v>
      </c>
      <c r="AZ257" s="38">
        <f t="shared" ca="1" si="1015"/>
        <v>0</v>
      </c>
      <c r="BA257" s="38">
        <f t="shared" ca="1" si="1015"/>
        <v>0</v>
      </c>
      <c r="BB257" s="38">
        <f t="shared" ca="1" si="1015"/>
        <v>0</v>
      </c>
      <c r="BC257" s="38">
        <f t="shared" ca="1" si="1015"/>
        <v>0</v>
      </c>
      <c r="BD257" s="38">
        <f t="shared" ca="1" si="1015"/>
        <v>0</v>
      </c>
      <c r="BE257" s="38">
        <f t="shared" ca="1" si="1015"/>
        <v>701481.52215344342</v>
      </c>
      <c r="BF257" s="38" t="str">
        <f t="shared" si="1015"/>
        <v/>
      </c>
      <c r="BG257" s="38" t="str">
        <f t="shared" si="1015"/>
        <v/>
      </c>
      <c r="BH257" s="38" t="str">
        <f t="shared" si="1015"/>
        <v/>
      </c>
      <c r="BI257" s="38" t="str">
        <f t="shared" si="1015"/>
        <v/>
      </c>
      <c r="BJ257" s="38" t="str">
        <f t="shared" si="1015"/>
        <v/>
      </c>
      <c r="BK257" s="38" t="str">
        <f t="shared" si="1015"/>
        <v/>
      </c>
      <c r="BL257" s="38" t="str">
        <f t="shared" si="1015"/>
        <v/>
      </c>
      <c r="BM257" s="38" t="str">
        <f t="shared" si="1015"/>
        <v/>
      </c>
      <c r="BN257" s="38" t="str">
        <f t="shared" si="1015"/>
        <v/>
      </c>
      <c r="BO257" s="38" t="str">
        <f t="shared" si="1015"/>
        <v/>
      </c>
      <c r="BP257" s="38" t="str">
        <f t="shared" si="1015"/>
        <v/>
      </c>
      <c r="BQ257" s="38" t="str">
        <f t="shared" si="1015"/>
        <v/>
      </c>
      <c r="BR257" s="38" t="str">
        <f t="shared" si="1015"/>
        <v/>
      </c>
      <c r="BS257" s="38" t="str">
        <f t="shared" si="1015"/>
        <v/>
      </c>
      <c r="BT257" s="38" t="str">
        <f t="shared" si="1015"/>
        <v/>
      </c>
      <c r="BU257" s="38" t="str">
        <f t="shared" si="1015"/>
        <v/>
      </c>
      <c r="BV257" s="38" t="str">
        <f t="shared" si="1015"/>
        <v/>
      </c>
      <c r="BW257" s="38" t="str">
        <f t="shared" si="1015"/>
        <v/>
      </c>
      <c r="BX257" s="38" t="str">
        <f t="shared" ref="BX257:DC257" si="1016">IF(BX$227="","",HH267)</f>
        <v/>
      </c>
      <c r="BY257" s="38" t="str">
        <f t="shared" si="1016"/>
        <v/>
      </c>
      <c r="BZ257" s="38" t="str">
        <f t="shared" si="1016"/>
        <v/>
      </c>
      <c r="CA257" s="38" t="str">
        <f t="shared" si="1016"/>
        <v/>
      </c>
      <c r="CB257" s="38" t="str">
        <f t="shared" si="1016"/>
        <v/>
      </c>
      <c r="CC257" s="38" t="str">
        <f t="shared" si="1016"/>
        <v/>
      </c>
      <c r="CD257" s="38" t="str">
        <f t="shared" si="1016"/>
        <v/>
      </c>
      <c r="CE257" s="38" t="str">
        <f t="shared" si="1016"/>
        <v/>
      </c>
      <c r="CF257" s="38" t="str">
        <f t="shared" si="1016"/>
        <v/>
      </c>
      <c r="CG257" s="38" t="str">
        <f t="shared" si="1016"/>
        <v/>
      </c>
      <c r="CH257" s="38" t="str">
        <f t="shared" si="1016"/>
        <v/>
      </c>
      <c r="CI257" s="38" t="str">
        <f t="shared" si="1016"/>
        <v/>
      </c>
      <c r="CJ257" s="38" t="str">
        <f t="shared" si="1016"/>
        <v/>
      </c>
      <c r="CK257" s="38" t="str">
        <f t="shared" si="1016"/>
        <v/>
      </c>
      <c r="CL257" s="38" t="str">
        <f t="shared" si="1016"/>
        <v/>
      </c>
      <c r="CM257" s="38" t="str">
        <f t="shared" si="1016"/>
        <v/>
      </c>
      <c r="CN257" s="38" t="str">
        <f t="shared" si="1016"/>
        <v/>
      </c>
      <c r="CO257" s="38" t="str">
        <f t="shared" si="1016"/>
        <v/>
      </c>
      <c r="CP257" s="38" t="str">
        <f t="shared" si="1016"/>
        <v/>
      </c>
      <c r="CQ257" s="38" t="str">
        <f t="shared" si="1016"/>
        <v/>
      </c>
      <c r="CR257" s="38" t="str">
        <f t="shared" si="1016"/>
        <v/>
      </c>
      <c r="CS257" s="38" t="str">
        <f t="shared" si="1016"/>
        <v/>
      </c>
      <c r="CT257" s="38" t="str">
        <f t="shared" si="1016"/>
        <v/>
      </c>
      <c r="CU257" s="38" t="str">
        <f t="shared" si="1016"/>
        <v/>
      </c>
      <c r="CV257" s="38" t="str">
        <f t="shared" si="1016"/>
        <v/>
      </c>
      <c r="CW257" s="38" t="str">
        <f t="shared" si="1016"/>
        <v/>
      </c>
      <c r="CX257" s="38" t="str">
        <f t="shared" si="1016"/>
        <v/>
      </c>
      <c r="CY257" s="38" t="str">
        <f t="shared" si="1016"/>
        <v/>
      </c>
      <c r="CZ257" s="38" t="str">
        <f t="shared" si="1016"/>
        <v/>
      </c>
      <c r="DA257" s="38" t="str">
        <f t="shared" si="1016"/>
        <v/>
      </c>
      <c r="DB257" s="38" t="str">
        <f t="shared" si="1016"/>
        <v/>
      </c>
      <c r="DC257" s="38" t="str">
        <f t="shared" si="1016"/>
        <v/>
      </c>
      <c r="DD257" s="38" t="str">
        <f t="shared" ref="DD257:EI257" si="1017">IF(DD$227="","",IN267)</f>
        <v/>
      </c>
      <c r="DE257" s="38" t="str">
        <f t="shared" si="1017"/>
        <v/>
      </c>
      <c r="DF257" s="38" t="str">
        <f t="shared" si="1017"/>
        <v/>
      </c>
      <c r="DG257" s="38" t="str">
        <f t="shared" si="1017"/>
        <v/>
      </c>
      <c r="DH257" s="38" t="str">
        <f t="shared" si="1017"/>
        <v/>
      </c>
      <c r="DI257" s="38" t="str">
        <f t="shared" si="1017"/>
        <v/>
      </c>
      <c r="DJ257" s="38" t="str">
        <f t="shared" si="1017"/>
        <v/>
      </c>
      <c r="DK257" s="38" t="str">
        <f t="shared" si="1017"/>
        <v/>
      </c>
      <c r="DL257" s="38" t="str">
        <f t="shared" si="1017"/>
        <v/>
      </c>
      <c r="DM257" s="38" t="str">
        <f t="shared" si="1017"/>
        <v/>
      </c>
      <c r="DN257" s="38" t="str">
        <f t="shared" si="1017"/>
        <v/>
      </c>
      <c r="DO257" s="38" t="str">
        <f t="shared" si="1017"/>
        <v/>
      </c>
      <c r="DP257" s="38" t="str">
        <f t="shared" si="1017"/>
        <v/>
      </c>
      <c r="DQ257" s="38" t="str">
        <f t="shared" si="1017"/>
        <v/>
      </c>
      <c r="DR257" s="38" t="str">
        <f t="shared" si="1017"/>
        <v/>
      </c>
      <c r="DS257" s="38" t="str">
        <f t="shared" si="1017"/>
        <v/>
      </c>
      <c r="DT257" s="38" t="str">
        <f t="shared" si="1017"/>
        <v/>
      </c>
      <c r="DU257" s="38" t="str">
        <f t="shared" si="1017"/>
        <v/>
      </c>
      <c r="DV257" s="38" t="str">
        <f t="shared" si="1017"/>
        <v/>
      </c>
      <c r="DW257" s="38" t="str">
        <f t="shared" si="1017"/>
        <v/>
      </c>
      <c r="DX257" s="38" t="str">
        <f t="shared" si="1017"/>
        <v/>
      </c>
      <c r="DY257" s="38" t="str">
        <f t="shared" si="1017"/>
        <v/>
      </c>
      <c r="DZ257" s="38" t="str">
        <f t="shared" si="1017"/>
        <v/>
      </c>
      <c r="EA257" s="38" t="str">
        <f t="shared" si="1017"/>
        <v/>
      </c>
      <c r="EB257" s="38" t="str">
        <f t="shared" si="1017"/>
        <v/>
      </c>
      <c r="EC257" s="38" t="str">
        <f t="shared" si="1017"/>
        <v/>
      </c>
      <c r="ED257" s="38" t="str">
        <f t="shared" si="1017"/>
        <v/>
      </c>
      <c r="EE257" s="38" t="str">
        <f t="shared" si="1017"/>
        <v/>
      </c>
      <c r="EF257" s="38" t="str">
        <f t="shared" si="1017"/>
        <v/>
      </c>
      <c r="EG257" s="38" t="str">
        <f t="shared" si="1017"/>
        <v/>
      </c>
      <c r="EH257" s="38" t="str">
        <f t="shared" si="1017"/>
        <v/>
      </c>
      <c r="EI257" s="38" t="str">
        <f t="shared" si="1017"/>
        <v/>
      </c>
      <c r="EJ257" s="38" t="str">
        <f>IF(EJ$227="","",JT267)</f>
        <v/>
      </c>
      <c r="EK257" s="38" t="str">
        <f>IF(EK$227="","",JU267)</f>
        <v/>
      </c>
      <c r="EL257" s="38" t="str">
        <f>IF(EL$227="","",JV267)</f>
        <v/>
      </c>
      <c r="EM257" s="38" t="str">
        <f>IF(EM$227="","",JW267)</f>
        <v/>
      </c>
      <c r="EN257" s="38" t="str">
        <f>IF(EN$227="","",JX267)</f>
        <v/>
      </c>
      <c r="EP257" s="37"/>
      <c r="EQ257" s="24"/>
      <c r="ER257" s="24"/>
      <c r="ES257" s="24"/>
      <c r="ET257" s="33" t="s">
        <v>403</v>
      </c>
      <c r="EU257" s="33"/>
      <c r="EV257" s="225">
        <f t="shared" ref="EV257:GA257" si="1018">(EV$197&lt;=Timing_Reversion_Month)*(EV256*((1+$EP258)^(1/12)-1))</f>
        <v>0</v>
      </c>
      <c r="EW257" s="225">
        <f t="shared" ca="1" si="1018"/>
        <v>1978.557842407869</v>
      </c>
      <c r="EX257" s="225">
        <f t="shared" ca="1" si="1018"/>
        <v>2230.8532509438896</v>
      </c>
      <c r="EY257" s="225">
        <f t="shared" ca="1" si="1018"/>
        <v>2570.7151504592553</v>
      </c>
      <c r="EZ257" s="225">
        <f t="shared" ca="1" si="1018"/>
        <v>3082.3539363548757</v>
      </c>
      <c r="FA257" s="225">
        <f t="shared" ca="1" si="1018"/>
        <v>3892.256454035683</v>
      </c>
      <c r="FB257" s="225">
        <f t="shared" ca="1" si="1018"/>
        <v>5155.4243033424827</v>
      </c>
      <c r="FC257" s="225">
        <f t="shared" ca="1" si="1018"/>
        <v>7013.3989231954465</v>
      </c>
      <c r="FD257" s="225">
        <f t="shared" ca="1" si="1018"/>
        <v>8020.0110611562814</v>
      </c>
      <c r="FE257" s="225">
        <f t="shared" ca="1" si="1018"/>
        <v>8113.9648244340324</v>
      </c>
      <c r="FF257" s="225">
        <f t="shared" ca="1" si="1018"/>
        <v>8209.0192482428902</v>
      </c>
      <c r="FG257" s="225">
        <f t="shared" ca="1" si="1018"/>
        <v>8305.187226729533</v>
      </c>
      <c r="FH257" s="225">
        <f t="shared" ca="1" si="1018"/>
        <v>8402.4818050944959</v>
      </c>
      <c r="FI257" s="225">
        <f t="shared" ca="1" si="1018"/>
        <v>8500.9161813617593</v>
      </c>
      <c r="FJ257" s="225">
        <f t="shared" ca="1" si="1018"/>
        <v>8600.5037081690498</v>
      </c>
      <c r="FK257" s="225">
        <f t="shared" ca="1" si="1018"/>
        <v>8701.2578945791411</v>
      </c>
      <c r="FL257" s="225">
        <f t="shared" ca="1" si="1018"/>
        <v>8803.1924079123528</v>
      </c>
      <c r="FM257" s="225">
        <f t="shared" ca="1" si="1018"/>
        <v>8906.3210756005301</v>
      </c>
      <c r="FN257" s="225">
        <f t="shared" ca="1" si="1018"/>
        <v>9010.6578870627309</v>
      </c>
      <c r="FO257" s="225">
        <f t="shared" ca="1" si="1018"/>
        <v>9116.216995602892</v>
      </c>
      <c r="FP257" s="225">
        <f t="shared" ca="1" si="1018"/>
        <v>9223.0127203297361</v>
      </c>
      <c r="FQ257" s="225">
        <f t="shared" ca="1" si="1018"/>
        <v>9331.0595480991487</v>
      </c>
      <c r="FR257" s="225">
        <f t="shared" ca="1" si="1018"/>
        <v>9440.3721354793361</v>
      </c>
      <c r="FS257" s="225">
        <f t="shared" ca="1" si="1018"/>
        <v>9550.9653107389749</v>
      </c>
      <c r="FT257" s="225">
        <f t="shared" ca="1" si="1018"/>
        <v>9662.8540758586842</v>
      </c>
      <c r="FU257" s="225">
        <f t="shared" ca="1" si="1018"/>
        <v>9776.0536085660351</v>
      </c>
      <c r="FV257" s="225">
        <f t="shared" ca="1" si="1018"/>
        <v>9890.5792643944205</v>
      </c>
      <c r="FW257" s="225">
        <f t="shared" ca="1" si="1018"/>
        <v>10006.446578766025</v>
      </c>
      <c r="FX257" s="225">
        <f t="shared" ca="1" si="1018"/>
        <v>10123.671269099221</v>
      </c>
      <c r="FY257" s="225">
        <f t="shared" ca="1" si="1018"/>
        <v>10242.269236940625</v>
      </c>
      <c r="FZ257" s="225">
        <f t="shared" ca="1" si="1018"/>
        <v>10362.256570122154</v>
      </c>
      <c r="GA257" s="225">
        <f t="shared" ca="1" si="1018"/>
        <v>10482.543807368796</v>
      </c>
      <c r="GB257" s="225">
        <f t="shared" ref="GB257:HG257" ca="1" si="1019">(GB$197&lt;=Timing_Reversion_Month)*(GB256*((1+$EP258)^(1/12)-1))</f>
        <v>10595.695659098554</v>
      </c>
      <c r="GC257" s="225">
        <f t="shared" ca="1" si="1019"/>
        <v>10693.190798493199</v>
      </c>
      <c r="GD257" s="225">
        <f t="shared" ca="1" si="1019"/>
        <v>10771.221675876484</v>
      </c>
      <c r="GE257" s="225">
        <f t="shared" ca="1" si="1019"/>
        <v>10849.581182135982</v>
      </c>
      <c r="GF257" s="225">
        <f t="shared" ca="1" si="1019"/>
        <v>10928.273167131678</v>
      </c>
      <c r="GG257" s="225">
        <f t="shared" ca="1" si="1019"/>
        <v>11007.301525824338</v>
      </c>
      <c r="GH257" s="225">
        <f t="shared" ca="1" si="1019"/>
        <v>11086.670198803882</v>
      </c>
      <c r="GI257" s="225">
        <f t="shared" ca="1" si="1019"/>
        <v>11166.383172823904</v>
      </c>
      <c r="GJ257" s="225">
        <f t="shared" ca="1" si="1019"/>
        <v>11246.444481342491</v>
      </c>
      <c r="GK257" s="225">
        <f t="shared" ca="1" si="1019"/>
        <v>11326.858205069353</v>
      </c>
      <c r="GL257" s="225">
        <f t="shared" ca="1" si="1019"/>
        <v>11407.628472519376</v>
      </c>
      <c r="GM257" s="225">
        <f t="shared" ca="1" si="1019"/>
        <v>11488.759460572654</v>
      </c>
      <c r="GN257" s="225">
        <f t="shared" ca="1" si="1019"/>
        <v>11577.484838576158</v>
      </c>
      <c r="GO257" s="225">
        <f t="shared" ca="1" si="1019"/>
        <v>11666.646565751054</v>
      </c>
      <c r="GP257" s="225">
        <f t="shared" ca="1" si="1019"/>
        <v>0</v>
      </c>
      <c r="GQ257" s="225">
        <f t="shared" ca="1" si="1019"/>
        <v>0</v>
      </c>
      <c r="GR257" s="225">
        <f t="shared" ca="1" si="1019"/>
        <v>0</v>
      </c>
      <c r="GS257" s="225">
        <f t="shared" ca="1" si="1019"/>
        <v>0</v>
      </c>
      <c r="GT257" s="225">
        <f t="shared" ca="1" si="1019"/>
        <v>0</v>
      </c>
      <c r="GU257" s="225">
        <f t="shared" ca="1" si="1019"/>
        <v>0</v>
      </c>
      <c r="GV257" s="225">
        <f t="shared" ca="1" si="1019"/>
        <v>0</v>
      </c>
      <c r="GW257" s="225">
        <f t="shared" ca="1" si="1019"/>
        <v>0</v>
      </c>
      <c r="GX257" s="225">
        <f t="shared" ca="1" si="1019"/>
        <v>0</v>
      </c>
      <c r="GY257" s="225">
        <f t="shared" ca="1" si="1019"/>
        <v>0</v>
      </c>
      <c r="GZ257" s="225">
        <f t="shared" ca="1" si="1019"/>
        <v>0</v>
      </c>
      <c r="HA257" s="225">
        <f t="shared" ca="1" si="1019"/>
        <v>0</v>
      </c>
      <c r="HB257" s="225">
        <f t="shared" ca="1" si="1019"/>
        <v>0</v>
      </c>
      <c r="HC257" s="225">
        <f t="shared" ca="1" si="1019"/>
        <v>0</v>
      </c>
      <c r="HD257" s="225">
        <f t="shared" ca="1" si="1019"/>
        <v>0</v>
      </c>
      <c r="HE257" s="225">
        <f t="shared" ca="1" si="1019"/>
        <v>0</v>
      </c>
      <c r="HF257" s="225">
        <f t="shared" ca="1" si="1019"/>
        <v>0</v>
      </c>
      <c r="HG257" s="225">
        <f t="shared" ca="1" si="1019"/>
        <v>0</v>
      </c>
      <c r="HH257" s="225">
        <f t="shared" ref="HH257:IM257" ca="1" si="1020">(HH$197&lt;=Timing_Reversion_Month)*(HH256*((1+$EP258)^(1/12)-1))</f>
        <v>0</v>
      </c>
      <c r="HI257" s="225">
        <f t="shared" ca="1" si="1020"/>
        <v>0</v>
      </c>
      <c r="HJ257" s="225">
        <f t="shared" ca="1" si="1020"/>
        <v>0</v>
      </c>
      <c r="HK257" s="225">
        <f t="shared" ca="1" si="1020"/>
        <v>0</v>
      </c>
      <c r="HL257" s="225">
        <f t="shared" ca="1" si="1020"/>
        <v>0</v>
      </c>
      <c r="HM257" s="225">
        <f t="shared" ca="1" si="1020"/>
        <v>0</v>
      </c>
      <c r="HN257" s="225">
        <f t="shared" ca="1" si="1020"/>
        <v>0</v>
      </c>
      <c r="HO257" s="225">
        <f t="shared" ca="1" si="1020"/>
        <v>0</v>
      </c>
      <c r="HP257" s="225">
        <f t="shared" ca="1" si="1020"/>
        <v>0</v>
      </c>
      <c r="HQ257" s="225">
        <f t="shared" ca="1" si="1020"/>
        <v>0</v>
      </c>
      <c r="HR257" s="225">
        <f t="shared" ca="1" si="1020"/>
        <v>0</v>
      </c>
      <c r="HS257" s="225">
        <f t="shared" ca="1" si="1020"/>
        <v>0</v>
      </c>
      <c r="HT257" s="225">
        <f t="shared" ca="1" si="1020"/>
        <v>0</v>
      </c>
      <c r="HU257" s="225">
        <f t="shared" ca="1" si="1020"/>
        <v>0</v>
      </c>
      <c r="HV257" s="225">
        <f t="shared" ca="1" si="1020"/>
        <v>0</v>
      </c>
      <c r="HW257" s="225">
        <f t="shared" ca="1" si="1020"/>
        <v>0</v>
      </c>
      <c r="HX257" s="225">
        <f t="shared" ca="1" si="1020"/>
        <v>0</v>
      </c>
      <c r="HY257" s="225">
        <f t="shared" ca="1" si="1020"/>
        <v>0</v>
      </c>
      <c r="HZ257" s="225">
        <f t="shared" ca="1" si="1020"/>
        <v>0</v>
      </c>
      <c r="IA257" s="225">
        <f t="shared" ca="1" si="1020"/>
        <v>0</v>
      </c>
      <c r="IB257" s="225">
        <f t="shared" ca="1" si="1020"/>
        <v>0</v>
      </c>
      <c r="IC257" s="225">
        <f t="shared" ca="1" si="1020"/>
        <v>0</v>
      </c>
      <c r="ID257" s="225">
        <f t="shared" ca="1" si="1020"/>
        <v>0</v>
      </c>
      <c r="IE257" s="225">
        <f t="shared" ca="1" si="1020"/>
        <v>0</v>
      </c>
      <c r="IF257" s="225">
        <f t="shared" ca="1" si="1020"/>
        <v>0</v>
      </c>
      <c r="IG257" s="225">
        <f t="shared" ca="1" si="1020"/>
        <v>0</v>
      </c>
      <c r="IH257" s="225">
        <f t="shared" ca="1" si="1020"/>
        <v>0</v>
      </c>
      <c r="II257" s="225">
        <f t="shared" ca="1" si="1020"/>
        <v>0</v>
      </c>
      <c r="IJ257" s="225">
        <f t="shared" ca="1" si="1020"/>
        <v>0</v>
      </c>
      <c r="IK257" s="225">
        <f t="shared" ca="1" si="1020"/>
        <v>0</v>
      </c>
      <c r="IL257" s="225">
        <f t="shared" ca="1" si="1020"/>
        <v>0</v>
      </c>
      <c r="IM257" s="225">
        <f t="shared" ca="1" si="1020"/>
        <v>0</v>
      </c>
      <c r="IN257" s="225">
        <f t="shared" ref="IN257:JS257" ca="1" si="1021">(IN$197&lt;=Timing_Reversion_Month)*(IN256*((1+$EP258)^(1/12)-1))</f>
        <v>0</v>
      </c>
      <c r="IO257" s="225">
        <f t="shared" ca="1" si="1021"/>
        <v>0</v>
      </c>
      <c r="IP257" s="225">
        <f t="shared" ca="1" si="1021"/>
        <v>0</v>
      </c>
      <c r="IQ257" s="225">
        <f t="shared" ca="1" si="1021"/>
        <v>0</v>
      </c>
      <c r="IR257" s="225">
        <f t="shared" ca="1" si="1021"/>
        <v>0</v>
      </c>
      <c r="IS257" s="225">
        <f t="shared" ca="1" si="1021"/>
        <v>0</v>
      </c>
      <c r="IT257" s="225">
        <f t="shared" ca="1" si="1021"/>
        <v>0</v>
      </c>
      <c r="IU257" s="225">
        <f t="shared" ca="1" si="1021"/>
        <v>0</v>
      </c>
      <c r="IV257" s="225">
        <f t="shared" ca="1" si="1021"/>
        <v>0</v>
      </c>
      <c r="IW257" s="225">
        <f t="shared" ca="1" si="1021"/>
        <v>0</v>
      </c>
      <c r="IX257" s="225">
        <f t="shared" ca="1" si="1021"/>
        <v>0</v>
      </c>
      <c r="IY257" s="225">
        <f t="shared" ca="1" si="1021"/>
        <v>0</v>
      </c>
      <c r="IZ257" s="225">
        <f t="shared" ca="1" si="1021"/>
        <v>0</v>
      </c>
      <c r="JA257" s="225">
        <f t="shared" ca="1" si="1021"/>
        <v>0</v>
      </c>
      <c r="JB257" s="225">
        <f t="shared" ca="1" si="1021"/>
        <v>0</v>
      </c>
      <c r="JC257" s="225">
        <f t="shared" ca="1" si="1021"/>
        <v>0</v>
      </c>
      <c r="JD257" s="225">
        <f t="shared" ca="1" si="1021"/>
        <v>0</v>
      </c>
      <c r="JE257" s="225">
        <f t="shared" ca="1" si="1021"/>
        <v>0</v>
      </c>
      <c r="JF257" s="225">
        <f t="shared" ca="1" si="1021"/>
        <v>0</v>
      </c>
      <c r="JG257" s="225">
        <f t="shared" ca="1" si="1021"/>
        <v>0</v>
      </c>
      <c r="JH257" s="225">
        <f t="shared" ca="1" si="1021"/>
        <v>0</v>
      </c>
      <c r="JI257" s="225">
        <f t="shared" ca="1" si="1021"/>
        <v>0</v>
      </c>
      <c r="JJ257" s="225">
        <f t="shared" ca="1" si="1021"/>
        <v>0</v>
      </c>
      <c r="JK257" s="225">
        <f t="shared" ca="1" si="1021"/>
        <v>0</v>
      </c>
      <c r="JL257" s="225">
        <f t="shared" ca="1" si="1021"/>
        <v>0</v>
      </c>
      <c r="JM257" s="225">
        <f t="shared" ca="1" si="1021"/>
        <v>0</v>
      </c>
      <c r="JN257" s="225">
        <f t="shared" ca="1" si="1021"/>
        <v>0</v>
      </c>
      <c r="JO257" s="225">
        <f t="shared" ca="1" si="1021"/>
        <v>0</v>
      </c>
      <c r="JP257" s="225">
        <f t="shared" ca="1" si="1021"/>
        <v>0</v>
      </c>
      <c r="JQ257" s="225">
        <f t="shared" ca="1" si="1021"/>
        <v>0</v>
      </c>
      <c r="JR257" s="225">
        <f t="shared" ca="1" si="1021"/>
        <v>0</v>
      </c>
      <c r="JS257" s="225">
        <f t="shared" ca="1" si="1021"/>
        <v>0</v>
      </c>
      <c r="JT257" s="225">
        <f ca="1">(JT$197&lt;=Timing_Reversion_Month)*(JT256*((1+$EP258)^(1/12)-1))</f>
        <v>0</v>
      </c>
      <c r="JU257" s="225">
        <f ca="1">(JU$197&lt;=Timing_Reversion_Month)*(JU256*((1+$EP258)^(1/12)-1))</f>
        <v>0</v>
      </c>
      <c r="JV257" s="225">
        <f ca="1">(JV$197&lt;=Timing_Reversion_Month)*(JV256*((1+$EP258)^(1/12)-1))</f>
        <v>0</v>
      </c>
      <c r="JW257" s="225">
        <f ca="1">(JW$197&lt;=Timing_Reversion_Month)*(JW256*((1+$EP258)^(1/12)-1))</f>
        <v>0</v>
      </c>
      <c r="JX257" s="225">
        <f ca="1">(JX$197&lt;=Timing_Reversion_Month)*(JX256*((1+$EP258)^(1/12)-1))</f>
        <v>0</v>
      </c>
    </row>
    <row r="258" spans="1:284" ht="0.6" customHeight="1" x14ac:dyDescent="0.2">
      <c r="B258" s="231"/>
      <c r="C258" s="233"/>
      <c r="D258" s="233"/>
      <c r="E258" s="233"/>
      <c r="F258" s="233"/>
      <c r="G258" s="233"/>
      <c r="H258" s="233"/>
      <c r="I258" s="233"/>
      <c r="L258" s="7"/>
      <c r="M258" s="7"/>
      <c r="N258" s="7"/>
      <c r="O258" s="7"/>
      <c r="P258" s="7"/>
      <c r="Q258" s="7"/>
      <c r="R258" s="7"/>
      <c r="S258" s="7"/>
      <c r="T258" s="7"/>
      <c r="U258" s="7"/>
      <c r="V258" s="7"/>
      <c r="W258" s="7"/>
      <c r="X258" s="7"/>
      <c r="Y258" s="7"/>
      <c r="Z258" s="7"/>
      <c r="AA258" s="7"/>
      <c r="AB258" s="7"/>
      <c r="AC258" s="7"/>
      <c r="AD258" s="7"/>
      <c r="AE258" s="7"/>
      <c r="AF258" s="7"/>
      <c r="AG258" s="7"/>
      <c r="AH258" s="7"/>
      <c r="AI258" s="7"/>
      <c r="AJ258" s="7"/>
      <c r="AK258" s="7"/>
      <c r="AL258" s="7"/>
      <c r="AM258" s="7"/>
      <c r="AN258" s="7"/>
      <c r="AO258" s="7"/>
      <c r="AP258" s="7"/>
      <c r="AQ258" s="7"/>
      <c r="AR258" s="7"/>
      <c r="AS258" s="7"/>
      <c r="AT258" s="7"/>
      <c r="AU258" s="7"/>
      <c r="AV258" s="7"/>
      <c r="AW258" s="7"/>
      <c r="AX258" s="7"/>
      <c r="AY258" s="7"/>
      <c r="AZ258" s="7"/>
      <c r="BA258" s="7"/>
      <c r="BB258" s="7"/>
      <c r="BC258" s="7"/>
      <c r="BD258" s="7"/>
      <c r="BE258" s="7"/>
      <c r="BF258" s="7"/>
      <c r="BG258" s="7"/>
      <c r="BH258" s="7"/>
      <c r="BI258" s="7"/>
      <c r="BJ258" s="7"/>
      <c r="BK258" s="7"/>
      <c r="BL258" s="7"/>
      <c r="BM258" s="7"/>
      <c r="BN258" s="7"/>
      <c r="BO258" s="7"/>
      <c r="BP258" s="7"/>
      <c r="BQ258" s="7"/>
      <c r="BR258" s="7"/>
      <c r="BS258" s="7"/>
      <c r="BT258" s="7"/>
      <c r="BU258" s="7"/>
      <c r="BV258" s="7"/>
      <c r="BW258" s="7"/>
      <c r="BX258" s="7"/>
      <c r="BY258" s="7"/>
      <c r="BZ258" s="7"/>
      <c r="CA258" s="7"/>
      <c r="CB258" s="7"/>
      <c r="CC258" s="7"/>
      <c r="CD258" s="7"/>
      <c r="CE258" s="7"/>
      <c r="CF258" s="7"/>
      <c r="CG258" s="7"/>
      <c r="CH258" s="7"/>
      <c r="CI258" s="7"/>
      <c r="CJ258" s="7"/>
      <c r="CK258" s="7"/>
      <c r="CL258" s="7"/>
      <c r="CM258" s="7"/>
      <c r="CN258" s="7"/>
      <c r="CO258" s="7"/>
      <c r="CP258" s="7"/>
      <c r="CQ258" s="7"/>
      <c r="CR258" s="7"/>
      <c r="CS258" s="7"/>
      <c r="CT258" s="7"/>
      <c r="CU258" s="7"/>
      <c r="CV258" s="7"/>
      <c r="CW258" s="7"/>
      <c r="CX258" s="7"/>
      <c r="CY258" s="7"/>
      <c r="CZ258" s="7"/>
      <c r="DA258" s="7"/>
      <c r="DB258" s="7"/>
      <c r="DC258" s="7"/>
      <c r="DD258" s="7"/>
      <c r="DE258" s="7"/>
      <c r="DF258" s="7"/>
      <c r="DG258" s="7"/>
      <c r="DH258" s="7"/>
      <c r="DI258" s="7"/>
      <c r="DJ258" s="7"/>
      <c r="DK258" s="7"/>
      <c r="DL258" s="7"/>
      <c r="DM258" s="7"/>
      <c r="DN258" s="7"/>
      <c r="DO258" s="7"/>
      <c r="DP258" s="7"/>
      <c r="DQ258" s="7"/>
      <c r="DR258" s="7"/>
      <c r="DS258" s="7"/>
      <c r="DT258" s="7"/>
      <c r="DU258" s="7"/>
      <c r="DV258" s="7"/>
      <c r="DW258" s="7"/>
      <c r="DX258" s="7"/>
      <c r="DY258" s="7"/>
      <c r="DZ258" s="7"/>
      <c r="EA258" s="7"/>
      <c r="EB258" s="7"/>
      <c r="EC258" s="7"/>
      <c r="ED258" s="7"/>
      <c r="EE258" s="7"/>
      <c r="EF258" s="7"/>
      <c r="EG258" s="7"/>
      <c r="EH258" s="7"/>
      <c r="EI258" s="7"/>
      <c r="EJ258" s="7"/>
      <c r="EK258" s="7"/>
      <c r="EL258" s="7"/>
      <c r="EM258" s="7"/>
      <c r="EN258" s="7"/>
      <c r="EP258" s="220">
        <f>F256</f>
        <v>0.15</v>
      </c>
      <c r="EQ258" s="24" t="s">
        <v>376</v>
      </c>
      <c r="ER258" s="24"/>
      <c r="ES258" s="24"/>
      <c r="ET258" s="33" t="s">
        <v>383</v>
      </c>
      <c r="EU258" s="33"/>
      <c r="EV258" s="225">
        <f ca="1">EV241+EV250</f>
        <v>0</v>
      </c>
      <c r="EW258" s="225">
        <f t="shared" ref="EW258:HH258" ca="1" si="1022">EW241+EW250</f>
        <v>0</v>
      </c>
      <c r="EX258" s="225">
        <f t="shared" ca="1" si="1022"/>
        <v>0</v>
      </c>
      <c r="EY258" s="225">
        <f t="shared" ca="1" si="1022"/>
        <v>0</v>
      </c>
      <c r="EZ258" s="225">
        <f t="shared" ca="1" si="1022"/>
        <v>0</v>
      </c>
      <c r="FA258" s="225">
        <f t="shared" ca="1" si="1022"/>
        <v>0</v>
      </c>
      <c r="FB258" s="225">
        <f t="shared" ca="1" si="1022"/>
        <v>0</v>
      </c>
      <c r="FC258" s="225">
        <f t="shared" ca="1" si="1022"/>
        <v>0</v>
      </c>
      <c r="FD258" s="225">
        <f t="shared" ca="1" si="1022"/>
        <v>0</v>
      </c>
      <c r="FE258" s="225">
        <f t="shared" ca="1" si="1022"/>
        <v>0</v>
      </c>
      <c r="FF258" s="225">
        <f t="shared" ca="1" si="1022"/>
        <v>0</v>
      </c>
      <c r="FG258" s="225">
        <f t="shared" ca="1" si="1022"/>
        <v>0</v>
      </c>
      <c r="FH258" s="225">
        <f t="shared" ca="1" si="1022"/>
        <v>0</v>
      </c>
      <c r="FI258" s="225">
        <f t="shared" ca="1" si="1022"/>
        <v>0</v>
      </c>
      <c r="FJ258" s="225">
        <f t="shared" ca="1" si="1022"/>
        <v>0</v>
      </c>
      <c r="FK258" s="225">
        <f t="shared" ca="1" si="1022"/>
        <v>0</v>
      </c>
      <c r="FL258" s="225">
        <f t="shared" ca="1" si="1022"/>
        <v>0</v>
      </c>
      <c r="FM258" s="225">
        <f t="shared" ca="1" si="1022"/>
        <v>0</v>
      </c>
      <c r="FN258" s="225">
        <f t="shared" ca="1" si="1022"/>
        <v>0</v>
      </c>
      <c r="FO258" s="225">
        <f t="shared" ca="1" si="1022"/>
        <v>0</v>
      </c>
      <c r="FP258" s="225">
        <f t="shared" ca="1" si="1022"/>
        <v>6.5483618527650841E-13</v>
      </c>
      <c r="FQ258" s="225">
        <f t="shared" ca="1" si="1022"/>
        <v>0</v>
      </c>
      <c r="FR258" s="225">
        <f t="shared" ca="1" si="1022"/>
        <v>0</v>
      </c>
      <c r="FS258" s="225">
        <f t="shared" ca="1" si="1022"/>
        <v>4.0927261579781772E-13</v>
      </c>
      <c r="FT258" s="225">
        <f t="shared" ca="1" si="1022"/>
        <v>0</v>
      </c>
      <c r="FU258" s="225">
        <f t="shared" ca="1" si="1022"/>
        <v>0</v>
      </c>
      <c r="FV258" s="225">
        <f t="shared" ca="1" si="1022"/>
        <v>0</v>
      </c>
      <c r="FW258" s="225">
        <f t="shared" ca="1" si="1022"/>
        <v>0</v>
      </c>
      <c r="FX258" s="225">
        <f t="shared" ca="1" si="1022"/>
        <v>0</v>
      </c>
      <c r="FY258" s="225">
        <f t="shared" ca="1" si="1022"/>
        <v>0</v>
      </c>
      <c r="FZ258" s="225">
        <f t="shared" ca="1" si="1022"/>
        <v>94.387146072673062</v>
      </c>
      <c r="GA258" s="225">
        <f t="shared" ca="1" si="1022"/>
        <v>823.75983955459981</v>
      </c>
      <c r="GB258" s="225">
        <f t="shared" ca="1" si="1022"/>
        <v>2273.388291351002</v>
      </c>
      <c r="GC258" s="225">
        <f t="shared" ca="1" si="1022"/>
        <v>4032.3772462395837</v>
      </c>
      <c r="GD258" s="225">
        <f t="shared" ca="1" si="1022"/>
        <v>4082.3559506145848</v>
      </c>
      <c r="GE258" s="225">
        <f t="shared" ca="1" si="1022"/>
        <v>4132.3346549895878</v>
      </c>
      <c r="GF258" s="225">
        <f t="shared" ca="1" si="1022"/>
        <v>4182.3133593645862</v>
      </c>
      <c r="GG258" s="225">
        <f t="shared" ca="1" si="1022"/>
        <v>4232.2920637395837</v>
      </c>
      <c r="GH258" s="225">
        <f t="shared" ca="1" si="1022"/>
        <v>4282.2707681145821</v>
      </c>
      <c r="GI258" s="225">
        <f t="shared" ca="1" si="1022"/>
        <v>4332.2494724895851</v>
      </c>
      <c r="GJ258" s="225">
        <f t="shared" ca="1" si="1022"/>
        <v>4382.2281768645835</v>
      </c>
      <c r="GK258" s="225">
        <f t="shared" ca="1" si="1022"/>
        <v>4432.2068812395864</v>
      </c>
      <c r="GL258" s="225">
        <f t="shared" ca="1" si="1022"/>
        <v>4482.1855856145876</v>
      </c>
      <c r="GM258" s="225">
        <f t="shared" ca="1" si="1022"/>
        <v>3915.0499233637129</v>
      </c>
      <c r="GN258" s="225">
        <f t="shared" ca="1" si="1022"/>
        <v>3966.5279888699611</v>
      </c>
      <c r="GO258" s="225">
        <f t="shared" ca="1" si="1022"/>
        <v>915666.76991133846</v>
      </c>
      <c r="GP258" s="225">
        <f t="shared" ca="1" si="1022"/>
        <v>0</v>
      </c>
      <c r="GQ258" s="225">
        <f t="shared" ca="1" si="1022"/>
        <v>0</v>
      </c>
      <c r="GR258" s="225">
        <f t="shared" ca="1" si="1022"/>
        <v>0</v>
      </c>
      <c r="GS258" s="225">
        <f t="shared" ca="1" si="1022"/>
        <v>0</v>
      </c>
      <c r="GT258" s="225">
        <f t="shared" ca="1" si="1022"/>
        <v>0</v>
      </c>
      <c r="GU258" s="225">
        <f t="shared" ca="1" si="1022"/>
        <v>0</v>
      </c>
      <c r="GV258" s="225">
        <f t="shared" ca="1" si="1022"/>
        <v>0</v>
      </c>
      <c r="GW258" s="225">
        <f t="shared" ca="1" si="1022"/>
        <v>0</v>
      </c>
      <c r="GX258" s="225">
        <f t="shared" ca="1" si="1022"/>
        <v>0</v>
      </c>
      <c r="GY258" s="225">
        <f t="shared" ca="1" si="1022"/>
        <v>0</v>
      </c>
      <c r="GZ258" s="225">
        <f t="shared" ca="1" si="1022"/>
        <v>0</v>
      </c>
      <c r="HA258" s="225">
        <f t="shared" ca="1" si="1022"/>
        <v>0</v>
      </c>
      <c r="HB258" s="225">
        <f t="shared" ca="1" si="1022"/>
        <v>0</v>
      </c>
      <c r="HC258" s="225">
        <f t="shared" ca="1" si="1022"/>
        <v>0</v>
      </c>
      <c r="HD258" s="225">
        <f t="shared" ca="1" si="1022"/>
        <v>0</v>
      </c>
      <c r="HE258" s="225">
        <f t="shared" ca="1" si="1022"/>
        <v>0</v>
      </c>
      <c r="HF258" s="225">
        <f t="shared" ca="1" si="1022"/>
        <v>0</v>
      </c>
      <c r="HG258" s="225">
        <f t="shared" ca="1" si="1022"/>
        <v>0</v>
      </c>
      <c r="HH258" s="225">
        <f t="shared" ca="1" si="1022"/>
        <v>0</v>
      </c>
      <c r="HI258" s="225">
        <f t="shared" ref="HI258:JT258" ca="1" si="1023">HI241+HI250</f>
        <v>0</v>
      </c>
      <c r="HJ258" s="225">
        <f t="shared" ca="1" si="1023"/>
        <v>0</v>
      </c>
      <c r="HK258" s="225">
        <f t="shared" ca="1" si="1023"/>
        <v>0</v>
      </c>
      <c r="HL258" s="225">
        <f t="shared" ca="1" si="1023"/>
        <v>0</v>
      </c>
      <c r="HM258" s="225">
        <f t="shared" ca="1" si="1023"/>
        <v>0</v>
      </c>
      <c r="HN258" s="225">
        <f t="shared" ca="1" si="1023"/>
        <v>0</v>
      </c>
      <c r="HO258" s="225">
        <f t="shared" ca="1" si="1023"/>
        <v>0</v>
      </c>
      <c r="HP258" s="225">
        <f t="shared" ca="1" si="1023"/>
        <v>0</v>
      </c>
      <c r="HQ258" s="225">
        <f t="shared" ca="1" si="1023"/>
        <v>0</v>
      </c>
      <c r="HR258" s="225">
        <f t="shared" ca="1" si="1023"/>
        <v>0</v>
      </c>
      <c r="HS258" s="225">
        <f t="shared" ca="1" si="1023"/>
        <v>0</v>
      </c>
      <c r="HT258" s="225">
        <f t="shared" ca="1" si="1023"/>
        <v>0</v>
      </c>
      <c r="HU258" s="225">
        <f t="shared" ca="1" si="1023"/>
        <v>0</v>
      </c>
      <c r="HV258" s="225">
        <f t="shared" ca="1" si="1023"/>
        <v>0</v>
      </c>
      <c r="HW258" s="225">
        <f t="shared" ca="1" si="1023"/>
        <v>0</v>
      </c>
      <c r="HX258" s="225">
        <f t="shared" ca="1" si="1023"/>
        <v>0</v>
      </c>
      <c r="HY258" s="225">
        <f t="shared" ca="1" si="1023"/>
        <v>0</v>
      </c>
      <c r="HZ258" s="225">
        <f t="shared" ca="1" si="1023"/>
        <v>0</v>
      </c>
      <c r="IA258" s="225">
        <f t="shared" ca="1" si="1023"/>
        <v>0</v>
      </c>
      <c r="IB258" s="225">
        <f t="shared" ca="1" si="1023"/>
        <v>0</v>
      </c>
      <c r="IC258" s="225">
        <f t="shared" ca="1" si="1023"/>
        <v>0</v>
      </c>
      <c r="ID258" s="225">
        <f t="shared" ca="1" si="1023"/>
        <v>0</v>
      </c>
      <c r="IE258" s="225">
        <f t="shared" ca="1" si="1023"/>
        <v>0</v>
      </c>
      <c r="IF258" s="225">
        <f t="shared" ca="1" si="1023"/>
        <v>0</v>
      </c>
      <c r="IG258" s="225">
        <f t="shared" ca="1" si="1023"/>
        <v>0</v>
      </c>
      <c r="IH258" s="225">
        <f t="shared" ca="1" si="1023"/>
        <v>0</v>
      </c>
      <c r="II258" s="225">
        <f t="shared" ca="1" si="1023"/>
        <v>0</v>
      </c>
      <c r="IJ258" s="225">
        <f t="shared" ca="1" si="1023"/>
        <v>0</v>
      </c>
      <c r="IK258" s="225">
        <f t="shared" ca="1" si="1023"/>
        <v>0</v>
      </c>
      <c r="IL258" s="225">
        <f t="shared" ca="1" si="1023"/>
        <v>0</v>
      </c>
      <c r="IM258" s="225">
        <f t="shared" ca="1" si="1023"/>
        <v>0</v>
      </c>
      <c r="IN258" s="225">
        <f t="shared" ca="1" si="1023"/>
        <v>0</v>
      </c>
      <c r="IO258" s="225">
        <f t="shared" ca="1" si="1023"/>
        <v>0</v>
      </c>
      <c r="IP258" s="225">
        <f t="shared" ca="1" si="1023"/>
        <v>0</v>
      </c>
      <c r="IQ258" s="225">
        <f t="shared" ca="1" si="1023"/>
        <v>0</v>
      </c>
      <c r="IR258" s="225">
        <f t="shared" ca="1" si="1023"/>
        <v>0</v>
      </c>
      <c r="IS258" s="225">
        <f t="shared" ca="1" si="1023"/>
        <v>0</v>
      </c>
      <c r="IT258" s="225">
        <f t="shared" ca="1" si="1023"/>
        <v>0</v>
      </c>
      <c r="IU258" s="225">
        <f t="shared" ca="1" si="1023"/>
        <v>0</v>
      </c>
      <c r="IV258" s="225">
        <f t="shared" ca="1" si="1023"/>
        <v>0</v>
      </c>
      <c r="IW258" s="225">
        <f t="shared" ca="1" si="1023"/>
        <v>0</v>
      </c>
      <c r="IX258" s="225">
        <f t="shared" ca="1" si="1023"/>
        <v>0</v>
      </c>
      <c r="IY258" s="225">
        <f t="shared" ca="1" si="1023"/>
        <v>0</v>
      </c>
      <c r="IZ258" s="225">
        <f t="shared" ca="1" si="1023"/>
        <v>0</v>
      </c>
      <c r="JA258" s="225">
        <f t="shared" ca="1" si="1023"/>
        <v>0</v>
      </c>
      <c r="JB258" s="225">
        <f t="shared" ca="1" si="1023"/>
        <v>0</v>
      </c>
      <c r="JC258" s="225">
        <f t="shared" ca="1" si="1023"/>
        <v>0</v>
      </c>
      <c r="JD258" s="225">
        <f t="shared" ca="1" si="1023"/>
        <v>0</v>
      </c>
      <c r="JE258" s="225">
        <f t="shared" ca="1" si="1023"/>
        <v>0</v>
      </c>
      <c r="JF258" s="225">
        <f t="shared" ca="1" si="1023"/>
        <v>0</v>
      </c>
      <c r="JG258" s="225">
        <f t="shared" ca="1" si="1023"/>
        <v>0</v>
      </c>
      <c r="JH258" s="225">
        <f t="shared" ca="1" si="1023"/>
        <v>0</v>
      </c>
      <c r="JI258" s="225">
        <f t="shared" ca="1" si="1023"/>
        <v>0</v>
      </c>
      <c r="JJ258" s="225">
        <f t="shared" ca="1" si="1023"/>
        <v>0</v>
      </c>
      <c r="JK258" s="225">
        <f t="shared" ca="1" si="1023"/>
        <v>0</v>
      </c>
      <c r="JL258" s="225">
        <f t="shared" ca="1" si="1023"/>
        <v>0</v>
      </c>
      <c r="JM258" s="225">
        <f t="shared" ca="1" si="1023"/>
        <v>0</v>
      </c>
      <c r="JN258" s="225">
        <f t="shared" ca="1" si="1023"/>
        <v>0</v>
      </c>
      <c r="JO258" s="225">
        <f t="shared" ca="1" si="1023"/>
        <v>0</v>
      </c>
      <c r="JP258" s="225">
        <f t="shared" ca="1" si="1023"/>
        <v>0</v>
      </c>
      <c r="JQ258" s="225">
        <f t="shared" ca="1" si="1023"/>
        <v>0</v>
      </c>
      <c r="JR258" s="225">
        <f t="shared" ca="1" si="1023"/>
        <v>0</v>
      </c>
      <c r="JS258" s="225">
        <f t="shared" ca="1" si="1023"/>
        <v>0</v>
      </c>
      <c r="JT258" s="225">
        <f t="shared" ca="1" si="1023"/>
        <v>0</v>
      </c>
      <c r="JU258" s="225">
        <f ca="1">JU241+JU250</f>
        <v>0</v>
      </c>
      <c r="JV258" s="225">
        <f ca="1">JV241+JV250</f>
        <v>0</v>
      </c>
      <c r="JW258" s="225">
        <f ca="1">JW241+JW250</f>
        <v>0</v>
      </c>
      <c r="JX258" s="225">
        <f ca="1">JX241+JX250</f>
        <v>0</v>
      </c>
    </row>
    <row r="259" spans="1:284" ht="0.6" customHeight="1" x14ac:dyDescent="0.2">
      <c r="B259" s="238" t="s">
        <v>357</v>
      </c>
      <c r="C259" s="233"/>
      <c r="D259" s="233"/>
      <c r="E259" s="233"/>
      <c r="F259" s="233"/>
      <c r="G259" s="233"/>
      <c r="H259" s="256" t="s">
        <v>214</v>
      </c>
      <c r="I259" s="256" t="s">
        <v>46</v>
      </c>
      <c r="L259" s="7"/>
      <c r="M259" s="7"/>
      <c r="N259" s="7"/>
      <c r="O259" s="7"/>
      <c r="P259" s="7"/>
      <c r="Q259" s="7"/>
      <c r="R259" s="7"/>
      <c r="S259" s="7"/>
      <c r="T259" s="7"/>
      <c r="U259" s="7"/>
      <c r="V259" s="7"/>
      <c r="W259" s="7"/>
      <c r="X259" s="7"/>
      <c r="Y259" s="7"/>
      <c r="Z259" s="7"/>
      <c r="AA259" s="7"/>
      <c r="AB259" s="7"/>
      <c r="AC259" s="7"/>
      <c r="AD259" s="7"/>
      <c r="AE259" s="7"/>
      <c r="AF259" s="7"/>
      <c r="AG259" s="7"/>
      <c r="AH259" s="7"/>
      <c r="AI259" s="7"/>
      <c r="AJ259" s="7"/>
      <c r="AK259" s="7"/>
      <c r="AL259" s="7"/>
      <c r="AM259" s="7"/>
      <c r="AN259" s="7"/>
      <c r="AO259" s="7"/>
      <c r="AP259" s="7"/>
      <c r="AQ259" s="7"/>
      <c r="AR259" s="7"/>
      <c r="AS259" s="7"/>
      <c r="AT259" s="7"/>
      <c r="AU259" s="7"/>
      <c r="AV259" s="7"/>
      <c r="AW259" s="7"/>
      <c r="AX259" s="7"/>
      <c r="AY259" s="7"/>
      <c r="AZ259" s="7"/>
      <c r="BA259" s="7"/>
      <c r="BB259" s="7"/>
      <c r="BC259" s="7"/>
      <c r="BD259" s="7"/>
      <c r="BE259" s="7"/>
      <c r="BF259" s="7"/>
      <c r="BG259" s="7"/>
      <c r="BH259" s="7"/>
      <c r="BI259" s="7"/>
      <c r="BJ259" s="7"/>
      <c r="BK259" s="7"/>
      <c r="BL259" s="7"/>
      <c r="BM259" s="7"/>
      <c r="BN259" s="7"/>
      <c r="BO259" s="7"/>
      <c r="BP259" s="7"/>
      <c r="BQ259" s="7"/>
      <c r="BR259" s="7"/>
      <c r="BS259" s="7"/>
      <c r="BT259" s="7"/>
      <c r="BU259" s="7"/>
      <c r="BV259" s="7"/>
      <c r="BW259" s="7"/>
      <c r="BX259" s="7"/>
      <c r="BY259" s="7"/>
      <c r="BZ259" s="7"/>
      <c r="CA259" s="7"/>
      <c r="CB259" s="7"/>
      <c r="CC259" s="7"/>
      <c r="CD259" s="7"/>
      <c r="CE259" s="7"/>
      <c r="CF259" s="7"/>
      <c r="CG259" s="7"/>
      <c r="CH259" s="7"/>
      <c r="CI259" s="7"/>
      <c r="CJ259" s="7"/>
      <c r="CK259" s="7"/>
      <c r="CL259" s="7"/>
      <c r="CM259" s="7"/>
      <c r="CN259" s="7"/>
      <c r="CO259" s="7"/>
      <c r="CP259" s="7"/>
      <c r="CQ259" s="7"/>
      <c r="CR259" s="7"/>
      <c r="CS259" s="7"/>
      <c r="CT259" s="7"/>
      <c r="CU259" s="7"/>
      <c r="CV259" s="7"/>
      <c r="CW259" s="7"/>
      <c r="CX259" s="7"/>
      <c r="CY259" s="7"/>
      <c r="CZ259" s="7"/>
      <c r="DA259" s="7"/>
      <c r="DB259" s="7"/>
      <c r="DC259" s="7"/>
      <c r="DD259" s="7"/>
      <c r="DE259" s="7"/>
      <c r="DF259" s="7"/>
      <c r="DG259" s="7"/>
      <c r="DH259" s="7"/>
      <c r="DI259" s="7"/>
      <c r="DJ259" s="7"/>
      <c r="DK259" s="7"/>
      <c r="DL259" s="7"/>
      <c r="DM259" s="7"/>
      <c r="DN259" s="7"/>
      <c r="DO259" s="7"/>
      <c r="DP259" s="7"/>
      <c r="DQ259" s="7"/>
      <c r="DR259" s="7"/>
      <c r="DS259" s="7"/>
      <c r="DT259" s="7"/>
      <c r="DU259" s="7"/>
      <c r="DV259" s="7"/>
      <c r="DW259" s="7"/>
      <c r="DX259" s="7"/>
      <c r="DY259" s="7"/>
      <c r="DZ259" s="7"/>
      <c r="EA259" s="7"/>
      <c r="EB259" s="7"/>
      <c r="EC259" s="7"/>
      <c r="ED259" s="7"/>
      <c r="EE259" s="7"/>
      <c r="EF259" s="7"/>
      <c r="EG259" s="7"/>
      <c r="EH259" s="7"/>
      <c r="EI259" s="7"/>
      <c r="EJ259" s="7"/>
      <c r="EK259" s="7"/>
      <c r="EL259" s="7"/>
      <c r="EM259" s="7"/>
      <c r="EN259" s="7"/>
      <c r="EP259" s="37"/>
      <c r="EQ259" s="24"/>
      <c r="ER259" s="24"/>
      <c r="ES259" s="24"/>
      <c r="ET259" s="33" t="s">
        <v>408</v>
      </c>
      <c r="EU259" s="33"/>
      <c r="EV259" s="225">
        <f t="shared" ref="EV259:GA259" ca="1" si="1024">(EV$197&lt;=Timing_Reversion_Month)*(MIN(EV256+EV257-EV258,MAX(EV255,0)*$I$256))</f>
        <v>0</v>
      </c>
      <c r="EW259" s="225">
        <f t="shared" ca="1" si="1024"/>
        <v>0</v>
      </c>
      <c r="EX259" s="225">
        <f t="shared" ca="1" si="1024"/>
        <v>0</v>
      </c>
      <c r="EY259" s="225">
        <f t="shared" ca="1" si="1024"/>
        <v>0</v>
      </c>
      <c r="EZ259" s="225">
        <f t="shared" ca="1" si="1024"/>
        <v>0</v>
      </c>
      <c r="FA259" s="225">
        <f t="shared" ca="1" si="1024"/>
        <v>0</v>
      </c>
      <c r="FB259" s="225">
        <f t="shared" ca="1" si="1024"/>
        <v>0</v>
      </c>
      <c r="FC259" s="225">
        <f t="shared" ca="1" si="1024"/>
        <v>0</v>
      </c>
      <c r="FD259" s="225">
        <f t="shared" ca="1" si="1024"/>
        <v>0</v>
      </c>
      <c r="FE259" s="225">
        <f t="shared" ca="1" si="1024"/>
        <v>0</v>
      </c>
      <c r="FF259" s="225">
        <f t="shared" ca="1" si="1024"/>
        <v>0</v>
      </c>
      <c r="FG259" s="225">
        <f t="shared" ca="1" si="1024"/>
        <v>0</v>
      </c>
      <c r="FH259" s="225">
        <f t="shared" ca="1" si="1024"/>
        <v>0</v>
      </c>
      <c r="FI259" s="225">
        <f t="shared" ca="1" si="1024"/>
        <v>0</v>
      </c>
      <c r="FJ259" s="225">
        <f t="shared" ca="1" si="1024"/>
        <v>0</v>
      </c>
      <c r="FK259" s="225">
        <f t="shared" ca="1" si="1024"/>
        <v>0</v>
      </c>
      <c r="FL259" s="225">
        <f t="shared" ca="1" si="1024"/>
        <v>0</v>
      </c>
      <c r="FM259" s="225">
        <f t="shared" ca="1" si="1024"/>
        <v>0</v>
      </c>
      <c r="FN259" s="225">
        <f t="shared" ca="1" si="1024"/>
        <v>0</v>
      </c>
      <c r="FO259" s="225">
        <f t="shared" ca="1" si="1024"/>
        <v>0</v>
      </c>
      <c r="FP259" s="225">
        <f t="shared" ca="1" si="1024"/>
        <v>0</v>
      </c>
      <c r="FQ259" s="225">
        <f t="shared" ca="1" si="1024"/>
        <v>0</v>
      </c>
      <c r="FR259" s="225">
        <f t="shared" ca="1" si="1024"/>
        <v>0</v>
      </c>
      <c r="FS259" s="225">
        <f t="shared" ca="1" si="1024"/>
        <v>0</v>
      </c>
      <c r="FT259" s="225">
        <f t="shared" ca="1" si="1024"/>
        <v>0</v>
      </c>
      <c r="FU259" s="225">
        <f t="shared" ca="1" si="1024"/>
        <v>0</v>
      </c>
      <c r="FV259" s="225">
        <f t="shared" ca="1" si="1024"/>
        <v>0</v>
      </c>
      <c r="FW259" s="225">
        <f t="shared" ca="1" si="1024"/>
        <v>0</v>
      </c>
      <c r="FX259" s="225">
        <f t="shared" ca="1" si="1024"/>
        <v>0</v>
      </c>
      <c r="FY259" s="225">
        <f t="shared" ca="1" si="1024"/>
        <v>0</v>
      </c>
      <c r="FZ259" s="225">
        <f t="shared" ca="1" si="1024"/>
        <v>0</v>
      </c>
      <c r="GA259" s="225">
        <f t="shared" ca="1" si="1024"/>
        <v>0</v>
      </c>
      <c r="GB259" s="225">
        <f t="shared" ref="GB259:HG259" ca="1" si="1025">(GB$197&lt;=Timing_Reversion_Month)*(MIN(GB256+GB257-GB258,MAX(GB255,0)*$I$256))</f>
        <v>0</v>
      </c>
      <c r="GC259" s="225">
        <f t="shared" ca="1" si="1025"/>
        <v>0</v>
      </c>
      <c r="GD259" s="225">
        <f t="shared" ca="1" si="1025"/>
        <v>0</v>
      </c>
      <c r="GE259" s="225">
        <f t="shared" ca="1" si="1025"/>
        <v>0</v>
      </c>
      <c r="GF259" s="225">
        <f t="shared" ca="1" si="1025"/>
        <v>0</v>
      </c>
      <c r="GG259" s="225">
        <f t="shared" ca="1" si="1025"/>
        <v>0</v>
      </c>
      <c r="GH259" s="225">
        <f t="shared" ca="1" si="1025"/>
        <v>0</v>
      </c>
      <c r="GI259" s="225">
        <f t="shared" ca="1" si="1025"/>
        <v>0</v>
      </c>
      <c r="GJ259" s="225">
        <f t="shared" ca="1" si="1025"/>
        <v>0</v>
      </c>
      <c r="GK259" s="225">
        <f t="shared" ca="1" si="1025"/>
        <v>0</v>
      </c>
      <c r="GL259" s="225">
        <f t="shared" ca="1" si="1025"/>
        <v>0</v>
      </c>
      <c r="GM259" s="225">
        <f t="shared" ca="1" si="1025"/>
        <v>0</v>
      </c>
      <c r="GN259" s="225">
        <f t="shared" ca="1" si="1025"/>
        <v>0</v>
      </c>
      <c r="GO259" s="225">
        <f t="shared" ca="1" si="1025"/>
        <v>91879.458692205721</v>
      </c>
      <c r="GP259" s="225">
        <f t="shared" ca="1" si="1025"/>
        <v>0</v>
      </c>
      <c r="GQ259" s="225">
        <f t="shared" ca="1" si="1025"/>
        <v>0</v>
      </c>
      <c r="GR259" s="225">
        <f t="shared" ca="1" si="1025"/>
        <v>0</v>
      </c>
      <c r="GS259" s="225">
        <f t="shared" ca="1" si="1025"/>
        <v>0</v>
      </c>
      <c r="GT259" s="225">
        <f t="shared" ca="1" si="1025"/>
        <v>0</v>
      </c>
      <c r="GU259" s="225">
        <f t="shared" ca="1" si="1025"/>
        <v>0</v>
      </c>
      <c r="GV259" s="225">
        <f t="shared" ca="1" si="1025"/>
        <v>0</v>
      </c>
      <c r="GW259" s="225">
        <f t="shared" ca="1" si="1025"/>
        <v>0</v>
      </c>
      <c r="GX259" s="225">
        <f t="shared" ca="1" si="1025"/>
        <v>0</v>
      </c>
      <c r="GY259" s="225">
        <f t="shared" ca="1" si="1025"/>
        <v>0</v>
      </c>
      <c r="GZ259" s="225">
        <f t="shared" ca="1" si="1025"/>
        <v>0</v>
      </c>
      <c r="HA259" s="225">
        <f t="shared" ca="1" si="1025"/>
        <v>0</v>
      </c>
      <c r="HB259" s="225">
        <f t="shared" ca="1" si="1025"/>
        <v>0</v>
      </c>
      <c r="HC259" s="225">
        <f t="shared" ca="1" si="1025"/>
        <v>0</v>
      </c>
      <c r="HD259" s="225">
        <f t="shared" ca="1" si="1025"/>
        <v>0</v>
      </c>
      <c r="HE259" s="225">
        <f t="shared" ca="1" si="1025"/>
        <v>0</v>
      </c>
      <c r="HF259" s="225">
        <f t="shared" ca="1" si="1025"/>
        <v>0</v>
      </c>
      <c r="HG259" s="225">
        <f t="shared" ca="1" si="1025"/>
        <v>0</v>
      </c>
      <c r="HH259" s="225">
        <f t="shared" ref="HH259:IM259" ca="1" si="1026">(HH$197&lt;=Timing_Reversion_Month)*(MIN(HH256+HH257-HH258,MAX(HH255,0)*$I$256))</f>
        <v>0</v>
      </c>
      <c r="HI259" s="225">
        <f t="shared" ca="1" si="1026"/>
        <v>0</v>
      </c>
      <c r="HJ259" s="225">
        <f t="shared" ca="1" si="1026"/>
        <v>0</v>
      </c>
      <c r="HK259" s="225">
        <f t="shared" ca="1" si="1026"/>
        <v>0</v>
      </c>
      <c r="HL259" s="225">
        <f t="shared" ca="1" si="1026"/>
        <v>0</v>
      </c>
      <c r="HM259" s="225">
        <f t="shared" ca="1" si="1026"/>
        <v>0</v>
      </c>
      <c r="HN259" s="225">
        <f t="shared" ca="1" si="1026"/>
        <v>0</v>
      </c>
      <c r="HO259" s="225">
        <f t="shared" ca="1" si="1026"/>
        <v>0</v>
      </c>
      <c r="HP259" s="225">
        <f t="shared" ca="1" si="1026"/>
        <v>0</v>
      </c>
      <c r="HQ259" s="225">
        <f t="shared" ca="1" si="1026"/>
        <v>0</v>
      </c>
      <c r="HR259" s="225">
        <f t="shared" ca="1" si="1026"/>
        <v>0</v>
      </c>
      <c r="HS259" s="225">
        <f t="shared" ca="1" si="1026"/>
        <v>0</v>
      </c>
      <c r="HT259" s="225">
        <f t="shared" ca="1" si="1026"/>
        <v>0</v>
      </c>
      <c r="HU259" s="225">
        <f t="shared" ca="1" si="1026"/>
        <v>0</v>
      </c>
      <c r="HV259" s="225">
        <f t="shared" ca="1" si="1026"/>
        <v>0</v>
      </c>
      <c r="HW259" s="225">
        <f t="shared" ca="1" si="1026"/>
        <v>0</v>
      </c>
      <c r="HX259" s="225">
        <f t="shared" ca="1" si="1026"/>
        <v>0</v>
      </c>
      <c r="HY259" s="225">
        <f t="shared" ca="1" si="1026"/>
        <v>0</v>
      </c>
      <c r="HZ259" s="225">
        <f t="shared" ca="1" si="1026"/>
        <v>0</v>
      </c>
      <c r="IA259" s="225">
        <f t="shared" ca="1" si="1026"/>
        <v>0</v>
      </c>
      <c r="IB259" s="225">
        <f t="shared" ca="1" si="1026"/>
        <v>0</v>
      </c>
      <c r="IC259" s="225">
        <f t="shared" ca="1" si="1026"/>
        <v>0</v>
      </c>
      <c r="ID259" s="225">
        <f t="shared" ca="1" si="1026"/>
        <v>0</v>
      </c>
      <c r="IE259" s="225">
        <f t="shared" ca="1" si="1026"/>
        <v>0</v>
      </c>
      <c r="IF259" s="225">
        <f t="shared" ca="1" si="1026"/>
        <v>0</v>
      </c>
      <c r="IG259" s="225">
        <f t="shared" ca="1" si="1026"/>
        <v>0</v>
      </c>
      <c r="IH259" s="225">
        <f t="shared" ca="1" si="1026"/>
        <v>0</v>
      </c>
      <c r="II259" s="225">
        <f t="shared" ca="1" si="1026"/>
        <v>0</v>
      </c>
      <c r="IJ259" s="225">
        <f t="shared" ca="1" si="1026"/>
        <v>0</v>
      </c>
      <c r="IK259" s="225">
        <f t="shared" ca="1" si="1026"/>
        <v>0</v>
      </c>
      <c r="IL259" s="225">
        <f t="shared" ca="1" si="1026"/>
        <v>0</v>
      </c>
      <c r="IM259" s="225">
        <f t="shared" ca="1" si="1026"/>
        <v>0</v>
      </c>
      <c r="IN259" s="225">
        <f t="shared" ref="IN259:JS259" ca="1" si="1027">(IN$197&lt;=Timing_Reversion_Month)*(MIN(IN256+IN257-IN258,MAX(IN255,0)*$I$256))</f>
        <v>0</v>
      </c>
      <c r="IO259" s="225">
        <f t="shared" ca="1" si="1027"/>
        <v>0</v>
      </c>
      <c r="IP259" s="225">
        <f t="shared" ca="1" si="1027"/>
        <v>0</v>
      </c>
      <c r="IQ259" s="225">
        <f t="shared" ca="1" si="1027"/>
        <v>0</v>
      </c>
      <c r="IR259" s="225">
        <f t="shared" ca="1" si="1027"/>
        <v>0</v>
      </c>
      <c r="IS259" s="225">
        <f t="shared" ca="1" si="1027"/>
        <v>0</v>
      </c>
      <c r="IT259" s="225">
        <f t="shared" ca="1" si="1027"/>
        <v>0</v>
      </c>
      <c r="IU259" s="225">
        <f t="shared" ca="1" si="1027"/>
        <v>0</v>
      </c>
      <c r="IV259" s="225">
        <f t="shared" ca="1" si="1027"/>
        <v>0</v>
      </c>
      <c r="IW259" s="225">
        <f t="shared" ca="1" si="1027"/>
        <v>0</v>
      </c>
      <c r="IX259" s="225">
        <f t="shared" ca="1" si="1027"/>
        <v>0</v>
      </c>
      <c r="IY259" s="225">
        <f t="shared" ca="1" si="1027"/>
        <v>0</v>
      </c>
      <c r="IZ259" s="225">
        <f t="shared" ca="1" si="1027"/>
        <v>0</v>
      </c>
      <c r="JA259" s="225">
        <f t="shared" ca="1" si="1027"/>
        <v>0</v>
      </c>
      <c r="JB259" s="225">
        <f t="shared" ca="1" si="1027"/>
        <v>0</v>
      </c>
      <c r="JC259" s="225">
        <f t="shared" ca="1" si="1027"/>
        <v>0</v>
      </c>
      <c r="JD259" s="225">
        <f t="shared" ca="1" si="1027"/>
        <v>0</v>
      </c>
      <c r="JE259" s="225">
        <f t="shared" ca="1" si="1027"/>
        <v>0</v>
      </c>
      <c r="JF259" s="225">
        <f t="shared" ca="1" si="1027"/>
        <v>0</v>
      </c>
      <c r="JG259" s="225">
        <f t="shared" ca="1" si="1027"/>
        <v>0</v>
      </c>
      <c r="JH259" s="225">
        <f t="shared" ca="1" si="1027"/>
        <v>0</v>
      </c>
      <c r="JI259" s="225">
        <f t="shared" ca="1" si="1027"/>
        <v>0</v>
      </c>
      <c r="JJ259" s="225">
        <f t="shared" ca="1" si="1027"/>
        <v>0</v>
      </c>
      <c r="JK259" s="225">
        <f t="shared" ca="1" si="1027"/>
        <v>0</v>
      </c>
      <c r="JL259" s="225">
        <f t="shared" ca="1" si="1027"/>
        <v>0</v>
      </c>
      <c r="JM259" s="225">
        <f t="shared" ca="1" si="1027"/>
        <v>0</v>
      </c>
      <c r="JN259" s="225">
        <f t="shared" ca="1" si="1027"/>
        <v>0</v>
      </c>
      <c r="JO259" s="225">
        <f t="shared" ca="1" si="1027"/>
        <v>0</v>
      </c>
      <c r="JP259" s="225">
        <f t="shared" ca="1" si="1027"/>
        <v>0</v>
      </c>
      <c r="JQ259" s="225">
        <f t="shared" ca="1" si="1027"/>
        <v>0</v>
      </c>
      <c r="JR259" s="225">
        <f t="shared" ca="1" si="1027"/>
        <v>0</v>
      </c>
      <c r="JS259" s="225">
        <f t="shared" ca="1" si="1027"/>
        <v>0</v>
      </c>
      <c r="JT259" s="225">
        <f ca="1">(JT$197&lt;=Timing_Reversion_Month)*(MIN(JT256+JT257-JT258,MAX(JT255,0)*$I$256))</f>
        <v>0</v>
      </c>
      <c r="JU259" s="225">
        <f ca="1">(JU$197&lt;=Timing_Reversion_Month)*(MIN(JU256+JU257-JU258,MAX(JU255,0)*$I$256))</f>
        <v>0</v>
      </c>
      <c r="JV259" s="225">
        <f ca="1">(JV$197&lt;=Timing_Reversion_Month)*(MIN(JV256+JV257-JV258,MAX(JV255,0)*$I$256))</f>
        <v>0</v>
      </c>
      <c r="JW259" s="225">
        <f ca="1">(JW$197&lt;=Timing_Reversion_Month)*(MIN(JW256+JW257-JW258,MAX(JW255,0)*$I$256))</f>
        <v>0</v>
      </c>
      <c r="JX259" s="225">
        <f ca="1">(JX$197&lt;=Timing_Reversion_Month)*(MIN(JX256+JX257-JX258,MAX(JX255,0)*$I$256))</f>
        <v>0</v>
      </c>
    </row>
    <row r="260" spans="1:284" ht="0.6" customHeight="1" x14ac:dyDescent="0.2">
      <c r="B260" s="231" t="str">
        <f>B249</f>
        <v>GP 1</v>
      </c>
      <c r="C260" s="235" t="str">
        <f>C249</f>
        <v>[General Partner 1 Name]</v>
      </c>
      <c r="D260" s="233"/>
      <c r="E260" s="233"/>
      <c r="F260" s="233"/>
      <c r="G260" s="242"/>
      <c r="H260" s="249">
        <f ca="1">I260/$I$241</f>
        <v>2.1372412328783966E-2</v>
      </c>
      <c r="I260" s="237">
        <f ca="1">SUM(L260:EN260)</f>
        <v>501198.94864929002</v>
      </c>
      <c r="L260" s="38">
        <f t="shared" ref="L260:AQ260" ca="1" si="1028">IF(L$227="","",EV244+EV253+EV262+EV266+(EV$211*$E249))</f>
        <v>0</v>
      </c>
      <c r="M260" s="38">
        <f t="shared" ca="1" si="1028"/>
        <v>0</v>
      </c>
      <c r="N260" s="38">
        <f t="shared" ca="1" si="1028"/>
        <v>0</v>
      </c>
      <c r="O260" s="38">
        <f t="shared" ca="1" si="1028"/>
        <v>0</v>
      </c>
      <c r="P260" s="38">
        <f t="shared" ca="1" si="1028"/>
        <v>0</v>
      </c>
      <c r="Q260" s="38">
        <f t="shared" ca="1" si="1028"/>
        <v>0</v>
      </c>
      <c r="R260" s="38">
        <f t="shared" ca="1" si="1028"/>
        <v>0</v>
      </c>
      <c r="S260" s="38">
        <f t="shared" ca="1" si="1028"/>
        <v>0</v>
      </c>
      <c r="T260" s="38">
        <f t="shared" ca="1" si="1028"/>
        <v>0</v>
      </c>
      <c r="U260" s="38">
        <f t="shared" ca="1" si="1028"/>
        <v>0</v>
      </c>
      <c r="V260" s="38">
        <f t="shared" ca="1" si="1028"/>
        <v>0</v>
      </c>
      <c r="W260" s="38">
        <f t="shared" ca="1" si="1028"/>
        <v>0</v>
      </c>
      <c r="X260" s="38">
        <f t="shared" ca="1" si="1028"/>
        <v>0</v>
      </c>
      <c r="Y260" s="38">
        <f t="shared" ca="1" si="1028"/>
        <v>0</v>
      </c>
      <c r="Z260" s="38">
        <f t="shared" ca="1" si="1028"/>
        <v>0</v>
      </c>
      <c r="AA260" s="38">
        <f t="shared" ca="1" si="1028"/>
        <v>0</v>
      </c>
      <c r="AB260" s="38">
        <f t="shared" ca="1" si="1028"/>
        <v>0</v>
      </c>
      <c r="AC260" s="38">
        <f t="shared" ca="1" si="1028"/>
        <v>0</v>
      </c>
      <c r="AD260" s="38">
        <f t="shared" ca="1" si="1028"/>
        <v>0</v>
      </c>
      <c r="AE260" s="38">
        <f t="shared" ca="1" si="1028"/>
        <v>0</v>
      </c>
      <c r="AF260" s="38">
        <f t="shared" ca="1" si="1028"/>
        <v>7.2759576141834273E-14</v>
      </c>
      <c r="AG260" s="38">
        <f t="shared" ca="1" si="1028"/>
        <v>0</v>
      </c>
      <c r="AH260" s="38">
        <f t="shared" ca="1" si="1028"/>
        <v>0</v>
      </c>
      <c r="AI260" s="38">
        <f t="shared" ca="1" si="1028"/>
        <v>4.5474735088646414E-14</v>
      </c>
      <c r="AJ260" s="38">
        <f t="shared" ca="1" si="1028"/>
        <v>0</v>
      </c>
      <c r="AK260" s="38">
        <f t="shared" ca="1" si="1028"/>
        <v>0</v>
      </c>
      <c r="AL260" s="38">
        <f t="shared" ca="1" si="1028"/>
        <v>0</v>
      </c>
      <c r="AM260" s="38">
        <f t="shared" ca="1" si="1028"/>
        <v>0</v>
      </c>
      <c r="AN260" s="38">
        <f t="shared" ca="1" si="1028"/>
        <v>0</v>
      </c>
      <c r="AO260" s="38">
        <f t="shared" ca="1" si="1028"/>
        <v>0</v>
      </c>
      <c r="AP260" s="38">
        <f t="shared" ca="1" si="1028"/>
        <v>10.487460674741451</v>
      </c>
      <c r="AQ260" s="38">
        <f t="shared" ca="1" si="1028"/>
        <v>91.528871061622212</v>
      </c>
      <c r="AR260" s="38">
        <f t="shared" ref="AR260:BW260" ca="1" si="1029">IF(AR$227="","",GB244+GB253+GB262+GB266+(GB$211*$E249))</f>
        <v>252.59869903900022</v>
      </c>
      <c r="AS260" s="38">
        <f t="shared" ca="1" si="1029"/>
        <v>448.04191624884265</v>
      </c>
      <c r="AT260" s="38">
        <f t="shared" ca="1" si="1029"/>
        <v>453.59510562384276</v>
      </c>
      <c r="AU260" s="38">
        <f t="shared" ca="1" si="1029"/>
        <v>459.14829499884308</v>
      </c>
      <c r="AV260" s="38">
        <f t="shared" ca="1" si="1029"/>
        <v>464.7014843738429</v>
      </c>
      <c r="AW260" s="38">
        <f t="shared" ca="1" si="1029"/>
        <v>470.25467374884266</v>
      </c>
      <c r="AX260" s="38">
        <f t="shared" ca="1" si="1029"/>
        <v>475.80786312384248</v>
      </c>
      <c r="AY260" s="38">
        <f t="shared" ca="1" si="1029"/>
        <v>481.36105249884281</v>
      </c>
      <c r="AZ260" s="38">
        <f t="shared" ca="1" si="1029"/>
        <v>486.91424187384268</v>
      </c>
      <c r="BA260" s="38">
        <f t="shared" ca="1" si="1029"/>
        <v>492.46743124884301</v>
      </c>
      <c r="BB260" s="38">
        <f t="shared" ca="1" si="1029"/>
        <v>498.02062062384306</v>
      </c>
      <c r="BC260" s="38">
        <f t="shared" ca="1" si="1029"/>
        <v>435.00554704041252</v>
      </c>
      <c r="BD260" s="38">
        <f t="shared" ca="1" si="1029"/>
        <v>440.72533209666238</v>
      </c>
      <c r="BE260" s="38">
        <f t="shared" ca="1" si="1029"/>
        <v>495238.29005501413</v>
      </c>
      <c r="BF260" s="38" t="str">
        <f t="shared" si="1029"/>
        <v/>
      </c>
      <c r="BG260" s="38" t="str">
        <f t="shared" si="1029"/>
        <v/>
      </c>
      <c r="BH260" s="38" t="str">
        <f t="shared" si="1029"/>
        <v/>
      </c>
      <c r="BI260" s="38" t="str">
        <f t="shared" si="1029"/>
        <v/>
      </c>
      <c r="BJ260" s="38" t="str">
        <f t="shared" si="1029"/>
        <v/>
      </c>
      <c r="BK260" s="38" t="str">
        <f t="shared" si="1029"/>
        <v/>
      </c>
      <c r="BL260" s="38" t="str">
        <f t="shared" si="1029"/>
        <v/>
      </c>
      <c r="BM260" s="38" t="str">
        <f t="shared" si="1029"/>
        <v/>
      </c>
      <c r="BN260" s="38" t="str">
        <f t="shared" si="1029"/>
        <v/>
      </c>
      <c r="BO260" s="38" t="str">
        <f t="shared" si="1029"/>
        <v/>
      </c>
      <c r="BP260" s="38" t="str">
        <f t="shared" si="1029"/>
        <v/>
      </c>
      <c r="BQ260" s="38" t="str">
        <f t="shared" si="1029"/>
        <v/>
      </c>
      <c r="BR260" s="38" t="str">
        <f t="shared" si="1029"/>
        <v/>
      </c>
      <c r="BS260" s="38" t="str">
        <f t="shared" si="1029"/>
        <v/>
      </c>
      <c r="BT260" s="38" t="str">
        <f t="shared" si="1029"/>
        <v/>
      </c>
      <c r="BU260" s="38" t="str">
        <f t="shared" si="1029"/>
        <v/>
      </c>
      <c r="BV260" s="38" t="str">
        <f t="shared" si="1029"/>
        <v/>
      </c>
      <c r="BW260" s="38" t="str">
        <f t="shared" si="1029"/>
        <v/>
      </c>
      <c r="BX260" s="38" t="str">
        <f t="shared" ref="BX260:DC260" si="1030">IF(BX$227="","",HH244+HH253+HH262+HH266+(HH$211*$E249))</f>
        <v/>
      </c>
      <c r="BY260" s="38" t="str">
        <f t="shared" si="1030"/>
        <v/>
      </c>
      <c r="BZ260" s="38" t="str">
        <f t="shared" si="1030"/>
        <v/>
      </c>
      <c r="CA260" s="38" t="str">
        <f t="shared" si="1030"/>
        <v/>
      </c>
      <c r="CB260" s="38" t="str">
        <f t="shared" si="1030"/>
        <v/>
      </c>
      <c r="CC260" s="38" t="str">
        <f t="shared" si="1030"/>
        <v/>
      </c>
      <c r="CD260" s="38" t="str">
        <f t="shared" si="1030"/>
        <v/>
      </c>
      <c r="CE260" s="38" t="str">
        <f t="shared" si="1030"/>
        <v/>
      </c>
      <c r="CF260" s="38" t="str">
        <f t="shared" si="1030"/>
        <v/>
      </c>
      <c r="CG260" s="38" t="str">
        <f t="shared" si="1030"/>
        <v/>
      </c>
      <c r="CH260" s="38" t="str">
        <f t="shared" si="1030"/>
        <v/>
      </c>
      <c r="CI260" s="38" t="str">
        <f t="shared" si="1030"/>
        <v/>
      </c>
      <c r="CJ260" s="38" t="str">
        <f t="shared" si="1030"/>
        <v/>
      </c>
      <c r="CK260" s="38" t="str">
        <f t="shared" si="1030"/>
        <v/>
      </c>
      <c r="CL260" s="38" t="str">
        <f t="shared" si="1030"/>
        <v/>
      </c>
      <c r="CM260" s="38" t="str">
        <f t="shared" si="1030"/>
        <v/>
      </c>
      <c r="CN260" s="38" t="str">
        <f t="shared" si="1030"/>
        <v/>
      </c>
      <c r="CO260" s="38" t="str">
        <f t="shared" si="1030"/>
        <v/>
      </c>
      <c r="CP260" s="38" t="str">
        <f t="shared" si="1030"/>
        <v/>
      </c>
      <c r="CQ260" s="38" t="str">
        <f t="shared" si="1030"/>
        <v/>
      </c>
      <c r="CR260" s="38" t="str">
        <f t="shared" si="1030"/>
        <v/>
      </c>
      <c r="CS260" s="38" t="str">
        <f t="shared" si="1030"/>
        <v/>
      </c>
      <c r="CT260" s="38" t="str">
        <f t="shared" si="1030"/>
        <v/>
      </c>
      <c r="CU260" s="38" t="str">
        <f t="shared" si="1030"/>
        <v/>
      </c>
      <c r="CV260" s="38" t="str">
        <f t="shared" si="1030"/>
        <v/>
      </c>
      <c r="CW260" s="38" t="str">
        <f t="shared" si="1030"/>
        <v/>
      </c>
      <c r="CX260" s="38" t="str">
        <f t="shared" si="1030"/>
        <v/>
      </c>
      <c r="CY260" s="38" t="str">
        <f t="shared" si="1030"/>
        <v/>
      </c>
      <c r="CZ260" s="38" t="str">
        <f t="shared" si="1030"/>
        <v/>
      </c>
      <c r="DA260" s="38" t="str">
        <f t="shared" si="1030"/>
        <v/>
      </c>
      <c r="DB260" s="38" t="str">
        <f t="shared" si="1030"/>
        <v/>
      </c>
      <c r="DC260" s="38" t="str">
        <f t="shared" si="1030"/>
        <v/>
      </c>
      <c r="DD260" s="38" t="str">
        <f t="shared" ref="DD260:EI260" si="1031">IF(DD$227="","",IN244+IN253+IN262+IN266+(IN$211*$E249))</f>
        <v/>
      </c>
      <c r="DE260" s="38" t="str">
        <f t="shared" si="1031"/>
        <v/>
      </c>
      <c r="DF260" s="38" t="str">
        <f t="shared" si="1031"/>
        <v/>
      </c>
      <c r="DG260" s="38" t="str">
        <f t="shared" si="1031"/>
        <v/>
      </c>
      <c r="DH260" s="38" t="str">
        <f t="shared" si="1031"/>
        <v/>
      </c>
      <c r="DI260" s="38" t="str">
        <f t="shared" si="1031"/>
        <v/>
      </c>
      <c r="DJ260" s="38" t="str">
        <f t="shared" si="1031"/>
        <v/>
      </c>
      <c r="DK260" s="38" t="str">
        <f t="shared" si="1031"/>
        <v/>
      </c>
      <c r="DL260" s="38" t="str">
        <f t="shared" si="1031"/>
        <v/>
      </c>
      <c r="DM260" s="38" t="str">
        <f t="shared" si="1031"/>
        <v/>
      </c>
      <c r="DN260" s="38" t="str">
        <f t="shared" si="1031"/>
        <v/>
      </c>
      <c r="DO260" s="38" t="str">
        <f t="shared" si="1031"/>
        <v/>
      </c>
      <c r="DP260" s="38" t="str">
        <f t="shared" si="1031"/>
        <v/>
      </c>
      <c r="DQ260" s="38" t="str">
        <f t="shared" si="1031"/>
        <v/>
      </c>
      <c r="DR260" s="38" t="str">
        <f t="shared" si="1031"/>
        <v/>
      </c>
      <c r="DS260" s="38" t="str">
        <f t="shared" si="1031"/>
        <v/>
      </c>
      <c r="DT260" s="38" t="str">
        <f t="shared" si="1031"/>
        <v/>
      </c>
      <c r="DU260" s="38" t="str">
        <f t="shared" si="1031"/>
        <v/>
      </c>
      <c r="DV260" s="38" t="str">
        <f t="shared" si="1031"/>
        <v/>
      </c>
      <c r="DW260" s="38" t="str">
        <f t="shared" si="1031"/>
        <v/>
      </c>
      <c r="DX260" s="38" t="str">
        <f t="shared" si="1031"/>
        <v/>
      </c>
      <c r="DY260" s="38" t="str">
        <f t="shared" si="1031"/>
        <v/>
      </c>
      <c r="DZ260" s="38" t="str">
        <f t="shared" si="1031"/>
        <v/>
      </c>
      <c r="EA260" s="38" t="str">
        <f t="shared" si="1031"/>
        <v/>
      </c>
      <c r="EB260" s="38" t="str">
        <f t="shared" si="1031"/>
        <v/>
      </c>
      <c r="EC260" s="38" t="str">
        <f t="shared" si="1031"/>
        <v/>
      </c>
      <c r="ED260" s="38" t="str">
        <f t="shared" si="1031"/>
        <v/>
      </c>
      <c r="EE260" s="38" t="str">
        <f t="shared" si="1031"/>
        <v/>
      </c>
      <c r="EF260" s="38" t="str">
        <f t="shared" si="1031"/>
        <v/>
      </c>
      <c r="EG260" s="38" t="str">
        <f t="shared" si="1031"/>
        <v/>
      </c>
      <c r="EH260" s="38" t="str">
        <f t="shared" si="1031"/>
        <v/>
      </c>
      <c r="EI260" s="38" t="str">
        <f t="shared" si="1031"/>
        <v/>
      </c>
      <c r="EJ260" s="38" t="str">
        <f>IF(EJ$227="","",JT244+JT253+JT262+JT266+(JT$211*$E249))</f>
        <v/>
      </c>
      <c r="EK260" s="38" t="str">
        <f>IF(EK$227="","",JU244+JU253+JU262+JU266+(JU$211*$E249))</f>
        <v/>
      </c>
      <c r="EL260" s="38" t="str">
        <f>IF(EL$227="","",JV244+JV253+JV262+JV266+(JV$211*$E249))</f>
        <v/>
      </c>
      <c r="EM260" s="38" t="str">
        <f>IF(EM$227="","",JW244+JW253+JW262+JW266+(JW$211*$E249))</f>
        <v/>
      </c>
      <c r="EN260" s="38" t="str">
        <f>IF(EN$227="","",JX244+JX253+JX262+JX266+(JX$211*$E249))</f>
        <v/>
      </c>
      <c r="EP260" s="37"/>
      <c r="EQ260" s="24"/>
      <c r="ER260" s="24"/>
      <c r="ES260" s="24"/>
      <c r="ET260" s="33" t="s">
        <v>406</v>
      </c>
      <c r="EU260" s="33"/>
      <c r="EV260" s="225">
        <f t="shared" ref="EV260:GA260" ca="1" si="1032">(EV$197&lt;=Timing_Reversion_Month)*(EV256+EV257+EV240-EV258-EV259)</f>
        <v>168892.17874475819</v>
      </c>
      <c r="EW260" s="225">
        <f t="shared" ca="1" si="1032"/>
        <v>190428.4312220125</v>
      </c>
      <c r="EX260" s="225">
        <f t="shared" ca="1" si="1032"/>
        <v>219439.46918672894</v>
      </c>
      <c r="EY260" s="225">
        <f t="shared" ca="1" si="1032"/>
        <v>263113.59759890242</v>
      </c>
      <c r="EZ260" s="225">
        <f t="shared" ca="1" si="1032"/>
        <v>332247.89220992592</v>
      </c>
      <c r="FA260" s="225">
        <f t="shared" ca="1" si="1032"/>
        <v>440073.48397029913</v>
      </c>
      <c r="FB260" s="225">
        <f t="shared" ca="1" si="1032"/>
        <v>598672.52761389827</v>
      </c>
      <c r="FC260" s="225">
        <f t="shared" ca="1" si="1032"/>
        <v>684598.20210629865</v>
      </c>
      <c r="FD260" s="225">
        <f t="shared" ca="1" si="1032"/>
        <v>692618.21316745493</v>
      </c>
      <c r="FE260" s="225">
        <f t="shared" ca="1" si="1032"/>
        <v>700732.17799188895</v>
      </c>
      <c r="FF260" s="225">
        <f t="shared" ca="1" si="1032"/>
        <v>708941.19724013179</v>
      </c>
      <c r="FG260" s="225">
        <f t="shared" ca="1" si="1032"/>
        <v>717246.38446686137</v>
      </c>
      <c r="FH260" s="225">
        <f t="shared" ca="1" si="1032"/>
        <v>725648.86627195589</v>
      </c>
      <c r="FI260" s="225">
        <f t="shared" ca="1" si="1032"/>
        <v>734149.78245331766</v>
      </c>
      <c r="FJ260" s="225">
        <f t="shared" ca="1" si="1032"/>
        <v>742750.28616148676</v>
      </c>
      <c r="FK260" s="225">
        <f t="shared" ca="1" si="1032"/>
        <v>751451.54405606585</v>
      </c>
      <c r="FL260" s="225">
        <f t="shared" ca="1" si="1032"/>
        <v>760254.73646397819</v>
      </c>
      <c r="FM260" s="225">
        <f t="shared" ca="1" si="1032"/>
        <v>769161.05753957876</v>
      </c>
      <c r="FN260" s="225">
        <f t="shared" ca="1" si="1032"/>
        <v>778171.71542664152</v>
      </c>
      <c r="FO260" s="225">
        <f t="shared" ca="1" si="1032"/>
        <v>787287.93242224446</v>
      </c>
      <c r="FP260" s="225">
        <f t="shared" ca="1" si="1032"/>
        <v>796510.94514257414</v>
      </c>
      <c r="FQ260" s="225">
        <f t="shared" ca="1" si="1032"/>
        <v>805842.00469067332</v>
      </c>
      <c r="FR260" s="225">
        <f t="shared" ca="1" si="1032"/>
        <v>815282.37682615267</v>
      </c>
      <c r="FS260" s="225">
        <f t="shared" ca="1" si="1032"/>
        <v>824833.34213689168</v>
      </c>
      <c r="FT260" s="225">
        <f t="shared" ca="1" si="1032"/>
        <v>834496.19621275039</v>
      </c>
      <c r="FU260" s="225">
        <f t="shared" ca="1" si="1032"/>
        <v>844272.24982131645</v>
      </c>
      <c r="FV260" s="225">
        <f t="shared" ca="1" si="1032"/>
        <v>854162.82908571092</v>
      </c>
      <c r="FW260" s="225">
        <f t="shared" ca="1" si="1032"/>
        <v>864169.27566447691</v>
      </c>
      <c r="FX260" s="225">
        <f t="shared" ca="1" si="1032"/>
        <v>874292.94693357614</v>
      </c>
      <c r="FY260" s="225">
        <f t="shared" ca="1" si="1032"/>
        <v>884535.2161705168</v>
      </c>
      <c r="FZ260" s="225">
        <f t="shared" ca="1" si="1032"/>
        <v>894803.08559456631</v>
      </c>
      <c r="GA260" s="225">
        <f t="shared" ca="1" si="1032"/>
        <v>904461.8695623806</v>
      </c>
      <c r="GB260" s="225">
        <f t="shared" ref="GB260:HG260" ca="1" si="1033">(GB$197&lt;=Timing_Reversion_Month)*(GB256+GB257+GB240-GB258-GB259)</f>
        <v>912784.17693012813</v>
      </c>
      <c r="GC260" s="225">
        <f t="shared" ca="1" si="1033"/>
        <v>919444.99048238178</v>
      </c>
      <c r="GD260" s="225">
        <f t="shared" ca="1" si="1033"/>
        <v>926133.85620764375</v>
      </c>
      <c r="GE260" s="225">
        <f t="shared" ca="1" si="1033"/>
        <v>932851.10273479018</v>
      </c>
      <c r="GF260" s="225">
        <f t="shared" ca="1" si="1033"/>
        <v>939597.06254255725</v>
      </c>
      <c r="GG260" s="225">
        <f t="shared" ca="1" si="1033"/>
        <v>946372.07200464199</v>
      </c>
      <c r="GH260" s="225">
        <f t="shared" ca="1" si="1033"/>
        <v>953176.47143533127</v>
      </c>
      <c r="GI260" s="225">
        <f t="shared" ca="1" si="1033"/>
        <v>960010.60513566562</v>
      </c>
      <c r="GJ260" s="225">
        <f t="shared" ca="1" si="1033"/>
        <v>966874.82144014351</v>
      </c>
      <c r="GK260" s="225">
        <f t="shared" ca="1" si="1033"/>
        <v>973769.47276397329</v>
      </c>
      <c r="GL260" s="225">
        <f t="shared" ca="1" si="1033"/>
        <v>980694.91565087799</v>
      </c>
      <c r="GM260" s="225">
        <f t="shared" ca="1" si="1033"/>
        <v>988268.62518808688</v>
      </c>
      <c r="GN260" s="225">
        <f t="shared" ca="1" si="1033"/>
        <v>995879.58203779312</v>
      </c>
      <c r="GO260" s="225">
        <f t="shared" ca="1" si="1033"/>
        <v>0</v>
      </c>
      <c r="GP260" s="225">
        <f t="shared" ca="1" si="1033"/>
        <v>0</v>
      </c>
      <c r="GQ260" s="225">
        <f t="shared" ca="1" si="1033"/>
        <v>0</v>
      </c>
      <c r="GR260" s="225">
        <f t="shared" ca="1" si="1033"/>
        <v>0</v>
      </c>
      <c r="GS260" s="225">
        <f t="shared" ca="1" si="1033"/>
        <v>0</v>
      </c>
      <c r="GT260" s="225">
        <f t="shared" ca="1" si="1033"/>
        <v>0</v>
      </c>
      <c r="GU260" s="225">
        <f t="shared" ca="1" si="1033"/>
        <v>0</v>
      </c>
      <c r="GV260" s="225">
        <f t="shared" ca="1" si="1033"/>
        <v>0</v>
      </c>
      <c r="GW260" s="225">
        <f t="shared" ca="1" si="1033"/>
        <v>0</v>
      </c>
      <c r="GX260" s="225">
        <f t="shared" ca="1" si="1033"/>
        <v>0</v>
      </c>
      <c r="GY260" s="225">
        <f t="shared" ca="1" si="1033"/>
        <v>0</v>
      </c>
      <c r="GZ260" s="225">
        <f t="shared" ca="1" si="1033"/>
        <v>0</v>
      </c>
      <c r="HA260" s="225">
        <f t="shared" ca="1" si="1033"/>
        <v>0</v>
      </c>
      <c r="HB260" s="225">
        <f t="shared" ca="1" si="1033"/>
        <v>0</v>
      </c>
      <c r="HC260" s="225">
        <f t="shared" ca="1" si="1033"/>
        <v>0</v>
      </c>
      <c r="HD260" s="225">
        <f t="shared" ca="1" si="1033"/>
        <v>0</v>
      </c>
      <c r="HE260" s="225">
        <f t="shared" ca="1" si="1033"/>
        <v>0</v>
      </c>
      <c r="HF260" s="225">
        <f t="shared" ca="1" si="1033"/>
        <v>0</v>
      </c>
      <c r="HG260" s="225">
        <f t="shared" ca="1" si="1033"/>
        <v>0</v>
      </c>
      <c r="HH260" s="225">
        <f t="shared" ref="HH260:IM260" ca="1" si="1034">(HH$197&lt;=Timing_Reversion_Month)*(HH256+HH257+HH240-HH258-HH259)</f>
        <v>0</v>
      </c>
      <c r="HI260" s="225">
        <f t="shared" ca="1" si="1034"/>
        <v>0</v>
      </c>
      <c r="HJ260" s="225">
        <f t="shared" ca="1" si="1034"/>
        <v>0</v>
      </c>
      <c r="HK260" s="225">
        <f t="shared" ca="1" si="1034"/>
        <v>0</v>
      </c>
      <c r="HL260" s="225">
        <f t="shared" ca="1" si="1034"/>
        <v>0</v>
      </c>
      <c r="HM260" s="225">
        <f t="shared" ca="1" si="1034"/>
        <v>0</v>
      </c>
      <c r="HN260" s="225">
        <f t="shared" ca="1" si="1034"/>
        <v>0</v>
      </c>
      <c r="HO260" s="225">
        <f t="shared" ca="1" si="1034"/>
        <v>0</v>
      </c>
      <c r="HP260" s="225">
        <f t="shared" ca="1" si="1034"/>
        <v>0</v>
      </c>
      <c r="HQ260" s="225">
        <f t="shared" ca="1" si="1034"/>
        <v>0</v>
      </c>
      <c r="HR260" s="225">
        <f t="shared" ca="1" si="1034"/>
        <v>0</v>
      </c>
      <c r="HS260" s="225">
        <f t="shared" ca="1" si="1034"/>
        <v>0</v>
      </c>
      <c r="HT260" s="225">
        <f t="shared" ca="1" si="1034"/>
        <v>0</v>
      </c>
      <c r="HU260" s="225">
        <f t="shared" ca="1" si="1034"/>
        <v>0</v>
      </c>
      <c r="HV260" s="225">
        <f t="shared" ca="1" si="1034"/>
        <v>0</v>
      </c>
      <c r="HW260" s="225">
        <f t="shared" ca="1" si="1034"/>
        <v>0</v>
      </c>
      <c r="HX260" s="225">
        <f t="shared" ca="1" si="1034"/>
        <v>0</v>
      </c>
      <c r="HY260" s="225">
        <f t="shared" ca="1" si="1034"/>
        <v>0</v>
      </c>
      <c r="HZ260" s="225">
        <f t="shared" ca="1" si="1034"/>
        <v>0</v>
      </c>
      <c r="IA260" s="225">
        <f t="shared" ca="1" si="1034"/>
        <v>0</v>
      </c>
      <c r="IB260" s="225">
        <f t="shared" ca="1" si="1034"/>
        <v>0</v>
      </c>
      <c r="IC260" s="225">
        <f t="shared" ca="1" si="1034"/>
        <v>0</v>
      </c>
      <c r="ID260" s="225">
        <f t="shared" ca="1" si="1034"/>
        <v>0</v>
      </c>
      <c r="IE260" s="225">
        <f t="shared" ca="1" si="1034"/>
        <v>0</v>
      </c>
      <c r="IF260" s="225">
        <f t="shared" ca="1" si="1034"/>
        <v>0</v>
      </c>
      <c r="IG260" s="225">
        <f t="shared" ca="1" si="1034"/>
        <v>0</v>
      </c>
      <c r="IH260" s="225">
        <f t="shared" ca="1" si="1034"/>
        <v>0</v>
      </c>
      <c r="II260" s="225">
        <f t="shared" ca="1" si="1034"/>
        <v>0</v>
      </c>
      <c r="IJ260" s="225">
        <f t="shared" ca="1" si="1034"/>
        <v>0</v>
      </c>
      <c r="IK260" s="225">
        <f t="shared" ca="1" si="1034"/>
        <v>0</v>
      </c>
      <c r="IL260" s="225">
        <f t="shared" ca="1" si="1034"/>
        <v>0</v>
      </c>
      <c r="IM260" s="225">
        <f t="shared" ca="1" si="1034"/>
        <v>0</v>
      </c>
      <c r="IN260" s="225">
        <f t="shared" ref="IN260:JS260" ca="1" si="1035">(IN$197&lt;=Timing_Reversion_Month)*(IN256+IN257+IN240-IN258-IN259)</f>
        <v>0</v>
      </c>
      <c r="IO260" s="225">
        <f t="shared" ca="1" si="1035"/>
        <v>0</v>
      </c>
      <c r="IP260" s="225">
        <f t="shared" ca="1" si="1035"/>
        <v>0</v>
      </c>
      <c r="IQ260" s="225">
        <f t="shared" ca="1" si="1035"/>
        <v>0</v>
      </c>
      <c r="IR260" s="225">
        <f t="shared" ca="1" si="1035"/>
        <v>0</v>
      </c>
      <c r="IS260" s="225">
        <f t="shared" ca="1" si="1035"/>
        <v>0</v>
      </c>
      <c r="IT260" s="225">
        <f t="shared" ca="1" si="1035"/>
        <v>0</v>
      </c>
      <c r="IU260" s="225">
        <f t="shared" ca="1" si="1035"/>
        <v>0</v>
      </c>
      <c r="IV260" s="225">
        <f t="shared" ca="1" si="1035"/>
        <v>0</v>
      </c>
      <c r="IW260" s="225">
        <f t="shared" ca="1" si="1035"/>
        <v>0</v>
      </c>
      <c r="IX260" s="225">
        <f t="shared" ca="1" si="1035"/>
        <v>0</v>
      </c>
      <c r="IY260" s="225">
        <f t="shared" ca="1" si="1035"/>
        <v>0</v>
      </c>
      <c r="IZ260" s="225">
        <f t="shared" ca="1" si="1035"/>
        <v>0</v>
      </c>
      <c r="JA260" s="225">
        <f t="shared" ca="1" si="1035"/>
        <v>0</v>
      </c>
      <c r="JB260" s="225">
        <f t="shared" ca="1" si="1035"/>
        <v>0</v>
      </c>
      <c r="JC260" s="225">
        <f t="shared" ca="1" si="1035"/>
        <v>0</v>
      </c>
      <c r="JD260" s="225">
        <f t="shared" ca="1" si="1035"/>
        <v>0</v>
      </c>
      <c r="JE260" s="225">
        <f t="shared" ca="1" si="1035"/>
        <v>0</v>
      </c>
      <c r="JF260" s="225">
        <f t="shared" ca="1" si="1035"/>
        <v>0</v>
      </c>
      <c r="JG260" s="225">
        <f t="shared" ca="1" si="1035"/>
        <v>0</v>
      </c>
      <c r="JH260" s="225">
        <f t="shared" ca="1" si="1035"/>
        <v>0</v>
      </c>
      <c r="JI260" s="225">
        <f t="shared" ca="1" si="1035"/>
        <v>0</v>
      </c>
      <c r="JJ260" s="225">
        <f t="shared" ca="1" si="1035"/>
        <v>0</v>
      </c>
      <c r="JK260" s="225">
        <f t="shared" ca="1" si="1035"/>
        <v>0</v>
      </c>
      <c r="JL260" s="225">
        <f t="shared" ca="1" si="1035"/>
        <v>0</v>
      </c>
      <c r="JM260" s="225">
        <f t="shared" ca="1" si="1035"/>
        <v>0</v>
      </c>
      <c r="JN260" s="225">
        <f t="shared" ca="1" si="1035"/>
        <v>0</v>
      </c>
      <c r="JO260" s="225">
        <f t="shared" ca="1" si="1035"/>
        <v>0</v>
      </c>
      <c r="JP260" s="225">
        <f t="shared" ca="1" si="1035"/>
        <v>0</v>
      </c>
      <c r="JQ260" s="225">
        <f t="shared" ca="1" si="1035"/>
        <v>0</v>
      </c>
      <c r="JR260" s="225">
        <f t="shared" ca="1" si="1035"/>
        <v>0</v>
      </c>
      <c r="JS260" s="225">
        <f t="shared" ca="1" si="1035"/>
        <v>0</v>
      </c>
      <c r="JT260" s="225">
        <f ca="1">(JT$197&lt;=Timing_Reversion_Month)*(JT256+JT257+JT240-JT258-JT259)</f>
        <v>0</v>
      </c>
      <c r="JU260" s="225">
        <f ca="1">(JU$197&lt;=Timing_Reversion_Month)*(JU256+JU257+JU240-JU258-JU259)</f>
        <v>0</v>
      </c>
      <c r="JV260" s="225">
        <f ca="1">(JV$197&lt;=Timing_Reversion_Month)*(JV256+JV257+JV240-JV258-JV259)</f>
        <v>0</v>
      </c>
      <c r="JW260" s="225">
        <f ca="1">(JW$197&lt;=Timing_Reversion_Month)*(JW256+JW257+JW240-JW258-JW259)</f>
        <v>0</v>
      </c>
      <c r="JX260" s="225">
        <f ca="1">(JX$197&lt;=Timing_Reversion_Month)*(JX256+JX257+JX240-JX258-JX259)</f>
        <v>0</v>
      </c>
    </row>
    <row r="261" spans="1:284" s="7" customFormat="1" ht="0.6" customHeight="1" x14ac:dyDescent="0.35">
      <c r="A261" s="406"/>
      <c r="B261" s="238" t="str">
        <f>B250</f>
        <v>GP 2</v>
      </c>
      <c r="C261" s="235" t="str">
        <f>C250</f>
        <v>[General Partner 2 Name]</v>
      </c>
      <c r="D261" s="233"/>
      <c r="E261" s="233"/>
      <c r="F261" s="233"/>
      <c r="G261" s="233"/>
      <c r="H261" s="239">
        <f ca="1">I261/$I$241</f>
        <v>6.1404970340741737E-2</v>
      </c>
      <c r="I261" s="240">
        <f ca="1">SUM(L261:EN261)</f>
        <v>1439992.1779148865</v>
      </c>
      <c r="J261" s="43"/>
      <c r="K261" s="43"/>
      <c r="L261" s="39">
        <f t="shared" ref="L261:AQ261" ca="1" si="1036">IF(L$227="","",EV241+EV250+EV259+EV265+(EV$211*$E250))</f>
        <v>0</v>
      </c>
      <c r="M261" s="39">
        <f t="shared" ca="1" si="1036"/>
        <v>0</v>
      </c>
      <c r="N261" s="39">
        <f t="shared" ca="1" si="1036"/>
        <v>0</v>
      </c>
      <c r="O261" s="39">
        <f t="shared" ca="1" si="1036"/>
        <v>0</v>
      </c>
      <c r="P261" s="39">
        <f t="shared" ca="1" si="1036"/>
        <v>0</v>
      </c>
      <c r="Q261" s="39">
        <f t="shared" ca="1" si="1036"/>
        <v>0</v>
      </c>
      <c r="R261" s="39">
        <f t="shared" ca="1" si="1036"/>
        <v>0</v>
      </c>
      <c r="S261" s="39">
        <f t="shared" ca="1" si="1036"/>
        <v>0</v>
      </c>
      <c r="T261" s="39">
        <f t="shared" ca="1" si="1036"/>
        <v>0</v>
      </c>
      <c r="U261" s="39">
        <f t="shared" ca="1" si="1036"/>
        <v>0</v>
      </c>
      <c r="V261" s="39">
        <f t="shared" ca="1" si="1036"/>
        <v>0</v>
      </c>
      <c r="W261" s="39">
        <f t="shared" ca="1" si="1036"/>
        <v>0</v>
      </c>
      <c r="X261" s="39">
        <f t="shared" ca="1" si="1036"/>
        <v>0</v>
      </c>
      <c r="Y261" s="39">
        <f t="shared" ca="1" si="1036"/>
        <v>0</v>
      </c>
      <c r="Z261" s="39">
        <f t="shared" ca="1" si="1036"/>
        <v>0</v>
      </c>
      <c r="AA261" s="39">
        <f t="shared" ca="1" si="1036"/>
        <v>0</v>
      </c>
      <c r="AB261" s="39">
        <f t="shared" ca="1" si="1036"/>
        <v>0</v>
      </c>
      <c r="AC261" s="39">
        <f t="shared" ca="1" si="1036"/>
        <v>0</v>
      </c>
      <c r="AD261" s="39">
        <f t="shared" ca="1" si="1036"/>
        <v>0</v>
      </c>
      <c r="AE261" s="39">
        <f t="shared" ca="1" si="1036"/>
        <v>0</v>
      </c>
      <c r="AF261" s="39">
        <f t="shared" ca="1" si="1036"/>
        <v>6.5483618527650841E-13</v>
      </c>
      <c r="AG261" s="39">
        <f t="shared" ca="1" si="1036"/>
        <v>0</v>
      </c>
      <c r="AH261" s="39">
        <f t="shared" ca="1" si="1036"/>
        <v>0</v>
      </c>
      <c r="AI261" s="39">
        <f t="shared" ca="1" si="1036"/>
        <v>4.0927261579781772E-13</v>
      </c>
      <c r="AJ261" s="39">
        <f t="shared" ca="1" si="1036"/>
        <v>0</v>
      </c>
      <c r="AK261" s="39">
        <f t="shared" ca="1" si="1036"/>
        <v>0</v>
      </c>
      <c r="AL261" s="39">
        <f t="shared" ca="1" si="1036"/>
        <v>0</v>
      </c>
      <c r="AM261" s="39">
        <f t="shared" ca="1" si="1036"/>
        <v>0</v>
      </c>
      <c r="AN261" s="39">
        <f t="shared" ca="1" si="1036"/>
        <v>0</v>
      </c>
      <c r="AO261" s="39">
        <f t="shared" ca="1" si="1036"/>
        <v>0</v>
      </c>
      <c r="AP261" s="39">
        <f t="shared" ca="1" si="1036"/>
        <v>94.387146072673062</v>
      </c>
      <c r="AQ261" s="39">
        <f t="shared" ca="1" si="1036"/>
        <v>823.75983955459981</v>
      </c>
      <c r="AR261" s="39">
        <f t="shared" ref="AR261:BW261" ca="1" si="1037">IF(AR$227="","",GB241+GB250+GB259+GB265+(GB$211*$E250))</f>
        <v>2273.388291351002</v>
      </c>
      <c r="AS261" s="39">
        <f t="shared" ca="1" si="1037"/>
        <v>4032.3772462395837</v>
      </c>
      <c r="AT261" s="39">
        <f t="shared" ca="1" si="1037"/>
        <v>4082.3559506145848</v>
      </c>
      <c r="AU261" s="39">
        <f t="shared" ca="1" si="1037"/>
        <v>4132.3346549895878</v>
      </c>
      <c r="AV261" s="39">
        <f t="shared" ca="1" si="1037"/>
        <v>4182.3133593645862</v>
      </c>
      <c r="AW261" s="39">
        <f t="shared" ca="1" si="1037"/>
        <v>4232.2920637395837</v>
      </c>
      <c r="AX261" s="39">
        <f t="shared" ca="1" si="1037"/>
        <v>4282.2707681145821</v>
      </c>
      <c r="AY261" s="39">
        <f t="shared" ca="1" si="1037"/>
        <v>4332.2494724895851</v>
      </c>
      <c r="AZ261" s="39">
        <f t="shared" ca="1" si="1037"/>
        <v>4382.2281768645835</v>
      </c>
      <c r="BA261" s="39">
        <f t="shared" ca="1" si="1037"/>
        <v>4432.2068812395864</v>
      </c>
      <c r="BB261" s="39">
        <f t="shared" ca="1" si="1037"/>
        <v>4482.1855856145876</v>
      </c>
      <c r="BC261" s="39">
        <f t="shared" ca="1" si="1037"/>
        <v>3915.0499233637129</v>
      </c>
      <c r="BD261" s="39">
        <f t="shared" ca="1" si="1037"/>
        <v>3966.5279888699611</v>
      </c>
      <c r="BE261" s="39">
        <f t="shared" ca="1" si="1037"/>
        <v>1386346.2505664036</v>
      </c>
      <c r="BF261" s="39" t="str">
        <f t="shared" si="1037"/>
        <v/>
      </c>
      <c r="BG261" s="39" t="str">
        <f t="shared" si="1037"/>
        <v/>
      </c>
      <c r="BH261" s="39" t="str">
        <f t="shared" si="1037"/>
        <v/>
      </c>
      <c r="BI261" s="39" t="str">
        <f t="shared" si="1037"/>
        <v/>
      </c>
      <c r="BJ261" s="39" t="str">
        <f t="shared" si="1037"/>
        <v/>
      </c>
      <c r="BK261" s="39" t="str">
        <f t="shared" si="1037"/>
        <v/>
      </c>
      <c r="BL261" s="39" t="str">
        <f t="shared" si="1037"/>
        <v/>
      </c>
      <c r="BM261" s="39" t="str">
        <f t="shared" si="1037"/>
        <v/>
      </c>
      <c r="BN261" s="39" t="str">
        <f t="shared" si="1037"/>
        <v/>
      </c>
      <c r="BO261" s="39" t="str">
        <f t="shared" si="1037"/>
        <v/>
      </c>
      <c r="BP261" s="39" t="str">
        <f t="shared" si="1037"/>
        <v/>
      </c>
      <c r="BQ261" s="39" t="str">
        <f t="shared" si="1037"/>
        <v/>
      </c>
      <c r="BR261" s="39" t="str">
        <f t="shared" si="1037"/>
        <v/>
      </c>
      <c r="BS261" s="39" t="str">
        <f t="shared" si="1037"/>
        <v/>
      </c>
      <c r="BT261" s="39" t="str">
        <f t="shared" si="1037"/>
        <v/>
      </c>
      <c r="BU261" s="39" t="str">
        <f t="shared" si="1037"/>
        <v/>
      </c>
      <c r="BV261" s="39" t="str">
        <f t="shared" si="1037"/>
        <v/>
      </c>
      <c r="BW261" s="39" t="str">
        <f t="shared" si="1037"/>
        <v/>
      </c>
      <c r="BX261" s="39" t="str">
        <f t="shared" ref="BX261:DC261" si="1038">IF(BX$227="","",HH241+HH250+HH259+HH265+(HH$211*$E250))</f>
        <v/>
      </c>
      <c r="BY261" s="39" t="str">
        <f t="shared" si="1038"/>
        <v/>
      </c>
      <c r="BZ261" s="39" t="str">
        <f t="shared" si="1038"/>
        <v/>
      </c>
      <c r="CA261" s="39" t="str">
        <f t="shared" si="1038"/>
        <v/>
      </c>
      <c r="CB261" s="39" t="str">
        <f t="shared" si="1038"/>
        <v/>
      </c>
      <c r="CC261" s="39" t="str">
        <f t="shared" si="1038"/>
        <v/>
      </c>
      <c r="CD261" s="39" t="str">
        <f t="shared" si="1038"/>
        <v/>
      </c>
      <c r="CE261" s="39" t="str">
        <f t="shared" si="1038"/>
        <v/>
      </c>
      <c r="CF261" s="39" t="str">
        <f t="shared" si="1038"/>
        <v/>
      </c>
      <c r="CG261" s="39" t="str">
        <f t="shared" si="1038"/>
        <v/>
      </c>
      <c r="CH261" s="39" t="str">
        <f t="shared" si="1038"/>
        <v/>
      </c>
      <c r="CI261" s="39" t="str">
        <f t="shared" si="1038"/>
        <v/>
      </c>
      <c r="CJ261" s="39" t="str">
        <f t="shared" si="1038"/>
        <v/>
      </c>
      <c r="CK261" s="39" t="str">
        <f t="shared" si="1038"/>
        <v/>
      </c>
      <c r="CL261" s="39" t="str">
        <f t="shared" si="1038"/>
        <v/>
      </c>
      <c r="CM261" s="39" t="str">
        <f t="shared" si="1038"/>
        <v/>
      </c>
      <c r="CN261" s="39" t="str">
        <f t="shared" si="1038"/>
        <v/>
      </c>
      <c r="CO261" s="39" t="str">
        <f t="shared" si="1038"/>
        <v/>
      </c>
      <c r="CP261" s="39" t="str">
        <f t="shared" si="1038"/>
        <v/>
      </c>
      <c r="CQ261" s="39" t="str">
        <f t="shared" si="1038"/>
        <v/>
      </c>
      <c r="CR261" s="39" t="str">
        <f t="shared" si="1038"/>
        <v/>
      </c>
      <c r="CS261" s="39" t="str">
        <f t="shared" si="1038"/>
        <v/>
      </c>
      <c r="CT261" s="39" t="str">
        <f t="shared" si="1038"/>
        <v/>
      </c>
      <c r="CU261" s="39" t="str">
        <f t="shared" si="1038"/>
        <v/>
      </c>
      <c r="CV261" s="39" t="str">
        <f t="shared" si="1038"/>
        <v/>
      </c>
      <c r="CW261" s="39" t="str">
        <f t="shared" si="1038"/>
        <v/>
      </c>
      <c r="CX261" s="39" t="str">
        <f t="shared" si="1038"/>
        <v/>
      </c>
      <c r="CY261" s="39" t="str">
        <f t="shared" si="1038"/>
        <v/>
      </c>
      <c r="CZ261" s="39" t="str">
        <f t="shared" si="1038"/>
        <v/>
      </c>
      <c r="DA261" s="39" t="str">
        <f t="shared" si="1038"/>
        <v/>
      </c>
      <c r="DB261" s="39" t="str">
        <f t="shared" si="1038"/>
        <v/>
      </c>
      <c r="DC261" s="39" t="str">
        <f t="shared" si="1038"/>
        <v/>
      </c>
      <c r="DD261" s="39" t="str">
        <f t="shared" ref="DD261:EI261" si="1039">IF(DD$227="","",IN241+IN250+IN259+IN265+(IN$211*$E250))</f>
        <v/>
      </c>
      <c r="DE261" s="39" t="str">
        <f t="shared" si="1039"/>
        <v/>
      </c>
      <c r="DF261" s="39" t="str">
        <f t="shared" si="1039"/>
        <v/>
      </c>
      <c r="DG261" s="39" t="str">
        <f t="shared" si="1039"/>
        <v/>
      </c>
      <c r="DH261" s="39" t="str">
        <f t="shared" si="1039"/>
        <v/>
      </c>
      <c r="DI261" s="39" t="str">
        <f t="shared" si="1039"/>
        <v/>
      </c>
      <c r="DJ261" s="39" t="str">
        <f t="shared" si="1039"/>
        <v/>
      </c>
      <c r="DK261" s="39" t="str">
        <f t="shared" si="1039"/>
        <v/>
      </c>
      <c r="DL261" s="39" t="str">
        <f t="shared" si="1039"/>
        <v/>
      </c>
      <c r="DM261" s="39" t="str">
        <f t="shared" si="1039"/>
        <v/>
      </c>
      <c r="DN261" s="39" t="str">
        <f t="shared" si="1039"/>
        <v/>
      </c>
      <c r="DO261" s="39" t="str">
        <f t="shared" si="1039"/>
        <v/>
      </c>
      <c r="DP261" s="39" t="str">
        <f t="shared" si="1039"/>
        <v/>
      </c>
      <c r="DQ261" s="39" t="str">
        <f t="shared" si="1039"/>
        <v/>
      </c>
      <c r="DR261" s="39" t="str">
        <f t="shared" si="1039"/>
        <v/>
      </c>
      <c r="DS261" s="39" t="str">
        <f t="shared" si="1039"/>
        <v/>
      </c>
      <c r="DT261" s="39" t="str">
        <f t="shared" si="1039"/>
        <v/>
      </c>
      <c r="DU261" s="39" t="str">
        <f t="shared" si="1039"/>
        <v/>
      </c>
      <c r="DV261" s="39" t="str">
        <f t="shared" si="1039"/>
        <v/>
      </c>
      <c r="DW261" s="39" t="str">
        <f t="shared" si="1039"/>
        <v/>
      </c>
      <c r="DX261" s="39" t="str">
        <f t="shared" si="1039"/>
        <v/>
      </c>
      <c r="DY261" s="39" t="str">
        <f t="shared" si="1039"/>
        <v/>
      </c>
      <c r="DZ261" s="39" t="str">
        <f t="shared" si="1039"/>
        <v/>
      </c>
      <c r="EA261" s="39" t="str">
        <f t="shared" si="1039"/>
        <v/>
      </c>
      <c r="EB261" s="39" t="str">
        <f t="shared" si="1039"/>
        <v/>
      </c>
      <c r="EC261" s="39" t="str">
        <f t="shared" si="1039"/>
        <v/>
      </c>
      <c r="ED261" s="39" t="str">
        <f t="shared" si="1039"/>
        <v/>
      </c>
      <c r="EE261" s="39" t="str">
        <f t="shared" si="1039"/>
        <v/>
      </c>
      <c r="EF261" s="39" t="str">
        <f t="shared" si="1039"/>
        <v/>
      </c>
      <c r="EG261" s="39" t="str">
        <f t="shared" si="1039"/>
        <v/>
      </c>
      <c r="EH261" s="39" t="str">
        <f t="shared" si="1039"/>
        <v/>
      </c>
      <c r="EI261" s="39" t="str">
        <f t="shared" si="1039"/>
        <v/>
      </c>
      <c r="EJ261" s="39" t="str">
        <f>IF(EJ$227="","",JT241+JT250+JT259+JT265+(JT$211*$E250))</f>
        <v/>
      </c>
      <c r="EK261" s="39" t="str">
        <f>IF(EK$227="","",JU241+JU250+JU259+JU265+(JU$211*$E250))</f>
        <v/>
      </c>
      <c r="EL261" s="39" t="str">
        <f>IF(EL$227="","",JV241+JV250+JV259+JV265+(JV$211*$E250))</f>
        <v/>
      </c>
      <c r="EM261" s="39" t="str">
        <f>IF(EM$227="","",JW241+JW250+JW259+JW265+(JW$211*$E250))</f>
        <v/>
      </c>
      <c r="EN261" s="39" t="str">
        <f>IF(EN$227="","",JX241+JX250+JX259+JX265+(JX$211*$E250))</f>
        <v/>
      </c>
      <c r="EO261" s="43"/>
      <c r="EP261" s="37"/>
      <c r="EQ261" s="24"/>
      <c r="ER261" s="24"/>
      <c r="ES261" s="33" t="s">
        <v>379</v>
      </c>
      <c r="ET261" s="223">
        <f ca="1">XIRR(OFFSET(EV261,,,1,Timing_Reversion_Month+1),OFFSET($EV$23,,,1,Timing_Reversion_Month+1))</f>
        <v>0.14984975457191471</v>
      </c>
      <c r="EU261" s="33"/>
      <c r="EV261" s="222">
        <f ca="1">+-EV240+EV258+EV259</f>
        <v>-168892.17874475819</v>
      </c>
      <c r="EW261" s="222">
        <f t="shared" ref="EW261:HH261" ca="1" si="1040">+-EW240+EW258+EW259</f>
        <v>-19557.694634846426</v>
      </c>
      <c r="EX261" s="222">
        <f t="shared" ca="1" si="1040"/>
        <v>-26780.184713772553</v>
      </c>
      <c r="EY261" s="222">
        <f t="shared" ca="1" si="1040"/>
        <v>-41103.41326171421</v>
      </c>
      <c r="EZ261" s="222">
        <f t="shared" ca="1" si="1040"/>
        <v>-66051.940674668658</v>
      </c>
      <c r="FA261" s="222">
        <f t="shared" ca="1" si="1040"/>
        <v>-103933.33530633751</v>
      </c>
      <c r="FB261" s="222">
        <f t="shared" ca="1" si="1040"/>
        <v>-153443.61934025673</v>
      </c>
      <c r="FC261" s="222">
        <f t="shared" ca="1" si="1040"/>
        <v>-78912.275569204925</v>
      </c>
      <c r="FD261" s="222">
        <f t="shared" ca="1" si="1040"/>
        <v>0</v>
      </c>
      <c r="FE261" s="222">
        <f t="shared" ca="1" si="1040"/>
        <v>0</v>
      </c>
      <c r="FF261" s="222">
        <f t="shared" ca="1" si="1040"/>
        <v>0</v>
      </c>
      <c r="FG261" s="222">
        <f t="shared" ca="1" si="1040"/>
        <v>0</v>
      </c>
      <c r="FH261" s="222">
        <f t="shared" ca="1" si="1040"/>
        <v>0</v>
      </c>
      <c r="FI261" s="222">
        <f t="shared" ca="1" si="1040"/>
        <v>0</v>
      </c>
      <c r="FJ261" s="222">
        <f t="shared" ca="1" si="1040"/>
        <v>0</v>
      </c>
      <c r="FK261" s="222">
        <f t="shared" ca="1" si="1040"/>
        <v>0</v>
      </c>
      <c r="FL261" s="222">
        <f t="shared" ca="1" si="1040"/>
        <v>0</v>
      </c>
      <c r="FM261" s="222">
        <f t="shared" ca="1" si="1040"/>
        <v>0</v>
      </c>
      <c r="FN261" s="222">
        <f t="shared" ca="1" si="1040"/>
        <v>0</v>
      </c>
      <c r="FO261" s="222">
        <f t="shared" ca="1" si="1040"/>
        <v>0</v>
      </c>
      <c r="FP261" s="222">
        <f t="shared" ca="1" si="1040"/>
        <v>6.5483618527650841E-13</v>
      </c>
      <c r="FQ261" s="222">
        <f t="shared" ca="1" si="1040"/>
        <v>0</v>
      </c>
      <c r="FR261" s="222">
        <f t="shared" ca="1" si="1040"/>
        <v>0</v>
      </c>
      <c r="FS261" s="222">
        <f t="shared" ca="1" si="1040"/>
        <v>4.0927261579781772E-13</v>
      </c>
      <c r="FT261" s="222">
        <f t="shared" ca="1" si="1040"/>
        <v>-4.9112713895738138E-13</v>
      </c>
      <c r="FU261" s="222">
        <f t="shared" ca="1" si="1040"/>
        <v>0</v>
      </c>
      <c r="FV261" s="222">
        <f t="shared" ca="1" si="1040"/>
        <v>0</v>
      </c>
      <c r="FW261" s="222">
        <f t="shared" ca="1" si="1040"/>
        <v>0</v>
      </c>
      <c r="FX261" s="222">
        <f t="shared" ca="1" si="1040"/>
        <v>0</v>
      </c>
      <c r="FY261" s="222">
        <f t="shared" ca="1" si="1040"/>
        <v>0</v>
      </c>
      <c r="FZ261" s="222">
        <f t="shared" ca="1" si="1040"/>
        <v>94.387146072673062</v>
      </c>
      <c r="GA261" s="222">
        <f t="shared" ca="1" si="1040"/>
        <v>823.75983955459981</v>
      </c>
      <c r="GB261" s="222">
        <f t="shared" ca="1" si="1040"/>
        <v>2273.388291351002</v>
      </c>
      <c r="GC261" s="222">
        <f t="shared" ca="1" si="1040"/>
        <v>4032.3772462395837</v>
      </c>
      <c r="GD261" s="222">
        <f t="shared" ca="1" si="1040"/>
        <v>4082.3559506145848</v>
      </c>
      <c r="GE261" s="222">
        <f t="shared" ca="1" si="1040"/>
        <v>4132.3346549895878</v>
      </c>
      <c r="GF261" s="222">
        <f t="shared" ca="1" si="1040"/>
        <v>4182.3133593645862</v>
      </c>
      <c r="GG261" s="222">
        <f t="shared" ca="1" si="1040"/>
        <v>4232.2920637395837</v>
      </c>
      <c r="GH261" s="222">
        <f t="shared" ca="1" si="1040"/>
        <v>4282.2707681145821</v>
      </c>
      <c r="GI261" s="222">
        <f t="shared" ca="1" si="1040"/>
        <v>4332.2494724895851</v>
      </c>
      <c r="GJ261" s="222">
        <f t="shared" ca="1" si="1040"/>
        <v>4382.2281768645835</v>
      </c>
      <c r="GK261" s="222">
        <f t="shared" ca="1" si="1040"/>
        <v>4432.2068812395864</v>
      </c>
      <c r="GL261" s="222">
        <f t="shared" ca="1" si="1040"/>
        <v>4482.1855856145876</v>
      </c>
      <c r="GM261" s="222">
        <f t="shared" ca="1" si="1040"/>
        <v>3915.0499233637129</v>
      </c>
      <c r="GN261" s="222">
        <f t="shared" ca="1" si="1040"/>
        <v>3966.5279888699611</v>
      </c>
      <c r="GO261" s="222">
        <f t="shared" ca="1" si="1040"/>
        <v>1007546.2286035442</v>
      </c>
      <c r="GP261" s="222">
        <f t="shared" ca="1" si="1040"/>
        <v>0</v>
      </c>
      <c r="GQ261" s="222">
        <f t="shared" ca="1" si="1040"/>
        <v>0</v>
      </c>
      <c r="GR261" s="222">
        <f t="shared" ca="1" si="1040"/>
        <v>0</v>
      </c>
      <c r="GS261" s="222">
        <f t="shared" ca="1" si="1040"/>
        <v>0</v>
      </c>
      <c r="GT261" s="222">
        <f t="shared" ca="1" si="1040"/>
        <v>0</v>
      </c>
      <c r="GU261" s="222">
        <f t="shared" ca="1" si="1040"/>
        <v>0</v>
      </c>
      <c r="GV261" s="222">
        <f t="shared" ca="1" si="1040"/>
        <v>0</v>
      </c>
      <c r="GW261" s="222">
        <f t="shared" ca="1" si="1040"/>
        <v>0</v>
      </c>
      <c r="GX261" s="222">
        <f t="shared" ca="1" si="1040"/>
        <v>0</v>
      </c>
      <c r="GY261" s="222">
        <f t="shared" ca="1" si="1040"/>
        <v>0</v>
      </c>
      <c r="GZ261" s="222">
        <f t="shared" ca="1" si="1040"/>
        <v>0</v>
      </c>
      <c r="HA261" s="222">
        <f t="shared" ca="1" si="1040"/>
        <v>0</v>
      </c>
      <c r="HB261" s="222">
        <f t="shared" ca="1" si="1040"/>
        <v>0</v>
      </c>
      <c r="HC261" s="222">
        <f t="shared" ca="1" si="1040"/>
        <v>0</v>
      </c>
      <c r="HD261" s="222">
        <f t="shared" ca="1" si="1040"/>
        <v>0</v>
      </c>
      <c r="HE261" s="222">
        <f t="shared" ca="1" si="1040"/>
        <v>0</v>
      </c>
      <c r="HF261" s="222">
        <f t="shared" ca="1" si="1040"/>
        <v>0</v>
      </c>
      <c r="HG261" s="222">
        <f t="shared" ca="1" si="1040"/>
        <v>0</v>
      </c>
      <c r="HH261" s="222">
        <f t="shared" ca="1" si="1040"/>
        <v>0</v>
      </c>
      <c r="HI261" s="222">
        <f t="shared" ref="HI261:JT261" ca="1" si="1041">+-HI240+HI258+HI259</f>
        <v>0</v>
      </c>
      <c r="HJ261" s="222">
        <f t="shared" ca="1" si="1041"/>
        <v>0</v>
      </c>
      <c r="HK261" s="222">
        <f t="shared" ca="1" si="1041"/>
        <v>0</v>
      </c>
      <c r="HL261" s="222">
        <f t="shared" ca="1" si="1041"/>
        <v>0</v>
      </c>
      <c r="HM261" s="222">
        <f t="shared" ca="1" si="1041"/>
        <v>0</v>
      </c>
      <c r="HN261" s="222">
        <f t="shared" ca="1" si="1041"/>
        <v>0</v>
      </c>
      <c r="HO261" s="222">
        <f t="shared" ca="1" si="1041"/>
        <v>0</v>
      </c>
      <c r="HP261" s="222">
        <f t="shared" ca="1" si="1041"/>
        <v>0</v>
      </c>
      <c r="HQ261" s="222">
        <f t="shared" ca="1" si="1041"/>
        <v>0</v>
      </c>
      <c r="HR261" s="222">
        <f t="shared" ca="1" si="1041"/>
        <v>0</v>
      </c>
      <c r="HS261" s="222">
        <f t="shared" ca="1" si="1041"/>
        <v>0</v>
      </c>
      <c r="HT261" s="222">
        <f t="shared" ca="1" si="1041"/>
        <v>0</v>
      </c>
      <c r="HU261" s="222">
        <f t="shared" ca="1" si="1041"/>
        <v>0</v>
      </c>
      <c r="HV261" s="222">
        <f t="shared" ca="1" si="1041"/>
        <v>0</v>
      </c>
      <c r="HW261" s="222">
        <f t="shared" ca="1" si="1041"/>
        <v>0</v>
      </c>
      <c r="HX261" s="222">
        <f t="shared" ca="1" si="1041"/>
        <v>0</v>
      </c>
      <c r="HY261" s="222">
        <f t="shared" ca="1" si="1041"/>
        <v>0</v>
      </c>
      <c r="HZ261" s="222">
        <f t="shared" ca="1" si="1041"/>
        <v>0</v>
      </c>
      <c r="IA261" s="222">
        <f t="shared" ca="1" si="1041"/>
        <v>0</v>
      </c>
      <c r="IB261" s="222">
        <f t="shared" ca="1" si="1041"/>
        <v>0</v>
      </c>
      <c r="IC261" s="222">
        <f t="shared" ca="1" si="1041"/>
        <v>0</v>
      </c>
      <c r="ID261" s="222">
        <f t="shared" ca="1" si="1041"/>
        <v>0</v>
      </c>
      <c r="IE261" s="222">
        <f t="shared" ca="1" si="1041"/>
        <v>0</v>
      </c>
      <c r="IF261" s="222">
        <f t="shared" ca="1" si="1041"/>
        <v>0</v>
      </c>
      <c r="IG261" s="222">
        <f t="shared" ca="1" si="1041"/>
        <v>0</v>
      </c>
      <c r="IH261" s="222">
        <f t="shared" ca="1" si="1041"/>
        <v>0</v>
      </c>
      <c r="II261" s="222">
        <f t="shared" ca="1" si="1041"/>
        <v>0</v>
      </c>
      <c r="IJ261" s="222">
        <f t="shared" ca="1" si="1041"/>
        <v>0</v>
      </c>
      <c r="IK261" s="222">
        <f t="shared" ca="1" si="1041"/>
        <v>0</v>
      </c>
      <c r="IL261" s="222">
        <f t="shared" ca="1" si="1041"/>
        <v>0</v>
      </c>
      <c r="IM261" s="222">
        <f t="shared" ca="1" si="1041"/>
        <v>0</v>
      </c>
      <c r="IN261" s="222">
        <f t="shared" ca="1" si="1041"/>
        <v>0</v>
      </c>
      <c r="IO261" s="222">
        <f t="shared" ca="1" si="1041"/>
        <v>0</v>
      </c>
      <c r="IP261" s="222">
        <f t="shared" ca="1" si="1041"/>
        <v>0</v>
      </c>
      <c r="IQ261" s="222">
        <f t="shared" ca="1" si="1041"/>
        <v>0</v>
      </c>
      <c r="IR261" s="222">
        <f t="shared" ca="1" si="1041"/>
        <v>0</v>
      </c>
      <c r="IS261" s="222">
        <f t="shared" ca="1" si="1041"/>
        <v>0</v>
      </c>
      <c r="IT261" s="222">
        <f t="shared" ca="1" si="1041"/>
        <v>0</v>
      </c>
      <c r="IU261" s="222">
        <f t="shared" ca="1" si="1041"/>
        <v>0</v>
      </c>
      <c r="IV261" s="222">
        <f t="shared" ca="1" si="1041"/>
        <v>0</v>
      </c>
      <c r="IW261" s="222">
        <f t="shared" ca="1" si="1041"/>
        <v>0</v>
      </c>
      <c r="IX261" s="222">
        <f t="shared" ca="1" si="1041"/>
        <v>0</v>
      </c>
      <c r="IY261" s="222">
        <f t="shared" ca="1" si="1041"/>
        <v>0</v>
      </c>
      <c r="IZ261" s="222">
        <f t="shared" ca="1" si="1041"/>
        <v>0</v>
      </c>
      <c r="JA261" s="222">
        <f t="shared" ca="1" si="1041"/>
        <v>0</v>
      </c>
      <c r="JB261" s="222">
        <f t="shared" ca="1" si="1041"/>
        <v>0</v>
      </c>
      <c r="JC261" s="222">
        <f t="shared" ca="1" si="1041"/>
        <v>0</v>
      </c>
      <c r="JD261" s="222">
        <f t="shared" ca="1" si="1041"/>
        <v>0</v>
      </c>
      <c r="JE261" s="222">
        <f t="shared" ca="1" si="1041"/>
        <v>0</v>
      </c>
      <c r="JF261" s="222">
        <f t="shared" ca="1" si="1041"/>
        <v>0</v>
      </c>
      <c r="JG261" s="222">
        <f t="shared" ca="1" si="1041"/>
        <v>0</v>
      </c>
      <c r="JH261" s="222">
        <f t="shared" ca="1" si="1041"/>
        <v>0</v>
      </c>
      <c r="JI261" s="222">
        <f t="shared" ca="1" si="1041"/>
        <v>0</v>
      </c>
      <c r="JJ261" s="222">
        <f t="shared" ca="1" si="1041"/>
        <v>0</v>
      </c>
      <c r="JK261" s="222">
        <f t="shared" ca="1" si="1041"/>
        <v>0</v>
      </c>
      <c r="JL261" s="222">
        <f t="shared" ca="1" si="1041"/>
        <v>0</v>
      </c>
      <c r="JM261" s="222">
        <f t="shared" ca="1" si="1041"/>
        <v>0</v>
      </c>
      <c r="JN261" s="222">
        <f t="shared" ca="1" si="1041"/>
        <v>0</v>
      </c>
      <c r="JO261" s="222">
        <f t="shared" ca="1" si="1041"/>
        <v>0</v>
      </c>
      <c r="JP261" s="222">
        <f t="shared" ca="1" si="1041"/>
        <v>0</v>
      </c>
      <c r="JQ261" s="222">
        <f t="shared" ca="1" si="1041"/>
        <v>0</v>
      </c>
      <c r="JR261" s="222">
        <f t="shared" ca="1" si="1041"/>
        <v>0</v>
      </c>
      <c r="JS261" s="222">
        <f t="shared" ca="1" si="1041"/>
        <v>0</v>
      </c>
      <c r="JT261" s="222">
        <f t="shared" ca="1" si="1041"/>
        <v>0</v>
      </c>
      <c r="JU261" s="222">
        <f ca="1">+-JU240+JU258+JU259</f>
        <v>0</v>
      </c>
      <c r="JV261" s="222">
        <f ca="1">+-JV240+JV258+JV259</f>
        <v>0</v>
      </c>
      <c r="JW261" s="222">
        <f ca="1">+-JW240+JW258+JW259</f>
        <v>0</v>
      </c>
      <c r="JX261" s="222">
        <f ca="1">+-JX240+JX258+JX259</f>
        <v>0</v>
      </c>
    </row>
    <row r="262" spans="1:284" s="7" customFormat="1" ht="0.6" customHeight="1" x14ac:dyDescent="0.2">
      <c r="A262" s="406"/>
      <c r="B262" s="231" t="s">
        <v>70</v>
      </c>
      <c r="C262" s="233"/>
      <c r="D262" s="233"/>
      <c r="E262" s="233"/>
      <c r="F262" s="233"/>
      <c r="G262" s="233"/>
      <c r="H262" s="247">
        <f ca="1">I262/$I$241</f>
        <v>8.2777382669525709E-2</v>
      </c>
      <c r="I262" s="242">
        <f ca="1">SUM(I260:I261)</f>
        <v>1941191.1265641765</v>
      </c>
      <c r="J262" s="43"/>
      <c r="K262" s="43"/>
      <c r="L262" s="38">
        <f t="shared" ref="L262:AQ262" ca="1" si="1042">IF(L$227="","",SUM(L260:L261))</f>
        <v>0</v>
      </c>
      <c r="M262" s="38">
        <f t="shared" ca="1" si="1042"/>
        <v>0</v>
      </c>
      <c r="N262" s="38">
        <f t="shared" ca="1" si="1042"/>
        <v>0</v>
      </c>
      <c r="O262" s="38">
        <f t="shared" ca="1" si="1042"/>
        <v>0</v>
      </c>
      <c r="P262" s="38">
        <f t="shared" ca="1" si="1042"/>
        <v>0</v>
      </c>
      <c r="Q262" s="38">
        <f t="shared" ca="1" si="1042"/>
        <v>0</v>
      </c>
      <c r="R262" s="38">
        <f t="shared" ca="1" si="1042"/>
        <v>0</v>
      </c>
      <c r="S262" s="38">
        <f t="shared" ca="1" si="1042"/>
        <v>0</v>
      </c>
      <c r="T262" s="38">
        <f t="shared" ca="1" si="1042"/>
        <v>0</v>
      </c>
      <c r="U262" s="38">
        <f t="shared" ca="1" si="1042"/>
        <v>0</v>
      </c>
      <c r="V262" s="38">
        <f t="shared" ca="1" si="1042"/>
        <v>0</v>
      </c>
      <c r="W262" s="38">
        <f t="shared" ca="1" si="1042"/>
        <v>0</v>
      </c>
      <c r="X262" s="38">
        <f t="shared" ca="1" si="1042"/>
        <v>0</v>
      </c>
      <c r="Y262" s="38">
        <f t="shared" ca="1" si="1042"/>
        <v>0</v>
      </c>
      <c r="Z262" s="38">
        <f t="shared" ca="1" si="1042"/>
        <v>0</v>
      </c>
      <c r="AA262" s="38">
        <f t="shared" ca="1" si="1042"/>
        <v>0</v>
      </c>
      <c r="AB262" s="38">
        <f t="shared" ca="1" si="1042"/>
        <v>0</v>
      </c>
      <c r="AC262" s="38">
        <f t="shared" ca="1" si="1042"/>
        <v>0</v>
      </c>
      <c r="AD262" s="38">
        <f t="shared" ca="1" si="1042"/>
        <v>0</v>
      </c>
      <c r="AE262" s="38">
        <f t="shared" ca="1" si="1042"/>
        <v>0</v>
      </c>
      <c r="AF262" s="38">
        <f t="shared" ca="1" si="1042"/>
        <v>7.2759576141834263E-13</v>
      </c>
      <c r="AG262" s="38">
        <f t="shared" ca="1" si="1042"/>
        <v>0</v>
      </c>
      <c r="AH262" s="38">
        <f t="shared" ca="1" si="1042"/>
        <v>0</v>
      </c>
      <c r="AI262" s="38">
        <f t="shared" ca="1" si="1042"/>
        <v>4.5474735088646412E-13</v>
      </c>
      <c r="AJ262" s="38">
        <f t="shared" ca="1" si="1042"/>
        <v>0</v>
      </c>
      <c r="AK262" s="38">
        <f t="shared" ca="1" si="1042"/>
        <v>0</v>
      </c>
      <c r="AL262" s="38">
        <f t="shared" ca="1" si="1042"/>
        <v>0</v>
      </c>
      <c r="AM262" s="38">
        <f t="shared" ca="1" si="1042"/>
        <v>0</v>
      </c>
      <c r="AN262" s="38">
        <f t="shared" ca="1" si="1042"/>
        <v>0</v>
      </c>
      <c r="AO262" s="38">
        <f t="shared" ca="1" si="1042"/>
        <v>0</v>
      </c>
      <c r="AP262" s="38">
        <f t="shared" ca="1" si="1042"/>
        <v>104.87460674741452</v>
      </c>
      <c r="AQ262" s="38">
        <f t="shared" ca="1" si="1042"/>
        <v>915.28871061622203</v>
      </c>
      <c r="AR262" s="38">
        <f t="shared" ref="AR262:BW262" ca="1" si="1043">IF(AR$227="","",SUM(AR260:AR261))</f>
        <v>2525.9869903900021</v>
      </c>
      <c r="AS262" s="38">
        <f t="shared" ca="1" si="1043"/>
        <v>4480.4191624884261</v>
      </c>
      <c r="AT262" s="38">
        <f t="shared" ca="1" si="1043"/>
        <v>4535.9510562384276</v>
      </c>
      <c r="AU262" s="38">
        <f t="shared" ca="1" si="1043"/>
        <v>4591.4829499884308</v>
      </c>
      <c r="AV262" s="38">
        <f t="shared" ca="1" si="1043"/>
        <v>4647.0148437384287</v>
      </c>
      <c r="AW262" s="38">
        <f t="shared" ca="1" si="1043"/>
        <v>4702.5467374884265</v>
      </c>
      <c r="AX262" s="38">
        <f t="shared" ca="1" si="1043"/>
        <v>4758.0786312384244</v>
      </c>
      <c r="AY262" s="38">
        <f t="shared" ca="1" si="1043"/>
        <v>4813.6105249884276</v>
      </c>
      <c r="AZ262" s="38">
        <f t="shared" ca="1" si="1043"/>
        <v>4869.1424187384264</v>
      </c>
      <c r="BA262" s="38">
        <f t="shared" ca="1" si="1043"/>
        <v>4924.6743124884297</v>
      </c>
      <c r="BB262" s="38">
        <f t="shared" ca="1" si="1043"/>
        <v>4980.2062062384302</v>
      </c>
      <c r="BC262" s="38">
        <f t="shared" ca="1" si="1043"/>
        <v>4350.0554704041251</v>
      </c>
      <c r="BD262" s="38">
        <f t="shared" ca="1" si="1043"/>
        <v>4407.2533209666235</v>
      </c>
      <c r="BE262" s="38">
        <f t="shared" ca="1" si="1043"/>
        <v>1881584.5406214178</v>
      </c>
      <c r="BF262" s="38" t="str">
        <f t="shared" si="1043"/>
        <v/>
      </c>
      <c r="BG262" s="38" t="str">
        <f t="shared" si="1043"/>
        <v/>
      </c>
      <c r="BH262" s="38" t="str">
        <f t="shared" si="1043"/>
        <v/>
      </c>
      <c r="BI262" s="38" t="str">
        <f t="shared" si="1043"/>
        <v/>
      </c>
      <c r="BJ262" s="38" t="str">
        <f t="shared" si="1043"/>
        <v/>
      </c>
      <c r="BK262" s="38" t="str">
        <f t="shared" si="1043"/>
        <v/>
      </c>
      <c r="BL262" s="38" t="str">
        <f t="shared" si="1043"/>
        <v/>
      </c>
      <c r="BM262" s="38" t="str">
        <f t="shared" si="1043"/>
        <v/>
      </c>
      <c r="BN262" s="38" t="str">
        <f t="shared" si="1043"/>
        <v/>
      </c>
      <c r="BO262" s="38" t="str">
        <f t="shared" si="1043"/>
        <v/>
      </c>
      <c r="BP262" s="38" t="str">
        <f t="shared" si="1043"/>
        <v/>
      </c>
      <c r="BQ262" s="38" t="str">
        <f t="shared" si="1043"/>
        <v/>
      </c>
      <c r="BR262" s="38" t="str">
        <f t="shared" si="1043"/>
        <v/>
      </c>
      <c r="BS262" s="38" t="str">
        <f t="shared" si="1043"/>
        <v/>
      </c>
      <c r="BT262" s="38" t="str">
        <f t="shared" si="1043"/>
        <v/>
      </c>
      <c r="BU262" s="38" t="str">
        <f t="shared" si="1043"/>
        <v/>
      </c>
      <c r="BV262" s="38" t="str">
        <f t="shared" si="1043"/>
        <v/>
      </c>
      <c r="BW262" s="38" t="str">
        <f t="shared" si="1043"/>
        <v/>
      </c>
      <c r="BX262" s="38" t="str">
        <f t="shared" ref="BX262:DC262" si="1044">IF(BX$227="","",SUM(BX260:BX261))</f>
        <v/>
      </c>
      <c r="BY262" s="38" t="str">
        <f t="shared" si="1044"/>
        <v/>
      </c>
      <c r="BZ262" s="38" t="str">
        <f t="shared" si="1044"/>
        <v/>
      </c>
      <c r="CA262" s="38" t="str">
        <f t="shared" si="1044"/>
        <v/>
      </c>
      <c r="CB262" s="38" t="str">
        <f t="shared" si="1044"/>
        <v/>
      </c>
      <c r="CC262" s="38" t="str">
        <f t="shared" si="1044"/>
        <v/>
      </c>
      <c r="CD262" s="38" t="str">
        <f t="shared" si="1044"/>
        <v/>
      </c>
      <c r="CE262" s="38" t="str">
        <f t="shared" si="1044"/>
        <v/>
      </c>
      <c r="CF262" s="38" t="str">
        <f t="shared" si="1044"/>
        <v/>
      </c>
      <c r="CG262" s="38" t="str">
        <f t="shared" si="1044"/>
        <v/>
      </c>
      <c r="CH262" s="38" t="str">
        <f t="shared" si="1044"/>
        <v/>
      </c>
      <c r="CI262" s="38" t="str">
        <f t="shared" si="1044"/>
        <v/>
      </c>
      <c r="CJ262" s="38" t="str">
        <f t="shared" si="1044"/>
        <v/>
      </c>
      <c r="CK262" s="38" t="str">
        <f t="shared" si="1044"/>
        <v/>
      </c>
      <c r="CL262" s="38" t="str">
        <f t="shared" si="1044"/>
        <v/>
      </c>
      <c r="CM262" s="38" t="str">
        <f t="shared" si="1044"/>
        <v/>
      </c>
      <c r="CN262" s="38" t="str">
        <f t="shared" si="1044"/>
        <v/>
      </c>
      <c r="CO262" s="38" t="str">
        <f t="shared" si="1044"/>
        <v/>
      </c>
      <c r="CP262" s="38" t="str">
        <f t="shared" si="1044"/>
        <v/>
      </c>
      <c r="CQ262" s="38" t="str">
        <f t="shared" si="1044"/>
        <v/>
      </c>
      <c r="CR262" s="38" t="str">
        <f t="shared" si="1044"/>
        <v/>
      </c>
      <c r="CS262" s="38" t="str">
        <f t="shared" si="1044"/>
        <v/>
      </c>
      <c r="CT262" s="38" t="str">
        <f t="shared" si="1044"/>
        <v/>
      </c>
      <c r="CU262" s="38" t="str">
        <f t="shared" si="1044"/>
        <v/>
      </c>
      <c r="CV262" s="38" t="str">
        <f t="shared" si="1044"/>
        <v/>
      </c>
      <c r="CW262" s="38" t="str">
        <f t="shared" si="1044"/>
        <v/>
      </c>
      <c r="CX262" s="38" t="str">
        <f t="shared" si="1044"/>
        <v/>
      </c>
      <c r="CY262" s="38" t="str">
        <f t="shared" si="1044"/>
        <v/>
      </c>
      <c r="CZ262" s="38" t="str">
        <f t="shared" si="1044"/>
        <v/>
      </c>
      <c r="DA262" s="38" t="str">
        <f t="shared" si="1044"/>
        <v/>
      </c>
      <c r="DB262" s="38" t="str">
        <f t="shared" si="1044"/>
        <v/>
      </c>
      <c r="DC262" s="38" t="str">
        <f t="shared" si="1044"/>
        <v/>
      </c>
      <c r="DD262" s="38" t="str">
        <f t="shared" ref="DD262:EI262" si="1045">IF(DD$227="","",SUM(DD260:DD261))</f>
        <v/>
      </c>
      <c r="DE262" s="38" t="str">
        <f t="shared" si="1045"/>
        <v/>
      </c>
      <c r="DF262" s="38" t="str">
        <f t="shared" si="1045"/>
        <v/>
      </c>
      <c r="DG262" s="38" t="str">
        <f t="shared" si="1045"/>
        <v/>
      </c>
      <c r="DH262" s="38" t="str">
        <f t="shared" si="1045"/>
        <v/>
      </c>
      <c r="DI262" s="38" t="str">
        <f t="shared" si="1045"/>
        <v/>
      </c>
      <c r="DJ262" s="38" t="str">
        <f t="shared" si="1045"/>
        <v/>
      </c>
      <c r="DK262" s="38" t="str">
        <f t="shared" si="1045"/>
        <v/>
      </c>
      <c r="DL262" s="38" t="str">
        <f t="shared" si="1045"/>
        <v/>
      </c>
      <c r="DM262" s="38" t="str">
        <f t="shared" si="1045"/>
        <v/>
      </c>
      <c r="DN262" s="38" t="str">
        <f t="shared" si="1045"/>
        <v/>
      </c>
      <c r="DO262" s="38" t="str">
        <f t="shared" si="1045"/>
        <v/>
      </c>
      <c r="DP262" s="38" t="str">
        <f t="shared" si="1045"/>
        <v/>
      </c>
      <c r="DQ262" s="38" t="str">
        <f t="shared" si="1045"/>
        <v/>
      </c>
      <c r="DR262" s="38" t="str">
        <f t="shared" si="1045"/>
        <v/>
      </c>
      <c r="DS262" s="38" t="str">
        <f t="shared" si="1045"/>
        <v/>
      </c>
      <c r="DT262" s="38" t="str">
        <f t="shared" si="1045"/>
        <v/>
      </c>
      <c r="DU262" s="38" t="str">
        <f t="shared" si="1045"/>
        <v/>
      </c>
      <c r="DV262" s="38" t="str">
        <f t="shared" si="1045"/>
        <v/>
      </c>
      <c r="DW262" s="38" t="str">
        <f t="shared" si="1045"/>
        <v/>
      </c>
      <c r="DX262" s="38" t="str">
        <f t="shared" si="1045"/>
        <v/>
      </c>
      <c r="DY262" s="38" t="str">
        <f t="shared" si="1045"/>
        <v/>
      </c>
      <c r="DZ262" s="38" t="str">
        <f t="shared" si="1045"/>
        <v/>
      </c>
      <c r="EA262" s="38" t="str">
        <f t="shared" si="1045"/>
        <v/>
      </c>
      <c r="EB262" s="38" t="str">
        <f t="shared" si="1045"/>
        <v/>
      </c>
      <c r="EC262" s="38" t="str">
        <f t="shared" si="1045"/>
        <v/>
      </c>
      <c r="ED262" s="38" t="str">
        <f t="shared" si="1045"/>
        <v/>
      </c>
      <c r="EE262" s="38" t="str">
        <f t="shared" si="1045"/>
        <v/>
      </c>
      <c r="EF262" s="38" t="str">
        <f t="shared" si="1045"/>
        <v/>
      </c>
      <c r="EG262" s="38" t="str">
        <f t="shared" si="1045"/>
        <v/>
      </c>
      <c r="EH262" s="38" t="str">
        <f t="shared" si="1045"/>
        <v/>
      </c>
      <c r="EI262" s="38" t="str">
        <f t="shared" si="1045"/>
        <v/>
      </c>
      <c r="EJ262" s="38" t="str">
        <f>IF(EJ$227="","",SUM(EJ260:EJ261))</f>
        <v/>
      </c>
      <c r="EK262" s="38" t="str">
        <f>IF(EK$227="","",SUM(EK260:EK261))</f>
        <v/>
      </c>
      <c r="EL262" s="38" t="str">
        <f>IF(EL$227="","",SUM(EL260:EL261))</f>
        <v/>
      </c>
      <c r="EM262" s="38" t="str">
        <f>IF(EM$227="","",SUM(EM260:EM261))</f>
        <v/>
      </c>
      <c r="EN262" s="38" t="str">
        <f>IF(EN$227="","",SUM(EN260:EN261))</f>
        <v/>
      </c>
      <c r="EP262" s="37"/>
      <c r="EQ262" s="24"/>
      <c r="ER262" s="24"/>
      <c r="ES262" s="24"/>
      <c r="ET262" s="33" t="s">
        <v>401</v>
      </c>
      <c r="EU262" s="33"/>
      <c r="EV262" s="225">
        <f t="shared" ref="EV262:GA262" ca="1" si="1046">(EV$197&lt;=Timing_Reversion_Month)*(EV259/$I$256*$H$256)</f>
        <v>0</v>
      </c>
      <c r="EW262" s="225">
        <f t="shared" ca="1" si="1046"/>
        <v>0</v>
      </c>
      <c r="EX262" s="225">
        <f t="shared" ca="1" si="1046"/>
        <v>0</v>
      </c>
      <c r="EY262" s="225">
        <f t="shared" ca="1" si="1046"/>
        <v>0</v>
      </c>
      <c r="EZ262" s="225">
        <f t="shared" ca="1" si="1046"/>
        <v>0</v>
      </c>
      <c r="FA262" s="225">
        <f t="shared" ca="1" si="1046"/>
        <v>0</v>
      </c>
      <c r="FB262" s="225">
        <f t="shared" ca="1" si="1046"/>
        <v>0</v>
      </c>
      <c r="FC262" s="225">
        <f t="shared" ca="1" si="1046"/>
        <v>0</v>
      </c>
      <c r="FD262" s="225">
        <f t="shared" ca="1" si="1046"/>
        <v>0</v>
      </c>
      <c r="FE262" s="225">
        <f t="shared" ca="1" si="1046"/>
        <v>0</v>
      </c>
      <c r="FF262" s="225">
        <f t="shared" ca="1" si="1046"/>
        <v>0</v>
      </c>
      <c r="FG262" s="225">
        <f t="shared" ca="1" si="1046"/>
        <v>0</v>
      </c>
      <c r="FH262" s="225">
        <f t="shared" ca="1" si="1046"/>
        <v>0</v>
      </c>
      <c r="FI262" s="225">
        <f t="shared" ca="1" si="1046"/>
        <v>0</v>
      </c>
      <c r="FJ262" s="225">
        <f t="shared" ca="1" si="1046"/>
        <v>0</v>
      </c>
      <c r="FK262" s="225">
        <f t="shared" ca="1" si="1046"/>
        <v>0</v>
      </c>
      <c r="FL262" s="225">
        <f t="shared" ca="1" si="1046"/>
        <v>0</v>
      </c>
      <c r="FM262" s="225">
        <f t="shared" ca="1" si="1046"/>
        <v>0</v>
      </c>
      <c r="FN262" s="225">
        <f t="shared" ca="1" si="1046"/>
        <v>0</v>
      </c>
      <c r="FO262" s="225">
        <f t="shared" ca="1" si="1046"/>
        <v>0</v>
      </c>
      <c r="FP262" s="225">
        <f t="shared" ca="1" si="1046"/>
        <v>0</v>
      </c>
      <c r="FQ262" s="225">
        <f t="shared" ca="1" si="1046"/>
        <v>0</v>
      </c>
      <c r="FR262" s="225">
        <f t="shared" ca="1" si="1046"/>
        <v>0</v>
      </c>
      <c r="FS262" s="225">
        <f t="shared" ca="1" si="1046"/>
        <v>0</v>
      </c>
      <c r="FT262" s="225">
        <f t="shared" ca="1" si="1046"/>
        <v>0</v>
      </c>
      <c r="FU262" s="225">
        <f t="shared" ca="1" si="1046"/>
        <v>0</v>
      </c>
      <c r="FV262" s="225">
        <f t="shared" ca="1" si="1046"/>
        <v>0</v>
      </c>
      <c r="FW262" s="225">
        <f t="shared" ca="1" si="1046"/>
        <v>0</v>
      </c>
      <c r="FX262" s="225">
        <f t="shared" ca="1" si="1046"/>
        <v>0</v>
      </c>
      <c r="FY262" s="225">
        <f t="shared" ca="1" si="1046"/>
        <v>0</v>
      </c>
      <c r="FZ262" s="225">
        <f t="shared" ca="1" si="1046"/>
        <v>0</v>
      </c>
      <c r="GA262" s="225">
        <f t="shared" ca="1" si="1046"/>
        <v>0</v>
      </c>
      <c r="GB262" s="225">
        <f t="shared" ref="GB262:HG262" ca="1" si="1047">(GB$197&lt;=Timing_Reversion_Month)*(GB259/$I$256*$H$256)</f>
        <v>0</v>
      </c>
      <c r="GC262" s="225">
        <f t="shared" ca="1" si="1047"/>
        <v>0</v>
      </c>
      <c r="GD262" s="225">
        <f t="shared" ca="1" si="1047"/>
        <v>0</v>
      </c>
      <c r="GE262" s="225">
        <f t="shared" ca="1" si="1047"/>
        <v>0</v>
      </c>
      <c r="GF262" s="225">
        <f t="shared" ca="1" si="1047"/>
        <v>0</v>
      </c>
      <c r="GG262" s="225">
        <f t="shared" ca="1" si="1047"/>
        <v>0</v>
      </c>
      <c r="GH262" s="225">
        <f t="shared" ca="1" si="1047"/>
        <v>0</v>
      </c>
      <c r="GI262" s="225">
        <f t="shared" ca="1" si="1047"/>
        <v>0</v>
      </c>
      <c r="GJ262" s="225">
        <f t="shared" ca="1" si="1047"/>
        <v>0</v>
      </c>
      <c r="GK262" s="225">
        <f t="shared" ca="1" si="1047"/>
        <v>0</v>
      </c>
      <c r="GL262" s="225">
        <f t="shared" ca="1" si="1047"/>
        <v>0</v>
      </c>
      <c r="GM262" s="225">
        <f t="shared" ca="1" si="1047"/>
        <v>0</v>
      </c>
      <c r="GN262" s="225">
        <f t="shared" ca="1" si="1047"/>
        <v>0</v>
      </c>
      <c r="GO262" s="225">
        <f t="shared" ca="1" si="1047"/>
        <v>53960.951930343035</v>
      </c>
      <c r="GP262" s="225">
        <f t="shared" ca="1" si="1047"/>
        <v>0</v>
      </c>
      <c r="GQ262" s="225">
        <f t="shared" ca="1" si="1047"/>
        <v>0</v>
      </c>
      <c r="GR262" s="225">
        <f t="shared" ca="1" si="1047"/>
        <v>0</v>
      </c>
      <c r="GS262" s="225">
        <f t="shared" ca="1" si="1047"/>
        <v>0</v>
      </c>
      <c r="GT262" s="225">
        <f t="shared" ca="1" si="1047"/>
        <v>0</v>
      </c>
      <c r="GU262" s="225">
        <f t="shared" ca="1" si="1047"/>
        <v>0</v>
      </c>
      <c r="GV262" s="225">
        <f t="shared" ca="1" si="1047"/>
        <v>0</v>
      </c>
      <c r="GW262" s="225">
        <f t="shared" ca="1" si="1047"/>
        <v>0</v>
      </c>
      <c r="GX262" s="225">
        <f t="shared" ca="1" si="1047"/>
        <v>0</v>
      </c>
      <c r="GY262" s="225">
        <f t="shared" ca="1" si="1047"/>
        <v>0</v>
      </c>
      <c r="GZ262" s="225">
        <f t="shared" ca="1" si="1047"/>
        <v>0</v>
      </c>
      <c r="HA262" s="225">
        <f t="shared" ca="1" si="1047"/>
        <v>0</v>
      </c>
      <c r="HB262" s="225">
        <f t="shared" ca="1" si="1047"/>
        <v>0</v>
      </c>
      <c r="HC262" s="225">
        <f t="shared" ca="1" si="1047"/>
        <v>0</v>
      </c>
      <c r="HD262" s="225">
        <f t="shared" ca="1" si="1047"/>
        <v>0</v>
      </c>
      <c r="HE262" s="225">
        <f t="shared" ca="1" si="1047"/>
        <v>0</v>
      </c>
      <c r="HF262" s="225">
        <f t="shared" ca="1" si="1047"/>
        <v>0</v>
      </c>
      <c r="HG262" s="225">
        <f t="shared" ca="1" si="1047"/>
        <v>0</v>
      </c>
      <c r="HH262" s="225">
        <f t="shared" ref="HH262:IM262" ca="1" si="1048">(HH$197&lt;=Timing_Reversion_Month)*(HH259/$I$256*$H$256)</f>
        <v>0</v>
      </c>
      <c r="HI262" s="225">
        <f t="shared" ca="1" si="1048"/>
        <v>0</v>
      </c>
      <c r="HJ262" s="225">
        <f t="shared" ca="1" si="1048"/>
        <v>0</v>
      </c>
      <c r="HK262" s="225">
        <f t="shared" ca="1" si="1048"/>
        <v>0</v>
      </c>
      <c r="HL262" s="225">
        <f t="shared" ca="1" si="1048"/>
        <v>0</v>
      </c>
      <c r="HM262" s="225">
        <f t="shared" ca="1" si="1048"/>
        <v>0</v>
      </c>
      <c r="HN262" s="225">
        <f t="shared" ca="1" si="1048"/>
        <v>0</v>
      </c>
      <c r="HO262" s="225">
        <f t="shared" ca="1" si="1048"/>
        <v>0</v>
      </c>
      <c r="HP262" s="225">
        <f t="shared" ca="1" si="1048"/>
        <v>0</v>
      </c>
      <c r="HQ262" s="225">
        <f t="shared" ca="1" si="1048"/>
        <v>0</v>
      </c>
      <c r="HR262" s="225">
        <f t="shared" ca="1" si="1048"/>
        <v>0</v>
      </c>
      <c r="HS262" s="225">
        <f t="shared" ca="1" si="1048"/>
        <v>0</v>
      </c>
      <c r="HT262" s="225">
        <f t="shared" ca="1" si="1048"/>
        <v>0</v>
      </c>
      <c r="HU262" s="225">
        <f t="shared" ca="1" si="1048"/>
        <v>0</v>
      </c>
      <c r="HV262" s="225">
        <f t="shared" ca="1" si="1048"/>
        <v>0</v>
      </c>
      <c r="HW262" s="225">
        <f t="shared" ca="1" si="1048"/>
        <v>0</v>
      </c>
      <c r="HX262" s="225">
        <f t="shared" ca="1" si="1048"/>
        <v>0</v>
      </c>
      <c r="HY262" s="225">
        <f t="shared" ca="1" si="1048"/>
        <v>0</v>
      </c>
      <c r="HZ262" s="225">
        <f t="shared" ca="1" si="1048"/>
        <v>0</v>
      </c>
      <c r="IA262" s="225">
        <f t="shared" ca="1" si="1048"/>
        <v>0</v>
      </c>
      <c r="IB262" s="225">
        <f t="shared" ca="1" si="1048"/>
        <v>0</v>
      </c>
      <c r="IC262" s="225">
        <f t="shared" ca="1" si="1048"/>
        <v>0</v>
      </c>
      <c r="ID262" s="225">
        <f t="shared" ca="1" si="1048"/>
        <v>0</v>
      </c>
      <c r="IE262" s="225">
        <f t="shared" ca="1" si="1048"/>
        <v>0</v>
      </c>
      <c r="IF262" s="225">
        <f t="shared" ca="1" si="1048"/>
        <v>0</v>
      </c>
      <c r="IG262" s="225">
        <f t="shared" ca="1" si="1048"/>
        <v>0</v>
      </c>
      <c r="IH262" s="225">
        <f t="shared" ca="1" si="1048"/>
        <v>0</v>
      </c>
      <c r="II262" s="225">
        <f t="shared" ca="1" si="1048"/>
        <v>0</v>
      </c>
      <c r="IJ262" s="225">
        <f t="shared" ca="1" si="1048"/>
        <v>0</v>
      </c>
      <c r="IK262" s="225">
        <f t="shared" ca="1" si="1048"/>
        <v>0</v>
      </c>
      <c r="IL262" s="225">
        <f t="shared" ca="1" si="1048"/>
        <v>0</v>
      </c>
      <c r="IM262" s="225">
        <f t="shared" ca="1" si="1048"/>
        <v>0</v>
      </c>
      <c r="IN262" s="225">
        <f t="shared" ref="IN262:JX262" ca="1" si="1049">(IN$197&lt;=Timing_Reversion_Month)*(IN259/$I$256*$H$256)</f>
        <v>0</v>
      </c>
      <c r="IO262" s="225">
        <f t="shared" ca="1" si="1049"/>
        <v>0</v>
      </c>
      <c r="IP262" s="225">
        <f t="shared" ca="1" si="1049"/>
        <v>0</v>
      </c>
      <c r="IQ262" s="225">
        <f t="shared" ca="1" si="1049"/>
        <v>0</v>
      </c>
      <c r="IR262" s="225">
        <f t="shared" ca="1" si="1049"/>
        <v>0</v>
      </c>
      <c r="IS262" s="225">
        <f t="shared" ca="1" si="1049"/>
        <v>0</v>
      </c>
      <c r="IT262" s="225">
        <f t="shared" ca="1" si="1049"/>
        <v>0</v>
      </c>
      <c r="IU262" s="225">
        <f t="shared" ca="1" si="1049"/>
        <v>0</v>
      </c>
      <c r="IV262" s="225">
        <f t="shared" ca="1" si="1049"/>
        <v>0</v>
      </c>
      <c r="IW262" s="225">
        <f t="shared" ca="1" si="1049"/>
        <v>0</v>
      </c>
      <c r="IX262" s="225">
        <f t="shared" ca="1" si="1049"/>
        <v>0</v>
      </c>
      <c r="IY262" s="225">
        <f t="shared" ca="1" si="1049"/>
        <v>0</v>
      </c>
      <c r="IZ262" s="225">
        <f t="shared" ca="1" si="1049"/>
        <v>0</v>
      </c>
      <c r="JA262" s="225">
        <f t="shared" ca="1" si="1049"/>
        <v>0</v>
      </c>
      <c r="JB262" s="225">
        <f t="shared" ca="1" si="1049"/>
        <v>0</v>
      </c>
      <c r="JC262" s="225">
        <f t="shared" ca="1" si="1049"/>
        <v>0</v>
      </c>
      <c r="JD262" s="225">
        <f t="shared" ca="1" si="1049"/>
        <v>0</v>
      </c>
      <c r="JE262" s="225">
        <f t="shared" ca="1" si="1049"/>
        <v>0</v>
      </c>
      <c r="JF262" s="225">
        <f t="shared" ca="1" si="1049"/>
        <v>0</v>
      </c>
      <c r="JG262" s="225">
        <f t="shared" ca="1" si="1049"/>
        <v>0</v>
      </c>
      <c r="JH262" s="225">
        <f t="shared" ca="1" si="1049"/>
        <v>0</v>
      </c>
      <c r="JI262" s="225">
        <f t="shared" ca="1" si="1049"/>
        <v>0</v>
      </c>
      <c r="JJ262" s="225">
        <f t="shared" ca="1" si="1049"/>
        <v>0</v>
      </c>
      <c r="JK262" s="225">
        <f t="shared" ca="1" si="1049"/>
        <v>0</v>
      </c>
      <c r="JL262" s="225">
        <f t="shared" ca="1" si="1049"/>
        <v>0</v>
      </c>
      <c r="JM262" s="225">
        <f t="shared" ca="1" si="1049"/>
        <v>0</v>
      </c>
      <c r="JN262" s="225">
        <f t="shared" ca="1" si="1049"/>
        <v>0</v>
      </c>
      <c r="JO262" s="225">
        <f t="shared" ca="1" si="1049"/>
        <v>0</v>
      </c>
      <c r="JP262" s="225">
        <f t="shared" ca="1" si="1049"/>
        <v>0</v>
      </c>
      <c r="JQ262" s="225">
        <f t="shared" ca="1" si="1049"/>
        <v>0</v>
      </c>
      <c r="JR262" s="225">
        <f t="shared" ca="1" si="1049"/>
        <v>0</v>
      </c>
      <c r="JS262" s="225">
        <f t="shared" ca="1" si="1049"/>
        <v>0</v>
      </c>
      <c r="JT262" s="225">
        <f t="shared" ca="1" si="1049"/>
        <v>0</v>
      </c>
      <c r="JU262" s="225">
        <f t="shared" ca="1" si="1049"/>
        <v>0</v>
      </c>
      <c r="JV262" s="225">
        <f t="shared" ca="1" si="1049"/>
        <v>0</v>
      </c>
      <c r="JW262" s="225">
        <f t="shared" ca="1" si="1049"/>
        <v>0</v>
      </c>
      <c r="JX262" s="225">
        <f t="shared" ca="1" si="1049"/>
        <v>0</v>
      </c>
    </row>
    <row r="263" spans="1:284" s="7" customFormat="1" ht="0.6" customHeight="1" x14ac:dyDescent="0.2">
      <c r="A263" s="406"/>
      <c r="B263" s="231"/>
      <c r="C263" s="233"/>
      <c r="D263" s="233"/>
      <c r="E263" s="233"/>
      <c r="F263" s="233"/>
      <c r="G263" s="233"/>
      <c r="H263" s="233"/>
      <c r="I263" s="233"/>
      <c r="EP263" s="37"/>
      <c r="EQ263" s="24"/>
      <c r="ER263" s="24"/>
      <c r="ES263" s="24"/>
      <c r="ET263" s="33" t="s">
        <v>390</v>
      </c>
      <c r="EU263" s="33"/>
      <c r="EV263" s="222">
        <f ca="1">+EV262+EV259</f>
        <v>0</v>
      </c>
      <c r="EW263" s="222">
        <f t="shared" ref="EW263:HH263" ca="1" si="1050">+EW262+EW259</f>
        <v>0</v>
      </c>
      <c r="EX263" s="222">
        <f t="shared" ca="1" si="1050"/>
        <v>0</v>
      </c>
      <c r="EY263" s="222">
        <f t="shared" ca="1" si="1050"/>
        <v>0</v>
      </c>
      <c r="EZ263" s="222">
        <f t="shared" ca="1" si="1050"/>
        <v>0</v>
      </c>
      <c r="FA263" s="222">
        <f t="shared" ca="1" si="1050"/>
        <v>0</v>
      </c>
      <c r="FB263" s="222">
        <f t="shared" ca="1" si="1050"/>
        <v>0</v>
      </c>
      <c r="FC263" s="222">
        <f t="shared" ca="1" si="1050"/>
        <v>0</v>
      </c>
      <c r="FD263" s="222">
        <f t="shared" ca="1" si="1050"/>
        <v>0</v>
      </c>
      <c r="FE263" s="222">
        <f t="shared" ca="1" si="1050"/>
        <v>0</v>
      </c>
      <c r="FF263" s="222">
        <f t="shared" ca="1" si="1050"/>
        <v>0</v>
      </c>
      <c r="FG263" s="222">
        <f t="shared" ca="1" si="1050"/>
        <v>0</v>
      </c>
      <c r="FH263" s="222">
        <f t="shared" ca="1" si="1050"/>
        <v>0</v>
      </c>
      <c r="FI263" s="222">
        <f t="shared" ca="1" si="1050"/>
        <v>0</v>
      </c>
      <c r="FJ263" s="222">
        <f t="shared" ca="1" si="1050"/>
        <v>0</v>
      </c>
      <c r="FK263" s="222">
        <f t="shared" ca="1" si="1050"/>
        <v>0</v>
      </c>
      <c r="FL263" s="222">
        <f t="shared" ca="1" si="1050"/>
        <v>0</v>
      </c>
      <c r="FM263" s="222">
        <f t="shared" ca="1" si="1050"/>
        <v>0</v>
      </c>
      <c r="FN263" s="222">
        <f t="shared" ca="1" si="1050"/>
        <v>0</v>
      </c>
      <c r="FO263" s="222">
        <f t="shared" ca="1" si="1050"/>
        <v>0</v>
      </c>
      <c r="FP263" s="222">
        <f t="shared" ca="1" si="1050"/>
        <v>0</v>
      </c>
      <c r="FQ263" s="222">
        <f t="shared" ca="1" si="1050"/>
        <v>0</v>
      </c>
      <c r="FR263" s="222">
        <f t="shared" ca="1" si="1050"/>
        <v>0</v>
      </c>
      <c r="FS263" s="222">
        <f t="shared" ca="1" si="1050"/>
        <v>0</v>
      </c>
      <c r="FT263" s="222">
        <f t="shared" ca="1" si="1050"/>
        <v>0</v>
      </c>
      <c r="FU263" s="222">
        <f t="shared" ca="1" si="1050"/>
        <v>0</v>
      </c>
      <c r="FV263" s="222">
        <f t="shared" ca="1" si="1050"/>
        <v>0</v>
      </c>
      <c r="FW263" s="222">
        <f t="shared" ca="1" si="1050"/>
        <v>0</v>
      </c>
      <c r="FX263" s="222">
        <f t="shared" ca="1" si="1050"/>
        <v>0</v>
      </c>
      <c r="FY263" s="222">
        <f t="shared" ca="1" si="1050"/>
        <v>0</v>
      </c>
      <c r="FZ263" s="222">
        <f t="shared" ca="1" si="1050"/>
        <v>0</v>
      </c>
      <c r="GA263" s="222">
        <f t="shared" ca="1" si="1050"/>
        <v>0</v>
      </c>
      <c r="GB263" s="222">
        <f t="shared" ca="1" si="1050"/>
        <v>0</v>
      </c>
      <c r="GC263" s="222">
        <f t="shared" ca="1" si="1050"/>
        <v>0</v>
      </c>
      <c r="GD263" s="222">
        <f t="shared" ca="1" si="1050"/>
        <v>0</v>
      </c>
      <c r="GE263" s="222">
        <f t="shared" ca="1" si="1050"/>
        <v>0</v>
      </c>
      <c r="GF263" s="222">
        <f t="shared" ca="1" si="1050"/>
        <v>0</v>
      </c>
      <c r="GG263" s="222">
        <f t="shared" ca="1" si="1050"/>
        <v>0</v>
      </c>
      <c r="GH263" s="222">
        <f t="shared" ca="1" si="1050"/>
        <v>0</v>
      </c>
      <c r="GI263" s="222">
        <f t="shared" ca="1" si="1050"/>
        <v>0</v>
      </c>
      <c r="GJ263" s="222">
        <f t="shared" ca="1" si="1050"/>
        <v>0</v>
      </c>
      <c r="GK263" s="222">
        <f t="shared" ca="1" si="1050"/>
        <v>0</v>
      </c>
      <c r="GL263" s="222">
        <f t="shared" ca="1" si="1050"/>
        <v>0</v>
      </c>
      <c r="GM263" s="222">
        <f t="shared" ca="1" si="1050"/>
        <v>0</v>
      </c>
      <c r="GN263" s="222">
        <f t="shared" ca="1" si="1050"/>
        <v>0</v>
      </c>
      <c r="GO263" s="222">
        <f t="shared" ca="1" si="1050"/>
        <v>145840.41062254875</v>
      </c>
      <c r="GP263" s="222">
        <f t="shared" ca="1" si="1050"/>
        <v>0</v>
      </c>
      <c r="GQ263" s="222">
        <f t="shared" ca="1" si="1050"/>
        <v>0</v>
      </c>
      <c r="GR263" s="222">
        <f t="shared" ca="1" si="1050"/>
        <v>0</v>
      </c>
      <c r="GS263" s="222">
        <f t="shared" ca="1" si="1050"/>
        <v>0</v>
      </c>
      <c r="GT263" s="222">
        <f t="shared" ca="1" si="1050"/>
        <v>0</v>
      </c>
      <c r="GU263" s="222">
        <f t="shared" ca="1" si="1050"/>
        <v>0</v>
      </c>
      <c r="GV263" s="222">
        <f t="shared" ca="1" si="1050"/>
        <v>0</v>
      </c>
      <c r="GW263" s="222">
        <f t="shared" ca="1" si="1050"/>
        <v>0</v>
      </c>
      <c r="GX263" s="222">
        <f t="shared" ca="1" si="1050"/>
        <v>0</v>
      </c>
      <c r="GY263" s="222">
        <f t="shared" ca="1" si="1050"/>
        <v>0</v>
      </c>
      <c r="GZ263" s="222">
        <f t="shared" ca="1" si="1050"/>
        <v>0</v>
      </c>
      <c r="HA263" s="222">
        <f t="shared" ca="1" si="1050"/>
        <v>0</v>
      </c>
      <c r="HB263" s="222">
        <f t="shared" ca="1" si="1050"/>
        <v>0</v>
      </c>
      <c r="HC263" s="222">
        <f t="shared" ca="1" si="1050"/>
        <v>0</v>
      </c>
      <c r="HD263" s="222">
        <f t="shared" ca="1" si="1050"/>
        <v>0</v>
      </c>
      <c r="HE263" s="222">
        <f t="shared" ca="1" si="1050"/>
        <v>0</v>
      </c>
      <c r="HF263" s="222">
        <f t="shared" ca="1" si="1050"/>
        <v>0</v>
      </c>
      <c r="HG263" s="222">
        <f t="shared" ca="1" si="1050"/>
        <v>0</v>
      </c>
      <c r="HH263" s="222">
        <f t="shared" ca="1" si="1050"/>
        <v>0</v>
      </c>
      <c r="HI263" s="222">
        <f t="shared" ref="HI263:JT263" ca="1" si="1051">+HI262+HI259</f>
        <v>0</v>
      </c>
      <c r="HJ263" s="222">
        <f t="shared" ca="1" si="1051"/>
        <v>0</v>
      </c>
      <c r="HK263" s="222">
        <f t="shared" ca="1" si="1051"/>
        <v>0</v>
      </c>
      <c r="HL263" s="222">
        <f t="shared" ca="1" si="1051"/>
        <v>0</v>
      </c>
      <c r="HM263" s="222">
        <f t="shared" ca="1" si="1051"/>
        <v>0</v>
      </c>
      <c r="HN263" s="222">
        <f t="shared" ca="1" si="1051"/>
        <v>0</v>
      </c>
      <c r="HO263" s="222">
        <f t="shared" ca="1" si="1051"/>
        <v>0</v>
      </c>
      <c r="HP263" s="222">
        <f t="shared" ca="1" si="1051"/>
        <v>0</v>
      </c>
      <c r="HQ263" s="222">
        <f t="shared" ca="1" si="1051"/>
        <v>0</v>
      </c>
      <c r="HR263" s="222">
        <f t="shared" ca="1" si="1051"/>
        <v>0</v>
      </c>
      <c r="HS263" s="222">
        <f t="shared" ca="1" si="1051"/>
        <v>0</v>
      </c>
      <c r="HT263" s="222">
        <f t="shared" ca="1" si="1051"/>
        <v>0</v>
      </c>
      <c r="HU263" s="222">
        <f t="shared" ca="1" si="1051"/>
        <v>0</v>
      </c>
      <c r="HV263" s="222">
        <f t="shared" ca="1" si="1051"/>
        <v>0</v>
      </c>
      <c r="HW263" s="222">
        <f t="shared" ca="1" si="1051"/>
        <v>0</v>
      </c>
      <c r="HX263" s="222">
        <f t="shared" ca="1" si="1051"/>
        <v>0</v>
      </c>
      <c r="HY263" s="222">
        <f t="shared" ca="1" si="1051"/>
        <v>0</v>
      </c>
      <c r="HZ263" s="222">
        <f t="shared" ca="1" si="1051"/>
        <v>0</v>
      </c>
      <c r="IA263" s="222">
        <f t="shared" ca="1" si="1051"/>
        <v>0</v>
      </c>
      <c r="IB263" s="222">
        <f t="shared" ca="1" si="1051"/>
        <v>0</v>
      </c>
      <c r="IC263" s="222">
        <f t="shared" ca="1" si="1051"/>
        <v>0</v>
      </c>
      <c r="ID263" s="222">
        <f t="shared" ca="1" si="1051"/>
        <v>0</v>
      </c>
      <c r="IE263" s="222">
        <f t="shared" ca="1" si="1051"/>
        <v>0</v>
      </c>
      <c r="IF263" s="222">
        <f t="shared" ca="1" si="1051"/>
        <v>0</v>
      </c>
      <c r="IG263" s="222">
        <f t="shared" ca="1" si="1051"/>
        <v>0</v>
      </c>
      <c r="IH263" s="222">
        <f t="shared" ca="1" si="1051"/>
        <v>0</v>
      </c>
      <c r="II263" s="222">
        <f t="shared" ca="1" si="1051"/>
        <v>0</v>
      </c>
      <c r="IJ263" s="222">
        <f t="shared" ca="1" si="1051"/>
        <v>0</v>
      </c>
      <c r="IK263" s="222">
        <f t="shared" ca="1" si="1051"/>
        <v>0</v>
      </c>
      <c r="IL263" s="222">
        <f t="shared" ca="1" si="1051"/>
        <v>0</v>
      </c>
      <c r="IM263" s="222">
        <f t="shared" ca="1" si="1051"/>
        <v>0</v>
      </c>
      <c r="IN263" s="222">
        <f t="shared" ca="1" si="1051"/>
        <v>0</v>
      </c>
      <c r="IO263" s="222">
        <f t="shared" ca="1" si="1051"/>
        <v>0</v>
      </c>
      <c r="IP263" s="222">
        <f t="shared" ca="1" si="1051"/>
        <v>0</v>
      </c>
      <c r="IQ263" s="222">
        <f t="shared" ca="1" si="1051"/>
        <v>0</v>
      </c>
      <c r="IR263" s="222">
        <f t="shared" ca="1" si="1051"/>
        <v>0</v>
      </c>
      <c r="IS263" s="222">
        <f t="shared" ca="1" si="1051"/>
        <v>0</v>
      </c>
      <c r="IT263" s="222">
        <f t="shared" ca="1" si="1051"/>
        <v>0</v>
      </c>
      <c r="IU263" s="222">
        <f t="shared" ca="1" si="1051"/>
        <v>0</v>
      </c>
      <c r="IV263" s="222">
        <f t="shared" ca="1" si="1051"/>
        <v>0</v>
      </c>
      <c r="IW263" s="222">
        <f t="shared" ca="1" si="1051"/>
        <v>0</v>
      </c>
      <c r="IX263" s="222">
        <f t="shared" ca="1" si="1051"/>
        <v>0</v>
      </c>
      <c r="IY263" s="222">
        <f t="shared" ca="1" si="1051"/>
        <v>0</v>
      </c>
      <c r="IZ263" s="222">
        <f t="shared" ca="1" si="1051"/>
        <v>0</v>
      </c>
      <c r="JA263" s="222">
        <f t="shared" ca="1" si="1051"/>
        <v>0</v>
      </c>
      <c r="JB263" s="222">
        <f t="shared" ca="1" si="1051"/>
        <v>0</v>
      </c>
      <c r="JC263" s="222">
        <f t="shared" ca="1" si="1051"/>
        <v>0</v>
      </c>
      <c r="JD263" s="222">
        <f t="shared" ca="1" si="1051"/>
        <v>0</v>
      </c>
      <c r="JE263" s="222">
        <f t="shared" ca="1" si="1051"/>
        <v>0</v>
      </c>
      <c r="JF263" s="222">
        <f t="shared" ca="1" si="1051"/>
        <v>0</v>
      </c>
      <c r="JG263" s="222">
        <f t="shared" ca="1" si="1051"/>
        <v>0</v>
      </c>
      <c r="JH263" s="222">
        <f t="shared" ca="1" si="1051"/>
        <v>0</v>
      </c>
      <c r="JI263" s="222">
        <f t="shared" ca="1" si="1051"/>
        <v>0</v>
      </c>
      <c r="JJ263" s="222">
        <f t="shared" ca="1" si="1051"/>
        <v>0</v>
      </c>
      <c r="JK263" s="222">
        <f t="shared" ca="1" si="1051"/>
        <v>0</v>
      </c>
      <c r="JL263" s="222">
        <f t="shared" ca="1" si="1051"/>
        <v>0</v>
      </c>
      <c r="JM263" s="222">
        <f t="shared" ca="1" si="1051"/>
        <v>0</v>
      </c>
      <c r="JN263" s="222">
        <f t="shared" ca="1" si="1051"/>
        <v>0</v>
      </c>
      <c r="JO263" s="222">
        <f t="shared" ca="1" si="1051"/>
        <v>0</v>
      </c>
      <c r="JP263" s="222">
        <f t="shared" ca="1" si="1051"/>
        <v>0</v>
      </c>
      <c r="JQ263" s="222">
        <f t="shared" ca="1" si="1051"/>
        <v>0</v>
      </c>
      <c r="JR263" s="222">
        <f t="shared" ca="1" si="1051"/>
        <v>0</v>
      </c>
      <c r="JS263" s="222">
        <f t="shared" ca="1" si="1051"/>
        <v>0</v>
      </c>
      <c r="JT263" s="222">
        <f t="shared" ca="1" si="1051"/>
        <v>0</v>
      </c>
      <c r="JU263" s="222">
        <f ca="1">+JU262+JU259</f>
        <v>0</v>
      </c>
      <c r="JV263" s="222">
        <f ca="1">+JV262+JV259</f>
        <v>0</v>
      </c>
      <c r="JW263" s="222">
        <f ca="1">+JW262+JW259</f>
        <v>0</v>
      </c>
      <c r="JX263" s="222">
        <f ca="1">+JX262+JX259</f>
        <v>0</v>
      </c>
    </row>
    <row r="264" spans="1:284" s="7" customFormat="1" ht="0.6" customHeight="1" x14ac:dyDescent="0.2">
      <c r="A264" s="406"/>
      <c r="B264" s="238" t="s">
        <v>358</v>
      </c>
      <c r="C264" s="233"/>
      <c r="D264" s="233"/>
      <c r="E264" s="233"/>
      <c r="F264" s="245" t="s">
        <v>391</v>
      </c>
      <c r="G264" s="245" t="s">
        <v>195</v>
      </c>
      <c r="H264" s="256" t="s">
        <v>214</v>
      </c>
      <c r="I264" s="256" t="s">
        <v>46</v>
      </c>
      <c r="EP264" s="228"/>
      <c r="EQ264" s="228"/>
      <c r="ER264" s="228"/>
      <c r="ES264" s="228"/>
      <c r="ET264" s="229" t="s">
        <v>373</v>
      </c>
      <c r="EU264" s="229"/>
      <c r="EV264" s="230">
        <f ca="1">MAX(EV255-EV263,0)</f>
        <v>0</v>
      </c>
      <c r="EW264" s="230">
        <f t="shared" ref="EW264:HH264" ca="1" si="1052">MAX(EW255-EW263,0)</f>
        <v>0</v>
      </c>
      <c r="EX264" s="230">
        <f t="shared" ca="1" si="1052"/>
        <v>0</v>
      </c>
      <c r="EY264" s="230">
        <f t="shared" ca="1" si="1052"/>
        <v>0</v>
      </c>
      <c r="EZ264" s="230">
        <f t="shared" ca="1" si="1052"/>
        <v>0</v>
      </c>
      <c r="FA264" s="230">
        <f t="shared" ca="1" si="1052"/>
        <v>0</v>
      </c>
      <c r="FB264" s="230">
        <f t="shared" ca="1" si="1052"/>
        <v>0</v>
      </c>
      <c r="FC264" s="230">
        <f t="shared" ca="1" si="1052"/>
        <v>0</v>
      </c>
      <c r="FD264" s="230">
        <f t="shared" ca="1" si="1052"/>
        <v>0</v>
      </c>
      <c r="FE264" s="230">
        <f t="shared" ca="1" si="1052"/>
        <v>0</v>
      </c>
      <c r="FF264" s="230">
        <f t="shared" ca="1" si="1052"/>
        <v>0</v>
      </c>
      <c r="FG264" s="230">
        <f t="shared" ca="1" si="1052"/>
        <v>0</v>
      </c>
      <c r="FH264" s="230">
        <f t="shared" ca="1" si="1052"/>
        <v>0</v>
      </c>
      <c r="FI264" s="230">
        <f t="shared" ca="1" si="1052"/>
        <v>0</v>
      </c>
      <c r="FJ264" s="230">
        <f t="shared" ca="1" si="1052"/>
        <v>0</v>
      </c>
      <c r="FK264" s="230">
        <f t="shared" ca="1" si="1052"/>
        <v>0</v>
      </c>
      <c r="FL264" s="230">
        <f t="shared" ca="1" si="1052"/>
        <v>0</v>
      </c>
      <c r="FM264" s="230">
        <f t="shared" ca="1" si="1052"/>
        <v>0</v>
      </c>
      <c r="FN264" s="230">
        <f t="shared" ca="1" si="1052"/>
        <v>0</v>
      </c>
      <c r="FO264" s="230">
        <f t="shared" ca="1" si="1052"/>
        <v>0</v>
      </c>
      <c r="FP264" s="230">
        <f t="shared" ca="1" si="1052"/>
        <v>0</v>
      </c>
      <c r="FQ264" s="230">
        <f t="shared" ca="1" si="1052"/>
        <v>0</v>
      </c>
      <c r="FR264" s="230">
        <f t="shared" ca="1" si="1052"/>
        <v>0</v>
      </c>
      <c r="FS264" s="230">
        <f t="shared" ca="1" si="1052"/>
        <v>0</v>
      </c>
      <c r="FT264" s="230">
        <f t="shared" ca="1" si="1052"/>
        <v>0</v>
      </c>
      <c r="FU264" s="230">
        <f t="shared" ca="1" si="1052"/>
        <v>0</v>
      </c>
      <c r="FV264" s="230">
        <f t="shared" ca="1" si="1052"/>
        <v>0</v>
      </c>
      <c r="FW264" s="230">
        <f t="shared" ca="1" si="1052"/>
        <v>0</v>
      </c>
      <c r="FX264" s="230">
        <f t="shared" ca="1" si="1052"/>
        <v>0</v>
      </c>
      <c r="FY264" s="230">
        <f t="shared" ca="1" si="1052"/>
        <v>0</v>
      </c>
      <c r="FZ264" s="230">
        <f t="shared" ca="1" si="1052"/>
        <v>0</v>
      </c>
      <c r="GA264" s="230">
        <f t="shared" ca="1" si="1052"/>
        <v>0</v>
      </c>
      <c r="GB264" s="230">
        <f t="shared" ca="1" si="1052"/>
        <v>0</v>
      </c>
      <c r="GC264" s="230">
        <f t="shared" ca="1" si="1052"/>
        <v>0</v>
      </c>
      <c r="GD264" s="230">
        <f t="shared" ca="1" si="1052"/>
        <v>0</v>
      </c>
      <c r="GE264" s="230">
        <f t="shared" ca="1" si="1052"/>
        <v>0</v>
      </c>
      <c r="GF264" s="230">
        <f t="shared" ca="1" si="1052"/>
        <v>0</v>
      </c>
      <c r="GG264" s="230">
        <f t="shared" ca="1" si="1052"/>
        <v>0</v>
      </c>
      <c r="GH264" s="230">
        <f t="shared" ca="1" si="1052"/>
        <v>0</v>
      </c>
      <c r="GI264" s="230">
        <f t="shared" ca="1" si="1052"/>
        <v>0</v>
      </c>
      <c r="GJ264" s="230">
        <f t="shared" ca="1" si="1052"/>
        <v>0</v>
      </c>
      <c r="GK264" s="230">
        <f t="shared" ca="1" si="1052"/>
        <v>0</v>
      </c>
      <c r="GL264" s="230">
        <f t="shared" ca="1" si="1052"/>
        <v>0</v>
      </c>
      <c r="GM264" s="230">
        <f t="shared" ca="1" si="1052"/>
        <v>0</v>
      </c>
      <c r="GN264" s="230">
        <f t="shared" ca="1" si="1052"/>
        <v>0</v>
      </c>
      <c r="GO264" s="230">
        <f t="shared" ca="1" si="1052"/>
        <v>701481.52215344342</v>
      </c>
      <c r="GP264" s="230">
        <f t="shared" ca="1" si="1052"/>
        <v>0</v>
      </c>
      <c r="GQ264" s="230">
        <f t="shared" ca="1" si="1052"/>
        <v>0</v>
      </c>
      <c r="GR264" s="230">
        <f t="shared" ca="1" si="1052"/>
        <v>0</v>
      </c>
      <c r="GS264" s="230">
        <f t="shared" ca="1" si="1052"/>
        <v>0</v>
      </c>
      <c r="GT264" s="230">
        <f t="shared" ca="1" si="1052"/>
        <v>0</v>
      </c>
      <c r="GU264" s="230">
        <f t="shared" ca="1" si="1052"/>
        <v>0</v>
      </c>
      <c r="GV264" s="230">
        <f t="shared" ca="1" si="1052"/>
        <v>0</v>
      </c>
      <c r="GW264" s="230">
        <f t="shared" ca="1" si="1052"/>
        <v>0</v>
      </c>
      <c r="GX264" s="230">
        <f t="shared" ca="1" si="1052"/>
        <v>0</v>
      </c>
      <c r="GY264" s="230">
        <f t="shared" ca="1" si="1052"/>
        <v>0</v>
      </c>
      <c r="GZ264" s="230">
        <f t="shared" ca="1" si="1052"/>
        <v>0</v>
      </c>
      <c r="HA264" s="230">
        <f t="shared" ca="1" si="1052"/>
        <v>0</v>
      </c>
      <c r="HB264" s="230">
        <f t="shared" ca="1" si="1052"/>
        <v>0</v>
      </c>
      <c r="HC264" s="230">
        <f t="shared" ca="1" si="1052"/>
        <v>0</v>
      </c>
      <c r="HD264" s="230">
        <f t="shared" ca="1" si="1052"/>
        <v>0</v>
      </c>
      <c r="HE264" s="230">
        <f t="shared" ca="1" si="1052"/>
        <v>0</v>
      </c>
      <c r="HF264" s="230">
        <f t="shared" ca="1" si="1052"/>
        <v>0</v>
      </c>
      <c r="HG264" s="230">
        <f t="shared" ca="1" si="1052"/>
        <v>0</v>
      </c>
      <c r="HH264" s="230">
        <f t="shared" ca="1" si="1052"/>
        <v>0</v>
      </c>
      <c r="HI264" s="230">
        <f t="shared" ref="HI264:JT264" ca="1" si="1053">MAX(HI255-HI263,0)</f>
        <v>0</v>
      </c>
      <c r="HJ264" s="230">
        <f t="shared" ca="1" si="1053"/>
        <v>0</v>
      </c>
      <c r="HK264" s="230">
        <f t="shared" ca="1" si="1053"/>
        <v>0</v>
      </c>
      <c r="HL264" s="230">
        <f t="shared" ca="1" si="1053"/>
        <v>0</v>
      </c>
      <c r="HM264" s="230">
        <f t="shared" ca="1" si="1053"/>
        <v>0</v>
      </c>
      <c r="HN264" s="230">
        <f t="shared" ca="1" si="1053"/>
        <v>0</v>
      </c>
      <c r="HO264" s="230">
        <f t="shared" ca="1" si="1053"/>
        <v>0</v>
      </c>
      <c r="HP264" s="230">
        <f t="shared" ca="1" si="1053"/>
        <v>0</v>
      </c>
      <c r="HQ264" s="230">
        <f t="shared" ca="1" si="1053"/>
        <v>0</v>
      </c>
      <c r="HR264" s="230">
        <f t="shared" ca="1" si="1053"/>
        <v>0</v>
      </c>
      <c r="HS264" s="230">
        <f t="shared" ca="1" si="1053"/>
        <v>0</v>
      </c>
      <c r="HT264" s="230">
        <f t="shared" ca="1" si="1053"/>
        <v>0</v>
      </c>
      <c r="HU264" s="230">
        <f t="shared" ca="1" si="1053"/>
        <v>0</v>
      </c>
      <c r="HV264" s="230">
        <f t="shared" ca="1" si="1053"/>
        <v>0</v>
      </c>
      <c r="HW264" s="230">
        <f t="shared" ca="1" si="1053"/>
        <v>0</v>
      </c>
      <c r="HX264" s="230">
        <f t="shared" ca="1" si="1053"/>
        <v>0</v>
      </c>
      <c r="HY264" s="230">
        <f t="shared" ca="1" si="1053"/>
        <v>0</v>
      </c>
      <c r="HZ264" s="230">
        <f t="shared" ca="1" si="1053"/>
        <v>0</v>
      </c>
      <c r="IA264" s="230">
        <f t="shared" ca="1" si="1053"/>
        <v>0</v>
      </c>
      <c r="IB264" s="230">
        <f t="shared" ca="1" si="1053"/>
        <v>0</v>
      </c>
      <c r="IC264" s="230">
        <f t="shared" ca="1" si="1053"/>
        <v>0</v>
      </c>
      <c r="ID264" s="230">
        <f t="shared" ca="1" si="1053"/>
        <v>0</v>
      </c>
      <c r="IE264" s="230">
        <f t="shared" ca="1" si="1053"/>
        <v>0</v>
      </c>
      <c r="IF264" s="230">
        <f t="shared" ca="1" si="1053"/>
        <v>0</v>
      </c>
      <c r="IG264" s="230">
        <f t="shared" ca="1" si="1053"/>
        <v>0</v>
      </c>
      <c r="IH264" s="230">
        <f t="shared" ca="1" si="1053"/>
        <v>0</v>
      </c>
      <c r="II264" s="230">
        <f t="shared" ca="1" si="1053"/>
        <v>0</v>
      </c>
      <c r="IJ264" s="230">
        <f t="shared" ca="1" si="1053"/>
        <v>0</v>
      </c>
      <c r="IK264" s="230">
        <f t="shared" ca="1" si="1053"/>
        <v>0</v>
      </c>
      <c r="IL264" s="230">
        <f t="shared" ca="1" si="1053"/>
        <v>0</v>
      </c>
      <c r="IM264" s="230">
        <f t="shared" ca="1" si="1053"/>
        <v>0</v>
      </c>
      <c r="IN264" s="230">
        <f t="shared" ca="1" si="1053"/>
        <v>0</v>
      </c>
      <c r="IO264" s="230">
        <f t="shared" ca="1" si="1053"/>
        <v>0</v>
      </c>
      <c r="IP264" s="230">
        <f t="shared" ca="1" si="1053"/>
        <v>0</v>
      </c>
      <c r="IQ264" s="230">
        <f t="shared" ca="1" si="1053"/>
        <v>0</v>
      </c>
      <c r="IR264" s="230">
        <f t="shared" ca="1" si="1053"/>
        <v>0</v>
      </c>
      <c r="IS264" s="230">
        <f t="shared" ca="1" si="1053"/>
        <v>0</v>
      </c>
      <c r="IT264" s="230">
        <f t="shared" ca="1" si="1053"/>
        <v>0</v>
      </c>
      <c r="IU264" s="230">
        <f t="shared" ca="1" si="1053"/>
        <v>0</v>
      </c>
      <c r="IV264" s="230">
        <f t="shared" ca="1" si="1053"/>
        <v>0</v>
      </c>
      <c r="IW264" s="230">
        <f t="shared" ca="1" si="1053"/>
        <v>0</v>
      </c>
      <c r="IX264" s="230">
        <f t="shared" ca="1" si="1053"/>
        <v>0</v>
      </c>
      <c r="IY264" s="230">
        <f t="shared" ca="1" si="1053"/>
        <v>0</v>
      </c>
      <c r="IZ264" s="230">
        <f t="shared" ca="1" si="1053"/>
        <v>0</v>
      </c>
      <c r="JA264" s="230">
        <f t="shared" ca="1" si="1053"/>
        <v>0</v>
      </c>
      <c r="JB264" s="230">
        <f t="shared" ca="1" si="1053"/>
        <v>0</v>
      </c>
      <c r="JC264" s="230">
        <f t="shared" ca="1" si="1053"/>
        <v>0</v>
      </c>
      <c r="JD264" s="230">
        <f t="shared" ca="1" si="1053"/>
        <v>0</v>
      </c>
      <c r="JE264" s="230">
        <f t="shared" ca="1" si="1053"/>
        <v>0</v>
      </c>
      <c r="JF264" s="230">
        <f t="shared" ca="1" si="1053"/>
        <v>0</v>
      </c>
      <c r="JG264" s="230">
        <f t="shared" ca="1" si="1053"/>
        <v>0</v>
      </c>
      <c r="JH264" s="230">
        <f t="shared" ca="1" si="1053"/>
        <v>0</v>
      </c>
      <c r="JI264" s="230">
        <f t="shared" ca="1" si="1053"/>
        <v>0</v>
      </c>
      <c r="JJ264" s="230">
        <f t="shared" ca="1" si="1053"/>
        <v>0</v>
      </c>
      <c r="JK264" s="230">
        <f t="shared" ca="1" si="1053"/>
        <v>0</v>
      </c>
      <c r="JL264" s="230">
        <f t="shared" ca="1" si="1053"/>
        <v>0</v>
      </c>
      <c r="JM264" s="230">
        <f t="shared" ca="1" si="1053"/>
        <v>0</v>
      </c>
      <c r="JN264" s="230">
        <f t="shared" ca="1" si="1053"/>
        <v>0</v>
      </c>
      <c r="JO264" s="230">
        <f t="shared" ca="1" si="1053"/>
        <v>0</v>
      </c>
      <c r="JP264" s="230">
        <f t="shared" ca="1" si="1053"/>
        <v>0</v>
      </c>
      <c r="JQ264" s="230">
        <f t="shared" ca="1" si="1053"/>
        <v>0</v>
      </c>
      <c r="JR264" s="230">
        <f t="shared" ca="1" si="1053"/>
        <v>0</v>
      </c>
      <c r="JS264" s="230">
        <f t="shared" ca="1" si="1053"/>
        <v>0</v>
      </c>
      <c r="JT264" s="230">
        <f t="shared" ca="1" si="1053"/>
        <v>0</v>
      </c>
      <c r="JU264" s="230">
        <f ca="1">MAX(JU255-JU263,0)</f>
        <v>0</v>
      </c>
      <c r="JV264" s="230">
        <f ca="1">MAX(JV255-JV263,0)</f>
        <v>0</v>
      </c>
      <c r="JW264" s="230">
        <f ca="1">MAX(JW255-JW263,0)</f>
        <v>0</v>
      </c>
      <c r="JX264" s="230">
        <f ca="1">MAX(JX255-JX263,0)</f>
        <v>0</v>
      </c>
    </row>
    <row r="265" spans="1:284" s="7" customFormat="1" ht="0.6" customHeight="1" x14ac:dyDescent="0.2">
      <c r="A265" s="406"/>
      <c r="B265" s="231" t="str">
        <f>B249</f>
        <v>GP 1</v>
      </c>
      <c r="C265" s="235" t="str">
        <f>C249</f>
        <v>[General Partner 1 Name]</v>
      </c>
      <c r="D265" s="233"/>
      <c r="E265" s="233"/>
      <c r="F265" s="260">
        <f ca="1">IFERROR(I260/I249,"NA")</f>
        <v>6.8482832775608076</v>
      </c>
      <c r="G265" s="603">
        <f ca="1">IFERROR(IF($L$53=0,XIRR(OFFSET($M$265,0,0,1,Timing_Analysis_End_Month),OFFSET($M$196,0,0,1,Timing_Analysis_End_Month)),XIRR(OFFSET($L$265,0,0,1,Timing_Analysis_End_Month+1),OFFSET($L$196,0,0,1,Timing_Analysis_End_Month+1))),"NA")</f>
        <v>0.74736238718032832</v>
      </c>
      <c r="H265" s="249">
        <f ca="1">I265/$I$246</f>
        <v>4.8563168155951068E-2</v>
      </c>
      <c r="I265" s="237">
        <f ca="1">SUM(L265:EN265)</f>
        <v>428012.87728867232</v>
      </c>
      <c r="L265" s="38">
        <f t="shared" ref="L265:AQ265" ca="1" si="1054">IF(L$227="","",-L249+L260)</f>
        <v>-18765.797638306463</v>
      </c>
      <c r="M265" s="38">
        <f t="shared" ca="1" si="1054"/>
        <v>-2173.0771816496031</v>
      </c>
      <c r="N265" s="38">
        <f t="shared" ca="1" si="1054"/>
        <v>-2975.5760793080613</v>
      </c>
      <c r="O265" s="38">
        <f t="shared" ca="1" si="1054"/>
        <v>-4567.0459179682457</v>
      </c>
      <c r="P265" s="38">
        <f t="shared" ca="1" si="1054"/>
        <v>-7339.1045194076287</v>
      </c>
      <c r="Q265" s="38">
        <f t="shared" ca="1" si="1054"/>
        <v>-11548.148367370835</v>
      </c>
      <c r="R265" s="38">
        <f t="shared" ca="1" si="1054"/>
        <v>-17049.291037806306</v>
      </c>
      <c r="S265" s="38">
        <f t="shared" ca="1" si="1054"/>
        <v>-8768.030618800547</v>
      </c>
      <c r="T265" s="38">
        <f t="shared" ca="1" si="1054"/>
        <v>0</v>
      </c>
      <c r="U265" s="38">
        <f t="shared" ca="1" si="1054"/>
        <v>0</v>
      </c>
      <c r="V265" s="38">
        <f t="shared" ca="1" si="1054"/>
        <v>0</v>
      </c>
      <c r="W265" s="38">
        <f t="shared" ca="1" si="1054"/>
        <v>0</v>
      </c>
      <c r="X265" s="38">
        <f t="shared" ca="1" si="1054"/>
        <v>0</v>
      </c>
      <c r="Y265" s="38">
        <f t="shared" ca="1" si="1054"/>
        <v>0</v>
      </c>
      <c r="Z265" s="38">
        <f t="shared" ca="1" si="1054"/>
        <v>0</v>
      </c>
      <c r="AA265" s="38">
        <f t="shared" ca="1" si="1054"/>
        <v>0</v>
      </c>
      <c r="AB265" s="38">
        <f t="shared" ca="1" si="1054"/>
        <v>0</v>
      </c>
      <c r="AC265" s="38">
        <f t="shared" ca="1" si="1054"/>
        <v>0</v>
      </c>
      <c r="AD265" s="38">
        <f t="shared" ca="1" si="1054"/>
        <v>0</v>
      </c>
      <c r="AE265" s="38">
        <f t="shared" ca="1" si="1054"/>
        <v>0</v>
      </c>
      <c r="AF265" s="38">
        <f t="shared" ca="1" si="1054"/>
        <v>7.2759576141834273E-14</v>
      </c>
      <c r="AG265" s="38">
        <f t="shared" ca="1" si="1054"/>
        <v>0</v>
      </c>
      <c r="AH265" s="38">
        <f t="shared" ca="1" si="1054"/>
        <v>0</v>
      </c>
      <c r="AI265" s="38">
        <f t="shared" ca="1" si="1054"/>
        <v>4.5474735088646414E-14</v>
      </c>
      <c r="AJ265" s="38">
        <f t="shared" ca="1" si="1054"/>
        <v>-5.4569682106375705E-14</v>
      </c>
      <c r="AK265" s="38">
        <f t="shared" ca="1" si="1054"/>
        <v>0</v>
      </c>
      <c r="AL265" s="38">
        <f t="shared" ca="1" si="1054"/>
        <v>0</v>
      </c>
      <c r="AM265" s="38">
        <f t="shared" ca="1" si="1054"/>
        <v>0</v>
      </c>
      <c r="AN265" s="38">
        <f t="shared" ca="1" si="1054"/>
        <v>0</v>
      </c>
      <c r="AO265" s="38">
        <f t="shared" ca="1" si="1054"/>
        <v>0</v>
      </c>
      <c r="AP265" s="38">
        <f t="shared" ca="1" si="1054"/>
        <v>10.487460674741451</v>
      </c>
      <c r="AQ265" s="38">
        <f t="shared" ca="1" si="1054"/>
        <v>91.528871061622212</v>
      </c>
      <c r="AR265" s="38">
        <f t="shared" ref="AR265:BW265" ca="1" si="1055">IF(AR$227="","",-AR249+AR260)</f>
        <v>252.59869903900022</v>
      </c>
      <c r="AS265" s="38">
        <f t="shared" ca="1" si="1055"/>
        <v>448.04191624884265</v>
      </c>
      <c r="AT265" s="38">
        <f t="shared" ca="1" si="1055"/>
        <v>453.59510562384276</v>
      </c>
      <c r="AU265" s="38">
        <f t="shared" ca="1" si="1055"/>
        <v>459.14829499884308</v>
      </c>
      <c r="AV265" s="38">
        <f t="shared" ca="1" si="1055"/>
        <v>464.7014843738429</v>
      </c>
      <c r="AW265" s="38">
        <f t="shared" ca="1" si="1055"/>
        <v>470.25467374884266</v>
      </c>
      <c r="AX265" s="38">
        <f t="shared" ca="1" si="1055"/>
        <v>475.80786312384248</v>
      </c>
      <c r="AY265" s="38">
        <f t="shared" ca="1" si="1055"/>
        <v>481.36105249884281</v>
      </c>
      <c r="AZ265" s="38">
        <f t="shared" ca="1" si="1055"/>
        <v>486.91424187384268</v>
      </c>
      <c r="BA265" s="38">
        <f t="shared" ca="1" si="1055"/>
        <v>492.46743124884301</v>
      </c>
      <c r="BB265" s="38">
        <f t="shared" ca="1" si="1055"/>
        <v>498.02062062384306</v>
      </c>
      <c r="BC265" s="38">
        <f t="shared" ca="1" si="1055"/>
        <v>435.00554704041252</v>
      </c>
      <c r="BD265" s="38">
        <f t="shared" ca="1" si="1055"/>
        <v>440.72533209666238</v>
      </c>
      <c r="BE265" s="38">
        <f t="shared" ca="1" si="1055"/>
        <v>495238.29005501413</v>
      </c>
      <c r="BF265" s="38" t="str">
        <f t="shared" si="1055"/>
        <v/>
      </c>
      <c r="BG265" s="38" t="str">
        <f t="shared" si="1055"/>
        <v/>
      </c>
      <c r="BH265" s="38" t="str">
        <f t="shared" si="1055"/>
        <v/>
      </c>
      <c r="BI265" s="38" t="str">
        <f t="shared" si="1055"/>
        <v/>
      </c>
      <c r="BJ265" s="38" t="str">
        <f t="shared" si="1055"/>
        <v/>
      </c>
      <c r="BK265" s="38" t="str">
        <f t="shared" si="1055"/>
        <v/>
      </c>
      <c r="BL265" s="38" t="str">
        <f t="shared" si="1055"/>
        <v/>
      </c>
      <c r="BM265" s="38" t="str">
        <f t="shared" si="1055"/>
        <v/>
      </c>
      <c r="BN265" s="38" t="str">
        <f t="shared" si="1055"/>
        <v/>
      </c>
      <c r="BO265" s="38" t="str">
        <f t="shared" si="1055"/>
        <v/>
      </c>
      <c r="BP265" s="38" t="str">
        <f t="shared" si="1055"/>
        <v/>
      </c>
      <c r="BQ265" s="38" t="str">
        <f t="shared" si="1055"/>
        <v/>
      </c>
      <c r="BR265" s="38" t="str">
        <f t="shared" si="1055"/>
        <v/>
      </c>
      <c r="BS265" s="38" t="str">
        <f t="shared" si="1055"/>
        <v/>
      </c>
      <c r="BT265" s="38" t="str">
        <f t="shared" si="1055"/>
        <v/>
      </c>
      <c r="BU265" s="38" t="str">
        <f t="shared" si="1055"/>
        <v/>
      </c>
      <c r="BV265" s="38" t="str">
        <f t="shared" si="1055"/>
        <v/>
      </c>
      <c r="BW265" s="38" t="str">
        <f t="shared" si="1055"/>
        <v/>
      </c>
      <c r="BX265" s="38" t="str">
        <f t="shared" ref="BX265:DC265" si="1056">IF(BX$227="","",-BX249+BX260)</f>
        <v/>
      </c>
      <c r="BY265" s="38" t="str">
        <f t="shared" si="1056"/>
        <v/>
      </c>
      <c r="BZ265" s="38" t="str">
        <f t="shared" si="1056"/>
        <v/>
      </c>
      <c r="CA265" s="38" t="str">
        <f t="shared" si="1056"/>
        <v/>
      </c>
      <c r="CB265" s="38" t="str">
        <f t="shared" si="1056"/>
        <v/>
      </c>
      <c r="CC265" s="38" t="str">
        <f t="shared" si="1056"/>
        <v/>
      </c>
      <c r="CD265" s="38" t="str">
        <f t="shared" si="1056"/>
        <v/>
      </c>
      <c r="CE265" s="38" t="str">
        <f t="shared" si="1056"/>
        <v/>
      </c>
      <c r="CF265" s="38" t="str">
        <f t="shared" si="1056"/>
        <v/>
      </c>
      <c r="CG265" s="38" t="str">
        <f t="shared" si="1056"/>
        <v/>
      </c>
      <c r="CH265" s="38" t="str">
        <f t="shared" si="1056"/>
        <v/>
      </c>
      <c r="CI265" s="38" t="str">
        <f t="shared" si="1056"/>
        <v/>
      </c>
      <c r="CJ265" s="38" t="str">
        <f t="shared" si="1056"/>
        <v/>
      </c>
      <c r="CK265" s="38" t="str">
        <f t="shared" si="1056"/>
        <v/>
      </c>
      <c r="CL265" s="38" t="str">
        <f t="shared" si="1056"/>
        <v/>
      </c>
      <c r="CM265" s="38" t="str">
        <f t="shared" si="1056"/>
        <v/>
      </c>
      <c r="CN265" s="38" t="str">
        <f t="shared" si="1056"/>
        <v/>
      </c>
      <c r="CO265" s="38" t="str">
        <f t="shared" si="1056"/>
        <v/>
      </c>
      <c r="CP265" s="38" t="str">
        <f t="shared" si="1056"/>
        <v/>
      </c>
      <c r="CQ265" s="38" t="str">
        <f t="shared" si="1056"/>
        <v/>
      </c>
      <c r="CR265" s="38" t="str">
        <f t="shared" si="1056"/>
        <v/>
      </c>
      <c r="CS265" s="38" t="str">
        <f t="shared" si="1056"/>
        <v/>
      </c>
      <c r="CT265" s="38" t="str">
        <f t="shared" si="1056"/>
        <v/>
      </c>
      <c r="CU265" s="38" t="str">
        <f t="shared" si="1056"/>
        <v/>
      </c>
      <c r="CV265" s="38" t="str">
        <f t="shared" si="1056"/>
        <v/>
      </c>
      <c r="CW265" s="38" t="str">
        <f t="shared" si="1056"/>
        <v/>
      </c>
      <c r="CX265" s="38" t="str">
        <f t="shared" si="1056"/>
        <v/>
      </c>
      <c r="CY265" s="38" t="str">
        <f t="shared" si="1056"/>
        <v/>
      </c>
      <c r="CZ265" s="38" t="str">
        <f t="shared" si="1056"/>
        <v/>
      </c>
      <c r="DA265" s="38" t="str">
        <f t="shared" si="1056"/>
        <v/>
      </c>
      <c r="DB265" s="38" t="str">
        <f t="shared" si="1056"/>
        <v/>
      </c>
      <c r="DC265" s="38" t="str">
        <f t="shared" si="1056"/>
        <v/>
      </c>
      <c r="DD265" s="38" t="str">
        <f t="shared" ref="DD265:EN265" si="1057">IF(DD$227="","",-DD249+DD260)</f>
        <v/>
      </c>
      <c r="DE265" s="38" t="str">
        <f t="shared" si="1057"/>
        <v/>
      </c>
      <c r="DF265" s="38" t="str">
        <f t="shared" si="1057"/>
        <v/>
      </c>
      <c r="DG265" s="38" t="str">
        <f t="shared" si="1057"/>
        <v/>
      </c>
      <c r="DH265" s="38" t="str">
        <f t="shared" si="1057"/>
        <v/>
      </c>
      <c r="DI265" s="38" t="str">
        <f t="shared" si="1057"/>
        <v/>
      </c>
      <c r="DJ265" s="38" t="str">
        <f t="shared" si="1057"/>
        <v/>
      </c>
      <c r="DK265" s="38" t="str">
        <f t="shared" si="1057"/>
        <v/>
      </c>
      <c r="DL265" s="38" t="str">
        <f t="shared" si="1057"/>
        <v/>
      </c>
      <c r="DM265" s="38" t="str">
        <f t="shared" si="1057"/>
        <v/>
      </c>
      <c r="DN265" s="38" t="str">
        <f t="shared" si="1057"/>
        <v/>
      </c>
      <c r="DO265" s="38" t="str">
        <f t="shared" si="1057"/>
        <v/>
      </c>
      <c r="DP265" s="38" t="str">
        <f t="shared" si="1057"/>
        <v/>
      </c>
      <c r="DQ265" s="38" t="str">
        <f t="shared" si="1057"/>
        <v/>
      </c>
      <c r="DR265" s="38" t="str">
        <f t="shared" si="1057"/>
        <v/>
      </c>
      <c r="DS265" s="38" t="str">
        <f t="shared" si="1057"/>
        <v/>
      </c>
      <c r="DT265" s="38" t="str">
        <f t="shared" si="1057"/>
        <v/>
      </c>
      <c r="DU265" s="38" t="str">
        <f t="shared" si="1057"/>
        <v/>
      </c>
      <c r="DV265" s="38" t="str">
        <f t="shared" si="1057"/>
        <v/>
      </c>
      <c r="DW265" s="38" t="str">
        <f t="shared" si="1057"/>
        <v/>
      </c>
      <c r="DX265" s="38" t="str">
        <f t="shared" si="1057"/>
        <v/>
      </c>
      <c r="DY265" s="38" t="str">
        <f t="shared" si="1057"/>
        <v/>
      </c>
      <c r="DZ265" s="38" t="str">
        <f t="shared" si="1057"/>
        <v/>
      </c>
      <c r="EA265" s="38" t="str">
        <f t="shared" si="1057"/>
        <v/>
      </c>
      <c r="EB265" s="38" t="str">
        <f t="shared" si="1057"/>
        <v/>
      </c>
      <c r="EC265" s="38" t="str">
        <f t="shared" si="1057"/>
        <v/>
      </c>
      <c r="ED265" s="38" t="str">
        <f t="shared" si="1057"/>
        <v/>
      </c>
      <c r="EE265" s="38" t="str">
        <f t="shared" si="1057"/>
        <v/>
      </c>
      <c r="EF265" s="38" t="str">
        <f t="shared" si="1057"/>
        <v/>
      </c>
      <c r="EG265" s="38" t="str">
        <f t="shared" si="1057"/>
        <v/>
      </c>
      <c r="EH265" s="38" t="str">
        <f t="shared" si="1057"/>
        <v/>
      </c>
      <c r="EI265" s="38" t="str">
        <f t="shared" si="1057"/>
        <v/>
      </c>
      <c r="EJ265" s="38" t="str">
        <f t="shared" si="1057"/>
        <v/>
      </c>
      <c r="EK265" s="38" t="str">
        <f t="shared" si="1057"/>
        <v/>
      </c>
      <c r="EL265" s="38" t="str">
        <f t="shared" si="1057"/>
        <v/>
      </c>
      <c r="EM265" s="38" t="str">
        <f t="shared" si="1057"/>
        <v/>
      </c>
      <c r="EN265" s="38" t="str">
        <f t="shared" si="1057"/>
        <v/>
      </c>
      <c r="EP265" s="37" t="s">
        <v>388</v>
      </c>
      <c r="EQ265" s="24"/>
      <c r="ER265" s="24"/>
      <c r="ES265" s="24"/>
      <c r="ET265" s="33" t="s">
        <v>400</v>
      </c>
      <c r="EU265" s="33"/>
      <c r="EV265" s="222">
        <f t="shared" ref="EV265:FE265" ca="1" si="1058">EV$264*$I$257</f>
        <v>0</v>
      </c>
      <c r="EW265" s="222">
        <f t="shared" ca="1" si="1058"/>
        <v>0</v>
      </c>
      <c r="EX265" s="222">
        <f t="shared" ca="1" si="1058"/>
        <v>0</v>
      </c>
      <c r="EY265" s="222">
        <f t="shared" ca="1" si="1058"/>
        <v>0</v>
      </c>
      <c r="EZ265" s="222">
        <f t="shared" ca="1" si="1058"/>
        <v>0</v>
      </c>
      <c r="FA265" s="222">
        <f t="shared" ca="1" si="1058"/>
        <v>0</v>
      </c>
      <c r="FB265" s="222">
        <f t="shared" ca="1" si="1058"/>
        <v>0</v>
      </c>
      <c r="FC265" s="222">
        <f t="shared" ca="1" si="1058"/>
        <v>0</v>
      </c>
      <c r="FD265" s="222">
        <f t="shared" ca="1" si="1058"/>
        <v>0</v>
      </c>
      <c r="FE265" s="222">
        <f t="shared" ca="1" si="1058"/>
        <v>0</v>
      </c>
      <c r="FF265" s="222">
        <f t="shared" ref="FF265:FO265" ca="1" si="1059">FF$264*$I$257</f>
        <v>0</v>
      </c>
      <c r="FG265" s="222">
        <f t="shared" ca="1" si="1059"/>
        <v>0</v>
      </c>
      <c r="FH265" s="222">
        <f t="shared" ca="1" si="1059"/>
        <v>0</v>
      </c>
      <c r="FI265" s="222">
        <f t="shared" ca="1" si="1059"/>
        <v>0</v>
      </c>
      <c r="FJ265" s="222">
        <f t="shared" ca="1" si="1059"/>
        <v>0</v>
      </c>
      <c r="FK265" s="222">
        <f t="shared" ca="1" si="1059"/>
        <v>0</v>
      </c>
      <c r="FL265" s="222">
        <f t="shared" ca="1" si="1059"/>
        <v>0</v>
      </c>
      <c r="FM265" s="222">
        <f t="shared" ca="1" si="1059"/>
        <v>0</v>
      </c>
      <c r="FN265" s="222">
        <f t="shared" ca="1" si="1059"/>
        <v>0</v>
      </c>
      <c r="FO265" s="222">
        <f t="shared" ca="1" si="1059"/>
        <v>0</v>
      </c>
      <c r="FP265" s="222">
        <f t="shared" ref="FP265:FY265" ca="1" si="1060">FP$264*$I$257</f>
        <v>0</v>
      </c>
      <c r="FQ265" s="222">
        <f t="shared" ca="1" si="1060"/>
        <v>0</v>
      </c>
      <c r="FR265" s="222">
        <f t="shared" ca="1" si="1060"/>
        <v>0</v>
      </c>
      <c r="FS265" s="222">
        <f t="shared" ca="1" si="1060"/>
        <v>0</v>
      </c>
      <c r="FT265" s="222">
        <f t="shared" ca="1" si="1060"/>
        <v>0</v>
      </c>
      <c r="FU265" s="222">
        <f t="shared" ca="1" si="1060"/>
        <v>0</v>
      </c>
      <c r="FV265" s="222">
        <f t="shared" ca="1" si="1060"/>
        <v>0</v>
      </c>
      <c r="FW265" s="222">
        <f t="shared" ca="1" si="1060"/>
        <v>0</v>
      </c>
      <c r="FX265" s="222">
        <f t="shared" ca="1" si="1060"/>
        <v>0</v>
      </c>
      <c r="FY265" s="222">
        <f t="shared" ca="1" si="1060"/>
        <v>0</v>
      </c>
      <c r="FZ265" s="222">
        <f t="shared" ref="FZ265:GI265" ca="1" si="1061">FZ$264*$I$257</f>
        <v>0</v>
      </c>
      <c r="GA265" s="222">
        <f t="shared" ca="1" si="1061"/>
        <v>0</v>
      </c>
      <c r="GB265" s="222">
        <f t="shared" ca="1" si="1061"/>
        <v>0</v>
      </c>
      <c r="GC265" s="222">
        <f t="shared" ca="1" si="1061"/>
        <v>0</v>
      </c>
      <c r="GD265" s="222">
        <f t="shared" ca="1" si="1061"/>
        <v>0</v>
      </c>
      <c r="GE265" s="222">
        <f t="shared" ca="1" si="1061"/>
        <v>0</v>
      </c>
      <c r="GF265" s="222">
        <f t="shared" ca="1" si="1061"/>
        <v>0</v>
      </c>
      <c r="GG265" s="222">
        <f t="shared" ca="1" si="1061"/>
        <v>0</v>
      </c>
      <c r="GH265" s="222">
        <f t="shared" ca="1" si="1061"/>
        <v>0</v>
      </c>
      <c r="GI265" s="222">
        <f t="shared" ca="1" si="1061"/>
        <v>0</v>
      </c>
      <c r="GJ265" s="222">
        <f t="shared" ref="GJ265:GS265" ca="1" si="1062">GJ$264*$I$257</f>
        <v>0</v>
      </c>
      <c r="GK265" s="222">
        <f t="shared" ca="1" si="1062"/>
        <v>0</v>
      </c>
      <c r="GL265" s="222">
        <f t="shared" ca="1" si="1062"/>
        <v>0</v>
      </c>
      <c r="GM265" s="222">
        <f t="shared" ca="1" si="1062"/>
        <v>0</v>
      </c>
      <c r="GN265" s="222">
        <f t="shared" ca="1" si="1062"/>
        <v>0</v>
      </c>
      <c r="GO265" s="222">
        <f t="shared" ca="1" si="1062"/>
        <v>378800.02196285949</v>
      </c>
      <c r="GP265" s="222">
        <f t="shared" ca="1" si="1062"/>
        <v>0</v>
      </c>
      <c r="GQ265" s="222">
        <f t="shared" ca="1" si="1062"/>
        <v>0</v>
      </c>
      <c r="GR265" s="222">
        <f t="shared" ca="1" si="1062"/>
        <v>0</v>
      </c>
      <c r="GS265" s="222">
        <f t="shared" ca="1" si="1062"/>
        <v>0</v>
      </c>
      <c r="GT265" s="222">
        <f t="shared" ref="GT265:HC265" ca="1" si="1063">GT$264*$I$257</f>
        <v>0</v>
      </c>
      <c r="GU265" s="222">
        <f t="shared" ca="1" si="1063"/>
        <v>0</v>
      </c>
      <c r="GV265" s="222">
        <f t="shared" ca="1" si="1063"/>
        <v>0</v>
      </c>
      <c r="GW265" s="222">
        <f t="shared" ca="1" si="1063"/>
        <v>0</v>
      </c>
      <c r="GX265" s="222">
        <f t="shared" ca="1" si="1063"/>
        <v>0</v>
      </c>
      <c r="GY265" s="222">
        <f t="shared" ca="1" si="1063"/>
        <v>0</v>
      </c>
      <c r="GZ265" s="222">
        <f t="shared" ca="1" si="1063"/>
        <v>0</v>
      </c>
      <c r="HA265" s="222">
        <f t="shared" ca="1" si="1063"/>
        <v>0</v>
      </c>
      <c r="HB265" s="222">
        <f t="shared" ca="1" si="1063"/>
        <v>0</v>
      </c>
      <c r="HC265" s="222">
        <f t="shared" ca="1" si="1063"/>
        <v>0</v>
      </c>
      <c r="HD265" s="222">
        <f t="shared" ref="HD265:HM265" ca="1" si="1064">HD$264*$I$257</f>
        <v>0</v>
      </c>
      <c r="HE265" s="222">
        <f t="shared" ca="1" si="1064"/>
        <v>0</v>
      </c>
      <c r="HF265" s="222">
        <f t="shared" ca="1" si="1064"/>
        <v>0</v>
      </c>
      <c r="HG265" s="222">
        <f t="shared" ca="1" si="1064"/>
        <v>0</v>
      </c>
      <c r="HH265" s="222">
        <f t="shared" ca="1" si="1064"/>
        <v>0</v>
      </c>
      <c r="HI265" s="222">
        <f t="shared" ca="1" si="1064"/>
        <v>0</v>
      </c>
      <c r="HJ265" s="222">
        <f t="shared" ca="1" si="1064"/>
        <v>0</v>
      </c>
      <c r="HK265" s="222">
        <f t="shared" ca="1" si="1064"/>
        <v>0</v>
      </c>
      <c r="HL265" s="222">
        <f t="shared" ca="1" si="1064"/>
        <v>0</v>
      </c>
      <c r="HM265" s="222">
        <f t="shared" ca="1" si="1064"/>
        <v>0</v>
      </c>
      <c r="HN265" s="222">
        <f t="shared" ref="HN265:HW265" ca="1" si="1065">HN$264*$I$257</f>
        <v>0</v>
      </c>
      <c r="HO265" s="222">
        <f t="shared" ca="1" si="1065"/>
        <v>0</v>
      </c>
      <c r="HP265" s="222">
        <f t="shared" ca="1" si="1065"/>
        <v>0</v>
      </c>
      <c r="HQ265" s="222">
        <f t="shared" ca="1" si="1065"/>
        <v>0</v>
      </c>
      <c r="HR265" s="222">
        <f t="shared" ca="1" si="1065"/>
        <v>0</v>
      </c>
      <c r="HS265" s="222">
        <f t="shared" ca="1" si="1065"/>
        <v>0</v>
      </c>
      <c r="HT265" s="222">
        <f t="shared" ca="1" si="1065"/>
        <v>0</v>
      </c>
      <c r="HU265" s="222">
        <f t="shared" ca="1" si="1065"/>
        <v>0</v>
      </c>
      <c r="HV265" s="222">
        <f t="shared" ca="1" si="1065"/>
        <v>0</v>
      </c>
      <c r="HW265" s="222">
        <f t="shared" ca="1" si="1065"/>
        <v>0</v>
      </c>
      <c r="HX265" s="222">
        <f t="shared" ref="HX265:IG265" ca="1" si="1066">HX$264*$I$257</f>
        <v>0</v>
      </c>
      <c r="HY265" s="222">
        <f t="shared" ca="1" si="1066"/>
        <v>0</v>
      </c>
      <c r="HZ265" s="222">
        <f t="shared" ca="1" si="1066"/>
        <v>0</v>
      </c>
      <c r="IA265" s="222">
        <f t="shared" ca="1" si="1066"/>
        <v>0</v>
      </c>
      <c r="IB265" s="222">
        <f t="shared" ca="1" si="1066"/>
        <v>0</v>
      </c>
      <c r="IC265" s="222">
        <f t="shared" ca="1" si="1066"/>
        <v>0</v>
      </c>
      <c r="ID265" s="222">
        <f t="shared" ca="1" si="1066"/>
        <v>0</v>
      </c>
      <c r="IE265" s="222">
        <f t="shared" ca="1" si="1066"/>
        <v>0</v>
      </c>
      <c r="IF265" s="222">
        <f t="shared" ca="1" si="1066"/>
        <v>0</v>
      </c>
      <c r="IG265" s="222">
        <f t="shared" ca="1" si="1066"/>
        <v>0</v>
      </c>
      <c r="IH265" s="222">
        <f t="shared" ref="IH265:IQ265" ca="1" si="1067">IH$264*$I$257</f>
        <v>0</v>
      </c>
      <c r="II265" s="222">
        <f t="shared" ca="1" si="1067"/>
        <v>0</v>
      </c>
      <c r="IJ265" s="222">
        <f t="shared" ca="1" si="1067"/>
        <v>0</v>
      </c>
      <c r="IK265" s="222">
        <f t="shared" ca="1" si="1067"/>
        <v>0</v>
      </c>
      <c r="IL265" s="222">
        <f t="shared" ca="1" si="1067"/>
        <v>0</v>
      </c>
      <c r="IM265" s="222">
        <f t="shared" ca="1" si="1067"/>
        <v>0</v>
      </c>
      <c r="IN265" s="222">
        <f t="shared" ca="1" si="1067"/>
        <v>0</v>
      </c>
      <c r="IO265" s="222">
        <f t="shared" ca="1" si="1067"/>
        <v>0</v>
      </c>
      <c r="IP265" s="222">
        <f t="shared" ca="1" si="1067"/>
        <v>0</v>
      </c>
      <c r="IQ265" s="222">
        <f t="shared" ca="1" si="1067"/>
        <v>0</v>
      </c>
      <c r="IR265" s="222">
        <f t="shared" ref="IR265:JA265" ca="1" si="1068">IR$264*$I$257</f>
        <v>0</v>
      </c>
      <c r="IS265" s="222">
        <f t="shared" ca="1" si="1068"/>
        <v>0</v>
      </c>
      <c r="IT265" s="222">
        <f t="shared" ca="1" si="1068"/>
        <v>0</v>
      </c>
      <c r="IU265" s="222">
        <f t="shared" ca="1" si="1068"/>
        <v>0</v>
      </c>
      <c r="IV265" s="222">
        <f t="shared" ca="1" si="1068"/>
        <v>0</v>
      </c>
      <c r="IW265" s="222">
        <f t="shared" ca="1" si="1068"/>
        <v>0</v>
      </c>
      <c r="IX265" s="222">
        <f t="shared" ca="1" si="1068"/>
        <v>0</v>
      </c>
      <c r="IY265" s="222">
        <f t="shared" ca="1" si="1068"/>
        <v>0</v>
      </c>
      <c r="IZ265" s="222">
        <f t="shared" ca="1" si="1068"/>
        <v>0</v>
      </c>
      <c r="JA265" s="222">
        <f t="shared" ca="1" si="1068"/>
        <v>0</v>
      </c>
      <c r="JB265" s="222">
        <f t="shared" ref="JB265:JK265" ca="1" si="1069">JB$264*$I$257</f>
        <v>0</v>
      </c>
      <c r="JC265" s="222">
        <f t="shared" ca="1" si="1069"/>
        <v>0</v>
      </c>
      <c r="JD265" s="222">
        <f t="shared" ca="1" si="1069"/>
        <v>0</v>
      </c>
      <c r="JE265" s="222">
        <f t="shared" ca="1" si="1069"/>
        <v>0</v>
      </c>
      <c r="JF265" s="222">
        <f t="shared" ca="1" si="1069"/>
        <v>0</v>
      </c>
      <c r="JG265" s="222">
        <f t="shared" ca="1" si="1069"/>
        <v>0</v>
      </c>
      <c r="JH265" s="222">
        <f t="shared" ca="1" si="1069"/>
        <v>0</v>
      </c>
      <c r="JI265" s="222">
        <f t="shared" ca="1" si="1069"/>
        <v>0</v>
      </c>
      <c r="JJ265" s="222">
        <f t="shared" ca="1" si="1069"/>
        <v>0</v>
      </c>
      <c r="JK265" s="222">
        <f t="shared" ca="1" si="1069"/>
        <v>0</v>
      </c>
      <c r="JL265" s="222">
        <f t="shared" ref="JL265:JX265" ca="1" si="1070">JL$264*$I$257</f>
        <v>0</v>
      </c>
      <c r="JM265" s="222">
        <f t="shared" ca="1" si="1070"/>
        <v>0</v>
      </c>
      <c r="JN265" s="222">
        <f t="shared" ca="1" si="1070"/>
        <v>0</v>
      </c>
      <c r="JO265" s="222">
        <f t="shared" ca="1" si="1070"/>
        <v>0</v>
      </c>
      <c r="JP265" s="222">
        <f t="shared" ca="1" si="1070"/>
        <v>0</v>
      </c>
      <c r="JQ265" s="222">
        <f t="shared" ca="1" si="1070"/>
        <v>0</v>
      </c>
      <c r="JR265" s="222">
        <f t="shared" ca="1" si="1070"/>
        <v>0</v>
      </c>
      <c r="JS265" s="222">
        <f t="shared" ca="1" si="1070"/>
        <v>0</v>
      </c>
      <c r="JT265" s="222">
        <f t="shared" ca="1" si="1070"/>
        <v>0</v>
      </c>
      <c r="JU265" s="222">
        <f t="shared" ca="1" si="1070"/>
        <v>0</v>
      </c>
      <c r="JV265" s="222">
        <f t="shared" ca="1" si="1070"/>
        <v>0</v>
      </c>
      <c r="JW265" s="222">
        <f t="shared" ca="1" si="1070"/>
        <v>0</v>
      </c>
      <c r="JX265" s="222">
        <f t="shared" ca="1" si="1070"/>
        <v>0</v>
      </c>
    </row>
    <row r="266" spans="1:284" s="7" customFormat="1" ht="0.6" customHeight="1" x14ac:dyDescent="0.35">
      <c r="A266" s="406"/>
      <c r="B266" s="238" t="str">
        <f>B250</f>
        <v>GP 2</v>
      </c>
      <c r="C266" s="235" t="str">
        <f>C250</f>
        <v>[General Partner 2 Name]</v>
      </c>
      <c r="D266" s="233"/>
      <c r="E266" s="233"/>
      <c r="F266" s="604">
        <f ca="1">IFERROR(I261/I250,"NA")</f>
        <v>2.1861964702415944</v>
      </c>
      <c r="G266" s="605">
        <f ca="1">IFERROR(IF($L$53=0,XIRR(OFFSET($M$266,0,0,1,Timing_Analysis_End_Month),OFFSET($M$196,0,0,1,Timing_Analysis_End_Month)),XIRR(OFFSET($L$266,0,0,1,Timing_Analysis_End_Month+1),OFFSET($L$196,0,0,1,Timing_Analysis_End_Month+1))),"NA")</f>
        <v>0.25655925869941698</v>
      </c>
      <c r="H266" s="239">
        <f ca="1">I266/$I$246</f>
        <v>8.8649797427267793E-2</v>
      </c>
      <c r="I266" s="240">
        <f ca="1">SUM(L266:EN266)</f>
        <v>781317.53566932713</v>
      </c>
      <c r="L266" s="39">
        <f t="shared" ref="L266:AQ266" ca="1" si="1071">IF(L$227="","",-L250+L261)</f>
        <v>-168892.17874475819</v>
      </c>
      <c r="M266" s="39">
        <f t="shared" ca="1" si="1071"/>
        <v>-19557.694634846426</v>
      </c>
      <c r="N266" s="39">
        <f t="shared" ca="1" si="1071"/>
        <v>-26780.184713772553</v>
      </c>
      <c r="O266" s="39">
        <f t="shared" ca="1" si="1071"/>
        <v>-41103.41326171421</v>
      </c>
      <c r="P266" s="39">
        <f t="shared" ca="1" si="1071"/>
        <v>-66051.940674668658</v>
      </c>
      <c r="Q266" s="39">
        <f t="shared" ca="1" si="1071"/>
        <v>-103933.33530633751</v>
      </c>
      <c r="R266" s="39">
        <f t="shared" ca="1" si="1071"/>
        <v>-153443.61934025673</v>
      </c>
      <c r="S266" s="39">
        <f t="shared" ca="1" si="1071"/>
        <v>-78912.275569204925</v>
      </c>
      <c r="T266" s="39">
        <f t="shared" ca="1" si="1071"/>
        <v>0</v>
      </c>
      <c r="U266" s="39">
        <f t="shared" ca="1" si="1071"/>
        <v>0</v>
      </c>
      <c r="V266" s="39">
        <f t="shared" ca="1" si="1071"/>
        <v>0</v>
      </c>
      <c r="W266" s="39">
        <f t="shared" ca="1" si="1071"/>
        <v>0</v>
      </c>
      <c r="X266" s="39">
        <f t="shared" ca="1" si="1071"/>
        <v>0</v>
      </c>
      <c r="Y266" s="39">
        <f t="shared" ca="1" si="1071"/>
        <v>0</v>
      </c>
      <c r="Z266" s="39">
        <f t="shared" ca="1" si="1071"/>
        <v>0</v>
      </c>
      <c r="AA266" s="39">
        <f t="shared" ca="1" si="1071"/>
        <v>0</v>
      </c>
      <c r="AB266" s="39">
        <f t="shared" ca="1" si="1071"/>
        <v>0</v>
      </c>
      <c r="AC266" s="39">
        <f t="shared" ca="1" si="1071"/>
        <v>0</v>
      </c>
      <c r="AD266" s="39">
        <f t="shared" ca="1" si="1071"/>
        <v>0</v>
      </c>
      <c r="AE266" s="39">
        <f t="shared" ca="1" si="1071"/>
        <v>0</v>
      </c>
      <c r="AF266" s="39">
        <f t="shared" ca="1" si="1071"/>
        <v>6.5483618527650841E-13</v>
      </c>
      <c r="AG266" s="39">
        <f t="shared" ca="1" si="1071"/>
        <v>0</v>
      </c>
      <c r="AH266" s="39">
        <f t="shared" ca="1" si="1071"/>
        <v>0</v>
      </c>
      <c r="AI266" s="39">
        <f t="shared" ca="1" si="1071"/>
        <v>4.0927261579781772E-13</v>
      </c>
      <c r="AJ266" s="39">
        <f t="shared" ca="1" si="1071"/>
        <v>-4.9112713895738138E-13</v>
      </c>
      <c r="AK266" s="39">
        <f t="shared" ca="1" si="1071"/>
        <v>0</v>
      </c>
      <c r="AL266" s="39">
        <f t="shared" ca="1" si="1071"/>
        <v>0</v>
      </c>
      <c r="AM266" s="39">
        <f t="shared" ca="1" si="1071"/>
        <v>0</v>
      </c>
      <c r="AN266" s="39">
        <f t="shared" ca="1" si="1071"/>
        <v>0</v>
      </c>
      <c r="AO266" s="39">
        <f t="shared" ca="1" si="1071"/>
        <v>0</v>
      </c>
      <c r="AP266" s="39">
        <f t="shared" ca="1" si="1071"/>
        <v>94.387146072673062</v>
      </c>
      <c r="AQ266" s="39">
        <f t="shared" ca="1" si="1071"/>
        <v>823.75983955459981</v>
      </c>
      <c r="AR266" s="39">
        <f t="shared" ref="AR266:BW266" ca="1" si="1072">IF(AR$227="","",-AR250+AR261)</f>
        <v>2273.388291351002</v>
      </c>
      <c r="AS266" s="39">
        <f t="shared" ca="1" si="1072"/>
        <v>4032.3772462395837</v>
      </c>
      <c r="AT266" s="39">
        <f t="shared" ca="1" si="1072"/>
        <v>4082.3559506145848</v>
      </c>
      <c r="AU266" s="39">
        <f t="shared" ca="1" si="1072"/>
        <v>4132.3346549895878</v>
      </c>
      <c r="AV266" s="39">
        <f t="shared" ca="1" si="1072"/>
        <v>4182.3133593645862</v>
      </c>
      <c r="AW266" s="39">
        <f t="shared" ca="1" si="1072"/>
        <v>4232.2920637395837</v>
      </c>
      <c r="AX266" s="39">
        <f t="shared" ca="1" si="1072"/>
        <v>4282.2707681145821</v>
      </c>
      <c r="AY266" s="39">
        <f t="shared" ca="1" si="1072"/>
        <v>4332.2494724895851</v>
      </c>
      <c r="AZ266" s="39">
        <f t="shared" ca="1" si="1072"/>
        <v>4382.2281768645835</v>
      </c>
      <c r="BA266" s="39">
        <f t="shared" ca="1" si="1072"/>
        <v>4432.2068812395864</v>
      </c>
      <c r="BB266" s="39">
        <f t="shared" ca="1" si="1072"/>
        <v>4482.1855856145876</v>
      </c>
      <c r="BC266" s="39">
        <f t="shared" ca="1" si="1072"/>
        <v>3915.0499233637129</v>
      </c>
      <c r="BD266" s="39">
        <f t="shared" ca="1" si="1072"/>
        <v>3966.5279888699611</v>
      </c>
      <c r="BE266" s="39">
        <f t="shared" ca="1" si="1072"/>
        <v>1386346.2505664036</v>
      </c>
      <c r="BF266" s="39" t="str">
        <f t="shared" si="1072"/>
        <v/>
      </c>
      <c r="BG266" s="39" t="str">
        <f t="shared" si="1072"/>
        <v/>
      </c>
      <c r="BH266" s="39" t="str">
        <f t="shared" si="1072"/>
        <v/>
      </c>
      <c r="BI266" s="39" t="str">
        <f t="shared" si="1072"/>
        <v/>
      </c>
      <c r="BJ266" s="39" t="str">
        <f t="shared" si="1072"/>
        <v/>
      </c>
      <c r="BK266" s="39" t="str">
        <f t="shared" si="1072"/>
        <v/>
      </c>
      <c r="BL266" s="39" t="str">
        <f t="shared" si="1072"/>
        <v/>
      </c>
      <c r="BM266" s="39" t="str">
        <f t="shared" si="1072"/>
        <v/>
      </c>
      <c r="BN266" s="39" t="str">
        <f t="shared" si="1072"/>
        <v/>
      </c>
      <c r="BO266" s="39" t="str">
        <f t="shared" si="1072"/>
        <v/>
      </c>
      <c r="BP266" s="39" t="str">
        <f t="shared" si="1072"/>
        <v/>
      </c>
      <c r="BQ266" s="39" t="str">
        <f t="shared" si="1072"/>
        <v/>
      </c>
      <c r="BR266" s="39" t="str">
        <f t="shared" si="1072"/>
        <v/>
      </c>
      <c r="BS266" s="39" t="str">
        <f t="shared" si="1072"/>
        <v/>
      </c>
      <c r="BT266" s="39" t="str">
        <f t="shared" si="1072"/>
        <v/>
      </c>
      <c r="BU266" s="39" t="str">
        <f t="shared" si="1072"/>
        <v/>
      </c>
      <c r="BV266" s="39" t="str">
        <f t="shared" si="1072"/>
        <v/>
      </c>
      <c r="BW266" s="39" t="str">
        <f t="shared" si="1072"/>
        <v/>
      </c>
      <c r="BX266" s="39" t="str">
        <f t="shared" ref="BX266:DC266" si="1073">IF(BX$227="","",-BX250+BX261)</f>
        <v/>
      </c>
      <c r="BY266" s="39" t="str">
        <f t="shared" si="1073"/>
        <v/>
      </c>
      <c r="BZ266" s="39" t="str">
        <f t="shared" si="1073"/>
        <v/>
      </c>
      <c r="CA266" s="39" t="str">
        <f t="shared" si="1073"/>
        <v/>
      </c>
      <c r="CB266" s="39" t="str">
        <f t="shared" si="1073"/>
        <v/>
      </c>
      <c r="CC266" s="39" t="str">
        <f t="shared" si="1073"/>
        <v/>
      </c>
      <c r="CD266" s="39" t="str">
        <f t="shared" si="1073"/>
        <v/>
      </c>
      <c r="CE266" s="39" t="str">
        <f t="shared" si="1073"/>
        <v/>
      </c>
      <c r="CF266" s="39" t="str">
        <f t="shared" si="1073"/>
        <v/>
      </c>
      <c r="CG266" s="39" t="str">
        <f t="shared" si="1073"/>
        <v/>
      </c>
      <c r="CH266" s="39" t="str">
        <f t="shared" si="1073"/>
        <v/>
      </c>
      <c r="CI266" s="39" t="str">
        <f t="shared" si="1073"/>
        <v/>
      </c>
      <c r="CJ266" s="39" t="str">
        <f t="shared" si="1073"/>
        <v/>
      </c>
      <c r="CK266" s="39" t="str">
        <f t="shared" si="1073"/>
        <v/>
      </c>
      <c r="CL266" s="39" t="str">
        <f t="shared" si="1073"/>
        <v/>
      </c>
      <c r="CM266" s="39" t="str">
        <f t="shared" si="1073"/>
        <v/>
      </c>
      <c r="CN266" s="39" t="str">
        <f t="shared" si="1073"/>
        <v/>
      </c>
      <c r="CO266" s="39" t="str">
        <f t="shared" si="1073"/>
        <v/>
      </c>
      <c r="CP266" s="39" t="str">
        <f t="shared" si="1073"/>
        <v/>
      </c>
      <c r="CQ266" s="39" t="str">
        <f t="shared" si="1073"/>
        <v/>
      </c>
      <c r="CR266" s="39" t="str">
        <f t="shared" si="1073"/>
        <v/>
      </c>
      <c r="CS266" s="39" t="str">
        <f t="shared" si="1073"/>
        <v/>
      </c>
      <c r="CT266" s="39" t="str">
        <f t="shared" si="1073"/>
        <v/>
      </c>
      <c r="CU266" s="39" t="str">
        <f t="shared" si="1073"/>
        <v/>
      </c>
      <c r="CV266" s="39" t="str">
        <f t="shared" si="1073"/>
        <v/>
      </c>
      <c r="CW266" s="39" t="str">
        <f t="shared" si="1073"/>
        <v/>
      </c>
      <c r="CX266" s="39" t="str">
        <f t="shared" si="1073"/>
        <v/>
      </c>
      <c r="CY266" s="39" t="str">
        <f t="shared" si="1073"/>
        <v/>
      </c>
      <c r="CZ266" s="39" t="str">
        <f t="shared" si="1073"/>
        <v/>
      </c>
      <c r="DA266" s="39" t="str">
        <f t="shared" si="1073"/>
        <v/>
      </c>
      <c r="DB266" s="39" t="str">
        <f t="shared" si="1073"/>
        <v/>
      </c>
      <c r="DC266" s="39" t="str">
        <f t="shared" si="1073"/>
        <v/>
      </c>
      <c r="DD266" s="39" t="str">
        <f t="shared" ref="DD266:EN266" si="1074">IF(DD$227="","",-DD250+DD261)</f>
        <v/>
      </c>
      <c r="DE266" s="39" t="str">
        <f t="shared" si="1074"/>
        <v/>
      </c>
      <c r="DF266" s="39" t="str">
        <f t="shared" si="1074"/>
        <v/>
      </c>
      <c r="DG266" s="39" t="str">
        <f t="shared" si="1074"/>
        <v/>
      </c>
      <c r="DH266" s="39" t="str">
        <f t="shared" si="1074"/>
        <v/>
      </c>
      <c r="DI266" s="39" t="str">
        <f t="shared" si="1074"/>
        <v/>
      </c>
      <c r="DJ266" s="39" t="str">
        <f t="shared" si="1074"/>
        <v/>
      </c>
      <c r="DK266" s="39" t="str">
        <f t="shared" si="1074"/>
        <v/>
      </c>
      <c r="DL266" s="39" t="str">
        <f t="shared" si="1074"/>
        <v/>
      </c>
      <c r="DM266" s="39" t="str">
        <f t="shared" si="1074"/>
        <v/>
      </c>
      <c r="DN266" s="39" t="str">
        <f t="shared" si="1074"/>
        <v/>
      </c>
      <c r="DO266" s="39" t="str">
        <f t="shared" si="1074"/>
        <v/>
      </c>
      <c r="DP266" s="39" t="str">
        <f t="shared" si="1074"/>
        <v/>
      </c>
      <c r="DQ266" s="39" t="str">
        <f t="shared" si="1074"/>
        <v/>
      </c>
      <c r="DR266" s="39" t="str">
        <f t="shared" si="1074"/>
        <v/>
      </c>
      <c r="DS266" s="39" t="str">
        <f t="shared" si="1074"/>
        <v/>
      </c>
      <c r="DT266" s="39" t="str">
        <f t="shared" si="1074"/>
        <v/>
      </c>
      <c r="DU266" s="39" t="str">
        <f t="shared" si="1074"/>
        <v/>
      </c>
      <c r="DV266" s="39" t="str">
        <f t="shared" si="1074"/>
        <v/>
      </c>
      <c r="DW266" s="39" t="str">
        <f t="shared" si="1074"/>
        <v/>
      </c>
      <c r="DX266" s="39" t="str">
        <f t="shared" si="1074"/>
        <v/>
      </c>
      <c r="DY266" s="39" t="str">
        <f t="shared" si="1074"/>
        <v/>
      </c>
      <c r="DZ266" s="39" t="str">
        <f t="shared" si="1074"/>
        <v/>
      </c>
      <c r="EA266" s="39" t="str">
        <f t="shared" si="1074"/>
        <v/>
      </c>
      <c r="EB266" s="39" t="str">
        <f t="shared" si="1074"/>
        <v/>
      </c>
      <c r="EC266" s="39" t="str">
        <f t="shared" si="1074"/>
        <v/>
      </c>
      <c r="ED266" s="39" t="str">
        <f t="shared" si="1074"/>
        <v/>
      </c>
      <c r="EE266" s="39" t="str">
        <f t="shared" si="1074"/>
        <v/>
      </c>
      <c r="EF266" s="39" t="str">
        <f t="shared" si="1074"/>
        <v/>
      </c>
      <c r="EG266" s="39" t="str">
        <f t="shared" si="1074"/>
        <v/>
      </c>
      <c r="EH266" s="39" t="str">
        <f t="shared" si="1074"/>
        <v/>
      </c>
      <c r="EI266" s="39" t="str">
        <f t="shared" si="1074"/>
        <v/>
      </c>
      <c r="EJ266" s="39" t="str">
        <f t="shared" si="1074"/>
        <v/>
      </c>
      <c r="EK266" s="39" t="str">
        <f t="shared" si="1074"/>
        <v/>
      </c>
      <c r="EL266" s="39" t="str">
        <f t="shared" si="1074"/>
        <v/>
      </c>
      <c r="EM266" s="39" t="str">
        <f t="shared" si="1074"/>
        <v/>
      </c>
      <c r="EN266" s="39" t="str">
        <f t="shared" si="1074"/>
        <v/>
      </c>
      <c r="EP266" s="37"/>
      <c r="EQ266" s="24"/>
      <c r="ER266" s="24"/>
      <c r="ES266" s="24"/>
      <c r="ET266" s="33" t="s">
        <v>401</v>
      </c>
      <c r="EU266" s="33"/>
      <c r="EV266" s="222">
        <f ca="1">EV$264*$H$257</f>
        <v>0</v>
      </c>
      <c r="EW266" s="222">
        <f t="shared" ref="EW266:HH266" ca="1" si="1075">EW$264*$H$257</f>
        <v>0</v>
      </c>
      <c r="EX266" s="222">
        <f t="shared" ca="1" si="1075"/>
        <v>0</v>
      </c>
      <c r="EY266" s="222">
        <f t="shared" ca="1" si="1075"/>
        <v>0</v>
      </c>
      <c r="EZ266" s="222">
        <f t="shared" ca="1" si="1075"/>
        <v>0</v>
      </c>
      <c r="FA266" s="222">
        <f t="shared" ca="1" si="1075"/>
        <v>0</v>
      </c>
      <c r="FB266" s="222">
        <f t="shared" ca="1" si="1075"/>
        <v>0</v>
      </c>
      <c r="FC266" s="222">
        <f t="shared" ca="1" si="1075"/>
        <v>0</v>
      </c>
      <c r="FD266" s="222">
        <f t="shared" ca="1" si="1075"/>
        <v>0</v>
      </c>
      <c r="FE266" s="222">
        <f t="shared" ca="1" si="1075"/>
        <v>0</v>
      </c>
      <c r="FF266" s="222">
        <f t="shared" ca="1" si="1075"/>
        <v>0</v>
      </c>
      <c r="FG266" s="222">
        <f t="shared" ca="1" si="1075"/>
        <v>0</v>
      </c>
      <c r="FH266" s="222">
        <f t="shared" ca="1" si="1075"/>
        <v>0</v>
      </c>
      <c r="FI266" s="222">
        <f t="shared" ca="1" si="1075"/>
        <v>0</v>
      </c>
      <c r="FJ266" s="222">
        <f t="shared" ca="1" si="1075"/>
        <v>0</v>
      </c>
      <c r="FK266" s="222">
        <f t="shared" ca="1" si="1075"/>
        <v>0</v>
      </c>
      <c r="FL266" s="222">
        <f t="shared" ca="1" si="1075"/>
        <v>0</v>
      </c>
      <c r="FM266" s="222">
        <f t="shared" ca="1" si="1075"/>
        <v>0</v>
      </c>
      <c r="FN266" s="222">
        <f t="shared" ca="1" si="1075"/>
        <v>0</v>
      </c>
      <c r="FO266" s="222">
        <f t="shared" ca="1" si="1075"/>
        <v>0</v>
      </c>
      <c r="FP266" s="222">
        <f t="shared" ca="1" si="1075"/>
        <v>0</v>
      </c>
      <c r="FQ266" s="222">
        <f t="shared" ca="1" si="1075"/>
        <v>0</v>
      </c>
      <c r="FR266" s="222">
        <f t="shared" ca="1" si="1075"/>
        <v>0</v>
      </c>
      <c r="FS266" s="222">
        <f t="shared" ca="1" si="1075"/>
        <v>0</v>
      </c>
      <c r="FT266" s="222">
        <f t="shared" ca="1" si="1075"/>
        <v>0</v>
      </c>
      <c r="FU266" s="222">
        <f t="shared" ca="1" si="1075"/>
        <v>0</v>
      </c>
      <c r="FV266" s="222">
        <f t="shared" ca="1" si="1075"/>
        <v>0</v>
      </c>
      <c r="FW266" s="222">
        <f t="shared" ca="1" si="1075"/>
        <v>0</v>
      </c>
      <c r="FX266" s="222">
        <f t="shared" ca="1" si="1075"/>
        <v>0</v>
      </c>
      <c r="FY266" s="222">
        <f t="shared" ca="1" si="1075"/>
        <v>0</v>
      </c>
      <c r="FZ266" s="222">
        <f t="shared" ca="1" si="1075"/>
        <v>0</v>
      </c>
      <c r="GA266" s="222">
        <f t="shared" ca="1" si="1075"/>
        <v>0</v>
      </c>
      <c r="GB266" s="222">
        <f t="shared" ca="1" si="1075"/>
        <v>0</v>
      </c>
      <c r="GC266" s="222">
        <f t="shared" ca="1" si="1075"/>
        <v>0</v>
      </c>
      <c r="GD266" s="222">
        <f t="shared" ca="1" si="1075"/>
        <v>0</v>
      </c>
      <c r="GE266" s="222">
        <f t="shared" ca="1" si="1075"/>
        <v>0</v>
      </c>
      <c r="GF266" s="222">
        <f t="shared" ca="1" si="1075"/>
        <v>0</v>
      </c>
      <c r="GG266" s="222">
        <f t="shared" ca="1" si="1075"/>
        <v>0</v>
      </c>
      <c r="GH266" s="222">
        <f t="shared" ca="1" si="1075"/>
        <v>0</v>
      </c>
      <c r="GI266" s="222">
        <f t="shared" ca="1" si="1075"/>
        <v>0</v>
      </c>
      <c r="GJ266" s="222">
        <f t="shared" ca="1" si="1075"/>
        <v>0</v>
      </c>
      <c r="GK266" s="222">
        <f t="shared" ca="1" si="1075"/>
        <v>0</v>
      </c>
      <c r="GL266" s="222">
        <f t="shared" ca="1" si="1075"/>
        <v>0</v>
      </c>
      <c r="GM266" s="222">
        <f t="shared" ca="1" si="1075"/>
        <v>0</v>
      </c>
      <c r="GN266" s="222">
        <f t="shared" ca="1" si="1075"/>
        <v>0</v>
      </c>
      <c r="GO266" s="222">
        <f t="shared" ca="1" si="1075"/>
        <v>322681.50019058399</v>
      </c>
      <c r="GP266" s="222">
        <f t="shared" ca="1" si="1075"/>
        <v>0</v>
      </c>
      <c r="GQ266" s="222">
        <f t="shared" ca="1" si="1075"/>
        <v>0</v>
      </c>
      <c r="GR266" s="222">
        <f t="shared" ca="1" si="1075"/>
        <v>0</v>
      </c>
      <c r="GS266" s="222">
        <f t="shared" ca="1" si="1075"/>
        <v>0</v>
      </c>
      <c r="GT266" s="222">
        <f t="shared" ca="1" si="1075"/>
        <v>0</v>
      </c>
      <c r="GU266" s="222">
        <f t="shared" ca="1" si="1075"/>
        <v>0</v>
      </c>
      <c r="GV266" s="222">
        <f t="shared" ca="1" si="1075"/>
        <v>0</v>
      </c>
      <c r="GW266" s="222">
        <f t="shared" ca="1" si="1075"/>
        <v>0</v>
      </c>
      <c r="GX266" s="222">
        <f t="shared" ca="1" si="1075"/>
        <v>0</v>
      </c>
      <c r="GY266" s="222">
        <f t="shared" ca="1" si="1075"/>
        <v>0</v>
      </c>
      <c r="GZ266" s="222">
        <f t="shared" ca="1" si="1075"/>
        <v>0</v>
      </c>
      <c r="HA266" s="222">
        <f t="shared" ca="1" si="1075"/>
        <v>0</v>
      </c>
      <c r="HB266" s="222">
        <f t="shared" ca="1" si="1075"/>
        <v>0</v>
      </c>
      <c r="HC266" s="222">
        <f t="shared" ca="1" si="1075"/>
        <v>0</v>
      </c>
      <c r="HD266" s="222">
        <f t="shared" ca="1" si="1075"/>
        <v>0</v>
      </c>
      <c r="HE266" s="222">
        <f t="shared" ca="1" si="1075"/>
        <v>0</v>
      </c>
      <c r="HF266" s="222">
        <f t="shared" ca="1" si="1075"/>
        <v>0</v>
      </c>
      <c r="HG266" s="222">
        <f t="shared" ca="1" si="1075"/>
        <v>0</v>
      </c>
      <c r="HH266" s="222">
        <f t="shared" ca="1" si="1075"/>
        <v>0</v>
      </c>
      <c r="HI266" s="222">
        <f t="shared" ref="HI266:JT266" ca="1" si="1076">HI$264*$H$257</f>
        <v>0</v>
      </c>
      <c r="HJ266" s="222">
        <f t="shared" ca="1" si="1076"/>
        <v>0</v>
      </c>
      <c r="HK266" s="222">
        <f t="shared" ca="1" si="1076"/>
        <v>0</v>
      </c>
      <c r="HL266" s="222">
        <f t="shared" ca="1" si="1076"/>
        <v>0</v>
      </c>
      <c r="HM266" s="222">
        <f t="shared" ca="1" si="1076"/>
        <v>0</v>
      </c>
      <c r="HN266" s="222">
        <f t="shared" ca="1" si="1076"/>
        <v>0</v>
      </c>
      <c r="HO266" s="222">
        <f t="shared" ca="1" si="1076"/>
        <v>0</v>
      </c>
      <c r="HP266" s="222">
        <f t="shared" ca="1" si="1076"/>
        <v>0</v>
      </c>
      <c r="HQ266" s="222">
        <f t="shared" ca="1" si="1076"/>
        <v>0</v>
      </c>
      <c r="HR266" s="222">
        <f t="shared" ca="1" si="1076"/>
        <v>0</v>
      </c>
      <c r="HS266" s="222">
        <f t="shared" ca="1" si="1076"/>
        <v>0</v>
      </c>
      <c r="HT266" s="222">
        <f t="shared" ca="1" si="1076"/>
        <v>0</v>
      </c>
      <c r="HU266" s="222">
        <f t="shared" ca="1" si="1076"/>
        <v>0</v>
      </c>
      <c r="HV266" s="222">
        <f t="shared" ca="1" si="1076"/>
        <v>0</v>
      </c>
      <c r="HW266" s="222">
        <f t="shared" ca="1" si="1076"/>
        <v>0</v>
      </c>
      <c r="HX266" s="222">
        <f t="shared" ca="1" si="1076"/>
        <v>0</v>
      </c>
      <c r="HY266" s="222">
        <f t="shared" ca="1" si="1076"/>
        <v>0</v>
      </c>
      <c r="HZ266" s="222">
        <f t="shared" ca="1" si="1076"/>
        <v>0</v>
      </c>
      <c r="IA266" s="222">
        <f t="shared" ca="1" si="1076"/>
        <v>0</v>
      </c>
      <c r="IB266" s="222">
        <f t="shared" ca="1" si="1076"/>
        <v>0</v>
      </c>
      <c r="IC266" s="222">
        <f t="shared" ca="1" si="1076"/>
        <v>0</v>
      </c>
      <c r="ID266" s="222">
        <f t="shared" ca="1" si="1076"/>
        <v>0</v>
      </c>
      <c r="IE266" s="222">
        <f t="shared" ca="1" si="1076"/>
        <v>0</v>
      </c>
      <c r="IF266" s="222">
        <f t="shared" ca="1" si="1076"/>
        <v>0</v>
      </c>
      <c r="IG266" s="222">
        <f t="shared" ca="1" si="1076"/>
        <v>0</v>
      </c>
      <c r="IH266" s="222">
        <f t="shared" ca="1" si="1076"/>
        <v>0</v>
      </c>
      <c r="II266" s="222">
        <f t="shared" ca="1" si="1076"/>
        <v>0</v>
      </c>
      <c r="IJ266" s="222">
        <f t="shared" ca="1" si="1076"/>
        <v>0</v>
      </c>
      <c r="IK266" s="222">
        <f t="shared" ca="1" si="1076"/>
        <v>0</v>
      </c>
      <c r="IL266" s="222">
        <f t="shared" ca="1" si="1076"/>
        <v>0</v>
      </c>
      <c r="IM266" s="222">
        <f t="shared" ca="1" si="1076"/>
        <v>0</v>
      </c>
      <c r="IN266" s="222">
        <f t="shared" ca="1" si="1076"/>
        <v>0</v>
      </c>
      <c r="IO266" s="222">
        <f t="shared" ca="1" si="1076"/>
        <v>0</v>
      </c>
      <c r="IP266" s="222">
        <f t="shared" ca="1" si="1076"/>
        <v>0</v>
      </c>
      <c r="IQ266" s="222">
        <f t="shared" ca="1" si="1076"/>
        <v>0</v>
      </c>
      <c r="IR266" s="222">
        <f t="shared" ca="1" si="1076"/>
        <v>0</v>
      </c>
      <c r="IS266" s="222">
        <f t="shared" ca="1" si="1076"/>
        <v>0</v>
      </c>
      <c r="IT266" s="222">
        <f t="shared" ca="1" si="1076"/>
        <v>0</v>
      </c>
      <c r="IU266" s="222">
        <f t="shared" ca="1" si="1076"/>
        <v>0</v>
      </c>
      <c r="IV266" s="222">
        <f t="shared" ca="1" si="1076"/>
        <v>0</v>
      </c>
      <c r="IW266" s="222">
        <f t="shared" ca="1" si="1076"/>
        <v>0</v>
      </c>
      <c r="IX266" s="222">
        <f t="shared" ca="1" si="1076"/>
        <v>0</v>
      </c>
      <c r="IY266" s="222">
        <f t="shared" ca="1" si="1076"/>
        <v>0</v>
      </c>
      <c r="IZ266" s="222">
        <f t="shared" ca="1" si="1076"/>
        <v>0</v>
      </c>
      <c r="JA266" s="222">
        <f t="shared" ca="1" si="1076"/>
        <v>0</v>
      </c>
      <c r="JB266" s="222">
        <f t="shared" ca="1" si="1076"/>
        <v>0</v>
      </c>
      <c r="JC266" s="222">
        <f t="shared" ca="1" si="1076"/>
        <v>0</v>
      </c>
      <c r="JD266" s="222">
        <f t="shared" ca="1" si="1076"/>
        <v>0</v>
      </c>
      <c r="JE266" s="222">
        <f t="shared" ca="1" si="1076"/>
        <v>0</v>
      </c>
      <c r="JF266" s="222">
        <f t="shared" ca="1" si="1076"/>
        <v>0</v>
      </c>
      <c r="JG266" s="222">
        <f t="shared" ca="1" si="1076"/>
        <v>0</v>
      </c>
      <c r="JH266" s="222">
        <f t="shared" ca="1" si="1076"/>
        <v>0</v>
      </c>
      <c r="JI266" s="222">
        <f t="shared" ca="1" si="1076"/>
        <v>0</v>
      </c>
      <c r="JJ266" s="222">
        <f t="shared" ca="1" si="1076"/>
        <v>0</v>
      </c>
      <c r="JK266" s="222">
        <f t="shared" ca="1" si="1076"/>
        <v>0</v>
      </c>
      <c r="JL266" s="222">
        <f t="shared" ca="1" si="1076"/>
        <v>0</v>
      </c>
      <c r="JM266" s="222">
        <f t="shared" ca="1" si="1076"/>
        <v>0</v>
      </c>
      <c r="JN266" s="222">
        <f t="shared" ca="1" si="1076"/>
        <v>0</v>
      </c>
      <c r="JO266" s="222">
        <f t="shared" ca="1" si="1076"/>
        <v>0</v>
      </c>
      <c r="JP266" s="222">
        <f t="shared" ca="1" si="1076"/>
        <v>0</v>
      </c>
      <c r="JQ266" s="222">
        <f t="shared" ca="1" si="1076"/>
        <v>0</v>
      </c>
      <c r="JR266" s="222">
        <f t="shared" ca="1" si="1076"/>
        <v>0</v>
      </c>
      <c r="JS266" s="222">
        <f t="shared" ca="1" si="1076"/>
        <v>0</v>
      </c>
      <c r="JT266" s="222">
        <f t="shared" ca="1" si="1076"/>
        <v>0</v>
      </c>
      <c r="JU266" s="222">
        <f ca="1">JU$264*$H$257</f>
        <v>0</v>
      </c>
      <c r="JV266" s="222">
        <f ca="1">JV$264*$H$257</f>
        <v>0</v>
      </c>
      <c r="JW266" s="222">
        <f ca="1">JW$264*$H$257</f>
        <v>0</v>
      </c>
      <c r="JX266" s="222">
        <f ca="1">JX$264*$H$257</f>
        <v>0</v>
      </c>
    </row>
    <row r="267" spans="1:284" s="7" customFormat="1" ht="0.6" customHeight="1" x14ac:dyDescent="0.2">
      <c r="A267" s="406"/>
      <c r="B267" s="250" t="s">
        <v>70</v>
      </c>
      <c r="C267" s="251"/>
      <c r="D267" s="251"/>
      <c r="E267" s="251"/>
      <c r="F267" s="261">
        <f ca="1">IFERROR(I262/I251,"NA")</f>
        <v>2.6524051509735158</v>
      </c>
      <c r="G267" s="606">
        <f ca="1">IFERROR(IF($L$53=0,XIRR(OFFSET($M$267,0,0,1,Timing_Analysis_End_Month),OFFSET($M$196,0,0,1,Timing_Analysis_End_Month)),XIRR(OFFSET($L$267,0,0,1,Timing_Analysis_End_Month+1),OFFSET($L$196,0,0,1,Timing_Analysis_End_Month+1))),"NA")</f>
        <v>0.32897186875343332</v>
      </c>
      <c r="H267" s="252">
        <f ca="1">I267/$I$246</f>
        <v>0.13721296558321885</v>
      </c>
      <c r="I267" s="253">
        <f ca="1">SUM(I265:I266)</f>
        <v>1209330.4129579994</v>
      </c>
      <c r="J267" s="386"/>
      <c r="K267" s="386"/>
      <c r="L267" s="387">
        <f t="shared" ref="L267:AQ267" ca="1" si="1077">IF(L$227="","",SUM(L265:L266))</f>
        <v>-187657.97638306464</v>
      </c>
      <c r="M267" s="387">
        <f t="shared" ca="1" si="1077"/>
        <v>-21730.771816496028</v>
      </c>
      <c r="N267" s="387">
        <f t="shared" ca="1" si="1077"/>
        <v>-29755.760793080615</v>
      </c>
      <c r="O267" s="387">
        <f t="shared" ca="1" si="1077"/>
        <v>-45670.459179682453</v>
      </c>
      <c r="P267" s="387">
        <f t="shared" ca="1" si="1077"/>
        <v>-73391.045194076287</v>
      </c>
      <c r="Q267" s="387">
        <f t="shared" ca="1" si="1077"/>
        <v>-115481.48367370834</v>
      </c>
      <c r="R267" s="387">
        <f t="shared" ca="1" si="1077"/>
        <v>-170492.91037806304</v>
      </c>
      <c r="S267" s="387">
        <f t="shared" ca="1" si="1077"/>
        <v>-87680.306188005474</v>
      </c>
      <c r="T267" s="387">
        <f t="shared" ca="1" si="1077"/>
        <v>0</v>
      </c>
      <c r="U267" s="387">
        <f t="shared" ca="1" si="1077"/>
        <v>0</v>
      </c>
      <c r="V267" s="387">
        <f t="shared" ca="1" si="1077"/>
        <v>0</v>
      </c>
      <c r="W267" s="387">
        <f t="shared" ca="1" si="1077"/>
        <v>0</v>
      </c>
      <c r="X267" s="387">
        <f t="shared" ca="1" si="1077"/>
        <v>0</v>
      </c>
      <c r="Y267" s="387">
        <f t="shared" ca="1" si="1077"/>
        <v>0</v>
      </c>
      <c r="Z267" s="387">
        <f t="shared" ca="1" si="1077"/>
        <v>0</v>
      </c>
      <c r="AA267" s="387">
        <f t="shared" ca="1" si="1077"/>
        <v>0</v>
      </c>
      <c r="AB267" s="387">
        <f t="shared" ca="1" si="1077"/>
        <v>0</v>
      </c>
      <c r="AC267" s="387">
        <f t="shared" ca="1" si="1077"/>
        <v>0</v>
      </c>
      <c r="AD267" s="387">
        <f t="shared" ca="1" si="1077"/>
        <v>0</v>
      </c>
      <c r="AE267" s="387">
        <f t="shared" ca="1" si="1077"/>
        <v>0</v>
      </c>
      <c r="AF267" s="387">
        <f t="shared" ca="1" si="1077"/>
        <v>7.2759576141834263E-13</v>
      </c>
      <c r="AG267" s="387">
        <f t="shared" ca="1" si="1077"/>
        <v>0</v>
      </c>
      <c r="AH267" s="387">
        <f t="shared" ca="1" si="1077"/>
        <v>0</v>
      </c>
      <c r="AI267" s="387">
        <f t="shared" ca="1" si="1077"/>
        <v>4.5474735088646412E-13</v>
      </c>
      <c r="AJ267" s="387">
        <f t="shared" ca="1" si="1077"/>
        <v>-5.4569682106375712E-13</v>
      </c>
      <c r="AK267" s="387">
        <f t="shared" ca="1" si="1077"/>
        <v>0</v>
      </c>
      <c r="AL267" s="387">
        <f t="shared" ca="1" si="1077"/>
        <v>0</v>
      </c>
      <c r="AM267" s="387">
        <f t="shared" ca="1" si="1077"/>
        <v>0</v>
      </c>
      <c r="AN267" s="387">
        <f t="shared" ca="1" si="1077"/>
        <v>0</v>
      </c>
      <c r="AO267" s="387">
        <f t="shared" ca="1" si="1077"/>
        <v>0</v>
      </c>
      <c r="AP267" s="387">
        <f t="shared" ca="1" si="1077"/>
        <v>104.87460674741452</v>
      </c>
      <c r="AQ267" s="387">
        <f t="shared" ca="1" si="1077"/>
        <v>915.28871061622203</v>
      </c>
      <c r="AR267" s="387">
        <f t="shared" ref="AR267:BW267" ca="1" si="1078">IF(AR$227="","",SUM(AR265:AR266))</f>
        <v>2525.9869903900021</v>
      </c>
      <c r="AS267" s="387">
        <f t="shared" ca="1" si="1078"/>
        <v>4480.4191624884261</v>
      </c>
      <c r="AT267" s="387">
        <f t="shared" ca="1" si="1078"/>
        <v>4535.9510562384276</v>
      </c>
      <c r="AU267" s="387">
        <f t="shared" ca="1" si="1078"/>
        <v>4591.4829499884308</v>
      </c>
      <c r="AV267" s="387">
        <f t="shared" ca="1" si="1078"/>
        <v>4647.0148437384287</v>
      </c>
      <c r="AW267" s="387">
        <f t="shared" ca="1" si="1078"/>
        <v>4702.5467374884265</v>
      </c>
      <c r="AX267" s="387">
        <f t="shared" ca="1" si="1078"/>
        <v>4758.0786312384244</v>
      </c>
      <c r="AY267" s="387">
        <f t="shared" ca="1" si="1078"/>
        <v>4813.6105249884276</v>
      </c>
      <c r="AZ267" s="387">
        <f t="shared" ca="1" si="1078"/>
        <v>4869.1424187384264</v>
      </c>
      <c r="BA267" s="387">
        <f t="shared" ca="1" si="1078"/>
        <v>4924.6743124884297</v>
      </c>
      <c r="BB267" s="387">
        <f t="shared" ca="1" si="1078"/>
        <v>4980.2062062384302</v>
      </c>
      <c r="BC267" s="387">
        <f t="shared" ca="1" si="1078"/>
        <v>4350.0554704041251</v>
      </c>
      <c r="BD267" s="387">
        <f t="shared" ca="1" si="1078"/>
        <v>4407.2533209666235</v>
      </c>
      <c r="BE267" s="387">
        <f t="shared" ca="1" si="1078"/>
        <v>1881584.5406214178</v>
      </c>
      <c r="BF267" s="387" t="str">
        <f t="shared" si="1078"/>
        <v/>
      </c>
      <c r="BG267" s="387" t="str">
        <f t="shared" si="1078"/>
        <v/>
      </c>
      <c r="BH267" s="387" t="str">
        <f t="shared" si="1078"/>
        <v/>
      </c>
      <c r="BI267" s="387" t="str">
        <f t="shared" si="1078"/>
        <v/>
      </c>
      <c r="BJ267" s="387" t="str">
        <f t="shared" si="1078"/>
        <v/>
      </c>
      <c r="BK267" s="387" t="str">
        <f t="shared" si="1078"/>
        <v/>
      </c>
      <c r="BL267" s="387" t="str">
        <f t="shared" si="1078"/>
        <v/>
      </c>
      <c r="BM267" s="387" t="str">
        <f t="shared" si="1078"/>
        <v/>
      </c>
      <c r="BN267" s="387" t="str">
        <f t="shared" si="1078"/>
        <v/>
      </c>
      <c r="BO267" s="387" t="str">
        <f t="shared" si="1078"/>
        <v/>
      </c>
      <c r="BP267" s="387" t="str">
        <f t="shared" si="1078"/>
        <v/>
      </c>
      <c r="BQ267" s="387" t="str">
        <f t="shared" si="1078"/>
        <v/>
      </c>
      <c r="BR267" s="387" t="str">
        <f t="shared" si="1078"/>
        <v/>
      </c>
      <c r="BS267" s="387" t="str">
        <f t="shared" si="1078"/>
        <v/>
      </c>
      <c r="BT267" s="387" t="str">
        <f t="shared" si="1078"/>
        <v/>
      </c>
      <c r="BU267" s="387" t="str">
        <f t="shared" si="1078"/>
        <v/>
      </c>
      <c r="BV267" s="387" t="str">
        <f t="shared" si="1078"/>
        <v/>
      </c>
      <c r="BW267" s="387" t="str">
        <f t="shared" si="1078"/>
        <v/>
      </c>
      <c r="BX267" s="387" t="str">
        <f t="shared" ref="BX267:DC267" si="1079">IF(BX$227="","",SUM(BX265:BX266))</f>
        <v/>
      </c>
      <c r="BY267" s="387" t="str">
        <f t="shared" si="1079"/>
        <v/>
      </c>
      <c r="BZ267" s="387" t="str">
        <f t="shared" si="1079"/>
        <v/>
      </c>
      <c r="CA267" s="387" t="str">
        <f t="shared" si="1079"/>
        <v/>
      </c>
      <c r="CB267" s="387" t="str">
        <f t="shared" si="1079"/>
        <v/>
      </c>
      <c r="CC267" s="387" t="str">
        <f t="shared" si="1079"/>
        <v/>
      </c>
      <c r="CD267" s="387" t="str">
        <f t="shared" si="1079"/>
        <v/>
      </c>
      <c r="CE267" s="387" t="str">
        <f t="shared" si="1079"/>
        <v/>
      </c>
      <c r="CF267" s="387" t="str">
        <f t="shared" si="1079"/>
        <v/>
      </c>
      <c r="CG267" s="387" t="str">
        <f t="shared" si="1079"/>
        <v/>
      </c>
      <c r="CH267" s="387" t="str">
        <f t="shared" si="1079"/>
        <v/>
      </c>
      <c r="CI267" s="387" t="str">
        <f t="shared" si="1079"/>
        <v/>
      </c>
      <c r="CJ267" s="387" t="str">
        <f t="shared" si="1079"/>
        <v/>
      </c>
      <c r="CK267" s="387" t="str">
        <f t="shared" si="1079"/>
        <v/>
      </c>
      <c r="CL267" s="387" t="str">
        <f t="shared" si="1079"/>
        <v/>
      </c>
      <c r="CM267" s="387" t="str">
        <f t="shared" si="1079"/>
        <v/>
      </c>
      <c r="CN267" s="387" t="str">
        <f t="shared" si="1079"/>
        <v/>
      </c>
      <c r="CO267" s="387" t="str">
        <f t="shared" si="1079"/>
        <v/>
      </c>
      <c r="CP267" s="387" t="str">
        <f t="shared" si="1079"/>
        <v/>
      </c>
      <c r="CQ267" s="387" t="str">
        <f t="shared" si="1079"/>
        <v/>
      </c>
      <c r="CR267" s="387" t="str">
        <f t="shared" si="1079"/>
        <v/>
      </c>
      <c r="CS267" s="387" t="str">
        <f t="shared" si="1079"/>
        <v/>
      </c>
      <c r="CT267" s="387" t="str">
        <f t="shared" si="1079"/>
        <v/>
      </c>
      <c r="CU267" s="387" t="str">
        <f t="shared" si="1079"/>
        <v/>
      </c>
      <c r="CV267" s="387" t="str">
        <f t="shared" si="1079"/>
        <v/>
      </c>
      <c r="CW267" s="387" t="str">
        <f t="shared" si="1079"/>
        <v/>
      </c>
      <c r="CX267" s="387" t="str">
        <f t="shared" si="1079"/>
        <v/>
      </c>
      <c r="CY267" s="387" t="str">
        <f t="shared" si="1079"/>
        <v/>
      </c>
      <c r="CZ267" s="387" t="str">
        <f t="shared" si="1079"/>
        <v/>
      </c>
      <c r="DA267" s="387" t="str">
        <f t="shared" si="1079"/>
        <v/>
      </c>
      <c r="DB267" s="387" t="str">
        <f t="shared" si="1079"/>
        <v/>
      </c>
      <c r="DC267" s="387" t="str">
        <f t="shared" si="1079"/>
        <v/>
      </c>
      <c r="DD267" s="387" t="str">
        <f t="shared" ref="DD267:EI267" si="1080">IF(DD$227="","",SUM(DD265:DD266))</f>
        <v/>
      </c>
      <c r="DE267" s="387" t="str">
        <f t="shared" si="1080"/>
        <v/>
      </c>
      <c r="DF267" s="387" t="str">
        <f t="shared" si="1080"/>
        <v/>
      </c>
      <c r="DG267" s="387" t="str">
        <f t="shared" si="1080"/>
        <v/>
      </c>
      <c r="DH267" s="387" t="str">
        <f t="shared" si="1080"/>
        <v/>
      </c>
      <c r="DI267" s="387" t="str">
        <f t="shared" si="1080"/>
        <v/>
      </c>
      <c r="DJ267" s="387" t="str">
        <f t="shared" si="1080"/>
        <v/>
      </c>
      <c r="DK267" s="387" t="str">
        <f t="shared" si="1080"/>
        <v/>
      </c>
      <c r="DL267" s="387" t="str">
        <f t="shared" si="1080"/>
        <v/>
      </c>
      <c r="DM267" s="387" t="str">
        <f t="shared" si="1080"/>
        <v/>
      </c>
      <c r="DN267" s="387" t="str">
        <f t="shared" si="1080"/>
        <v/>
      </c>
      <c r="DO267" s="387" t="str">
        <f t="shared" si="1080"/>
        <v/>
      </c>
      <c r="DP267" s="387" t="str">
        <f t="shared" si="1080"/>
        <v/>
      </c>
      <c r="DQ267" s="387" t="str">
        <f t="shared" si="1080"/>
        <v/>
      </c>
      <c r="DR267" s="387" t="str">
        <f t="shared" si="1080"/>
        <v/>
      </c>
      <c r="DS267" s="387" t="str">
        <f t="shared" si="1080"/>
        <v/>
      </c>
      <c r="DT267" s="387" t="str">
        <f t="shared" si="1080"/>
        <v/>
      </c>
      <c r="DU267" s="387" t="str">
        <f t="shared" si="1080"/>
        <v/>
      </c>
      <c r="DV267" s="387" t="str">
        <f t="shared" si="1080"/>
        <v/>
      </c>
      <c r="DW267" s="387" t="str">
        <f t="shared" si="1080"/>
        <v/>
      </c>
      <c r="DX267" s="387" t="str">
        <f t="shared" si="1080"/>
        <v/>
      </c>
      <c r="DY267" s="387" t="str">
        <f t="shared" si="1080"/>
        <v/>
      </c>
      <c r="DZ267" s="387" t="str">
        <f t="shared" si="1080"/>
        <v/>
      </c>
      <c r="EA267" s="387" t="str">
        <f t="shared" si="1080"/>
        <v/>
      </c>
      <c r="EB267" s="387" t="str">
        <f t="shared" si="1080"/>
        <v/>
      </c>
      <c r="EC267" s="387" t="str">
        <f t="shared" si="1080"/>
        <v/>
      </c>
      <c r="ED267" s="387" t="str">
        <f t="shared" si="1080"/>
        <v/>
      </c>
      <c r="EE267" s="387" t="str">
        <f t="shared" si="1080"/>
        <v/>
      </c>
      <c r="EF267" s="387" t="str">
        <f t="shared" si="1080"/>
        <v/>
      </c>
      <c r="EG267" s="387" t="str">
        <f t="shared" si="1080"/>
        <v/>
      </c>
      <c r="EH267" s="387" t="str">
        <f t="shared" si="1080"/>
        <v/>
      </c>
      <c r="EI267" s="387" t="str">
        <f t="shared" si="1080"/>
        <v/>
      </c>
      <c r="EJ267" s="387" t="str">
        <f>IF(EJ$227="","",SUM(EJ265:EJ266))</f>
        <v/>
      </c>
      <c r="EK267" s="387" t="str">
        <f>IF(EK$227="","",SUM(EK265:EK266))</f>
        <v/>
      </c>
      <c r="EL267" s="387" t="str">
        <f>IF(EL$227="","",SUM(EL265:EL266))</f>
        <v/>
      </c>
      <c r="EM267" s="387" t="str">
        <f>IF(EM$227="","",SUM(EM265:EM266))</f>
        <v/>
      </c>
      <c r="EN267" s="387" t="str">
        <f>IF(EN$227="","",SUM(EN265:EN266))</f>
        <v/>
      </c>
      <c r="EO267" s="386"/>
      <c r="EP267" s="37"/>
      <c r="EQ267" s="24"/>
      <c r="ER267" s="24"/>
      <c r="ES267" s="24"/>
      <c r="ET267" s="33" t="s">
        <v>387</v>
      </c>
      <c r="EU267" s="33"/>
      <c r="EV267" s="222">
        <f ca="1">SUM(EV265:EV266)</f>
        <v>0</v>
      </c>
      <c r="EW267" s="222">
        <f t="shared" ref="EW267:HH267" ca="1" si="1081">SUM(EW265:EW266)</f>
        <v>0</v>
      </c>
      <c r="EX267" s="222">
        <f t="shared" ca="1" si="1081"/>
        <v>0</v>
      </c>
      <c r="EY267" s="222">
        <f t="shared" ca="1" si="1081"/>
        <v>0</v>
      </c>
      <c r="EZ267" s="222">
        <f t="shared" ca="1" si="1081"/>
        <v>0</v>
      </c>
      <c r="FA267" s="222">
        <f t="shared" ca="1" si="1081"/>
        <v>0</v>
      </c>
      <c r="FB267" s="222">
        <f t="shared" ca="1" si="1081"/>
        <v>0</v>
      </c>
      <c r="FC267" s="222">
        <f t="shared" ca="1" si="1081"/>
        <v>0</v>
      </c>
      <c r="FD267" s="222">
        <f t="shared" ca="1" si="1081"/>
        <v>0</v>
      </c>
      <c r="FE267" s="222">
        <f t="shared" ca="1" si="1081"/>
        <v>0</v>
      </c>
      <c r="FF267" s="222">
        <f t="shared" ca="1" si="1081"/>
        <v>0</v>
      </c>
      <c r="FG267" s="222">
        <f t="shared" ca="1" si="1081"/>
        <v>0</v>
      </c>
      <c r="FH267" s="222">
        <f t="shared" ca="1" si="1081"/>
        <v>0</v>
      </c>
      <c r="FI267" s="222">
        <f t="shared" ca="1" si="1081"/>
        <v>0</v>
      </c>
      <c r="FJ267" s="222">
        <f t="shared" ca="1" si="1081"/>
        <v>0</v>
      </c>
      <c r="FK267" s="222">
        <f t="shared" ca="1" si="1081"/>
        <v>0</v>
      </c>
      <c r="FL267" s="222">
        <f t="shared" ca="1" si="1081"/>
        <v>0</v>
      </c>
      <c r="FM267" s="222">
        <f t="shared" ca="1" si="1081"/>
        <v>0</v>
      </c>
      <c r="FN267" s="222">
        <f t="shared" ca="1" si="1081"/>
        <v>0</v>
      </c>
      <c r="FO267" s="222">
        <f t="shared" ca="1" si="1081"/>
        <v>0</v>
      </c>
      <c r="FP267" s="222">
        <f t="shared" ca="1" si="1081"/>
        <v>0</v>
      </c>
      <c r="FQ267" s="222">
        <f t="shared" ca="1" si="1081"/>
        <v>0</v>
      </c>
      <c r="FR267" s="222">
        <f t="shared" ca="1" si="1081"/>
        <v>0</v>
      </c>
      <c r="FS267" s="222">
        <f t="shared" ca="1" si="1081"/>
        <v>0</v>
      </c>
      <c r="FT267" s="222">
        <f t="shared" ca="1" si="1081"/>
        <v>0</v>
      </c>
      <c r="FU267" s="222">
        <f t="shared" ca="1" si="1081"/>
        <v>0</v>
      </c>
      <c r="FV267" s="222">
        <f t="shared" ca="1" si="1081"/>
        <v>0</v>
      </c>
      <c r="FW267" s="222">
        <f t="shared" ca="1" si="1081"/>
        <v>0</v>
      </c>
      <c r="FX267" s="222">
        <f t="shared" ca="1" si="1081"/>
        <v>0</v>
      </c>
      <c r="FY267" s="222">
        <f t="shared" ca="1" si="1081"/>
        <v>0</v>
      </c>
      <c r="FZ267" s="222">
        <f t="shared" ca="1" si="1081"/>
        <v>0</v>
      </c>
      <c r="GA267" s="222">
        <f t="shared" ca="1" si="1081"/>
        <v>0</v>
      </c>
      <c r="GB267" s="222">
        <f t="shared" ca="1" si="1081"/>
        <v>0</v>
      </c>
      <c r="GC267" s="222">
        <f t="shared" ca="1" si="1081"/>
        <v>0</v>
      </c>
      <c r="GD267" s="222">
        <f t="shared" ca="1" si="1081"/>
        <v>0</v>
      </c>
      <c r="GE267" s="222">
        <f t="shared" ca="1" si="1081"/>
        <v>0</v>
      </c>
      <c r="GF267" s="222">
        <f t="shared" ca="1" si="1081"/>
        <v>0</v>
      </c>
      <c r="GG267" s="222">
        <f t="shared" ca="1" si="1081"/>
        <v>0</v>
      </c>
      <c r="GH267" s="222">
        <f t="shared" ca="1" si="1081"/>
        <v>0</v>
      </c>
      <c r="GI267" s="222">
        <f t="shared" ca="1" si="1081"/>
        <v>0</v>
      </c>
      <c r="GJ267" s="222">
        <f t="shared" ca="1" si="1081"/>
        <v>0</v>
      </c>
      <c r="GK267" s="222">
        <f t="shared" ca="1" si="1081"/>
        <v>0</v>
      </c>
      <c r="GL267" s="222">
        <f t="shared" ca="1" si="1081"/>
        <v>0</v>
      </c>
      <c r="GM267" s="222">
        <f t="shared" ca="1" si="1081"/>
        <v>0</v>
      </c>
      <c r="GN267" s="222">
        <f t="shared" ca="1" si="1081"/>
        <v>0</v>
      </c>
      <c r="GO267" s="222">
        <f t="shared" ca="1" si="1081"/>
        <v>701481.52215344342</v>
      </c>
      <c r="GP267" s="222">
        <f t="shared" ca="1" si="1081"/>
        <v>0</v>
      </c>
      <c r="GQ267" s="222">
        <f t="shared" ca="1" si="1081"/>
        <v>0</v>
      </c>
      <c r="GR267" s="222">
        <f t="shared" ca="1" si="1081"/>
        <v>0</v>
      </c>
      <c r="GS267" s="222">
        <f t="shared" ca="1" si="1081"/>
        <v>0</v>
      </c>
      <c r="GT267" s="222">
        <f t="shared" ca="1" si="1081"/>
        <v>0</v>
      </c>
      <c r="GU267" s="222">
        <f t="shared" ca="1" si="1081"/>
        <v>0</v>
      </c>
      <c r="GV267" s="222">
        <f t="shared" ca="1" si="1081"/>
        <v>0</v>
      </c>
      <c r="GW267" s="222">
        <f t="shared" ca="1" si="1081"/>
        <v>0</v>
      </c>
      <c r="GX267" s="222">
        <f t="shared" ca="1" si="1081"/>
        <v>0</v>
      </c>
      <c r="GY267" s="222">
        <f t="shared" ca="1" si="1081"/>
        <v>0</v>
      </c>
      <c r="GZ267" s="222">
        <f t="shared" ca="1" si="1081"/>
        <v>0</v>
      </c>
      <c r="HA267" s="222">
        <f t="shared" ca="1" si="1081"/>
        <v>0</v>
      </c>
      <c r="HB267" s="222">
        <f t="shared" ca="1" si="1081"/>
        <v>0</v>
      </c>
      <c r="HC267" s="222">
        <f t="shared" ca="1" si="1081"/>
        <v>0</v>
      </c>
      <c r="HD267" s="222">
        <f t="shared" ca="1" si="1081"/>
        <v>0</v>
      </c>
      <c r="HE267" s="222">
        <f t="shared" ca="1" si="1081"/>
        <v>0</v>
      </c>
      <c r="HF267" s="222">
        <f t="shared" ca="1" si="1081"/>
        <v>0</v>
      </c>
      <c r="HG267" s="222">
        <f t="shared" ca="1" si="1081"/>
        <v>0</v>
      </c>
      <c r="HH267" s="222">
        <f t="shared" ca="1" si="1081"/>
        <v>0</v>
      </c>
      <c r="HI267" s="222">
        <f t="shared" ref="HI267:JT267" ca="1" si="1082">SUM(HI265:HI266)</f>
        <v>0</v>
      </c>
      <c r="HJ267" s="222">
        <f t="shared" ca="1" si="1082"/>
        <v>0</v>
      </c>
      <c r="HK267" s="222">
        <f t="shared" ca="1" si="1082"/>
        <v>0</v>
      </c>
      <c r="HL267" s="222">
        <f t="shared" ca="1" si="1082"/>
        <v>0</v>
      </c>
      <c r="HM267" s="222">
        <f t="shared" ca="1" si="1082"/>
        <v>0</v>
      </c>
      <c r="HN267" s="222">
        <f t="shared" ca="1" si="1082"/>
        <v>0</v>
      </c>
      <c r="HO267" s="222">
        <f t="shared" ca="1" si="1082"/>
        <v>0</v>
      </c>
      <c r="HP267" s="222">
        <f t="shared" ca="1" si="1082"/>
        <v>0</v>
      </c>
      <c r="HQ267" s="222">
        <f t="shared" ca="1" si="1082"/>
        <v>0</v>
      </c>
      <c r="HR267" s="222">
        <f t="shared" ca="1" si="1082"/>
        <v>0</v>
      </c>
      <c r="HS267" s="222">
        <f t="shared" ca="1" si="1082"/>
        <v>0</v>
      </c>
      <c r="HT267" s="222">
        <f t="shared" ca="1" si="1082"/>
        <v>0</v>
      </c>
      <c r="HU267" s="222">
        <f t="shared" ca="1" si="1082"/>
        <v>0</v>
      </c>
      <c r="HV267" s="222">
        <f t="shared" ca="1" si="1082"/>
        <v>0</v>
      </c>
      <c r="HW267" s="222">
        <f t="shared" ca="1" si="1082"/>
        <v>0</v>
      </c>
      <c r="HX267" s="222">
        <f t="shared" ca="1" si="1082"/>
        <v>0</v>
      </c>
      <c r="HY267" s="222">
        <f t="shared" ca="1" si="1082"/>
        <v>0</v>
      </c>
      <c r="HZ267" s="222">
        <f t="shared" ca="1" si="1082"/>
        <v>0</v>
      </c>
      <c r="IA267" s="222">
        <f t="shared" ca="1" si="1082"/>
        <v>0</v>
      </c>
      <c r="IB267" s="222">
        <f t="shared" ca="1" si="1082"/>
        <v>0</v>
      </c>
      <c r="IC267" s="222">
        <f t="shared" ca="1" si="1082"/>
        <v>0</v>
      </c>
      <c r="ID267" s="222">
        <f t="shared" ca="1" si="1082"/>
        <v>0</v>
      </c>
      <c r="IE267" s="222">
        <f t="shared" ca="1" si="1082"/>
        <v>0</v>
      </c>
      <c r="IF267" s="222">
        <f t="shared" ca="1" si="1082"/>
        <v>0</v>
      </c>
      <c r="IG267" s="222">
        <f t="shared" ca="1" si="1082"/>
        <v>0</v>
      </c>
      <c r="IH267" s="222">
        <f t="shared" ca="1" si="1082"/>
        <v>0</v>
      </c>
      <c r="II267" s="222">
        <f t="shared" ca="1" si="1082"/>
        <v>0</v>
      </c>
      <c r="IJ267" s="222">
        <f t="shared" ca="1" si="1082"/>
        <v>0</v>
      </c>
      <c r="IK267" s="222">
        <f t="shared" ca="1" si="1082"/>
        <v>0</v>
      </c>
      <c r="IL267" s="222">
        <f t="shared" ca="1" si="1082"/>
        <v>0</v>
      </c>
      <c r="IM267" s="222">
        <f t="shared" ca="1" si="1082"/>
        <v>0</v>
      </c>
      <c r="IN267" s="222">
        <f t="shared" ca="1" si="1082"/>
        <v>0</v>
      </c>
      <c r="IO267" s="222">
        <f t="shared" ca="1" si="1082"/>
        <v>0</v>
      </c>
      <c r="IP267" s="222">
        <f t="shared" ca="1" si="1082"/>
        <v>0</v>
      </c>
      <c r="IQ267" s="222">
        <f t="shared" ca="1" si="1082"/>
        <v>0</v>
      </c>
      <c r="IR267" s="222">
        <f t="shared" ca="1" si="1082"/>
        <v>0</v>
      </c>
      <c r="IS267" s="222">
        <f t="shared" ca="1" si="1082"/>
        <v>0</v>
      </c>
      <c r="IT267" s="222">
        <f t="shared" ca="1" si="1082"/>
        <v>0</v>
      </c>
      <c r="IU267" s="222">
        <f t="shared" ca="1" si="1082"/>
        <v>0</v>
      </c>
      <c r="IV267" s="222">
        <f t="shared" ca="1" si="1082"/>
        <v>0</v>
      </c>
      <c r="IW267" s="222">
        <f t="shared" ca="1" si="1082"/>
        <v>0</v>
      </c>
      <c r="IX267" s="222">
        <f t="shared" ca="1" si="1082"/>
        <v>0</v>
      </c>
      <c r="IY267" s="222">
        <f t="shared" ca="1" si="1082"/>
        <v>0</v>
      </c>
      <c r="IZ267" s="222">
        <f t="shared" ca="1" si="1082"/>
        <v>0</v>
      </c>
      <c r="JA267" s="222">
        <f t="shared" ca="1" si="1082"/>
        <v>0</v>
      </c>
      <c r="JB267" s="222">
        <f t="shared" ca="1" si="1082"/>
        <v>0</v>
      </c>
      <c r="JC267" s="222">
        <f t="shared" ca="1" si="1082"/>
        <v>0</v>
      </c>
      <c r="JD267" s="222">
        <f t="shared" ca="1" si="1082"/>
        <v>0</v>
      </c>
      <c r="JE267" s="222">
        <f t="shared" ca="1" si="1082"/>
        <v>0</v>
      </c>
      <c r="JF267" s="222">
        <f t="shared" ca="1" si="1082"/>
        <v>0</v>
      </c>
      <c r="JG267" s="222">
        <f t="shared" ca="1" si="1082"/>
        <v>0</v>
      </c>
      <c r="JH267" s="222">
        <f t="shared" ca="1" si="1082"/>
        <v>0</v>
      </c>
      <c r="JI267" s="222">
        <f t="shared" ca="1" si="1082"/>
        <v>0</v>
      </c>
      <c r="JJ267" s="222">
        <f t="shared" ca="1" si="1082"/>
        <v>0</v>
      </c>
      <c r="JK267" s="222">
        <f t="shared" ca="1" si="1082"/>
        <v>0</v>
      </c>
      <c r="JL267" s="222">
        <f t="shared" ca="1" si="1082"/>
        <v>0</v>
      </c>
      <c r="JM267" s="222">
        <f t="shared" ca="1" si="1082"/>
        <v>0</v>
      </c>
      <c r="JN267" s="222">
        <f t="shared" ca="1" si="1082"/>
        <v>0</v>
      </c>
      <c r="JO267" s="222">
        <f t="shared" ca="1" si="1082"/>
        <v>0</v>
      </c>
      <c r="JP267" s="222">
        <f t="shared" ca="1" si="1082"/>
        <v>0</v>
      </c>
      <c r="JQ267" s="222">
        <f t="shared" ca="1" si="1082"/>
        <v>0</v>
      </c>
      <c r="JR267" s="222">
        <f t="shared" ca="1" si="1082"/>
        <v>0</v>
      </c>
      <c r="JS267" s="222">
        <f t="shared" ca="1" si="1082"/>
        <v>0</v>
      </c>
      <c r="JT267" s="222">
        <f t="shared" ca="1" si="1082"/>
        <v>0</v>
      </c>
      <c r="JU267" s="222">
        <f ca="1">SUM(JU265:JU266)</f>
        <v>0</v>
      </c>
      <c r="JV267" s="222">
        <f ca="1">SUM(JV265:JV266)</f>
        <v>0</v>
      </c>
      <c r="JW267" s="222">
        <f ca="1">SUM(JW265:JW266)</f>
        <v>0</v>
      </c>
      <c r="JX267" s="222">
        <f ca="1">SUM(JX265:JX266)</f>
        <v>0</v>
      </c>
    </row>
    <row r="268" spans="1:284" s="7" customFormat="1" ht="5.0999999999999996" customHeight="1" x14ac:dyDescent="0.2">
      <c r="A268" s="406"/>
      <c r="B268" s="11"/>
      <c r="C268" s="67"/>
      <c r="D268" s="67"/>
      <c r="E268" s="67"/>
      <c r="F268" s="67"/>
      <c r="G268" s="67"/>
      <c r="H268" s="67"/>
      <c r="I268" s="67"/>
      <c r="J268" s="41"/>
      <c r="K268" s="41"/>
      <c r="L268" s="41"/>
      <c r="M268" s="41"/>
      <c r="N268" s="41"/>
      <c r="O268" s="41"/>
      <c r="P268" s="41"/>
      <c r="Q268" s="41"/>
      <c r="R268" s="41"/>
      <c r="S268" s="41"/>
      <c r="T268" s="41"/>
      <c r="U268" s="41"/>
      <c r="V268" s="41"/>
      <c r="W268" s="41"/>
      <c r="X268" s="41"/>
      <c r="Y268" s="41"/>
      <c r="Z268" s="41"/>
      <c r="AA268" s="41"/>
      <c r="AB268" s="41"/>
      <c r="AC268" s="41"/>
      <c r="AD268" s="41"/>
      <c r="AE268" s="41"/>
      <c r="AF268" s="41"/>
      <c r="AG268" s="41"/>
      <c r="AH268" s="41"/>
      <c r="AI268" s="41"/>
      <c r="AJ268" s="41"/>
      <c r="AK268" s="41"/>
      <c r="AL268" s="41"/>
      <c r="AM268" s="41"/>
      <c r="AN268" s="41"/>
      <c r="AO268" s="41"/>
      <c r="AP268" s="41"/>
      <c r="AQ268" s="41"/>
      <c r="AR268" s="41"/>
      <c r="AS268" s="41"/>
      <c r="AT268" s="41"/>
      <c r="AU268" s="41"/>
      <c r="AV268" s="41"/>
      <c r="AW268" s="41"/>
      <c r="AX268" s="41"/>
      <c r="AY268" s="41"/>
      <c r="AZ268" s="41"/>
      <c r="BA268" s="41"/>
      <c r="BB268" s="41"/>
      <c r="BC268" s="41"/>
      <c r="BD268" s="41"/>
      <c r="BE268" s="41"/>
      <c r="BF268" s="41"/>
      <c r="BG268" s="41"/>
      <c r="BH268" s="41"/>
      <c r="BI268" s="41"/>
      <c r="BJ268" s="41"/>
      <c r="BK268" s="41"/>
      <c r="BL268" s="41"/>
      <c r="BM268" s="41"/>
      <c r="BN268" s="41"/>
      <c r="BO268" s="41"/>
      <c r="BP268" s="41"/>
      <c r="BQ268" s="41"/>
      <c r="BR268" s="41"/>
      <c r="BS268" s="41"/>
      <c r="BT268" s="41"/>
      <c r="BU268" s="41"/>
      <c r="BV268" s="41"/>
      <c r="BW268" s="41"/>
      <c r="BX268" s="41"/>
      <c r="BY268" s="41"/>
      <c r="BZ268" s="41"/>
      <c r="CA268" s="41"/>
      <c r="CB268" s="41"/>
      <c r="CC268" s="41"/>
      <c r="CD268" s="41"/>
      <c r="CE268" s="41"/>
      <c r="CF268" s="41"/>
      <c r="CG268" s="41"/>
      <c r="CH268" s="41"/>
      <c r="CI268" s="41"/>
      <c r="CJ268" s="41"/>
      <c r="CK268" s="41"/>
      <c r="CL268" s="41"/>
      <c r="CM268" s="41"/>
      <c r="CN268" s="41"/>
      <c r="CO268" s="41"/>
      <c r="CP268" s="41"/>
      <c r="CQ268" s="41"/>
      <c r="CR268" s="41"/>
      <c r="CS268" s="41"/>
      <c r="CT268" s="41"/>
      <c r="CU268" s="41"/>
      <c r="CV268" s="41"/>
      <c r="CW268" s="41"/>
      <c r="CX268" s="41"/>
      <c r="CY268" s="41"/>
      <c r="CZ268" s="41"/>
      <c r="DA268" s="41"/>
      <c r="DB268" s="41"/>
      <c r="DC268" s="41"/>
      <c r="DD268" s="41"/>
      <c r="DE268" s="41"/>
      <c r="DF268" s="41"/>
      <c r="DG268" s="41"/>
      <c r="DH268" s="41"/>
      <c r="DI268" s="41"/>
      <c r="DJ268" s="41"/>
      <c r="DK268" s="41"/>
      <c r="DL268" s="41"/>
      <c r="DM268" s="41"/>
      <c r="DN268" s="41"/>
      <c r="DO268" s="41"/>
      <c r="DP268" s="41"/>
      <c r="DQ268" s="41"/>
      <c r="DR268" s="41"/>
      <c r="DS268" s="41"/>
      <c r="DT268" s="41"/>
      <c r="DU268" s="41"/>
      <c r="DV268" s="41"/>
      <c r="DW268" s="41"/>
      <c r="DX268" s="41"/>
      <c r="DY268" s="41"/>
      <c r="DZ268" s="41"/>
      <c r="EA268" s="41"/>
      <c r="EB268" s="41"/>
      <c r="EC268" s="41"/>
      <c r="ED268" s="41"/>
      <c r="EE268" s="41"/>
      <c r="EF268" s="41"/>
      <c r="EG268" s="41"/>
      <c r="EH268" s="41"/>
      <c r="EI268" s="41"/>
      <c r="EJ268" s="41"/>
      <c r="EK268" s="41"/>
      <c r="EL268" s="41"/>
      <c r="EM268" s="41"/>
      <c r="EN268" s="41"/>
      <c r="EO268" s="41"/>
      <c r="EP268" s="42"/>
      <c r="EQ268" s="42"/>
      <c r="ER268" s="42"/>
      <c r="ES268" s="42"/>
      <c r="ET268" s="42"/>
      <c r="EU268" s="216"/>
      <c r="EV268" s="42"/>
      <c r="EW268" s="42"/>
      <c r="EX268" s="42"/>
      <c r="EY268" s="42"/>
      <c r="EZ268" s="42"/>
      <c r="FA268" s="42"/>
      <c r="FB268" s="42"/>
      <c r="FC268" s="42"/>
      <c r="FD268" s="42"/>
      <c r="FE268" s="42"/>
      <c r="FF268" s="42"/>
      <c r="FG268" s="42"/>
      <c r="FH268" s="42"/>
      <c r="FI268" s="42"/>
      <c r="FJ268" s="42"/>
      <c r="FK268" s="42"/>
      <c r="FL268" s="42"/>
      <c r="FM268" s="42"/>
      <c r="FN268" s="42"/>
      <c r="FO268" s="42"/>
      <c r="FP268" s="42"/>
      <c r="FQ268" s="42"/>
      <c r="FR268" s="42"/>
      <c r="FS268" s="42"/>
      <c r="FT268" s="42"/>
      <c r="FU268" s="42"/>
      <c r="FV268" s="42"/>
      <c r="FW268" s="42"/>
      <c r="FX268" s="42"/>
      <c r="FY268" s="42"/>
      <c r="FZ268" s="42"/>
      <c r="GA268" s="42"/>
      <c r="GB268" s="42"/>
      <c r="GC268" s="42"/>
      <c r="GD268" s="42"/>
      <c r="GE268" s="42"/>
      <c r="GF268" s="42"/>
      <c r="GG268" s="42"/>
      <c r="GH268" s="42"/>
      <c r="GI268" s="42"/>
      <c r="GJ268" s="42"/>
      <c r="GK268" s="42"/>
      <c r="GL268" s="42"/>
      <c r="GM268" s="42"/>
      <c r="GN268" s="42"/>
      <c r="GO268" s="42"/>
      <c r="GP268" s="42"/>
      <c r="GQ268" s="42"/>
      <c r="GR268" s="42"/>
      <c r="GS268" s="42"/>
      <c r="GT268" s="42"/>
      <c r="GU268" s="42"/>
      <c r="GV268" s="42"/>
      <c r="GW268" s="42"/>
      <c r="GX268" s="42"/>
      <c r="GY268" s="42"/>
      <c r="GZ268" s="42"/>
      <c r="HA268" s="42"/>
      <c r="HB268" s="42"/>
      <c r="HC268" s="42"/>
      <c r="HD268" s="42"/>
      <c r="HE268" s="42"/>
      <c r="HF268" s="42"/>
      <c r="HG268" s="42"/>
      <c r="HH268" s="42"/>
      <c r="HI268" s="42"/>
      <c r="HJ268" s="42"/>
      <c r="HK268" s="42"/>
      <c r="HL268" s="42"/>
      <c r="HM268" s="42"/>
      <c r="HN268" s="42"/>
      <c r="HO268" s="42"/>
      <c r="HP268" s="42"/>
      <c r="HQ268" s="42"/>
      <c r="HR268" s="42"/>
      <c r="HS268" s="42"/>
      <c r="HT268" s="42"/>
      <c r="HU268" s="42"/>
      <c r="HV268" s="42"/>
      <c r="HW268" s="42"/>
      <c r="HX268" s="42"/>
      <c r="HY268" s="42"/>
      <c r="HZ268" s="42"/>
      <c r="IA268" s="42"/>
      <c r="IB268" s="42"/>
      <c r="IC268" s="42"/>
      <c r="ID268" s="42"/>
      <c r="IE268" s="42"/>
      <c r="IF268" s="42"/>
      <c r="IG268" s="42"/>
      <c r="IH268" s="42"/>
      <c r="II268" s="42"/>
      <c r="IJ268" s="42"/>
      <c r="IK268" s="42"/>
      <c r="IL268" s="42"/>
      <c r="IM268" s="42"/>
      <c r="IN268" s="42"/>
      <c r="IO268" s="42"/>
      <c r="IP268" s="42"/>
      <c r="IQ268" s="42"/>
      <c r="IR268" s="42"/>
      <c r="IS268" s="42"/>
      <c r="IT268" s="42"/>
      <c r="IU268" s="42"/>
      <c r="IV268" s="42"/>
      <c r="IW268" s="42"/>
      <c r="IX268" s="42"/>
      <c r="IY268" s="42"/>
      <c r="IZ268" s="42"/>
      <c r="JA268" s="42"/>
      <c r="JB268" s="42"/>
      <c r="JC268" s="42"/>
      <c r="JD268" s="42"/>
      <c r="JE268" s="42"/>
      <c r="JF268" s="42"/>
      <c r="JG268" s="42"/>
      <c r="JH268" s="42"/>
      <c r="JI268" s="42"/>
      <c r="JJ268" s="42"/>
      <c r="JK268" s="42"/>
      <c r="JL268" s="42"/>
      <c r="JM268" s="42"/>
      <c r="JN268" s="42"/>
      <c r="JO268" s="42"/>
      <c r="JP268" s="42"/>
      <c r="JQ268" s="42"/>
      <c r="JR268" s="42"/>
      <c r="JS268" s="42"/>
      <c r="JT268" s="42"/>
      <c r="JU268" s="42"/>
      <c r="JV268" s="42"/>
      <c r="JW268" s="42"/>
      <c r="JX268" s="42"/>
    </row>
    <row r="269" spans="1:284" x14ac:dyDescent="0.2">
      <c r="B269" s="2" t="s">
        <v>420</v>
      </c>
      <c r="C269" s="67"/>
      <c r="D269" s="357"/>
      <c r="E269" s="357"/>
      <c r="F269" s="357"/>
      <c r="G269" s="357"/>
      <c r="H269" s="67"/>
      <c r="I269" s="67"/>
      <c r="J269" s="381"/>
      <c r="K269" s="381"/>
      <c r="L269" s="381"/>
      <c r="M269" s="381"/>
      <c r="N269" s="381"/>
      <c r="O269" s="381"/>
      <c r="P269" s="381"/>
      <c r="Q269" s="381"/>
      <c r="R269" s="381"/>
      <c r="S269" s="381"/>
      <c r="T269" s="381"/>
      <c r="U269" s="381"/>
      <c r="V269" s="381"/>
      <c r="W269" s="381"/>
      <c r="X269" s="381"/>
      <c r="Y269" s="381"/>
      <c r="Z269" s="381"/>
      <c r="AA269" s="381"/>
      <c r="AB269" s="381"/>
      <c r="AC269" s="381"/>
      <c r="AD269" s="381"/>
      <c r="AE269" s="381"/>
      <c r="AF269" s="381"/>
      <c r="AG269" s="381"/>
      <c r="AH269" s="381"/>
      <c r="AI269" s="381"/>
      <c r="AJ269" s="381"/>
      <c r="AK269" s="381"/>
      <c r="AL269" s="381"/>
      <c r="AM269" s="381"/>
      <c r="AN269" s="381"/>
      <c r="AO269" s="381"/>
      <c r="AP269" s="381"/>
      <c r="AQ269" s="381"/>
      <c r="AR269" s="381"/>
      <c r="AS269" s="381"/>
      <c r="AT269" s="381"/>
      <c r="AU269" s="381"/>
      <c r="AV269" s="381"/>
      <c r="AW269" s="381"/>
      <c r="AX269" s="381"/>
      <c r="AY269" s="381"/>
      <c r="AZ269" s="381"/>
      <c r="BA269" s="381"/>
      <c r="BB269" s="381"/>
      <c r="BC269" s="381"/>
      <c r="BD269" s="381"/>
      <c r="BE269" s="381"/>
      <c r="BF269" s="381"/>
      <c r="BG269" s="381"/>
      <c r="BH269" s="381"/>
      <c r="BI269" s="381"/>
      <c r="BJ269" s="381"/>
      <c r="BK269" s="381"/>
      <c r="BL269" s="381"/>
      <c r="BM269" s="381"/>
      <c r="BN269" s="381"/>
      <c r="BO269" s="381"/>
      <c r="BP269" s="381"/>
      <c r="BQ269" s="381"/>
      <c r="BR269" s="381"/>
      <c r="BS269" s="381"/>
      <c r="BT269" s="381"/>
      <c r="BU269" s="381"/>
      <c r="BV269" s="381"/>
      <c r="BW269" s="381"/>
      <c r="BX269" s="381"/>
      <c r="BY269" s="381"/>
      <c r="BZ269" s="381"/>
      <c r="CA269" s="381"/>
      <c r="CB269" s="381"/>
      <c r="CC269" s="381"/>
      <c r="CD269" s="381"/>
      <c r="CE269" s="381"/>
      <c r="CF269" s="381"/>
      <c r="CG269" s="381"/>
      <c r="CH269" s="381"/>
      <c r="CI269" s="381"/>
      <c r="CJ269" s="381"/>
      <c r="CK269" s="381"/>
      <c r="CL269" s="381"/>
      <c r="CM269" s="381"/>
      <c r="CN269" s="381"/>
      <c r="CO269" s="381"/>
      <c r="CP269" s="381"/>
      <c r="CQ269" s="381"/>
      <c r="CR269" s="381"/>
      <c r="CS269" s="381"/>
      <c r="CT269" s="381"/>
      <c r="CU269" s="381"/>
      <c r="CV269" s="381"/>
      <c r="CW269" s="381"/>
      <c r="CX269" s="381"/>
      <c r="CY269" s="381"/>
      <c r="CZ269" s="381"/>
      <c r="DA269" s="381"/>
      <c r="DB269" s="381"/>
      <c r="DC269" s="381"/>
      <c r="DD269" s="381"/>
      <c r="DE269" s="381"/>
      <c r="DF269" s="381"/>
      <c r="DG269" s="381"/>
      <c r="DH269" s="381"/>
      <c r="DI269" s="381"/>
      <c r="DJ269" s="381"/>
      <c r="DK269" s="381"/>
      <c r="DL269" s="381"/>
      <c r="DM269" s="381"/>
      <c r="DN269" s="381"/>
      <c r="DO269" s="381"/>
      <c r="DP269" s="381"/>
      <c r="DQ269" s="381"/>
      <c r="DR269" s="381"/>
      <c r="DS269" s="381"/>
      <c r="DT269" s="381"/>
      <c r="DU269" s="381"/>
      <c r="DV269" s="381"/>
      <c r="DW269" s="381"/>
      <c r="DX269" s="381"/>
      <c r="DY269" s="381"/>
      <c r="DZ269" s="381"/>
      <c r="EA269" s="381"/>
      <c r="EB269" s="381"/>
      <c r="EC269" s="381"/>
      <c r="ED269" s="381"/>
      <c r="EE269" s="381"/>
      <c r="EF269" s="381"/>
      <c r="EG269" s="381"/>
      <c r="EH269" s="381"/>
      <c r="EI269" s="381"/>
      <c r="EJ269" s="381"/>
      <c r="EK269" s="381"/>
      <c r="EL269" s="381"/>
      <c r="EM269" s="381"/>
      <c r="EN269" s="383"/>
      <c r="EO269" s="381"/>
      <c r="EP269" s="37"/>
      <c r="EQ269" s="24"/>
      <c r="ER269" s="24"/>
      <c r="ES269" s="24"/>
      <c r="ET269" s="33"/>
      <c r="EU269" s="33"/>
      <c r="EV269" s="222"/>
      <c r="EW269" s="222"/>
      <c r="EX269" s="222"/>
      <c r="EY269" s="222"/>
      <c r="EZ269" s="222"/>
      <c r="FA269" s="222"/>
      <c r="FB269" s="222"/>
      <c r="FC269" s="222"/>
      <c r="FD269" s="222"/>
      <c r="FE269" s="222"/>
      <c r="FF269" s="222"/>
      <c r="FG269" s="222"/>
      <c r="FH269" s="222"/>
      <c r="FI269" s="222"/>
      <c r="FJ269" s="222"/>
      <c r="FK269" s="222"/>
      <c r="FL269" s="222"/>
      <c r="FM269" s="222"/>
      <c r="FN269" s="222"/>
      <c r="FO269" s="222"/>
      <c r="FP269" s="222"/>
      <c r="FQ269" s="222"/>
      <c r="FR269" s="222"/>
      <c r="FS269" s="222"/>
      <c r="FT269" s="222"/>
      <c r="FU269" s="222"/>
      <c r="FV269" s="222"/>
      <c r="FW269" s="222"/>
      <c r="FX269" s="222"/>
      <c r="FY269" s="222"/>
      <c r="FZ269" s="222"/>
      <c r="GA269" s="222"/>
      <c r="GB269" s="222"/>
      <c r="GC269" s="222"/>
      <c r="GD269" s="222"/>
      <c r="GE269" s="222"/>
      <c r="GF269" s="222"/>
      <c r="GG269" s="222"/>
      <c r="GH269" s="222"/>
      <c r="GI269" s="222"/>
      <c r="GJ269" s="222"/>
      <c r="GK269" s="222"/>
      <c r="GL269" s="222"/>
      <c r="GM269" s="222"/>
      <c r="GN269" s="222"/>
      <c r="GO269" s="222"/>
      <c r="GP269" s="222"/>
      <c r="GQ269" s="222"/>
      <c r="GR269" s="222"/>
      <c r="GS269" s="222"/>
      <c r="GT269" s="222"/>
      <c r="GU269" s="222"/>
      <c r="GV269" s="222"/>
      <c r="GW269" s="222"/>
      <c r="GX269" s="222"/>
      <c r="GY269" s="222"/>
      <c r="GZ269" s="222"/>
      <c r="HA269" s="222"/>
      <c r="HB269" s="222"/>
      <c r="HC269" s="222"/>
      <c r="HD269" s="222"/>
      <c r="HE269" s="222"/>
      <c r="HF269" s="222"/>
      <c r="HG269" s="222"/>
      <c r="HH269" s="222"/>
      <c r="HI269" s="222"/>
      <c r="HJ269" s="222"/>
      <c r="HK269" s="222"/>
      <c r="HL269" s="222"/>
      <c r="HM269" s="222"/>
      <c r="HN269" s="222"/>
      <c r="HO269" s="222"/>
      <c r="HP269" s="222"/>
      <c r="HQ269" s="222"/>
      <c r="HR269" s="222"/>
      <c r="HS269" s="222"/>
      <c r="HT269" s="222"/>
      <c r="HU269" s="222"/>
      <c r="HV269" s="222"/>
      <c r="HW269" s="222"/>
      <c r="HX269" s="222"/>
      <c r="HY269" s="222"/>
      <c r="HZ269" s="222"/>
      <c r="IA269" s="222"/>
      <c r="IB269" s="222"/>
      <c r="IC269" s="222"/>
      <c r="ID269" s="222"/>
      <c r="IE269" s="222"/>
      <c r="IF269" s="222"/>
      <c r="IG269" s="222"/>
      <c r="IH269" s="222"/>
      <c r="II269" s="222"/>
      <c r="IJ269" s="222"/>
      <c r="IK269" s="222"/>
      <c r="IL269" s="222"/>
      <c r="IM269" s="222"/>
      <c r="IN269" s="222"/>
      <c r="IO269" s="222"/>
      <c r="IP269" s="222"/>
      <c r="IQ269" s="222"/>
      <c r="IR269" s="222"/>
      <c r="IS269" s="222"/>
      <c r="IT269" s="222"/>
      <c r="IU269" s="222"/>
      <c r="IV269" s="222"/>
      <c r="IW269" s="222"/>
      <c r="IX269" s="222"/>
      <c r="IY269" s="222"/>
      <c r="IZ269" s="222"/>
      <c r="JA269" s="222"/>
      <c r="JB269" s="222"/>
      <c r="JC269" s="222"/>
      <c r="JD269" s="222"/>
      <c r="JE269" s="222"/>
      <c r="JF269" s="222"/>
      <c r="JG269" s="222"/>
      <c r="JH269" s="222"/>
      <c r="JI269" s="222"/>
      <c r="JJ269" s="222"/>
      <c r="JK269" s="222"/>
      <c r="JL269" s="222"/>
      <c r="JM269" s="222"/>
      <c r="JN269" s="222"/>
      <c r="JO269" s="222"/>
      <c r="JP269" s="222"/>
      <c r="JQ269" s="222"/>
      <c r="JR269" s="222"/>
      <c r="JS269" s="222"/>
      <c r="JT269" s="222"/>
      <c r="JU269" s="222"/>
      <c r="JV269" s="222"/>
      <c r="JW269" s="222"/>
      <c r="JX269" s="222"/>
    </row>
    <row r="270" spans="1:284" x14ac:dyDescent="0.2">
      <c r="B270" s="92"/>
      <c r="C270" s="375" t="s">
        <v>472</v>
      </c>
      <c r="D270" s="92"/>
      <c r="E270" s="92"/>
      <c r="F270" s="92"/>
      <c r="G270" s="100" t="s">
        <v>474</v>
      </c>
      <c r="H270" s="92"/>
      <c r="I270" s="353"/>
      <c r="J270" s="381"/>
      <c r="K270" s="381"/>
      <c r="L270" s="381"/>
      <c r="M270" s="381"/>
      <c r="N270" s="381"/>
      <c r="O270" s="381"/>
      <c r="P270" s="381"/>
      <c r="Q270" s="381"/>
      <c r="R270" s="381"/>
      <c r="S270" s="381"/>
      <c r="T270" s="381"/>
      <c r="U270" s="381"/>
      <c r="V270" s="381"/>
      <c r="W270" s="381"/>
      <c r="X270" s="381"/>
      <c r="Y270" s="381"/>
      <c r="Z270" s="381"/>
      <c r="AA270" s="381"/>
      <c r="AB270" s="381"/>
      <c r="AC270" s="381"/>
      <c r="AD270" s="381"/>
      <c r="AE270" s="381"/>
      <c r="AF270" s="381"/>
      <c r="AG270" s="381"/>
      <c r="AH270" s="381"/>
      <c r="AI270" s="381"/>
      <c r="AJ270" s="381"/>
      <c r="AK270" s="381"/>
      <c r="AL270" s="381"/>
      <c r="AM270" s="381"/>
      <c r="AN270" s="381"/>
      <c r="AO270" s="381"/>
      <c r="AP270" s="381"/>
      <c r="AQ270" s="381"/>
      <c r="AR270" s="381"/>
      <c r="AS270" s="381"/>
      <c r="AT270" s="381"/>
      <c r="AU270" s="381"/>
      <c r="AV270" s="381"/>
      <c r="AW270" s="381"/>
      <c r="AX270" s="381"/>
      <c r="AY270" s="381"/>
      <c r="AZ270" s="381"/>
      <c r="BA270" s="381"/>
      <c r="BB270" s="381"/>
      <c r="BC270" s="381"/>
      <c r="BD270" s="381"/>
      <c r="BE270" s="381"/>
      <c r="BF270" s="381"/>
      <c r="BG270" s="381"/>
      <c r="BH270" s="381"/>
      <c r="BI270" s="381"/>
      <c r="BJ270" s="381"/>
      <c r="BK270" s="381"/>
      <c r="BL270" s="381"/>
      <c r="BM270" s="381"/>
      <c r="BN270" s="381"/>
      <c r="BO270" s="381"/>
      <c r="BP270" s="381"/>
      <c r="BQ270" s="381"/>
      <c r="BR270" s="381"/>
      <c r="BS270" s="381"/>
      <c r="BT270" s="381"/>
      <c r="BU270" s="381"/>
      <c r="BV270" s="381"/>
      <c r="BW270" s="381"/>
      <c r="BX270" s="381"/>
      <c r="BY270" s="381"/>
      <c r="BZ270" s="381"/>
      <c r="CA270" s="381"/>
      <c r="CB270" s="381"/>
      <c r="CC270" s="381"/>
      <c r="CD270" s="381"/>
      <c r="CE270" s="381"/>
      <c r="CF270" s="381"/>
      <c r="CG270" s="381"/>
      <c r="CH270" s="381"/>
      <c r="CI270" s="381"/>
      <c r="CJ270" s="381"/>
      <c r="CK270" s="381"/>
      <c r="CL270" s="381"/>
      <c r="CM270" s="381"/>
      <c r="CN270" s="381"/>
      <c r="CO270" s="381"/>
      <c r="CP270" s="381"/>
      <c r="CQ270" s="381"/>
      <c r="CR270" s="381"/>
      <c r="CS270" s="381"/>
      <c r="CT270" s="381"/>
      <c r="CU270" s="381"/>
      <c r="CV270" s="381"/>
      <c r="CW270" s="381"/>
      <c r="CX270" s="381"/>
      <c r="CY270" s="381"/>
      <c r="CZ270" s="381"/>
      <c r="DA270" s="381"/>
      <c r="DB270" s="381"/>
      <c r="DC270" s="381"/>
      <c r="DD270" s="381"/>
      <c r="DE270" s="381"/>
      <c r="DF270" s="381"/>
      <c r="DG270" s="381"/>
      <c r="DH270" s="381"/>
      <c r="DI270" s="381"/>
      <c r="DJ270" s="381"/>
      <c r="DK270" s="381"/>
      <c r="DL270" s="381"/>
      <c r="DM270" s="381"/>
      <c r="DN270" s="381"/>
      <c r="DO270" s="381"/>
      <c r="DP270" s="381"/>
      <c r="DQ270" s="381"/>
      <c r="DR270" s="381"/>
      <c r="DS270" s="381"/>
      <c r="DT270" s="381"/>
      <c r="DU270" s="381"/>
      <c r="DV270" s="381"/>
      <c r="DW270" s="381"/>
      <c r="DX270" s="381"/>
      <c r="DY270" s="381"/>
      <c r="DZ270" s="381"/>
      <c r="EA270" s="381"/>
      <c r="EB270" s="381"/>
      <c r="EC270" s="381"/>
      <c r="ED270" s="381"/>
      <c r="EE270" s="381"/>
      <c r="EF270" s="381"/>
      <c r="EG270" s="381"/>
      <c r="EH270" s="381"/>
      <c r="EI270" s="381"/>
      <c r="EJ270" s="381"/>
      <c r="EK270" s="381"/>
      <c r="EL270" s="381"/>
      <c r="EM270" s="381"/>
      <c r="EN270" s="384"/>
      <c r="EO270" s="381"/>
      <c r="EP270" s="37"/>
      <c r="EQ270" s="24"/>
      <c r="ER270" s="24"/>
      <c r="ES270" s="24"/>
      <c r="ET270" s="33"/>
      <c r="EU270" s="33"/>
      <c r="EV270" s="222"/>
      <c r="EW270" s="222"/>
      <c r="EX270" s="222"/>
      <c r="EY270" s="222"/>
      <c r="EZ270" s="222"/>
      <c r="FA270" s="222"/>
      <c r="FB270" s="222"/>
      <c r="FC270" s="222"/>
      <c r="FD270" s="222"/>
      <c r="FE270" s="222"/>
      <c r="FF270" s="222"/>
      <c r="FG270" s="222"/>
      <c r="FH270" s="222"/>
      <c r="FI270" s="222"/>
      <c r="FJ270" s="222"/>
      <c r="FK270" s="222"/>
      <c r="FL270" s="222"/>
      <c r="FM270" s="222"/>
      <c r="FN270" s="222"/>
      <c r="FO270" s="222"/>
      <c r="FP270" s="222"/>
      <c r="FQ270" s="222"/>
      <c r="FR270" s="222"/>
      <c r="FS270" s="222"/>
      <c r="FT270" s="222"/>
      <c r="FU270" s="222"/>
      <c r="FV270" s="222"/>
      <c r="FW270" s="222"/>
      <c r="FX270" s="222"/>
      <c r="FY270" s="222"/>
      <c r="FZ270" s="222"/>
      <c r="GA270" s="222"/>
      <c r="GB270" s="222"/>
      <c r="GC270" s="222"/>
      <c r="GD270" s="222"/>
      <c r="GE270" s="222"/>
      <c r="GF270" s="222"/>
      <c r="GG270" s="222"/>
      <c r="GH270" s="222"/>
      <c r="GI270" s="222"/>
      <c r="GJ270" s="222"/>
      <c r="GK270" s="222"/>
      <c r="GL270" s="222"/>
      <c r="GM270" s="222"/>
      <c r="GN270" s="222"/>
      <c r="GO270" s="222"/>
      <c r="GP270" s="222"/>
      <c r="GQ270" s="222"/>
      <c r="GR270" s="222"/>
      <c r="GS270" s="222"/>
      <c r="GT270" s="222"/>
      <c r="GU270" s="222"/>
      <c r="GV270" s="222"/>
      <c r="GW270" s="222"/>
      <c r="GX270" s="222"/>
      <c r="GY270" s="222"/>
      <c r="GZ270" s="222"/>
      <c r="HA270" s="222"/>
      <c r="HB270" s="222"/>
      <c r="HC270" s="222"/>
      <c r="HD270" s="222"/>
      <c r="HE270" s="222"/>
      <c r="HF270" s="222"/>
      <c r="HG270" s="222"/>
      <c r="HH270" s="222"/>
      <c r="HI270" s="222"/>
      <c r="HJ270" s="222"/>
      <c r="HK270" s="222"/>
      <c r="HL270" s="222"/>
      <c r="HM270" s="222"/>
      <c r="HN270" s="222"/>
      <c r="HO270" s="222"/>
      <c r="HP270" s="222"/>
      <c r="HQ270" s="222"/>
      <c r="HR270" s="222"/>
      <c r="HS270" s="222"/>
      <c r="HT270" s="222"/>
      <c r="HU270" s="222"/>
      <c r="HV270" s="222"/>
      <c r="HW270" s="222"/>
      <c r="HX270" s="222"/>
      <c r="HY270" s="222"/>
      <c r="HZ270" s="222"/>
      <c r="IA270" s="222"/>
      <c r="IB270" s="222"/>
      <c r="IC270" s="222"/>
      <c r="ID270" s="222"/>
      <c r="IE270" s="222"/>
      <c r="IF270" s="222"/>
      <c r="IG270" s="222"/>
      <c r="IH270" s="222"/>
      <c r="II270" s="222"/>
      <c r="IJ270" s="222"/>
      <c r="IK270" s="222"/>
      <c r="IL270" s="222"/>
      <c r="IM270" s="222"/>
      <c r="IN270" s="222"/>
      <c r="IO270" s="222"/>
      <c r="IP270" s="222"/>
      <c r="IQ270" s="222"/>
      <c r="IR270" s="222"/>
      <c r="IS270" s="222"/>
      <c r="IT270" s="222"/>
      <c r="IU270" s="222"/>
      <c r="IV270" s="222"/>
      <c r="IW270" s="222"/>
      <c r="IX270" s="222"/>
      <c r="IY270" s="222"/>
      <c r="IZ270" s="222"/>
      <c r="JA270" s="222"/>
      <c r="JB270" s="222"/>
      <c r="JC270" s="222"/>
      <c r="JD270" s="222"/>
      <c r="JE270" s="222"/>
      <c r="JF270" s="222"/>
      <c r="JG270" s="222"/>
      <c r="JH270" s="222"/>
      <c r="JI270" s="222"/>
      <c r="JJ270" s="222"/>
      <c r="JK270" s="222"/>
      <c r="JL270" s="222"/>
      <c r="JM270" s="222"/>
      <c r="JN270" s="222"/>
      <c r="JO270" s="222"/>
      <c r="JP270" s="222"/>
      <c r="JQ270" s="222"/>
      <c r="JR270" s="222"/>
      <c r="JS270" s="222"/>
      <c r="JT270" s="222"/>
      <c r="JU270" s="222"/>
      <c r="JV270" s="222"/>
      <c r="JW270" s="222"/>
      <c r="JX270" s="222"/>
    </row>
    <row r="271" spans="1:284" x14ac:dyDescent="0.2">
      <c r="B271" s="92"/>
      <c r="C271" s="376" t="s">
        <v>477</v>
      </c>
      <c r="D271" s="355" t="s">
        <v>476</v>
      </c>
      <c r="E271" s="101" t="s">
        <v>475</v>
      </c>
      <c r="F271" s="101"/>
      <c r="G271" s="368" t="s">
        <v>473</v>
      </c>
      <c r="H271" s="355" t="s">
        <v>476</v>
      </c>
      <c r="I271" s="101" t="s">
        <v>475</v>
      </c>
      <c r="J271" s="381"/>
      <c r="K271" s="381"/>
      <c r="L271" s="381"/>
      <c r="M271" s="381"/>
      <c r="N271" s="381"/>
      <c r="O271" s="381"/>
      <c r="P271" s="381"/>
      <c r="Q271" s="381"/>
      <c r="R271" s="381"/>
      <c r="S271" s="381"/>
      <c r="T271" s="381"/>
      <c r="U271" s="381"/>
      <c r="V271" s="381"/>
      <c r="W271" s="381"/>
      <c r="X271" s="381"/>
      <c r="Y271" s="381"/>
      <c r="Z271" s="381"/>
      <c r="AA271" s="381"/>
      <c r="AB271" s="381"/>
      <c r="AC271" s="381"/>
      <c r="AD271" s="381"/>
      <c r="AE271" s="381"/>
      <c r="AF271" s="381"/>
      <c r="AG271" s="381"/>
      <c r="AH271" s="381"/>
      <c r="AI271" s="381"/>
      <c r="AJ271" s="381"/>
      <c r="AK271" s="381"/>
      <c r="AL271" s="381"/>
      <c r="AM271" s="381"/>
      <c r="AN271" s="381"/>
      <c r="AO271" s="381"/>
      <c r="AP271" s="381"/>
      <c r="AQ271" s="381"/>
      <c r="AR271" s="381"/>
      <c r="AS271" s="381"/>
      <c r="AT271" s="381"/>
      <c r="AU271" s="381"/>
      <c r="AV271" s="381"/>
      <c r="AW271" s="381"/>
      <c r="AX271" s="381"/>
      <c r="AY271" s="381"/>
      <c r="AZ271" s="381"/>
      <c r="BA271" s="381"/>
      <c r="BB271" s="381"/>
      <c r="BC271" s="381"/>
      <c r="BD271" s="381"/>
      <c r="BE271" s="381"/>
      <c r="BF271" s="381"/>
      <c r="BG271" s="381"/>
      <c r="BH271" s="381"/>
      <c r="BI271" s="381"/>
      <c r="BJ271" s="381"/>
      <c r="BK271" s="381"/>
      <c r="BL271" s="381"/>
      <c r="BM271" s="381"/>
      <c r="BN271" s="381"/>
      <c r="BO271" s="381"/>
      <c r="BP271" s="381"/>
      <c r="BQ271" s="381"/>
      <c r="BR271" s="381"/>
      <c r="BS271" s="381"/>
      <c r="BT271" s="381"/>
      <c r="BU271" s="381"/>
      <c r="BV271" s="381"/>
      <c r="BW271" s="381"/>
      <c r="BX271" s="381"/>
      <c r="BY271" s="381"/>
      <c r="BZ271" s="381"/>
      <c r="CA271" s="381"/>
      <c r="CB271" s="381"/>
      <c r="CC271" s="381"/>
      <c r="CD271" s="381"/>
      <c r="CE271" s="381"/>
      <c r="CF271" s="381"/>
      <c r="CG271" s="381"/>
      <c r="CH271" s="381"/>
      <c r="CI271" s="381"/>
      <c r="CJ271" s="381"/>
      <c r="CK271" s="381"/>
      <c r="CL271" s="381"/>
      <c r="CM271" s="381"/>
      <c r="CN271" s="381"/>
      <c r="CO271" s="381"/>
      <c r="CP271" s="381"/>
      <c r="CQ271" s="381"/>
      <c r="CR271" s="381"/>
      <c r="CS271" s="381"/>
      <c r="CT271" s="381"/>
      <c r="CU271" s="381"/>
      <c r="CV271" s="381"/>
      <c r="CW271" s="381"/>
      <c r="CX271" s="381"/>
      <c r="CY271" s="381"/>
      <c r="CZ271" s="381"/>
      <c r="DA271" s="381"/>
      <c r="DB271" s="381"/>
      <c r="DC271" s="381"/>
      <c r="DD271" s="381"/>
      <c r="DE271" s="381"/>
      <c r="DF271" s="381"/>
      <c r="DG271" s="381"/>
      <c r="DH271" s="381"/>
      <c r="DI271" s="381"/>
      <c r="DJ271" s="381"/>
      <c r="DK271" s="381"/>
      <c r="DL271" s="381"/>
      <c r="DM271" s="381"/>
      <c r="DN271" s="381"/>
      <c r="DO271" s="381"/>
      <c r="DP271" s="381"/>
      <c r="DQ271" s="381"/>
      <c r="DR271" s="381"/>
      <c r="DS271" s="381"/>
      <c r="DT271" s="381"/>
      <c r="DU271" s="381"/>
      <c r="DV271" s="381"/>
      <c r="DW271" s="381"/>
      <c r="DX271" s="381"/>
      <c r="DY271" s="381"/>
      <c r="DZ271" s="381"/>
      <c r="EA271" s="381"/>
      <c r="EB271" s="381"/>
      <c r="EC271" s="381"/>
      <c r="ED271" s="381"/>
      <c r="EE271" s="381"/>
      <c r="EF271" s="381"/>
      <c r="EG271" s="381"/>
      <c r="EH271" s="381"/>
      <c r="EI271" s="381"/>
      <c r="EJ271" s="381"/>
      <c r="EK271" s="381"/>
      <c r="EL271" s="381"/>
      <c r="EM271" s="381"/>
      <c r="EN271" s="384"/>
      <c r="EO271" s="381"/>
      <c r="EP271" s="37"/>
      <c r="EQ271" s="24"/>
      <c r="ER271" s="24"/>
      <c r="ES271" s="24"/>
      <c r="ET271" s="33"/>
      <c r="EU271" s="33"/>
      <c r="EV271" s="222"/>
      <c r="EW271" s="222"/>
      <c r="EX271" s="222"/>
      <c r="EY271" s="222"/>
      <c r="EZ271" s="222"/>
      <c r="FA271" s="222"/>
      <c r="FB271" s="222"/>
      <c r="FC271" s="222"/>
      <c r="FD271" s="222"/>
      <c r="FE271" s="222"/>
      <c r="FF271" s="222"/>
      <c r="FG271" s="222"/>
      <c r="FH271" s="222"/>
      <c r="FI271" s="222"/>
      <c r="FJ271" s="222"/>
      <c r="FK271" s="222"/>
      <c r="FL271" s="222"/>
      <c r="FM271" s="222"/>
      <c r="FN271" s="222"/>
      <c r="FO271" s="222"/>
      <c r="FP271" s="222"/>
      <c r="FQ271" s="222"/>
      <c r="FR271" s="222"/>
      <c r="FS271" s="222"/>
      <c r="FT271" s="222"/>
      <c r="FU271" s="222"/>
      <c r="FV271" s="222"/>
      <c r="FW271" s="222"/>
      <c r="FX271" s="222"/>
      <c r="FY271" s="222"/>
      <c r="FZ271" s="222"/>
      <c r="GA271" s="222"/>
      <c r="GB271" s="222"/>
      <c r="GC271" s="222"/>
      <c r="GD271" s="222"/>
      <c r="GE271" s="222"/>
      <c r="GF271" s="222"/>
      <c r="GG271" s="222"/>
      <c r="GH271" s="222"/>
      <c r="GI271" s="222"/>
      <c r="GJ271" s="222"/>
      <c r="GK271" s="222"/>
      <c r="GL271" s="222"/>
      <c r="GM271" s="222"/>
      <c r="GN271" s="222"/>
      <c r="GO271" s="222"/>
      <c r="GP271" s="222"/>
      <c r="GQ271" s="222"/>
      <c r="GR271" s="222"/>
      <c r="GS271" s="222"/>
      <c r="GT271" s="222"/>
      <c r="GU271" s="222"/>
      <c r="GV271" s="222"/>
      <c r="GW271" s="222"/>
      <c r="GX271" s="222"/>
      <c r="GY271" s="222"/>
      <c r="GZ271" s="222"/>
      <c r="HA271" s="222"/>
      <c r="HB271" s="222"/>
      <c r="HC271" s="222"/>
      <c r="HD271" s="222"/>
      <c r="HE271" s="222"/>
      <c r="HF271" s="222"/>
      <c r="HG271" s="222"/>
      <c r="HH271" s="222"/>
      <c r="HI271" s="222"/>
      <c r="HJ271" s="222"/>
      <c r="HK271" s="222"/>
      <c r="HL271" s="222"/>
      <c r="HM271" s="222"/>
      <c r="HN271" s="222"/>
      <c r="HO271" s="222"/>
      <c r="HP271" s="222"/>
      <c r="HQ271" s="222"/>
      <c r="HR271" s="222"/>
      <c r="HS271" s="222"/>
      <c r="HT271" s="222"/>
      <c r="HU271" s="222"/>
      <c r="HV271" s="222"/>
      <c r="HW271" s="222"/>
      <c r="HX271" s="222"/>
      <c r="HY271" s="222"/>
      <c r="HZ271" s="222"/>
      <c r="IA271" s="222"/>
      <c r="IB271" s="222"/>
      <c r="IC271" s="222"/>
      <c r="ID271" s="222"/>
      <c r="IE271" s="222"/>
      <c r="IF271" s="222"/>
      <c r="IG271" s="222"/>
      <c r="IH271" s="222"/>
      <c r="II271" s="222"/>
      <c r="IJ271" s="222"/>
      <c r="IK271" s="222"/>
      <c r="IL271" s="222"/>
      <c r="IM271" s="222"/>
      <c r="IN271" s="222"/>
      <c r="IO271" s="222"/>
      <c r="IP271" s="222"/>
      <c r="IQ271" s="222"/>
      <c r="IR271" s="222"/>
      <c r="IS271" s="222"/>
      <c r="IT271" s="222"/>
      <c r="IU271" s="222"/>
      <c r="IV271" s="222"/>
      <c r="IW271" s="222"/>
      <c r="IX271" s="222"/>
      <c r="IY271" s="222"/>
      <c r="IZ271" s="222"/>
      <c r="JA271" s="222"/>
      <c r="JB271" s="222"/>
      <c r="JC271" s="222"/>
      <c r="JD271" s="222"/>
      <c r="JE271" s="222"/>
      <c r="JF271" s="222"/>
      <c r="JG271" s="222"/>
      <c r="JH271" s="222"/>
      <c r="JI271" s="222"/>
      <c r="JJ271" s="222"/>
      <c r="JK271" s="222"/>
      <c r="JL271" s="222"/>
      <c r="JM271" s="222"/>
      <c r="JN271" s="222"/>
      <c r="JO271" s="222"/>
      <c r="JP271" s="222"/>
      <c r="JQ271" s="222"/>
      <c r="JR271" s="222"/>
      <c r="JS271" s="222"/>
      <c r="JT271" s="222"/>
      <c r="JU271" s="222"/>
      <c r="JV271" s="222"/>
      <c r="JW271" s="222"/>
      <c r="JX271" s="222"/>
    </row>
    <row r="272" spans="1:284" x14ac:dyDescent="0.2">
      <c r="B272" s="368" t="s">
        <v>482</v>
      </c>
      <c r="C272" s="377">
        <f>F110</f>
        <v>0.05</v>
      </c>
      <c r="D272" s="354">
        <f ca="1">$I$218</f>
        <v>76.687838633763349</v>
      </c>
      <c r="E272" s="371">
        <f ca="1">$G$213</f>
        <v>1.60213156386134</v>
      </c>
      <c r="F272" s="368" t="s">
        <v>482</v>
      </c>
      <c r="G272" s="372">
        <f>I145</f>
        <v>5.2499999999999998E-2</v>
      </c>
      <c r="H272" s="354">
        <f ca="1">$I$218</f>
        <v>76.687838633763349</v>
      </c>
      <c r="I272" s="371">
        <f ca="1">$G$213</f>
        <v>1.60213156386134</v>
      </c>
      <c r="J272" s="381"/>
      <c r="K272" s="381"/>
      <c r="L272" s="381"/>
      <c r="M272" s="381"/>
      <c r="N272" s="381"/>
      <c r="O272" s="381"/>
      <c r="P272" s="381"/>
      <c r="Q272" s="381"/>
      <c r="R272" s="381"/>
      <c r="S272" s="381"/>
      <c r="T272" s="381"/>
      <c r="U272" s="381"/>
      <c r="V272" s="381"/>
      <c r="W272" s="381"/>
      <c r="X272" s="381"/>
      <c r="Y272" s="381"/>
      <c r="Z272" s="381"/>
      <c r="AA272" s="381"/>
      <c r="AB272" s="381"/>
      <c r="AC272" s="381"/>
      <c r="AD272" s="381"/>
      <c r="AE272" s="381"/>
      <c r="AF272" s="381"/>
      <c r="AG272" s="381"/>
      <c r="AH272" s="381"/>
      <c r="AI272" s="381"/>
      <c r="AJ272" s="381"/>
      <c r="AK272" s="381"/>
      <c r="AL272" s="381"/>
      <c r="AM272" s="381"/>
      <c r="AN272" s="381"/>
      <c r="AO272" s="381"/>
      <c r="AP272" s="381"/>
      <c r="AQ272" s="381"/>
      <c r="AR272" s="381"/>
      <c r="AS272" s="381"/>
      <c r="AT272" s="381"/>
      <c r="AU272" s="381"/>
      <c r="AV272" s="381"/>
      <c r="AW272" s="381"/>
      <c r="AX272" s="381"/>
      <c r="AY272" s="381"/>
      <c r="AZ272" s="381"/>
      <c r="BA272" s="381"/>
      <c r="BB272" s="381"/>
      <c r="BC272" s="381"/>
      <c r="BD272" s="381"/>
      <c r="BE272" s="381"/>
      <c r="BF272" s="381"/>
      <c r="BG272" s="381"/>
      <c r="BH272" s="381"/>
      <c r="BI272" s="381"/>
      <c r="BJ272" s="381"/>
      <c r="BK272" s="381"/>
      <c r="BL272" s="381"/>
      <c r="BM272" s="381"/>
      <c r="BN272" s="381"/>
      <c r="BO272" s="381"/>
      <c r="BP272" s="381"/>
      <c r="BQ272" s="381"/>
      <c r="BR272" s="381"/>
      <c r="BS272" s="381"/>
      <c r="BT272" s="381"/>
      <c r="BU272" s="381"/>
      <c r="BV272" s="381"/>
      <c r="BW272" s="381"/>
      <c r="BX272" s="381"/>
      <c r="BY272" s="381"/>
      <c r="BZ272" s="381"/>
      <c r="CA272" s="381"/>
      <c r="CB272" s="381"/>
      <c r="CC272" s="381"/>
      <c r="CD272" s="381"/>
      <c r="CE272" s="381"/>
      <c r="CF272" s="381"/>
      <c r="CG272" s="381"/>
      <c r="CH272" s="381"/>
      <c r="CI272" s="381"/>
      <c r="CJ272" s="381"/>
      <c r="CK272" s="381"/>
      <c r="CL272" s="381"/>
      <c r="CM272" s="381"/>
      <c r="CN272" s="381"/>
      <c r="CO272" s="381"/>
      <c r="CP272" s="381"/>
      <c r="CQ272" s="381"/>
      <c r="CR272" s="381"/>
      <c r="CS272" s="381"/>
      <c r="CT272" s="381"/>
      <c r="CU272" s="381"/>
      <c r="CV272" s="381"/>
      <c r="CW272" s="381"/>
      <c r="CX272" s="381"/>
      <c r="CY272" s="381"/>
      <c r="CZ272" s="381"/>
      <c r="DA272" s="381"/>
      <c r="DB272" s="381"/>
      <c r="DC272" s="381"/>
      <c r="DD272" s="381"/>
      <c r="DE272" s="381"/>
      <c r="DF272" s="381"/>
      <c r="DG272" s="381"/>
      <c r="DH272" s="381"/>
      <c r="DI272" s="381"/>
      <c r="DJ272" s="381"/>
      <c r="DK272" s="381"/>
      <c r="DL272" s="381"/>
      <c r="DM272" s="381"/>
      <c r="DN272" s="381"/>
      <c r="DO272" s="381"/>
      <c r="DP272" s="381"/>
      <c r="DQ272" s="381"/>
      <c r="DR272" s="381"/>
      <c r="DS272" s="381"/>
      <c r="DT272" s="381"/>
      <c r="DU272" s="381"/>
      <c r="DV272" s="381"/>
      <c r="DW272" s="381"/>
      <c r="DX272" s="381"/>
      <c r="DY272" s="381"/>
      <c r="DZ272" s="381"/>
      <c r="EA272" s="381"/>
      <c r="EB272" s="381"/>
      <c r="EC272" s="381"/>
      <c r="ED272" s="381"/>
      <c r="EE272" s="381"/>
      <c r="EF272" s="381"/>
      <c r="EG272" s="381"/>
      <c r="EH272" s="381"/>
      <c r="EI272" s="381"/>
      <c r="EJ272" s="381"/>
      <c r="EK272" s="381"/>
      <c r="EL272" s="381"/>
      <c r="EM272" s="381"/>
      <c r="EN272" s="384"/>
      <c r="EO272" s="381"/>
      <c r="EP272" s="37"/>
      <c r="EQ272" s="24"/>
      <c r="ER272" s="24"/>
      <c r="ES272" s="24"/>
      <c r="ET272" s="33"/>
      <c r="EU272" s="33"/>
      <c r="EV272" s="222"/>
      <c r="EW272" s="222"/>
      <c r="EX272" s="222"/>
      <c r="EY272" s="222"/>
      <c r="EZ272" s="222"/>
      <c r="FA272" s="222"/>
      <c r="FB272" s="222"/>
      <c r="FC272" s="222"/>
      <c r="FD272" s="222"/>
      <c r="FE272" s="222"/>
      <c r="FF272" s="222"/>
      <c r="FG272" s="222"/>
      <c r="FH272" s="222"/>
      <c r="FI272" s="222"/>
      <c r="FJ272" s="222"/>
      <c r="FK272" s="222"/>
      <c r="FL272" s="222"/>
      <c r="FM272" s="222"/>
      <c r="FN272" s="222"/>
      <c r="FO272" s="222"/>
      <c r="FP272" s="222"/>
      <c r="FQ272" s="222"/>
      <c r="FR272" s="222"/>
      <c r="FS272" s="222"/>
      <c r="FT272" s="222"/>
      <c r="FU272" s="222"/>
      <c r="FV272" s="222"/>
      <c r="FW272" s="222"/>
      <c r="FX272" s="222"/>
      <c r="FY272" s="222"/>
      <c r="FZ272" s="222"/>
      <c r="GA272" s="222"/>
      <c r="GB272" s="222"/>
      <c r="GC272" s="222"/>
      <c r="GD272" s="222"/>
      <c r="GE272" s="222"/>
      <c r="GF272" s="222"/>
      <c r="GG272" s="222"/>
      <c r="GH272" s="222"/>
      <c r="GI272" s="222"/>
      <c r="GJ272" s="222"/>
      <c r="GK272" s="222"/>
      <c r="GL272" s="222"/>
      <c r="GM272" s="222"/>
      <c r="GN272" s="222"/>
      <c r="GO272" s="222"/>
      <c r="GP272" s="222"/>
      <c r="GQ272" s="222"/>
      <c r="GR272" s="222"/>
      <c r="GS272" s="222"/>
      <c r="GT272" s="222"/>
      <c r="GU272" s="222"/>
      <c r="GV272" s="222"/>
      <c r="GW272" s="222"/>
      <c r="GX272" s="222"/>
      <c r="GY272" s="222"/>
      <c r="GZ272" s="222"/>
      <c r="HA272" s="222"/>
      <c r="HB272" s="222"/>
      <c r="HC272" s="222"/>
      <c r="HD272" s="222"/>
      <c r="HE272" s="222"/>
      <c r="HF272" s="222"/>
      <c r="HG272" s="222"/>
      <c r="HH272" s="222"/>
      <c r="HI272" s="222"/>
      <c r="HJ272" s="222"/>
      <c r="HK272" s="222"/>
      <c r="HL272" s="222"/>
      <c r="HM272" s="222"/>
      <c r="HN272" s="222"/>
      <c r="HO272" s="222"/>
      <c r="HP272" s="222"/>
      <c r="HQ272" s="222"/>
      <c r="HR272" s="222"/>
      <c r="HS272" s="222"/>
      <c r="HT272" s="222"/>
      <c r="HU272" s="222"/>
      <c r="HV272" s="222"/>
      <c r="HW272" s="222"/>
      <c r="HX272" s="222"/>
      <c r="HY272" s="222"/>
      <c r="HZ272" s="222"/>
      <c r="IA272" s="222"/>
      <c r="IB272" s="222"/>
      <c r="IC272" s="222"/>
      <c r="ID272" s="222"/>
      <c r="IE272" s="222"/>
      <c r="IF272" s="222"/>
      <c r="IG272" s="222"/>
      <c r="IH272" s="222"/>
      <c r="II272" s="222"/>
      <c r="IJ272" s="222"/>
      <c r="IK272" s="222"/>
      <c r="IL272" s="222"/>
      <c r="IM272" s="222"/>
      <c r="IN272" s="222"/>
      <c r="IO272" s="222"/>
      <c r="IP272" s="222"/>
      <c r="IQ272" s="222"/>
      <c r="IR272" s="222"/>
      <c r="IS272" s="222"/>
      <c r="IT272" s="222"/>
      <c r="IU272" s="222"/>
      <c r="IV272" s="222"/>
      <c r="IW272" s="222"/>
      <c r="IX272" s="222"/>
      <c r="IY272" s="222"/>
      <c r="IZ272" s="222"/>
      <c r="JA272" s="222"/>
      <c r="JB272" s="222"/>
      <c r="JC272" s="222"/>
      <c r="JD272" s="222"/>
      <c r="JE272" s="222"/>
      <c r="JF272" s="222"/>
      <c r="JG272" s="222"/>
      <c r="JH272" s="222"/>
      <c r="JI272" s="222"/>
      <c r="JJ272" s="222"/>
      <c r="JK272" s="222"/>
      <c r="JL272" s="222"/>
      <c r="JM272" s="222"/>
      <c r="JN272" s="222"/>
      <c r="JO272" s="222"/>
      <c r="JP272" s="222"/>
      <c r="JQ272" s="222"/>
      <c r="JR272" s="222"/>
      <c r="JS272" s="222"/>
      <c r="JT272" s="222"/>
      <c r="JU272" s="222"/>
      <c r="JV272" s="222"/>
      <c r="JW272" s="222"/>
      <c r="JX272" s="222"/>
    </row>
    <row r="273" spans="2:284" x14ac:dyDescent="0.2">
      <c r="B273" s="162" t="s">
        <v>483</v>
      </c>
      <c r="C273" s="378">
        <v>0.06</v>
      </c>
      <c r="D273" s="354">
        <f t="dataTable" ref="D273:E277" dt2D="0" dtr="0" r1="F110" ca="1"/>
        <v>65.23457597255755</v>
      </c>
      <c r="E273" s="371">
        <v>1.5107350143643385</v>
      </c>
      <c r="F273" s="162" t="s">
        <v>483</v>
      </c>
      <c r="G273" s="373">
        <v>0.05</v>
      </c>
      <c r="H273" s="354">
        <f t="dataTable" ref="H273:I277" dt2D="0" dtr="0" r1="I145" ca="1"/>
        <v>101.68783863376329</v>
      </c>
      <c r="I273" s="371">
        <v>1.8279077818577807</v>
      </c>
      <c r="J273" s="381"/>
      <c r="K273" s="381"/>
      <c r="L273" s="381"/>
      <c r="M273" s="381"/>
      <c r="N273" s="381"/>
      <c r="O273" s="381"/>
      <c r="P273" s="381"/>
      <c r="Q273" s="381"/>
      <c r="R273" s="381"/>
      <c r="S273" s="381"/>
      <c r="T273" s="381"/>
      <c r="U273" s="381"/>
      <c r="V273" s="381"/>
      <c r="W273" s="381"/>
      <c r="X273" s="381"/>
      <c r="Y273" s="381"/>
      <c r="Z273" s="381"/>
      <c r="AA273" s="381"/>
      <c r="AB273" s="381"/>
      <c r="AC273" s="381"/>
      <c r="AD273" s="381"/>
      <c r="AE273" s="381"/>
      <c r="AF273" s="381"/>
      <c r="AG273" s="381"/>
      <c r="AH273" s="381"/>
      <c r="AI273" s="381"/>
      <c r="AJ273" s="381"/>
      <c r="AK273" s="381"/>
      <c r="AL273" s="381"/>
      <c r="AM273" s="381"/>
      <c r="AN273" s="381"/>
      <c r="AO273" s="381"/>
      <c r="AP273" s="381"/>
      <c r="AQ273" s="381"/>
      <c r="AR273" s="381"/>
      <c r="AS273" s="381"/>
      <c r="AT273" s="381"/>
      <c r="AU273" s="381"/>
      <c r="AV273" s="381"/>
      <c r="AW273" s="381"/>
      <c r="AX273" s="381"/>
      <c r="AY273" s="381"/>
      <c r="AZ273" s="381"/>
      <c r="BA273" s="381"/>
      <c r="BB273" s="381"/>
      <c r="BC273" s="381"/>
      <c r="BD273" s="381"/>
      <c r="BE273" s="381"/>
      <c r="BF273" s="381"/>
      <c r="BG273" s="381"/>
      <c r="BH273" s="381"/>
      <c r="BI273" s="381"/>
      <c r="BJ273" s="381"/>
      <c r="BK273" s="381"/>
      <c r="BL273" s="381"/>
      <c r="BM273" s="381"/>
      <c r="BN273" s="381"/>
      <c r="BO273" s="381"/>
      <c r="BP273" s="381"/>
      <c r="BQ273" s="381"/>
      <c r="BR273" s="381"/>
      <c r="BS273" s="381"/>
      <c r="BT273" s="381"/>
      <c r="BU273" s="381"/>
      <c r="BV273" s="381"/>
      <c r="BW273" s="381"/>
      <c r="BX273" s="381"/>
      <c r="BY273" s="381"/>
      <c r="BZ273" s="381"/>
      <c r="CA273" s="381"/>
      <c r="CB273" s="381"/>
      <c r="CC273" s="381"/>
      <c r="CD273" s="381"/>
      <c r="CE273" s="381"/>
      <c r="CF273" s="381"/>
      <c r="CG273" s="381"/>
      <c r="CH273" s="381"/>
      <c r="CI273" s="381"/>
      <c r="CJ273" s="381"/>
      <c r="CK273" s="381"/>
      <c r="CL273" s="381"/>
      <c r="CM273" s="381"/>
      <c r="CN273" s="381"/>
      <c r="CO273" s="381"/>
      <c r="CP273" s="381"/>
      <c r="CQ273" s="381"/>
      <c r="CR273" s="381"/>
      <c r="CS273" s="381"/>
      <c r="CT273" s="381"/>
      <c r="CU273" s="381"/>
      <c r="CV273" s="381"/>
      <c r="CW273" s="381"/>
      <c r="CX273" s="381"/>
      <c r="CY273" s="381"/>
      <c r="CZ273" s="381"/>
      <c r="DA273" s="381"/>
      <c r="DB273" s="381"/>
      <c r="DC273" s="381"/>
      <c r="DD273" s="381"/>
      <c r="DE273" s="381"/>
      <c r="DF273" s="381"/>
      <c r="DG273" s="381"/>
      <c r="DH273" s="381"/>
      <c r="DI273" s="381"/>
      <c r="DJ273" s="381"/>
      <c r="DK273" s="381"/>
      <c r="DL273" s="381"/>
      <c r="DM273" s="381"/>
      <c r="DN273" s="381"/>
      <c r="DO273" s="381"/>
      <c r="DP273" s="381"/>
      <c r="DQ273" s="381"/>
      <c r="DR273" s="381"/>
      <c r="DS273" s="381"/>
      <c r="DT273" s="381"/>
      <c r="DU273" s="381"/>
      <c r="DV273" s="381"/>
      <c r="DW273" s="381"/>
      <c r="DX273" s="381"/>
      <c r="DY273" s="381"/>
      <c r="DZ273" s="381"/>
      <c r="EA273" s="381"/>
      <c r="EB273" s="381"/>
      <c r="EC273" s="381"/>
      <c r="ED273" s="381"/>
      <c r="EE273" s="381"/>
      <c r="EF273" s="381"/>
      <c r="EG273" s="381"/>
      <c r="EH273" s="381"/>
      <c r="EI273" s="381"/>
      <c r="EJ273" s="381"/>
      <c r="EK273" s="381"/>
      <c r="EL273" s="381"/>
      <c r="EM273" s="381"/>
      <c r="EN273" s="384"/>
      <c r="EO273" s="381"/>
      <c r="EP273" s="37"/>
      <c r="EQ273" s="24"/>
      <c r="ER273" s="24"/>
      <c r="ES273" s="24"/>
      <c r="ET273" s="33"/>
      <c r="EU273" s="33"/>
      <c r="EV273" s="222"/>
      <c r="EW273" s="222"/>
      <c r="EX273" s="222"/>
      <c r="EY273" s="222"/>
      <c r="EZ273" s="222"/>
      <c r="FA273" s="222"/>
      <c r="FB273" s="222"/>
      <c r="FC273" s="222"/>
      <c r="FD273" s="222"/>
      <c r="FE273" s="222"/>
      <c r="FF273" s="222"/>
      <c r="FG273" s="222"/>
      <c r="FH273" s="222"/>
      <c r="FI273" s="222"/>
      <c r="FJ273" s="222"/>
      <c r="FK273" s="222"/>
      <c r="FL273" s="222"/>
      <c r="FM273" s="222"/>
      <c r="FN273" s="222"/>
      <c r="FO273" s="222"/>
      <c r="FP273" s="222"/>
      <c r="FQ273" s="222"/>
      <c r="FR273" s="222"/>
      <c r="FS273" s="222"/>
      <c r="FT273" s="222"/>
      <c r="FU273" s="222"/>
      <c r="FV273" s="222"/>
      <c r="FW273" s="222"/>
      <c r="FX273" s="222"/>
      <c r="FY273" s="222"/>
      <c r="FZ273" s="222"/>
      <c r="GA273" s="222"/>
      <c r="GB273" s="222"/>
      <c r="GC273" s="222"/>
      <c r="GD273" s="222"/>
      <c r="GE273" s="222"/>
      <c r="GF273" s="222"/>
      <c r="GG273" s="222"/>
      <c r="GH273" s="222"/>
      <c r="GI273" s="222"/>
      <c r="GJ273" s="222"/>
      <c r="GK273" s="222"/>
      <c r="GL273" s="222"/>
      <c r="GM273" s="222"/>
      <c r="GN273" s="222"/>
      <c r="GO273" s="222"/>
      <c r="GP273" s="222"/>
      <c r="GQ273" s="222"/>
      <c r="GR273" s="222"/>
      <c r="GS273" s="222"/>
      <c r="GT273" s="222"/>
      <c r="GU273" s="222"/>
      <c r="GV273" s="222"/>
      <c r="GW273" s="222"/>
      <c r="GX273" s="222"/>
      <c r="GY273" s="222"/>
      <c r="GZ273" s="222"/>
      <c r="HA273" s="222"/>
      <c r="HB273" s="222"/>
      <c r="HC273" s="222"/>
      <c r="HD273" s="222"/>
      <c r="HE273" s="222"/>
      <c r="HF273" s="222"/>
      <c r="HG273" s="222"/>
      <c r="HH273" s="222"/>
      <c r="HI273" s="222"/>
      <c r="HJ273" s="222"/>
      <c r="HK273" s="222"/>
      <c r="HL273" s="222"/>
      <c r="HM273" s="222"/>
      <c r="HN273" s="222"/>
      <c r="HO273" s="222"/>
      <c r="HP273" s="222"/>
      <c r="HQ273" s="222"/>
      <c r="HR273" s="222"/>
      <c r="HS273" s="222"/>
      <c r="HT273" s="222"/>
      <c r="HU273" s="222"/>
      <c r="HV273" s="222"/>
      <c r="HW273" s="222"/>
      <c r="HX273" s="222"/>
      <c r="HY273" s="222"/>
      <c r="HZ273" s="222"/>
      <c r="IA273" s="222"/>
      <c r="IB273" s="222"/>
      <c r="IC273" s="222"/>
      <c r="ID273" s="222"/>
      <c r="IE273" s="222"/>
      <c r="IF273" s="222"/>
      <c r="IG273" s="222"/>
      <c r="IH273" s="222"/>
      <c r="II273" s="222"/>
      <c r="IJ273" s="222"/>
      <c r="IK273" s="222"/>
      <c r="IL273" s="222"/>
      <c r="IM273" s="222"/>
      <c r="IN273" s="222"/>
      <c r="IO273" s="222"/>
      <c r="IP273" s="222"/>
      <c r="IQ273" s="222"/>
      <c r="IR273" s="222"/>
      <c r="IS273" s="222"/>
      <c r="IT273" s="222"/>
      <c r="IU273" s="222"/>
      <c r="IV273" s="222"/>
      <c r="IW273" s="222"/>
      <c r="IX273" s="222"/>
      <c r="IY273" s="222"/>
      <c r="IZ273" s="222"/>
      <c r="JA273" s="222"/>
      <c r="JB273" s="222"/>
      <c r="JC273" s="222"/>
      <c r="JD273" s="222"/>
      <c r="JE273" s="222"/>
      <c r="JF273" s="222"/>
      <c r="JG273" s="222"/>
      <c r="JH273" s="222"/>
      <c r="JI273" s="222"/>
      <c r="JJ273" s="222"/>
      <c r="JK273" s="222"/>
      <c r="JL273" s="222"/>
      <c r="JM273" s="222"/>
      <c r="JN273" s="222"/>
      <c r="JO273" s="222"/>
      <c r="JP273" s="222"/>
      <c r="JQ273" s="222"/>
      <c r="JR273" s="222"/>
      <c r="JS273" s="222"/>
      <c r="JT273" s="222"/>
      <c r="JU273" s="222"/>
      <c r="JV273" s="222"/>
      <c r="JW273" s="222"/>
      <c r="JX273" s="222"/>
    </row>
    <row r="274" spans="2:284" x14ac:dyDescent="0.2">
      <c r="B274" s="162" t="s">
        <v>484</v>
      </c>
      <c r="C274" s="378">
        <v>7.0000000000000007E-2</v>
      </c>
      <c r="D274" s="354">
        <v>53.769546160698994</v>
      </c>
      <c r="E274" s="371">
        <v>1.4193284339661905</v>
      </c>
      <c r="F274" s="162" t="s">
        <v>484</v>
      </c>
      <c r="G274" s="373">
        <v>5.2499999999999998E-2</v>
      </c>
      <c r="H274" s="354">
        <v>76.687838633763349</v>
      </c>
      <c r="I274" s="371">
        <v>1.60213156386134</v>
      </c>
      <c r="J274" s="381"/>
      <c r="K274" s="381"/>
      <c r="L274" s="381"/>
      <c r="M274" s="381"/>
      <c r="N274" s="381"/>
      <c r="O274" s="381"/>
      <c r="P274" s="381"/>
      <c r="Q274" s="381"/>
      <c r="R274" s="381"/>
      <c r="S274" s="381"/>
      <c r="T274" s="381"/>
      <c r="U274" s="381"/>
      <c r="V274" s="381"/>
      <c r="W274" s="381"/>
      <c r="X274" s="381"/>
      <c r="Y274" s="381"/>
      <c r="Z274" s="381"/>
      <c r="AA274" s="381"/>
      <c r="AB274" s="381"/>
      <c r="AC274" s="381"/>
      <c r="AD274" s="381"/>
      <c r="AE274" s="381"/>
      <c r="AF274" s="381"/>
      <c r="AG274" s="381"/>
      <c r="AH274" s="381"/>
      <c r="AI274" s="381"/>
      <c r="AJ274" s="381"/>
      <c r="AK274" s="381"/>
      <c r="AL274" s="381"/>
      <c r="AM274" s="381"/>
      <c r="AN274" s="381"/>
      <c r="AO274" s="381"/>
      <c r="AP274" s="381"/>
      <c r="AQ274" s="381"/>
      <c r="AR274" s="381"/>
      <c r="AS274" s="381"/>
      <c r="AT274" s="381"/>
      <c r="AU274" s="381"/>
      <c r="AV274" s="381"/>
      <c r="AW274" s="381"/>
      <c r="AX274" s="381"/>
      <c r="AY274" s="381"/>
      <c r="AZ274" s="381"/>
      <c r="BA274" s="381"/>
      <c r="BB274" s="381"/>
      <c r="BC274" s="381"/>
      <c r="BD274" s="381"/>
      <c r="BE274" s="381"/>
      <c r="BF274" s="381"/>
      <c r="BG274" s="381"/>
      <c r="BH274" s="381"/>
      <c r="BI274" s="381"/>
      <c r="BJ274" s="381"/>
      <c r="BK274" s="381"/>
      <c r="BL274" s="381"/>
      <c r="BM274" s="381"/>
      <c r="BN274" s="381"/>
      <c r="BO274" s="381"/>
      <c r="BP274" s="381"/>
      <c r="BQ274" s="381"/>
      <c r="BR274" s="381"/>
      <c r="BS274" s="381"/>
      <c r="BT274" s="381"/>
      <c r="BU274" s="381"/>
      <c r="BV274" s="381"/>
      <c r="BW274" s="381"/>
      <c r="BX274" s="381"/>
      <c r="BY274" s="381"/>
      <c r="BZ274" s="381"/>
      <c r="CA274" s="381"/>
      <c r="CB274" s="381"/>
      <c r="CC274" s="381"/>
      <c r="CD274" s="381"/>
      <c r="CE274" s="381"/>
      <c r="CF274" s="381"/>
      <c r="CG274" s="381"/>
      <c r="CH274" s="381"/>
      <c r="CI274" s="381"/>
      <c r="CJ274" s="381"/>
      <c r="CK274" s="381"/>
      <c r="CL274" s="381"/>
      <c r="CM274" s="381"/>
      <c r="CN274" s="381"/>
      <c r="CO274" s="381"/>
      <c r="CP274" s="381"/>
      <c r="CQ274" s="381"/>
      <c r="CR274" s="381"/>
      <c r="CS274" s="381"/>
      <c r="CT274" s="381"/>
      <c r="CU274" s="381"/>
      <c r="CV274" s="381"/>
      <c r="CW274" s="381"/>
      <c r="CX274" s="381"/>
      <c r="CY274" s="381"/>
      <c r="CZ274" s="381"/>
      <c r="DA274" s="381"/>
      <c r="DB274" s="381"/>
      <c r="DC274" s="381"/>
      <c r="DD274" s="381"/>
      <c r="DE274" s="381"/>
      <c r="DF274" s="381"/>
      <c r="DG274" s="381"/>
      <c r="DH274" s="381"/>
      <c r="DI274" s="381"/>
      <c r="DJ274" s="381"/>
      <c r="DK274" s="381"/>
      <c r="DL274" s="381"/>
      <c r="DM274" s="381"/>
      <c r="DN274" s="381"/>
      <c r="DO274" s="381"/>
      <c r="DP274" s="381"/>
      <c r="DQ274" s="381"/>
      <c r="DR274" s="381"/>
      <c r="DS274" s="381"/>
      <c r="DT274" s="381"/>
      <c r="DU274" s="381"/>
      <c r="DV274" s="381"/>
      <c r="DW274" s="381"/>
      <c r="DX274" s="381"/>
      <c r="DY274" s="381"/>
      <c r="DZ274" s="381"/>
      <c r="EA274" s="381"/>
      <c r="EB274" s="381"/>
      <c r="EC274" s="381"/>
      <c r="ED274" s="381"/>
      <c r="EE274" s="381"/>
      <c r="EF274" s="381"/>
      <c r="EG274" s="381"/>
      <c r="EH274" s="381"/>
      <c r="EI274" s="381"/>
      <c r="EJ274" s="381"/>
      <c r="EK274" s="381"/>
      <c r="EL274" s="381"/>
      <c r="EM274" s="381"/>
      <c r="EN274" s="384"/>
      <c r="EO274" s="381"/>
      <c r="EP274" s="37"/>
      <c r="EQ274" s="24"/>
      <c r="ER274" s="24"/>
      <c r="ES274" s="24"/>
      <c r="ET274" s="33"/>
      <c r="EU274" s="33"/>
      <c r="EV274" s="222"/>
      <c r="EW274" s="222"/>
      <c r="EX274" s="222"/>
      <c r="EY274" s="222"/>
      <c r="EZ274" s="222"/>
      <c r="FA274" s="222"/>
      <c r="FB274" s="222"/>
      <c r="FC274" s="222"/>
      <c r="FD274" s="222"/>
      <c r="FE274" s="222"/>
      <c r="FF274" s="222"/>
      <c r="FG274" s="222"/>
      <c r="FH274" s="222"/>
      <c r="FI274" s="222"/>
      <c r="FJ274" s="222"/>
      <c r="FK274" s="222"/>
      <c r="FL274" s="222"/>
      <c r="FM274" s="222"/>
      <c r="FN274" s="222"/>
      <c r="FO274" s="222"/>
      <c r="FP274" s="222"/>
      <c r="FQ274" s="222"/>
      <c r="FR274" s="222"/>
      <c r="FS274" s="222"/>
      <c r="FT274" s="222"/>
      <c r="FU274" s="222"/>
      <c r="FV274" s="222"/>
      <c r="FW274" s="222"/>
      <c r="FX274" s="222"/>
      <c r="FY274" s="222"/>
      <c r="FZ274" s="222"/>
      <c r="GA274" s="222"/>
      <c r="GB274" s="222"/>
      <c r="GC274" s="222"/>
      <c r="GD274" s="222"/>
      <c r="GE274" s="222"/>
      <c r="GF274" s="222"/>
      <c r="GG274" s="222"/>
      <c r="GH274" s="222"/>
      <c r="GI274" s="222"/>
      <c r="GJ274" s="222"/>
      <c r="GK274" s="222"/>
      <c r="GL274" s="222"/>
      <c r="GM274" s="222"/>
      <c r="GN274" s="222"/>
      <c r="GO274" s="222"/>
      <c r="GP274" s="222"/>
      <c r="GQ274" s="222"/>
      <c r="GR274" s="222"/>
      <c r="GS274" s="222"/>
      <c r="GT274" s="222"/>
      <c r="GU274" s="222"/>
      <c r="GV274" s="222"/>
      <c r="GW274" s="222"/>
      <c r="GX274" s="222"/>
      <c r="GY274" s="222"/>
      <c r="GZ274" s="222"/>
      <c r="HA274" s="222"/>
      <c r="HB274" s="222"/>
      <c r="HC274" s="222"/>
      <c r="HD274" s="222"/>
      <c r="HE274" s="222"/>
      <c r="HF274" s="222"/>
      <c r="HG274" s="222"/>
      <c r="HH274" s="222"/>
      <c r="HI274" s="222"/>
      <c r="HJ274" s="222"/>
      <c r="HK274" s="222"/>
      <c r="HL274" s="222"/>
      <c r="HM274" s="222"/>
      <c r="HN274" s="222"/>
      <c r="HO274" s="222"/>
      <c r="HP274" s="222"/>
      <c r="HQ274" s="222"/>
      <c r="HR274" s="222"/>
      <c r="HS274" s="222"/>
      <c r="HT274" s="222"/>
      <c r="HU274" s="222"/>
      <c r="HV274" s="222"/>
      <c r="HW274" s="222"/>
      <c r="HX274" s="222"/>
      <c r="HY274" s="222"/>
      <c r="HZ274" s="222"/>
      <c r="IA274" s="222"/>
      <c r="IB274" s="222"/>
      <c r="IC274" s="222"/>
      <c r="ID274" s="222"/>
      <c r="IE274" s="222"/>
      <c r="IF274" s="222"/>
      <c r="IG274" s="222"/>
      <c r="IH274" s="222"/>
      <c r="II274" s="222"/>
      <c r="IJ274" s="222"/>
      <c r="IK274" s="222"/>
      <c r="IL274" s="222"/>
      <c r="IM274" s="222"/>
      <c r="IN274" s="222"/>
      <c r="IO274" s="222"/>
      <c r="IP274" s="222"/>
      <c r="IQ274" s="222"/>
      <c r="IR274" s="222"/>
      <c r="IS274" s="222"/>
      <c r="IT274" s="222"/>
      <c r="IU274" s="222"/>
      <c r="IV274" s="222"/>
      <c r="IW274" s="222"/>
      <c r="IX274" s="222"/>
      <c r="IY274" s="222"/>
      <c r="IZ274" s="222"/>
      <c r="JA274" s="222"/>
      <c r="JB274" s="222"/>
      <c r="JC274" s="222"/>
      <c r="JD274" s="222"/>
      <c r="JE274" s="222"/>
      <c r="JF274" s="222"/>
      <c r="JG274" s="222"/>
      <c r="JH274" s="222"/>
      <c r="JI274" s="222"/>
      <c r="JJ274" s="222"/>
      <c r="JK274" s="222"/>
      <c r="JL274" s="222"/>
      <c r="JM274" s="222"/>
      <c r="JN274" s="222"/>
      <c r="JO274" s="222"/>
      <c r="JP274" s="222"/>
      <c r="JQ274" s="222"/>
      <c r="JR274" s="222"/>
      <c r="JS274" s="222"/>
      <c r="JT274" s="222"/>
      <c r="JU274" s="222"/>
      <c r="JV274" s="222"/>
      <c r="JW274" s="222"/>
      <c r="JX274" s="222"/>
    </row>
    <row r="275" spans="2:284" x14ac:dyDescent="0.2">
      <c r="B275" s="162" t="s">
        <v>485</v>
      </c>
      <c r="C275" s="378">
        <v>0.08</v>
      </c>
      <c r="D275" s="354">
        <v>42.314292702344268</v>
      </c>
      <c r="E275" s="371">
        <v>1.3279218535680428</v>
      </c>
      <c r="F275" s="162" t="s">
        <v>485</v>
      </c>
      <c r="G275" s="373">
        <v>5.5E-2</v>
      </c>
      <c r="H275" s="354">
        <v>51.68783863376332</v>
      </c>
      <c r="I275" s="371">
        <v>1.3968804565918491</v>
      </c>
      <c r="J275" s="381"/>
      <c r="K275" s="381"/>
      <c r="L275" s="381"/>
      <c r="M275" s="381"/>
      <c r="N275" s="381"/>
      <c r="O275" s="381"/>
      <c r="P275" s="381"/>
      <c r="Q275" s="381"/>
      <c r="R275" s="381"/>
      <c r="S275" s="381"/>
      <c r="T275" s="381"/>
      <c r="U275" s="381"/>
      <c r="V275" s="381"/>
      <c r="W275" s="381"/>
      <c r="X275" s="381"/>
      <c r="Y275" s="381"/>
      <c r="Z275" s="381"/>
      <c r="AA275" s="381"/>
      <c r="AB275" s="381"/>
      <c r="AC275" s="381"/>
      <c r="AD275" s="381"/>
      <c r="AE275" s="381"/>
      <c r="AF275" s="381"/>
      <c r="AG275" s="381"/>
      <c r="AH275" s="381"/>
      <c r="AI275" s="381"/>
      <c r="AJ275" s="381"/>
      <c r="AK275" s="381"/>
      <c r="AL275" s="381"/>
      <c r="AM275" s="381"/>
      <c r="AN275" s="381"/>
      <c r="AO275" s="381"/>
      <c r="AP275" s="381"/>
      <c r="AQ275" s="381"/>
      <c r="AR275" s="381"/>
      <c r="AS275" s="381"/>
      <c r="AT275" s="381"/>
      <c r="AU275" s="381"/>
      <c r="AV275" s="381"/>
      <c r="AW275" s="381"/>
      <c r="AX275" s="381"/>
      <c r="AY275" s="381"/>
      <c r="AZ275" s="381"/>
      <c r="BA275" s="381"/>
      <c r="BB275" s="381"/>
      <c r="BC275" s="381"/>
      <c r="BD275" s="381"/>
      <c r="BE275" s="381"/>
      <c r="BF275" s="381"/>
      <c r="BG275" s="381"/>
      <c r="BH275" s="381"/>
      <c r="BI275" s="381"/>
      <c r="BJ275" s="381"/>
      <c r="BK275" s="381"/>
      <c r="BL275" s="381"/>
      <c r="BM275" s="381"/>
      <c r="BN275" s="381"/>
      <c r="BO275" s="381"/>
      <c r="BP275" s="381"/>
      <c r="BQ275" s="381"/>
      <c r="BR275" s="381"/>
      <c r="BS275" s="381"/>
      <c r="BT275" s="381"/>
      <c r="BU275" s="381"/>
      <c r="BV275" s="381"/>
      <c r="BW275" s="381"/>
      <c r="BX275" s="381"/>
      <c r="BY275" s="381"/>
      <c r="BZ275" s="381"/>
      <c r="CA275" s="381"/>
      <c r="CB275" s="381"/>
      <c r="CC275" s="381"/>
      <c r="CD275" s="381"/>
      <c r="CE275" s="381"/>
      <c r="CF275" s="381"/>
      <c r="CG275" s="381"/>
      <c r="CH275" s="381"/>
      <c r="CI275" s="381"/>
      <c r="CJ275" s="381"/>
      <c r="CK275" s="381"/>
      <c r="CL275" s="381"/>
      <c r="CM275" s="381"/>
      <c r="CN275" s="381"/>
      <c r="CO275" s="381"/>
      <c r="CP275" s="381"/>
      <c r="CQ275" s="381"/>
      <c r="CR275" s="381"/>
      <c r="CS275" s="381"/>
      <c r="CT275" s="381"/>
      <c r="CU275" s="381"/>
      <c r="CV275" s="381"/>
      <c r="CW275" s="381"/>
      <c r="CX275" s="381"/>
      <c r="CY275" s="381"/>
      <c r="CZ275" s="381"/>
      <c r="DA275" s="381"/>
      <c r="DB275" s="381"/>
      <c r="DC275" s="381"/>
      <c r="DD275" s="381"/>
      <c r="DE275" s="381"/>
      <c r="DF275" s="381"/>
      <c r="DG275" s="381"/>
      <c r="DH275" s="381"/>
      <c r="DI275" s="381"/>
      <c r="DJ275" s="381"/>
      <c r="DK275" s="381"/>
      <c r="DL275" s="381"/>
      <c r="DM275" s="381"/>
      <c r="DN275" s="381"/>
      <c r="DO275" s="381"/>
      <c r="DP275" s="381"/>
      <c r="DQ275" s="381"/>
      <c r="DR275" s="381"/>
      <c r="DS275" s="381"/>
      <c r="DT275" s="381"/>
      <c r="DU275" s="381"/>
      <c r="DV275" s="381"/>
      <c r="DW275" s="381"/>
      <c r="DX275" s="381"/>
      <c r="DY275" s="381"/>
      <c r="DZ275" s="381"/>
      <c r="EA275" s="381"/>
      <c r="EB275" s="381"/>
      <c r="EC275" s="381"/>
      <c r="ED275" s="381"/>
      <c r="EE275" s="381"/>
      <c r="EF275" s="381"/>
      <c r="EG275" s="381"/>
      <c r="EH275" s="381"/>
      <c r="EI275" s="381"/>
      <c r="EJ275" s="381"/>
      <c r="EK275" s="381"/>
      <c r="EL275" s="381"/>
      <c r="EM275" s="381"/>
      <c r="EN275" s="384"/>
      <c r="EO275" s="381"/>
      <c r="EP275" s="37"/>
      <c r="EQ275" s="24"/>
      <c r="ER275" s="24"/>
      <c r="ES275" s="24"/>
      <c r="ET275" s="33"/>
      <c r="EU275" s="33"/>
      <c r="EV275" s="222"/>
      <c r="EW275" s="222"/>
      <c r="EX275" s="222"/>
      <c r="EY275" s="222"/>
      <c r="EZ275" s="222"/>
      <c r="FA275" s="222"/>
      <c r="FB275" s="222"/>
      <c r="FC275" s="222"/>
      <c r="FD275" s="222"/>
      <c r="FE275" s="222"/>
      <c r="FF275" s="222"/>
      <c r="FG275" s="222"/>
      <c r="FH275" s="222"/>
      <c r="FI275" s="222"/>
      <c r="FJ275" s="222"/>
      <c r="FK275" s="222"/>
      <c r="FL275" s="222"/>
      <c r="FM275" s="222"/>
      <c r="FN275" s="222"/>
      <c r="FO275" s="222"/>
      <c r="FP275" s="222"/>
      <c r="FQ275" s="222"/>
      <c r="FR275" s="222"/>
      <c r="FS275" s="222"/>
      <c r="FT275" s="222"/>
      <c r="FU275" s="222"/>
      <c r="FV275" s="222"/>
      <c r="FW275" s="222"/>
      <c r="FX275" s="222"/>
      <c r="FY275" s="222"/>
      <c r="FZ275" s="222"/>
      <c r="GA275" s="222"/>
      <c r="GB275" s="222"/>
      <c r="GC275" s="222"/>
      <c r="GD275" s="222"/>
      <c r="GE275" s="222"/>
      <c r="GF275" s="222"/>
      <c r="GG275" s="222"/>
      <c r="GH275" s="222"/>
      <c r="GI275" s="222"/>
      <c r="GJ275" s="222"/>
      <c r="GK275" s="222"/>
      <c r="GL275" s="222"/>
      <c r="GM275" s="222"/>
      <c r="GN275" s="222"/>
      <c r="GO275" s="222"/>
      <c r="GP275" s="222"/>
      <c r="GQ275" s="222"/>
      <c r="GR275" s="222"/>
      <c r="GS275" s="222"/>
      <c r="GT275" s="222"/>
      <c r="GU275" s="222"/>
      <c r="GV275" s="222"/>
      <c r="GW275" s="222"/>
      <c r="GX275" s="222"/>
      <c r="GY275" s="222"/>
      <c r="GZ275" s="222"/>
      <c r="HA275" s="222"/>
      <c r="HB275" s="222"/>
      <c r="HC275" s="222"/>
      <c r="HD275" s="222"/>
      <c r="HE275" s="222"/>
      <c r="HF275" s="222"/>
      <c r="HG275" s="222"/>
      <c r="HH275" s="222"/>
      <c r="HI275" s="222"/>
      <c r="HJ275" s="222"/>
      <c r="HK275" s="222"/>
      <c r="HL275" s="222"/>
      <c r="HM275" s="222"/>
      <c r="HN275" s="222"/>
      <c r="HO275" s="222"/>
      <c r="HP275" s="222"/>
      <c r="HQ275" s="222"/>
      <c r="HR275" s="222"/>
      <c r="HS275" s="222"/>
      <c r="HT275" s="222"/>
      <c r="HU275" s="222"/>
      <c r="HV275" s="222"/>
      <c r="HW275" s="222"/>
      <c r="HX275" s="222"/>
      <c r="HY275" s="222"/>
      <c r="HZ275" s="222"/>
      <c r="IA275" s="222"/>
      <c r="IB275" s="222"/>
      <c r="IC275" s="222"/>
      <c r="ID275" s="222"/>
      <c r="IE275" s="222"/>
      <c r="IF275" s="222"/>
      <c r="IG275" s="222"/>
      <c r="IH275" s="222"/>
      <c r="II275" s="222"/>
      <c r="IJ275" s="222"/>
      <c r="IK275" s="222"/>
      <c r="IL275" s="222"/>
      <c r="IM275" s="222"/>
      <c r="IN275" s="222"/>
      <c r="IO275" s="222"/>
      <c r="IP275" s="222"/>
      <c r="IQ275" s="222"/>
      <c r="IR275" s="222"/>
      <c r="IS275" s="222"/>
      <c r="IT275" s="222"/>
      <c r="IU275" s="222"/>
      <c r="IV275" s="222"/>
      <c r="IW275" s="222"/>
      <c r="IX275" s="222"/>
      <c r="IY275" s="222"/>
      <c r="IZ275" s="222"/>
      <c r="JA275" s="222"/>
      <c r="JB275" s="222"/>
      <c r="JC275" s="222"/>
      <c r="JD275" s="222"/>
      <c r="JE275" s="222"/>
      <c r="JF275" s="222"/>
      <c r="JG275" s="222"/>
      <c r="JH275" s="222"/>
      <c r="JI275" s="222"/>
      <c r="JJ275" s="222"/>
      <c r="JK275" s="222"/>
      <c r="JL275" s="222"/>
      <c r="JM275" s="222"/>
      <c r="JN275" s="222"/>
      <c r="JO275" s="222"/>
      <c r="JP275" s="222"/>
      <c r="JQ275" s="222"/>
      <c r="JR275" s="222"/>
      <c r="JS275" s="222"/>
      <c r="JT275" s="222"/>
      <c r="JU275" s="222"/>
      <c r="JV275" s="222"/>
      <c r="JW275" s="222"/>
      <c r="JX275" s="222"/>
    </row>
    <row r="276" spans="2:284" x14ac:dyDescent="0.2">
      <c r="B276" s="162" t="s">
        <v>486</v>
      </c>
      <c r="C276" s="378">
        <v>0.09</v>
      </c>
      <c r="D276" s="354">
        <v>30.868803098220294</v>
      </c>
      <c r="E276" s="371">
        <v>1.2365152731698934</v>
      </c>
      <c r="F276" s="162" t="s">
        <v>486</v>
      </c>
      <c r="G276" s="373">
        <v>5.7500000000000002E-2</v>
      </c>
      <c r="H276" s="354">
        <v>26.687838633763299</v>
      </c>
      <c r="I276" s="371">
        <v>1.2094772716936177</v>
      </c>
      <c r="J276" s="381"/>
      <c r="K276" s="381"/>
      <c r="L276" s="381"/>
      <c r="M276" s="381"/>
      <c r="N276" s="381"/>
      <c r="O276" s="381"/>
      <c r="P276" s="381"/>
      <c r="Q276" s="381"/>
      <c r="R276" s="381"/>
      <c r="S276" s="381"/>
      <c r="T276" s="381"/>
      <c r="U276" s="381"/>
      <c r="V276" s="381"/>
      <c r="W276" s="381"/>
      <c r="X276" s="381"/>
      <c r="Y276" s="381"/>
      <c r="Z276" s="381"/>
      <c r="AA276" s="381"/>
      <c r="AB276" s="381"/>
      <c r="AC276" s="381"/>
      <c r="AD276" s="381"/>
      <c r="AE276" s="381"/>
      <c r="AF276" s="381"/>
      <c r="AG276" s="381"/>
      <c r="AH276" s="381"/>
      <c r="AI276" s="381"/>
      <c r="AJ276" s="381"/>
      <c r="AK276" s="381"/>
      <c r="AL276" s="381"/>
      <c r="AM276" s="381"/>
      <c r="AN276" s="381"/>
      <c r="AO276" s="381"/>
      <c r="AP276" s="381"/>
      <c r="AQ276" s="381"/>
      <c r="AR276" s="381"/>
      <c r="AS276" s="381"/>
      <c r="AT276" s="381"/>
      <c r="AU276" s="381"/>
      <c r="AV276" s="381"/>
      <c r="AW276" s="381"/>
      <c r="AX276" s="381"/>
      <c r="AY276" s="381"/>
      <c r="AZ276" s="381"/>
      <c r="BA276" s="381"/>
      <c r="BB276" s="381"/>
      <c r="BC276" s="381"/>
      <c r="BD276" s="381"/>
      <c r="BE276" s="381"/>
      <c r="BF276" s="381"/>
      <c r="BG276" s="381"/>
      <c r="BH276" s="381"/>
      <c r="BI276" s="381"/>
      <c r="BJ276" s="381"/>
      <c r="BK276" s="381"/>
      <c r="BL276" s="381"/>
      <c r="BM276" s="381"/>
      <c r="BN276" s="381"/>
      <c r="BO276" s="381"/>
      <c r="BP276" s="381"/>
      <c r="BQ276" s="381"/>
      <c r="BR276" s="381"/>
      <c r="BS276" s="381"/>
      <c r="BT276" s="381"/>
      <c r="BU276" s="381"/>
      <c r="BV276" s="381"/>
      <c r="BW276" s="381"/>
      <c r="BX276" s="381"/>
      <c r="BY276" s="381"/>
      <c r="BZ276" s="381"/>
      <c r="CA276" s="381"/>
      <c r="CB276" s="381"/>
      <c r="CC276" s="381"/>
      <c r="CD276" s="381"/>
      <c r="CE276" s="381"/>
      <c r="CF276" s="381"/>
      <c r="CG276" s="381"/>
      <c r="CH276" s="381"/>
      <c r="CI276" s="381"/>
      <c r="CJ276" s="381"/>
      <c r="CK276" s="381"/>
      <c r="CL276" s="381"/>
      <c r="CM276" s="381"/>
      <c r="CN276" s="381"/>
      <c r="CO276" s="381"/>
      <c r="CP276" s="381"/>
      <c r="CQ276" s="381"/>
      <c r="CR276" s="381"/>
      <c r="CS276" s="381"/>
      <c r="CT276" s="381"/>
      <c r="CU276" s="381"/>
      <c r="CV276" s="381"/>
      <c r="CW276" s="381"/>
      <c r="CX276" s="381"/>
      <c r="CY276" s="381"/>
      <c r="CZ276" s="381"/>
      <c r="DA276" s="381"/>
      <c r="DB276" s="381"/>
      <c r="DC276" s="381"/>
      <c r="DD276" s="381"/>
      <c r="DE276" s="381"/>
      <c r="DF276" s="381"/>
      <c r="DG276" s="381"/>
      <c r="DH276" s="381"/>
      <c r="DI276" s="381"/>
      <c r="DJ276" s="381"/>
      <c r="DK276" s="381"/>
      <c r="DL276" s="381"/>
      <c r="DM276" s="381"/>
      <c r="DN276" s="381"/>
      <c r="DO276" s="381"/>
      <c r="DP276" s="381"/>
      <c r="DQ276" s="381"/>
      <c r="DR276" s="381"/>
      <c r="DS276" s="381"/>
      <c r="DT276" s="381"/>
      <c r="DU276" s="381"/>
      <c r="DV276" s="381"/>
      <c r="DW276" s="381"/>
      <c r="DX276" s="381"/>
      <c r="DY276" s="381"/>
      <c r="DZ276" s="381"/>
      <c r="EA276" s="381"/>
      <c r="EB276" s="381"/>
      <c r="EC276" s="381"/>
      <c r="ED276" s="381"/>
      <c r="EE276" s="381"/>
      <c r="EF276" s="381"/>
      <c r="EG276" s="381"/>
      <c r="EH276" s="381"/>
      <c r="EI276" s="381"/>
      <c r="EJ276" s="381"/>
      <c r="EK276" s="381"/>
      <c r="EL276" s="381"/>
      <c r="EM276" s="381"/>
      <c r="EN276" s="384"/>
      <c r="EO276" s="381"/>
      <c r="EP276" s="37"/>
      <c r="EQ276" s="24"/>
      <c r="ER276" s="24"/>
      <c r="ES276" s="24"/>
      <c r="ET276" s="33"/>
      <c r="EU276" s="33"/>
      <c r="EV276" s="222"/>
      <c r="EW276" s="222"/>
      <c r="EX276" s="222"/>
      <c r="EY276" s="222"/>
      <c r="EZ276" s="222"/>
      <c r="FA276" s="222"/>
      <c r="FB276" s="222"/>
      <c r="FC276" s="222"/>
      <c r="FD276" s="222"/>
      <c r="FE276" s="222"/>
      <c r="FF276" s="222"/>
      <c r="FG276" s="222"/>
      <c r="FH276" s="222"/>
      <c r="FI276" s="222"/>
      <c r="FJ276" s="222"/>
      <c r="FK276" s="222"/>
      <c r="FL276" s="222"/>
      <c r="FM276" s="222"/>
      <c r="FN276" s="222"/>
      <c r="FO276" s="222"/>
      <c r="FP276" s="222"/>
      <c r="FQ276" s="222"/>
      <c r="FR276" s="222"/>
      <c r="FS276" s="222"/>
      <c r="FT276" s="222"/>
      <c r="FU276" s="222"/>
      <c r="FV276" s="222"/>
      <c r="FW276" s="222"/>
      <c r="FX276" s="222"/>
      <c r="FY276" s="222"/>
      <c r="FZ276" s="222"/>
      <c r="GA276" s="222"/>
      <c r="GB276" s="222"/>
      <c r="GC276" s="222"/>
      <c r="GD276" s="222"/>
      <c r="GE276" s="222"/>
      <c r="GF276" s="222"/>
      <c r="GG276" s="222"/>
      <c r="GH276" s="222"/>
      <c r="GI276" s="222"/>
      <c r="GJ276" s="222"/>
      <c r="GK276" s="222"/>
      <c r="GL276" s="222"/>
      <c r="GM276" s="222"/>
      <c r="GN276" s="222"/>
      <c r="GO276" s="222"/>
      <c r="GP276" s="222"/>
      <c r="GQ276" s="222"/>
      <c r="GR276" s="222"/>
      <c r="GS276" s="222"/>
      <c r="GT276" s="222"/>
      <c r="GU276" s="222"/>
      <c r="GV276" s="222"/>
      <c r="GW276" s="222"/>
      <c r="GX276" s="222"/>
      <c r="GY276" s="222"/>
      <c r="GZ276" s="222"/>
      <c r="HA276" s="222"/>
      <c r="HB276" s="222"/>
      <c r="HC276" s="222"/>
      <c r="HD276" s="222"/>
      <c r="HE276" s="222"/>
      <c r="HF276" s="222"/>
      <c r="HG276" s="222"/>
      <c r="HH276" s="222"/>
      <c r="HI276" s="222"/>
      <c r="HJ276" s="222"/>
      <c r="HK276" s="222"/>
      <c r="HL276" s="222"/>
      <c r="HM276" s="222"/>
      <c r="HN276" s="222"/>
      <c r="HO276" s="222"/>
      <c r="HP276" s="222"/>
      <c r="HQ276" s="222"/>
      <c r="HR276" s="222"/>
      <c r="HS276" s="222"/>
      <c r="HT276" s="222"/>
      <c r="HU276" s="222"/>
      <c r="HV276" s="222"/>
      <c r="HW276" s="222"/>
      <c r="HX276" s="222"/>
      <c r="HY276" s="222"/>
      <c r="HZ276" s="222"/>
      <c r="IA276" s="222"/>
      <c r="IB276" s="222"/>
      <c r="IC276" s="222"/>
      <c r="ID276" s="222"/>
      <c r="IE276" s="222"/>
      <c r="IF276" s="222"/>
      <c r="IG276" s="222"/>
      <c r="IH276" s="222"/>
      <c r="II276" s="222"/>
      <c r="IJ276" s="222"/>
      <c r="IK276" s="222"/>
      <c r="IL276" s="222"/>
      <c r="IM276" s="222"/>
      <c r="IN276" s="222"/>
      <c r="IO276" s="222"/>
      <c r="IP276" s="222"/>
      <c r="IQ276" s="222"/>
      <c r="IR276" s="222"/>
      <c r="IS276" s="222"/>
      <c r="IT276" s="222"/>
      <c r="IU276" s="222"/>
      <c r="IV276" s="222"/>
      <c r="IW276" s="222"/>
      <c r="IX276" s="222"/>
      <c r="IY276" s="222"/>
      <c r="IZ276" s="222"/>
      <c r="JA276" s="222"/>
      <c r="JB276" s="222"/>
      <c r="JC276" s="222"/>
      <c r="JD276" s="222"/>
      <c r="JE276" s="222"/>
      <c r="JF276" s="222"/>
      <c r="JG276" s="222"/>
      <c r="JH276" s="222"/>
      <c r="JI276" s="222"/>
      <c r="JJ276" s="222"/>
      <c r="JK276" s="222"/>
      <c r="JL276" s="222"/>
      <c r="JM276" s="222"/>
      <c r="JN276" s="222"/>
      <c r="JO276" s="222"/>
      <c r="JP276" s="222"/>
      <c r="JQ276" s="222"/>
      <c r="JR276" s="222"/>
      <c r="JS276" s="222"/>
      <c r="JT276" s="222"/>
      <c r="JU276" s="222"/>
      <c r="JV276" s="222"/>
      <c r="JW276" s="222"/>
      <c r="JX276" s="222"/>
    </row>
    <row r="277" spans="2:284" x14ac:dyDescent="0.2">
      <c r="B277" s="162" t="s">
        <v>487</v>
      </c>
      <c r="C277" s="378">
        <v>0.1</v>
      </c>
      <c r="D277" s="354">
        <v>19.39140239509987</v>
      </c>
      <c r="E277" s="371">
        <v>1.1450886508614309</v>
      </c>
      <c r="F277" s="162" t="s">
        <v>487</v>
      </c>
      <c r="G277" s="373">
        <v>0.06</v>
      </c>
      <c r="H277" s="354">
        <v>1.6878386337633444</v>
      </c>
      <c r="I277" s="371">
        <v>1.0376910188702391</v>
      </c>
      <c r="J277" s="381"/>
      <c r="K277" s="381"/>
      <c r="L277" s="381"/>
      <c r="M277" s="381"/>
      <c r="N277" s="381"/>
      <c r="O277" s="381"/>
      <c r="P277" s="381"/>
      <c r="Q277" s="381"/>
      <c r="R277" s="381"/>
      <c r="S277" s="381"/>
      <c r="T277" s="381"/>
      <c r="U277" s="381"/>
      <c r="V277" s="381"/>
      <c r="W277" s="381"/>
      <c r="X277" s="381"/>
      <c r="Y277" s="381"/>
      <c r="Z277" s="381"/>
      <c r="AA277" s="381"/>
      <c r="AB277" s="381"/>
      <c r="AC277" s="381"/>
      <c r="AD277" s="381"/>
      <c r="AE277" s="381"/>
      <c r="AF277" s="381"/>
      <c r="AG277" s="381"/>
      <c r="AH277" s="381"/>
      <c r="AI277" s="381"/>
      <c r="AJ277" s="381"/>
      <c r="AK277" s="381"/>
      <c r="AL277" s="381"/>
      <c r="AM277" s="381"/>
      <c r="AN277" s="381"/>
      <c r="AO277" s="381"/>
      <c r="AP277" s="381"/>
      <c r="AQ277" s="381"/>
      <c r="AR277" s="381"/>
      <c r="AS277" s="381"/>
      <c r="AT277" s="381"/>
      <c r="AU277" s="381"/>
      <c r="AV277" s="381"/>
      <c r="AW277" s="381"/>
      <c r="AX277" s="381"/>
      <c r="AY277" s="381"/>
      <c r="AZ277" s="381"/>
      <c r="BA277" s="381"/>
      <c r="BB277" s="381"/>
      <c r="BC277" s="381"/>
      <c r="BD277" s="381"/>
      <c r="BE277" s="381"/>
      <c r="BF277" s="381"/>
      <c r="BG277" s="381"/>
      <c r="BH277" s="381"/>
      <c r="BI277" s="381"/>
      <c r="BJ277" s="381"/>
      <c r="BK277" s="381"/>
      <c r="BL277" s="381"/>
      <c r="BM277" s="381"/>
      <c r="BN277" s="381"/>
      <c r="BO277" s="381"/>
      <c r="BP277" s="381"/>
      <c r="BQ277" s="381"/>
      <c r="BR277" s="381"/>
      <c r="BS277" s="381"/>
      <c r="BT277" s="381"/>
      <c r="BU277" s="381"/>
      <c r="BV277" s="381"/>
      <c r="BW277" s="381"/>
      <c r="BX277" s="381"/>
      <c r="BY277" s="381"/>
      <c r="BZ277" s="381"/>
      <c r="CA277" s="381"/>
      <c r="CB277" s="381"/>
      <c r="CC277" s="381"/>
      <c r="CD277" s="381"/>
      <c r="CE277" s="381"/>
      <c r="CF277" s="381"/>
      <c r="CG277" s="381"/>
      <c r="CH277" s="381"/>
      <c r="CI277" s="381"/>
      <c r="CJ277" s="381"/>
      <c r="CK277" s="381"/>
      <c r="CL277" s="381"/>
      <c r="CM277" s="381"/>
      <c r="CN277" s="381"/>
      <c r="CO277" s="381"/>
      <c r="CP277" s="381"/>
      <c r="CQ277" s="381"/>
      <c r="CR277" s="381"/>
      <c r="CS277" s="381"/>
      <c r="CT277" s="381"/>
      <c r="CU277" s="381"/>
      <c r="CV277" s="381"/>
      <c r="CW277" s="381"/>
      <c r="CX277" s="381"/>
      <c r="CY277" s="381"/>
      <c r="CZ277" s="381"/>
      <c r="DA277" s="381"/>
      <c r="DB277" s="381"/>
      <c r="DC277" s="381"/>
      <c r="DD277" s="381"/>
      <c r="DE277" s="381"/>
      <c r="DF277" s="381"/>
      <c r="DG277" s="381"/>
      <c r="DH277" s="381"/>
      <c r="DI277" s="381"/>
      <c r="DJ277" s="381"/>
      <c r="DK277" s="381"/>
      <c r="DL277" s="381"/>
      <c r="DM277" s="381"/>
      <c r="DN277" s="381"/>
      <c r="DO277" s="381"/>
      <c r="DP277" s="381"/>
      <c r="DQ277" s="381"/>
      <c r="DR277" s="381"/>
      <c r="DS277" s="381"/>
      <c r="DT277" s="381"/>
      <c r="DU277" s="381"/>
      <c r="DV277" s="381"/>
      <c r="DW277" s="381"/>
      <c r="DX277" s="381"/>
      <c r="DY277" s="381"/>
      <c r="DZ277" s="381"/>
      <c r="EA277" s="381"/>
      <c r="EB277" s="381"/>
      <c r="EC277" s="381"/>
      <c r="ED277" s="381"/>
      <c r="EE277" s="381"/>
      <c r="EF277" s="381"/>
      <c r="EG277" s="381"/>
      <c r="EH277" s="381"/>
      <c r="EI277" s="381"/>
      <c r="EJ277" s="381"/>
      <c r="EK277" s="381"/>
      <c r="EL277" s="381"/>
      <c r="EM277" s="381"/>
      <c r="EN277" s="384"/>
      <c r="EO277" s="381"/>
      <c r="EP277" s="37"/>
      <c r="EQ277" s="24"/>
      <c r="ER277" s="24"/>
      <c r="ES277" s="24"/>
      <c r="ET277" s="33"/>
      <c r="EU277" s="33"/>
      <c r="EV277" s="222"/>
      <c r="EW277" s="222"/>
      <c r="EX277" s="222"/>
      <c r="EY277" s="222"/>
      <c r="EZ277" s="222"/>
      <c r="FA277" s="222"/>
      <c r="FB277" s="222"/>
      <c r="FC277" s="222"/>
      <c r="FD277" s="222"/>
      <c r="FE277" s="222"/>
      <c r="FF277" s="222"/>
      <c r="FG277" s="222"/>
      <c r="FH277" s="222"/>
      <c r="FI277" s="222"/>
      <c r="FJ277" s="222"/>
      <c r="FK277" s="222"/>
      <c r="FL277" s="222"/>
      <c r="FM277" s="222"/>
      <c r="FN277" s="222"/>
      <c r="FO277" s="222"/>
      <c r="FP277" s="222"/>
      <c r="FQ277" s="222"/>
      <c r="FR277" s="222"/>
      <c r="FS277" s="222"/>
      <c r="FT277" s="222"/>
      <c r="FU277" s="222"/>
      <c r="FV277" s="222"/>
      <c r="FW277" s="222"/>
      <c r="FX277" s="222"/>
      <c r="FY277" s="222"/>
      <c r="FZ277" s="222"/>
      <c r="GA277" s="222"/>
      <c r="GB277" s="222"/>
      <c r="GC277" s="222"/>
      <c r="GD277" s="222"/>
      <c r="GE277" s="222"/>
      <c r="GF277" s="222"/>
      <c r="GG277" s="222"/>
      <c r="GH277" s="222"/>
      <c r="GI277" s="222"/>
      <c r="GJ277" s="222"/>
      <c r="GK277" s="222"/>
      <c r="GL277" s="222"/>
      <c r="GM277" s="222"/>
      <c r="GN277" s="222"/>
      <c r="GO277" s="222"/>
      <c r="GP277" s="222"/>
      <c r="GQ277" s="222"/>
      <c r="GR277" s="222"/>
      <c r="GS277" s="222"/>
      <c r="GT277" s="222"/>
      <c r="GU277" s="222"/>
      <c r="GV277" s="222"/>
      <c r="GW277" s="222"/>
      <c r="GX277" s="222"/>
      <c r="GY277" s="222"/>
      <c r="GZ277" s="222"/>
      <c r="HA277" s="222"/>
      <c r="HB277" s="222"/>
      <c r="HC277" s="222"/>
      <c r="HD277" s="222"/>
      <c r="HE277" s="222"/>
      <c r="HF277" s="222"/>
      <c r="HG277" s="222"/>
      <c r="HH277" s="222"/>
      <c r="HI277" s="222"/>
      <c r="HJ277" s="222"/>
      <c r="HK277" s="222"/>
      <c r="HL277" s="222"/>
      <c r="HM277" s="222"/>
      <c r="HN277" s="222"/>
      <c r="HO277" s="222"/>
      <c r="HP277" s="222"/>
      <c r="HQ277" s="222"/>
      <c r="HR277" s="222"/>
      <c r="HS277" s="222"/>
      <c r="HT277" s="222"/>
      <c r="HU277" s="222"/>
      <c r="HV277" s="222"/>
      <c r="HW277" s="222"/>
      <c r="HX277" s="222"/>
      <c r="HY277" s="222"/>
      <c r="HZ277" s="222"/>
      <c r="IA277" s="222"/>
      <c r="IB277" s="222"/>
      <c r="IC277" s="222"/>
      <c r="ID277" s="222"/>
      <c r="IE277" s="222"/>
      <c r="IF277" s="222"/>
      <c r="IG277" s="222"/>
      <c r="IH277" s="222"/>
      <c r="II277" s="222"/>
      <c r="IJ277" s="222"/>
      <c r="IK277" s="222"/>
      <c r="IL277" s="222"/>
      <c r="IM277" s="222"/>
      <c r="IN277" s="222"/>
      <c r="IO277" s="222"/>
      <c r="IP277" s="222"/>
      <c r="IQ277" s="222"/>
      <c r="IR277" s="222"/>
      <c r="IS277" s="222"/>
      <c r="IT277" s="222"/>
      <c r="IU277" s="222"/>
      <c r="IV277" s="222"/>
      <c r="IW277" s="222"/>
      <c r="IX277" s="222"/>
      <c r="IY277" s="222"/>
      <c r="IZ277" s="222"/>
      <c r="JA277" s="222"/>
      <c r="JB277" s="222"/>
      <c r="JC277" s="222"/>
      <c r="JD277" s="222"/>
      <c r="JE277" s="222"/>
      <c r="JF277" s="222"/>
      <c r="JG277" s="222"/>
      <c r="JH277" s="222"/>
      <c r="JI277" s="222"/>
      <c r="JJ277" s="222"/>
      <c r="JK277" s="222"/>
      <c r="JL277" s="222"/>
      <c r="JM277" s="222"/>
      <c r="JN277" s="222"/>
      <c r="JO277" s="222"/>
      <c r="JP277" s="222"/>
      <c r="JQ277" s="222"/>
      <c r="JR277" s="222"/>
      <c r="JS277" s="222"/>
      <c r="JT277" s="222"/>
      <c r="JU277" s="222"/>
      <c r="JV277" s="222"/>
      <c r="JW277" s="222"/>
      <c r="JX277" s="222"/>
    </row>
    <row r="278" spans="2:284" ht="5.0999999999999996" customHeight="1" x14ac:dyDescent="0.2">
      <c r="B278" s="92"/>
      <c r="C278" s="379"/>
      <c r="D278" s="92"/>
      <c r="E278" s="154"/>
      <c r="F278" s="154"/>
      <c r="G278" s="92"/>
      <c r="H278" s="92"/>
      <c r="I278" s="154"/>
      <c r="J278" s="381"/>
      <c r="K278" s="381"/>
      <c r="L278" s="381"/>
      <c r="M278" s="381"/>
      <c r="N278" s="381"/>
      <c r="O278" s="381"/>
      <c r="P278" s="381"/>
      <c r="Q278" s="381"/>
      <c r="R278" s="381"/>
      <c r="S278" s="381"/>
      <c r="T278" s="381"/>
      <c r="U278" s="381"/>
      <c r="V278" s="381"/>
      <c r="W278" s="381"/>
      <c r="X278" s="381"/>
      <c r="Y278" s="381"/>
      <c r="Z278" s="381"/>
      <c r="AA278" s="381"/>
      <c r="AB278" s="381"/>
      <c r="AC278" s="381"/>
      <c r="AD278" s="381"/>
      <c r="AE278" s="381"/>
      <c r="AF278" s="381"/>
      <c r="AG278" s="381"/>
      <c r="AH278" s="381"/>
      <c r="AI278" s="381"/>
      <c r="AJ278" s="381"/>
      <c r="AK278" s="381"/>
      <c r="AL278" s="381"/>
      <c r="AM278" s="381"/>
      <c r="AN278" s="381"/>
      <c r="AO278" s="381"/>
      <c r="AP278" s="381"/>
      <c r="AQ278" s="381"/>
      <c r="AR278" s="381"/>
      <c r="AS278" s="381"/>
      <c r="AT278" s="381"/>
      <c r="AU278" s="381"/>
      <c r="AV278" s="381"/>
      <c r="AW278" s="381"/>
      <c r="AX278" s="381"/>
      <c r="AY278" s="381"/>
      <c r="AZ278" s="381"/>
      <c r="BA278" s="381"/>
      <c r="BB278" s="381"/>
      <c r="BC278" s="381"/>
      <c r="BD278" s="381"/>
      <c r="BE278" s="381"/>
      <c r="BF278" s="381"/>
      <c r="BG278" s="381"/>
      <c r="BH278" s="381"/>
      <c r="BI278" s="381"/>
      <c r="BJ278" s="381"/>
      <c r="BK278" s="381"/>
      <c r="BL278" s="381"/>
      <c r="BM278" s="381"/>
      <c r="BN278" s="381"/>
      <c r="BO278" s="381"/>
      <c r="BP278" s="381"/>
      <c r="BQ278" s="381"/>
      <c r="BR278" s="381"/>
      <c r="BS278" s="381"/>
      <c r="BT278" s="381"/>
      <c r="BU278" s="381"/>
      <c r="BV278" s="381"/>
      <c r="BW278" s="381"/>
      <c r="BX278" s="381"/>
      <c r="BY278" s="381"/>
      <c r="BZ278" s="381"/>
      <c r="CA278" s="381"/>
      <c r="CB278" s="381"/>
      <c r="CC278" s="381"/>
      <c r="CD278" s="381"/>
      <c r="CE278" s="381"/>
      <c r="CF278" s="381"/>
      <c r="CG278" s="381"/>
      <c r="CH278" s="381"/>
      <c r="CI278" s="381"/>
      <c r="CJ278" s="381"/>
      <c r="CK278" s="381"/>
      <c r="CL278" s="381"/>
      <c r="CM278" s="381"/>
      <c r="CN278" s="381"/>
      <c r="CO278" s="381"/>
      <c r="CP278" s="381"/>
      <c r="CQ278" s="381"/>
      <c r="CR278" s="381"/>
      <c r="CS278" s="381"/>
      <c r="CT278" s="381"/>
      <c r="CU278" s="381"/>
      <c r="CV278" s="381"/>
      <c r="CW278" s="381"/>
      <c r="CX278" s="381"/>
      <c r="CY278" s="381"/>
      <c r="CZ278" s="381"/>
      <c r="DA278" s="381"/>
      <c r="DB278" s="381"/>
      <c r="DC278" s="381"/>
      <c r="DD278" s="381"/>
      <c r="DE278" s="381"/>
      <c r="DF278" s="381"/>
      <c r="DG278" s="381"/>
      <c r="DH278" s="381"/>
      <c r="DI278" s="381"/>
      <c r="DJ278" s="381"/>
      <c r="DK278" s="381"/>
      <c r="DL278" s="381"/>
      <c r="DM278" s="381"/>
      <c r="DN278" s="381"/>
      <c r="DO278" s="381"/>
      <c r="DP278" s="381"/>
      <c r="DQ278" s="381"/>
      <c r="DR278" s="381"/>
      <c r="DS278" s="381"/>
      <c r="DT278" s="381"/>
      <c r="DU278" s="381"/>
      <c r="DV278" s="381"/>
      <c r="DW278" s="381"/>
      <c r="DX278" s="381"/>
      <c r="DY278" s="381"/>
      <c r="DZ278" s="381"/>
      <c r="EA278" s="381"/>
      <c r="EB278" s="381"/>
      <c r="EC278" s="381"/>
      <c r="ED278" s="381"/>
      <c r="EE278" s="381"/>
      <c r="EF278" s="381"/>
      <c r="EG278" s="381"/>
      <c r="EH278" s="381"/>
      <c r="EI278" s="381"/>
      <c r="EJ278" s="381"/>
      <c r="EK278" s="381"/>
      <c r="EL278" s="381"/>
      <c r="EM278" s="381"/>
      <c r="EN278" s="384"/>
      <c r="EO278" s="381"/>
      <c r="EP278" s="37"/>
      <c r="EQ278" s="24"/>
      <c r="ER278" s="24"/>
      <c r="ES278" s="24"/>
      <c r="ET278" s="33"/>
      <c r="EU278" s="33"/>
      <c r="EV278" s="222"/>
      <c r="EW278" s="222"/>
      <c r="EX278" s="222"/>
      <c r="EY278" s="222"/>
      <c r="EZ278" s="222"/>
      <c r="FA278" s="222"/>
      <c r="FB278" s="222"/>
      <c r="FC278" s="222"/>
      <c r="FD278" s="222"/>
      <c r="FE278" s="222"/>
      <c r="FF278" s="222"/>
      <c r="FG278" s="222"/>
      <c r="FH278" s="222"/>
      <c r="FI278" s="222"/>
      <c r="FJ278" s="222"/>
      <c r="FK278" s="222"/>
      <c r="FL278" s="222"/>
      <c r="FM278" s="222"/>
      <c r="FN278" s="222"/>
      <c r="FO278" s="222"/>
      <c r="FP278" s="222"/>
      <c r="FQ278" s="222"/>
      <c r="FR278" s="222"/>
      <c r="FS278" s="222"/>
      <c r="FT278" s="222"/>
      <c r="FU278" s="222"/>
      <c r="FV278" s="222"/>
      <c r="FW278" s="222"/>
      <c r="FX278" s="222"/>
      <c r="FY278" s="222"/>
      <c r="FZ278" s="222"/>
      <c r="GA278" s="222"/>
      <c r="GB278" s="222"/>
      <c r="GC278" s="222"/>
      <c r="GD278" s="222"/>
      <c r="GE278" s="222"/>
      <c r="GF278" s="222"/>
      <c r="GG278" s="222"/>
      <c r="GH278" s="222"/>
      <c r="GI278" s="222"/>
      <c r="GJ278" s="222"/>
      <c r="GK278" s="222"/>
      <c r="GL278" s="222"/>
      <c r="GM278" s="222"/>
      <c r="GN278" s="222"/>
      <c r="GO278" s="222"/>
      <c r="GP278" s="222"/>
      <c r="GQ278" s="222"/>
      <c r="GR278" s="222"/>
      <c r="GS278" s="222"/>
      <c r="GT278" s="222"/>
      <c r="GU278" s="222"/>
      <c r="GV278" s="222"/>
      <c r="GW278" s="222"/>
      <c r="GX278" s="222"/>
      <c r="GY278" s="222"/>
      <c r="GZ278" s="222"/>
      <c r="HA278" s="222"/>
      <c r="HB278" s="222"/>
      <c r="HC278" s="222"/>
      <c r="HD278" s="222"/>
      <c r="HE278" s="222"/>
      <c r="HF278" s="222"/>
      <c r="HG278" s="222"/>
      <c r="HH278" s="222"/>
      <c r="HI278" s="222"/>
      <c r="HJ278" s="222"/>
      <c r="HK278" s="222"/>
      <c r="HL278" s="222"/>
      <c r="HM278" s="222"/>
      <c r="HN278" s="222"/>
      <c r="HO278" s="222"/>
      <c r="HP278" s="222"/>
      <c r="HQ278" s="222"/>
      <c r="HR278" s="222"/>
      <c r="HS278" s="222"/>
      <c r="HT278" s="222"/>
      <c r="HU278" s="222"/>
      <c r="HV278" s="222"/>
      <c r="HW278" s="222"/>
      <c r="HX278" s="222"/>
      <c r="HY278" s="222"/>
      <c r="HZ278" s="222"/>
      <c r="IA278" s="222"/>
      <c r="IB278" s="222"/>
      <c r="IC278" s="222"/>
      <c r="ID278" s="222"/>
      <c r="IE278" s="222"/>
      <c r="IF278" s="222"/>
      <c r="IG278" s="222"/>
      <c r="IH278" s="222"/>
      <c r="II278" s="222"/>
      <c r="IJ278" s="222"/>
      <c r="IK278" s="222"/>
      <c r="IL278" s="222"/>
      <c r="IM278" s="222"/>
      <c r="IN278" s="222"/>
      <c r="IO278" s="222"/>
      <c r="IP278" s="222"/>
      <c r="IQ278" s="222"/>
      <c r="IR278" s="222"/>
      <c r="IS278" s="222"/>
      <c r="IT278" s="222"/>
      <c r="IU278" s="222"/>
      <c r="IV278" s="222"/>
      <c r="IW278" s="222"/>
      <c r="IX278" s="222"/>
      <c r="IY278" s="222"/>
      <c r="IZ278" s="222"/>
      <c r="JA278" s="222"/>
      <c r="JB278" s="222"/>
      <c r="JC278" s="222"/>
      <c r="JD278" s="222"/>
      <c r="JE278" s="222"/>
      <c r="JF278" s="222"/>
      <c r="JG278" s="222"/>
      <c r="JH278" s="222"/>
      <c r="JI278" s="222"/>
      <c r="JJ278" s="222"/>
      <c r="JK278" s="222"/>
      <c r="JL278" s="222"/>
      <c r="JM278" s="222"/>
      <c r="JN278" s="222"/>
      <c r="JO278" s="222"/>
      <c r="JP278" s="222"/>
      <c r="JQ278" s="222"/>
      <c r="JR278" s="222"/>
      <c r="JS278" s="222"/>
      <c r="JT278" s="222"/>
      <c r="JU278" s="222"/>
      <c r="JV278" s="222"/>
      <c r="JW278" s="222"/>
      <c r="JX278" s="222"/>
    </row>
    <row r="279" spans="2:284" x14ac:dyDescent="0.2">
      <c r="B279" s="92"/>
      <c r="C279" s="375" t="s">
        <v>480</v>
      </c>
      <c r="D279" s="92"/>
      <c r="E279" s="356"/>
      <c r="F279" s="356"/>
      <c r="G279" s="100" t="s">
        <v>481</v>
      </c>
      <c r="H279" s="92"/>
      <c r="I279" s="356"/>
      <c r="J279" s="381"/>
      <c r="K279" s="381"/>
      <c r="L279" s="381"/>
      <c r="M279" s="381"/>
      <c r="N279" s="381"/>
      <c r="O279" s="381"/>
      <c r="P279" s="381"/>
      <c r="Q279" s="381"/>
      <c r="R279" s="381"/>
      <c r="S279" s="381"/>
      <c r="T279" s="381"/>
      <c r="U279" s="381"/>
      <c r="V279" s="381"/>
      <c r="W279" s="381"/>
      <c r="X279" s="381"/>
      <c r="Y279" s="381"/>
      <c r="Z279" s="381"/>
      <c r="AA279" s="381"/>
      <c r="AB279" s="381"/>
      <c r="AC279" s="381"/>
      <c r="AD279" s="381"/>
      <c r="AE279" s="381"/>
      <c r="AF279" s="381"/>
      <c r="AG279" s="381"/>
      <c r="AH279" s="381"/>
      <c r="AI279" s="381"/>
      <c r="AJ279" s="381"/>
      <c r="AK279" s="381"/>
      <c r="AL279" s="381"/>
      <c r="AM279" s="381"/>
      <c r="AN279" s="381"/>
      <c r="AO279" s="381"/>
      <c r="AP279" s="381"/>
      <c r="AQ279" s="381"/>
      <c r="AR279" s="381"/>
      <c r="AS279" s="381"/>
      <c r="AT279" s="381"/>
      <c r="AU279" s="381"/>
      <c r="AV279" s="381"/>
      <c r="AW279" s="381"/>
      <c r="AX279" s="381"/>
      <c r="AY279" s="381"/>
      <c r="AZ279" s="381"/>
      <c r="BA279" s="381"/>
      <c r="BB279" s="381"/>
      <c r="BC279" s="381"/>
      <c r="BD279" s="381"/>
      <c r="BE279" s="381"/>
      <c r="BF279" s="381"/>
      <c r="BG279" s="381"/>
      <c r="BH279" s="381"/>
      <c r="BI279" s="381"/>
      <c r="BJ279" s="381"/>
      <c r="BK279" s="381"/>
      <c r="BL279" s="381"/>
      <c r="BM279" s="381"/>
      <c r="BN279" s="381"/>
      <c r="BO279" s="381"/>
      <c r="BP279" s="381"/>
      <c r="BQ279" s="381"/>
      <c r="BR279" s="381"/>
      <c r="BS279" s="381"/>
      <c r="BT279" s="381"/>
      <c r="BU279" s="381"/>
      <c r="BV279" s="381"/>
      <c r="BW279" s="381"/>
      <c r="BX279" s="381"/>
      <c r="BY279" s="381"/>
      <c r="BZ279" s="381"/>
      <c r="CA279" s="381"/>
      <c r="CB279" s="381"/>
      <c r="CC279" s="381"/>
      <c r="CD279" s="381"/>
      <c r="CE279" s="381"/>
      <c r="CF279" s="381"/>
      <c r="CG279" s="381"/>
      <c r="CH279" s="381"/>
      <c r="CI279" s="381"/>
      <c r="CJ279" s="381"/>
      <c r="CK279" s="381"/>
      <c r="CL279" s="381"/>
      <c r="CM279" s="381"/>
      <c r="CN279" s="381"/>
      <c r="CO279" s="381"/>
      <c r="CP279" s="381"/>
      <c r="CQ279" s="381"/>
      <c r="CR279" s="381"/>
      <c r="CS279" s="381"/>
      <c r="CT279" s="381"/>
      <c r="CU279" s="381"/>
      <c r="CV279" s="381"/>
      <c r="CW279" s="381"/>
      <c r="CX279" s="381"/>
      <c r="CY279" s="381"/>
      <c r="CZ279" s="381"/>
      <c r="DA279" s="381"/>
      <c r="DB279" s="381"/>
      <c r="DC279" s="381"/>
      <c r="DD279" s="381"/>
      <c r="DE279" s="381"/>
      <c r="DF279" s="381"/>
      <c r="DG279" s="381"/>
      <c r="DH279" s="381"/>
      <c r="DI279" s="381"/>
      <c r="DJ279" s="381"/>
      <c r="DK279" s="381"/>
      <c r="DL279" s="381"/>
      <c r="DM279" s="381"/>
      <c r="DN279" s="381"/>
      <c r="DO279" s="381"/>
      <c r="DP279" s="381"/>
      <c r="DQ279" s="381"/>
      <c r="DR279" s="381"/>
      <c r="DS279" s="381"/>
      <c r="DT279" s="381"/>
      <c r="DU279" s="381"/>
      <c r="DV279" s="381"/>
      <c r="DW279" s="381"/>
      <c r="DX279" s="381"/>
      <c r="DY279" s="381"/>
      <c r="DZ279" s="381"/>
      <c r="EA279" s="381"/>
      <c r="EB279" s="381"/>
      <c r="EC279" s="381"/>
      <c r="ED279" s="381"/>
      <c r="EE279" s="381"/>
      <c r="EF279" s="381"/>
      <c r="EG279" s="381"/>
      <c r="EH279" s="381"/>
      <c r="EI279" s="381"/>
      <c r="EJ279" s="381"/>
      <c r="EK279" s="381"/>
      <c r="EL279" s="381"/>
      <c r="EM279" s="381"/>
      <c r="EN279" s="384"/>
      <c r="EO279" s="381"/>
      <c r="EP279" s="37"/>
      <c r="EQ279" s="24"/>
      <c r="ER279" s="24"/>
      <c r="ES279" s="24"/>
      <c r="ET279" s="33"/>
      <c r="EU279" s="33"/>
      <c r="EV279" s="222"/>
      <c r="EW279" s="222"/>
      <c r="EX279" s="222"/>
      <c r="EY279" s="222"/>
      <c r="EZ279" s="222"/>
      <c r="FA279" s="222"/>
      <c r="FB279" s="222"/>
      <c r="FC279" s="222"/>
      <c r="FD279" s="222"/>
      <c r="FE279" s="222"/>
      <c r="FF279" s="222"/>
      <c r="FG279" s="222"/>
      <c r="FH279" s="222"/>
      <c r="FI279" s="222"/>
      <c r="FJ279" s="222"/>
      <c r="FK279" s="222"/>
      <c r="FL279" s="222"/>
      <c r="FM279" s="222"/>
      <c r="FN279" s="222"/>
      <c r="FO279" s="222"/>
      <c r="FP279" s="222"/>
      <c r="FQ279" s="222"/>
      <c r="FR279" s="222"/>
      <c r="FS279" s="222"/>
      <c r="FT279" s="222"/>
      <c r="FU279" s="222"/>
      <c r="FV279" s="222"/>
      <c r="FW279" s="222"/>
      <c r="FX279" s="222"/>
      <c r="FY279" s="222"/>
      <c r="FZ279" s="222"/>
      <c r="GA279" s="222"/>
      <c r="GB279" s="222"/>
      <c r="GC279" s="222"/>
      <c r="GD279" s="222"/>
      <c r="GE279" s="222"/>
      <c r="GF279" s="222"/>
      <c r="GG279" s="222"/>
      <c r="GH279" s="222"/>
      <c r="GI279" s="222"/>
      <c r="GJ279" s="222"/>
      <c r="GK279" s="222"/>
      <c r="GL279" s="222"/>
      <c r="GM279" s="222"/>
      <c r="GN279" s="222"/>
      <c r="GO279" s="222"/>
      <c r="GP279" s="222"/>
      <c r="GQ279" s="222"/>
      <c r="GR279" s="222"/>
      <c r="GS279" s="222"/>
      <c r="GT279" s="222"/>
      <c r="GU279" s="222"/>
      <c r="GV279" s="222"/>
      <c r="GW279" s="222"/>
      <c r="GX279" s="222"/>
      <c r="GY279" s="222"/>
      <c r="GZ279" s="222"/>
      <c r="HA279" s="222"/>
      <c r="HB279" s="222"/>
      <c r="HC279" s="222"/>
      <c r="HD279" s="222"/>
      <c r="HE279" s="222"/>
      <c r="HF279" s="222"/>
      <c r="HG279" s="222"/>
      <c r="HH279" s="222"/>
      <c r="HI279" s="222"/>
      <c r="HJ279" s="222"/>
      <c r="HK279" s="222"/>
      <c r="HL279" s="222"/>
      <c r="HM279" s="222"/>
      <c r="HN279" s="222"/>
      <c r="HO279" s="222"/>
      <c r="HP279" s="222"/>
      <c r="HQ279" s="222"/>
      <c r="HR279" s="222"/>
      <c r="HS279" s="222"/>
      <c r="HT279" s="222"/>
      <c r="HU279" s="222"/>
      <c r="HV279" s="222"/>
      <c r="HW279" s="222"/>
      <c r="HX279" s="222"/>
      <c r="HY279" s="222"/>
      <c r="HZ279" s="222"/>
      <c r="IA279" s="222"/>
      <c r="IB279" s="222"/>
      <c r="IC279" s="222"/>
      <c r="ID279" s="222"/>
      <c r="IE279" s="222"/>
      <c r="IF279" s="222"/>
      <c r="IG279" s="222"/>
      <c r="IH279" s="222"/>
      <c r="II279" s="222"/>
      <c r="IJ279" s="222"/>
      <c r="IK279" s="222"/>
      <c r="IL279" s="222"/>
      <c r="IM279" s="222"/>
      <c r="IN279" s="222"/>
      <c r="IO279" s="222"/>
      <c r="IP279" s="222"/>
      <c r="IQ279" s="222"/>
      <c r="IR279" s="222"/>
      <c r="IS279" s="222"/>
      <c r="IT279" s="222"/>
      <c r="IU279" s="222"/>
      <c r="IV279" s="222"/>
      <c r="IW279" s="222"/>
      <c r="IX279" s="222"/>
      <c r="IY279" s="222"/>
      <c r="IZ279" s="222"/>
      <c r="JA279" s="222"/>
      <c r="JB279" s="222"/>
      <c r="JC279" s="222"/>
      <c r="JD279" s="222"/>
      <c r="JE279" s="222"/>
      <c r="JF279" s="222"/>
      <c r="JG279" s="222"/>
      <c r="JH279" s="222"/>
      <c r="JI279" s="222"/>
      <c r="JJ279" s="222"/>
      <c r="JK279" s="222"/>
      <c r="JL279" s="222"/>
      <c r="JM279" s="222"/>
      <c r="JN279" s="222"/>
      <c r="JO279" s="222"/>
      <c r="JP279" s="222"/>
      <c r="JQ279" s="222"/>
      <c r="JR279" s="222"/>
      <c r="JS279" s="222"/>
      <c r="JT279" s="222"/>
      <c r="JU279" s="222"/>
      <c r="JV279" s="222"/>
      <c r="JW279" s="222"/>
      <c r="JX279" s="222"/>
    </row>
    <row r="280" spans="2:284" x14ac:dyDescent="0.2">
      <c r="B280" s="92"/>
      <c r="C280" s="380" t="s">
        <v>478</v>
      </c>
      <c r="D280" s="355" t="s">
        <v>476</v>
      </c>
      <c r="E280" s="101" t="s">
        <v>475</v>
      </c>
      <c r="F280" s="101"/>
      <c r="G280" s="368" t="s">
        <v>479</v>
      </c>
      <c r="H280" s="355" t="s">
        <v>476</v>
      </c>
      <c r="I280" s="101" t="s">
        <v>475</v>
      </c>
      <c r="J280" s="381"/>
      <c r="K280" s="381"/>
      <c r="L280" s="381"/>
      <c r="M280" s="381"/>
      <c r="N280" s="381"/>
      <c r="O280" s="381"/>
      <c r="P280" s="381"/>
      <c r="Q280" s="381"/>
      <c r="R280" s="381"/>
      <c r="S280" s="381"/>
      <c r="T280" s="381"/>
      <c r="U280" s="381"/>
      <c r="V280" s="381"/>
      <c r="W280" s="381"/>
      <c r="X280" s="381"/>
      <c r="Y280" s="381"/>
      <c r="Z280" s="381"/>
      <c r="AA280" s="381"/>
      <c r="AB280" s="381"/>
      <c r="AC280" s="381"/>
      <c r="AD280" s="381"/>
      <c r="AE280" s="381"/>
      <c r="AF280" s="381"/>
      <c r="AG280" s="381"/>
      <c r="AH280" s="381"/>
      <c r="AI280" s="381"/>
      <c r="AJ280" s="381"/>
      <c r="AK280" s="381"/>
      <c r="AL280" s="381"/>
      <c r="AM280" s="381"/>
      <c r="AN280" s="381"/>
      <c r="AO280" s="381"/>
      <c r="AP280" s="381"/>
      <c r="AQ280" s="381"/>
      <c r="AR280" s="381"/>
      <c r="AS280" s="381"/>
      <c r="AT280" s="381"/>
      <c r="AU280" s="381"/>
      <c r="AV280" s="381"/>
      <c r="AW280" s="381"/>
      <c r="AX280" s="381"/>
      <c r="AY280" s="381"/>
      <c r="AZ280" s="381"/>
      <c r="BA280" s="381"/>
      <c r="BB280" s="381"/>
      <c r="BC280" s="381"/>
      <c r="BD280" s="381"/>
      <c r="BE280" s="381"/>
      <c r="BF280" s="381"/>
      <c r="BG280" s="381"/>
      <c r="BH280" s="381"/>
      <c r="BI280" s="381"/>
      <c r="BJ280" s="381"/>
      <c r="BK280" s="381"/>
      <c r="BL280" s="381"/>
      <c r="BM280" s="381"/>
      <c r="BN280" s="381"/>
      <c r="BO280" s="381"/>
      <c r="BP280" s="381"/>
      <c r="BQ280" s="381"/>
      <c r="BR280" s="381"/>
      <c r="BS280" s="381"/>
      <c r="BT280" s="381"/>
      <c r="BU280" s="381"/>
      <c r="BV280" s="381"/>
      <c r="BW280" s="381"/>
      <c r="BX280" s="381"/>
      <c r="BY280" s="381"/>
      <c r="BZ280" s="381"/>
      <c r="CA280" s="381"/>
      <c r="CB280" s="381"/>
      <c r="CC280" s="381"/>
      <c r="CD280" s="381"/>
      <c r="CE280" s="381"/>
      <c r="CF280" s="381"/>
      <c r="CG280" s="381"/>
      <c r="CH280" s="381"/>
      <c r="CI280" s="381"/>
      <c r="CJ280" s="381"/>
      <c r="CK280" s="381"/>
      <c r="CL280" s="381"/>
      <c r="CM280" s="381"/>
      <c r="CN280" s="381"/>
      <c r="CO280" s="381"/>
      <c r="CP280" s="381"/>
      <c r="CQ280" s="381"/>
      <c r="CR280" s="381"/>
      <c r="CS280" s="381"/>
      <c r="CT280" s="381"/>
      <c r="CU280" s="381"/>
      <c r="CV280" s="381"/>
      <c r="CW280" s="381"/>
      <c r="CX280" s="381"/>
      <c r="CY280" s="381"/>
      <c r="CZ280" s="381"/>
      <c r="DA280" s="381"/>
      <c r="DB280" s="381"/>
      <c r="DC280" s="381"/>
      <c r="DD280" s="381"/>
      <c r="DE280" s="381"/>
      <c r="DF280" s="381"/>
      <c r="DG280" s="381"/>
      <c r="DH280" s="381"/>
      <c r="DI280" s="381"/>
      <c r="DJ280" s="381"/>
      <c r="DK280" s="381"/>
      <c r="DL280" s="381"/>
      <c r="DM280" s="381"/>
      <c r="DN280" s="381"/>
      <c r="DO280" s="381"/>
      <c r="DP280" s="381"/>
      <c r="DQ280" s="381"/>
      <c r="DR280" s="381"/>
      <c r="DS280" s="381"/>
      <c r="DT280" s="381"/>
      <c r="DU280" s="381"/>
      <c r="DV280" s="381"/>
      <c r="DW280" s="381"/>
      <c r="DX280" s="381"/>
      <c r="DY280" s="381"/>
      <c r="DZ280" s="381"/>
      <c r="EA280" s="381"/>
      <c r="EB280" s="381"/>
      <c r="EC280" s="381"/>
      <c r="ED280" s="381"/>
      <c r="EE280" s="381"/>
      <c r="EF280" s="381"/>
      <c r="EG280" s="381"/>
      <c r="EH280" s="381"/>
      <c r="EI280" s="381"/>
      <c r="EJ280" s="381"/>
      <c r="EK280" s="381"/>
      <c r="EL280" s="381"/>
      <c r="EM280" s="381"/>
      <c r="EN280" s="384"/>
      <c r="EO280" s="381"/>
      <c r="EP280" s="37"/>
      <c r="EQ280" s="24"/>
      <c r="ER280" s="24"/>
      <c r="ES280" s="24"/>
      <c r="ET280" s="33"/>
      <c r="EU280" s="33"/>
      <c r="EV280" s="222"/>
      <c r="EW280" s="222"/>
      <c r="EX280" s="222"/>
      <c r="EY280" s="222"/>
      <c r="EZ280" s="222"/>
      <c r="FA280" s="222"/>
      <c r="FB280" s="222"/>
      <c r="FC280" s="222"/>
      <c r="FD280" s="222"/>
      <c r="FE280" s="222"/>
      <c r="FF280" s="222"/>
      <c r="FG280" s="222"/>
      <c r="FH280" s="222"/>
      <c r="FI280" s="222"/>
      <c r="FJ280" s="222"/>
      <c r="FK280" s="222"/>
      <c r="FL280" s="222"/>
      <c r="FM280" s="222"/>
      <c r="FN280" s="222"/>
      <c r="FO280" s="222"/>
      <c r="FP280" s="222"/>
      <c r="FQ280" s="222"/>
      <c r="FR280" s="222"/>
      <c r="FS280" s="222"/>
      <c r="FT280" s="222"/>
      <c r="FU280" s="222"/>
      <c r="FV280" s="222"/>
      <c r="FW280" s="222"/>
      <c r="FX280" s="222"/>
      <c r="FY280" s="222"/>
      <c r="FZ280" s="222"/>
      <c r="GA280" s="222"/>
      <c r="GB280" s="222"/>
      <c r="GC280" s="222"/>
      <c r="GD280" s="222"/>
      <c r="GE280" s="222"/>
      <c r="GF280" s="222"/>
      <c r="GG280" s="222"/>
      <c r="GH280" s="222"/>
      <c r="GI280" s="222"/>
      <c r="GJ280" s="222"/>
      <c r="GK280" s="222"/>
      <c r="GL280" s="222"/>
      <c r="GM280" s="222"/>
      <c r="GN280" s="222"/>
      <c r="GO280" s="222"/>
      <c r="GP280" s="222"/>
      <c r="GQ280" s="222"/>
      <c r="GR280" s="222"/>
      <c r="GS280" s="222"/>
      <c r="GT280" s="222"/>
      <c r="GU280" s="222"/>
      <c r="GV280" s="222"/>
      <c r="GW280" s="222"/>
      <c r="GX280" s="222"/>
      <c r="GY280" s="222"/>
      <c r="GZ280" s="222"/>
      <c r="HA280" s="222"/>
      <c r="HB280" s="222"/>
      <c r="HC280" s="222"/>
      <c r="HD280" s="222"/>
      <c r="HE280" s="222"/>
      <c r="HF280" s="222"/>
      <c r="HG280" s="222"/>
      <c r="HH280" s="222"/>
      <c r="HI280" s="222"/>
      <c r="HJ280" s="222"/>
      <c r="HK280" s="222"/>
      <c r="HL280" s="222"/>
      <c r="HM280" s="222"/>
      <c r="HN280" s="222"/>
      <c r="HO280" s="222"/>
      <c r="HP280" s="222"/>
      <c r="HQ280" s="222"/>
      <c r="HR280" s="222"/>
      <c r="HS280" s="222"/>
      <c r="HT280" s="222"/>
      <c r="HU280" s="222"/>
      <c r="HV280" s="222"/>
      <c r="HW280" s="222"/>
      <c r="HX280" s="222"/>
      <c r="HY280" s="222"/>
      <c r="HZ280" s="222"/>
      <c r="IA280" s="222"/>
      <c r="IB280" s="222"/>
      <c r="IC280" s="222"/>
      <c r="ID280" s="222"/>
      <c r="IE280" s="222"/>
      <c r="IF280" s="222"/>
      <c r="IG280" s="222"/>
      <c r="IH280" s="222"/>
      <c r="II280" s="222"/>
      <c r="IJ280" s="222"/>
      <c r="IK280" s="222"/>
      <c r="IL280" s="222"/>
      <c r="IM280" s="222"/>
      <c r="IN280" s="222"/>
      <c r="IO280" s="222"/>
      <c r="IP280" s="222"/>
      <c r="IQ280" s="222"/>
      <c r="IR280" s="222"/>
      <c r="IS280" s="222"/>
      <c r="IT280" s="222"/>
      <c r="IU280" s="222"/>
      <c r="IV280" s="222"/>
      <c r="IW280" s="222"/>
      <c r="IX280" s="222"/>
      <c r="IY280" s="222"/>
      <c r="IZ280" s="222"/>
      <c r="JA280" s="222"/>
      <c r="JB280" s="222"/>
      <c r="JC280" s="222"/>
      <c r="JD280" s="222"/>
      <c r="JE280" s="222"/>
      <c r="JF280" s="222"/>
      <c r="JG280" s="222"/>
      <c r="JH280" s="222"/>
      <c r="JI280" s="222"/>
      <c r="JJ280" s="222"/>
      <c r="JK280" s="222"/>
      <c r="JL280" s="222"/>
      <c r="JM280" s="222"/>
      <c r="JN280" s="222"/>
      <c r="JO280" s="222"/>
      <c r="JP280" s="222"/>
      <c r="JQ280" s="222"/>
      <c r="JR280" s="222"/>
      <c r="JS280" s="222"/>
      <c r="JT280" s="222"/>
      <c r="JU280" s="222"/>
      <c r="JV280" s="222"/>
      <c r="JW280" s="222"/>
      <c r="JX280" s="222"/>
    </row>
    <row r="281" spans="2:284" x14ac:dyDescent="0.2">
      <c r="B281" s="368" t="s">
        <v>482</v>
      </c>
      <c r="C281" s="377">
        <f>D85</f>
        <v>0.03</v>
      </c>
      <c r="D281" s="354">
        <f ca="1">$I$218</f>
        <v>76.687838633763349</v>
      </c>
      <c r="E281" s="371">
        <f ca="1">$G$213</f>
        <v>1.60213156386134</v>
      </c>
      <c r="F281" s="368" t="s">
        <v>482</v>
      </c>
      <c r="G281" s="372">
        <f>D114</f>
        <v>0.03</v>
      </c>
      <c r="H281" s="354">
        <f ca="1">$I$218</f>
        <v>76.687838633763349</v>
      </c>
      <c r="I281" s="371">
        <f ca="1">$G$213</f>
        <v>1.60213156386134</v>
      </c>
      <c r="J281" s="381"/>
      <c r="K281" s="381"/>
      <c r="L281" s="381"/>
      <c r="M281" s="381"/>
      <c r="N281" s="381"/>
      <c r="O281" s="381"/>
      <c r="P281" s="381"/>
      <c r="Q281" s="381"/>
      <c r="R281" s="381"/>
      <c r="S281" s="381"/>
      <c r="T281" s="381"/>
      <c r="U281" s="381"/>
      <c r="V281" s="381"/>
      <c r="W281" s="381"/>
      <c r="X281" s="381"/>
      <c r="Y281" s="381"/>
      <c r="Z281" s="381"/>
      <c r="AA281" s="381"/>
      <c r="AB281" s="381"/>
      <c r="AC281" s="381"/>
      <c r="AD281" s="381"/>
      <c r="AE281" s="381"/>
      <c r="AF281" s="381"/>
      <c r="AG281" s="381"/>
      <c r="AH281" s="381"/>
      <c r="AI281" s="381"/>
      <c r="AJ281" s="381"/>
      <c r="AK281" s="381"/>
      <c r="AL281" s="381"/>
      <c r="AM281" s="381"/>
      <c r="AN281" s="381"/>
      <c r="AO281" s="381"/>
      <c r="AP281" s="381"/>
      <c r="AQ281" s="381"/>
      <c r="AR281" s="381"/>
      <c r="AS281" s="381"/>
      <c r="AT281" s="381"/>
      <c r="AU281" s="381"/>
      <c r="AV281" s="381"/>
      <c r="AW281" s="381"/>
      <c r="AX281" s="381"/>
      <c r="AY281" s="381"/>
      <c r="AZ281" s="381"/>
      <c r="BA281" s="381"/>
      <c r="BB281" s="381"/>
      <c r="BC281" s="381"/>
      <c r="BD281" s="381"/>
      <c r="BE281" s="381"/>
      <c r="BF281" s="381"/>
      <c r="BG281" s="381"/>
      <c r="BH281" s="381"/>
      <c r="BI281" s="381"/>
      <c r="BJ281" s="381"/>
      <c r="BK281" s="381"/>
      <c r="BL281" s="381"/>
      <c r="BM281" s="381"/>
      <c r="BN281" s="381"/>
      <c r="BO281" s="381"/>
      <c r="BP281" s="381"/>
      <c r="BQ281" s="381"/>
      <c r="BR281" s="381"/>
      <c r="BS281" s="381"/>
      <c r="BT281" s="381"/>
      <c r="BU281" s="381"/>
      <c r="BV281" s="381"/>
      <c r="BW281" s="381"/>
      <c r="BX281" s="381"/>
      <c r="BY281" s="381"/>
      <c r="BZ281" s="381"/>
      <c r="CA281" s="381"/>
      <c r="CB281" s="381"/>
      <c r="CC281" s="381"/>
      <c r="CD281" s="381"/>
      <c r="CE281" s="381"/>
      <c r="CF281" s="381"/>
      <c r="CG281" s="381"/>
      <c r="CH281" s="381"/>
      <c r="CI281" s="381"/>
      <c r="CJ281" s="381"/>
      <c r="CK281" s="381"/>
      <c r="CL281" s="381"/>
      <c r="CM281" s="381"/>
      <c r="CN281" s="381"/>
      <c r="CO281" s="381"/>
      <c r="CP281" s="381"/>
      <c r="CQ281" s="381"/>
      <c r="CR281" s="381"/>
      <c r="CS281" s="381"/>
      <c r="CT281" s="381"/>
      <c r="CU281" s="381"/>
      <c r="CV281" s="381"/>
      <c r="CW281" s="381"/>
      <c r="CX281" s="381"/>
      <c r="CY281" s="381"/>
      <c r="CZ281" s="381"/>
      <c r="DA281" s="381"/>
      <c r="DB281" s="381"/>
      <c r="DC281" s="381"/>
      <c r="DD281" s="381"/>
      <c r="DE281" s="381"/>
      <c r="DF281" s="381"/>
      <c r="DG281" s="381"/>
      <c r="DH281" s="381"/>
      <c r="DI281" s="381"/>
      <c r="DJ281" s="381"/>
      <c r="DK281" s="381"/>
      <c r="DL281" s="381"/>
      <c r="DM281" s="381"/>
      <c r="DN281" s="381"/>
      <c r="DO281" s="381"/>
      <c r="DP281" s="381"/>
      <c r="DQ281" s="381"/>
      <c r="DR281" s="381"/>
      <c r="DS281" s="381"/>
      <c r="DT281" s="381"/>
      <c r="DU281" s="381"/>
      <c r="DV281" s="381"/>
      <c r="DW281" s="381"/>
      <c r="DX281" s="381"/>
      <c r="DY281" s="381"/>
      <c r="DZ281" s="381"/>
      <c r="EA281" s="381"/>
      <c r="EB281" s="381"/>
      <c r="EC281" s="381"/>
      <c r="ED281" s="381"/>
      <c r="EE281" s="381"/>
      <c r="EF281" s="381"/>
      <c r="EG281" s="381"/>
      <c r="EH281" s="381"/>
      <c r="EI281" s="381"/>
      <c r="EJ281" s="381"/>
      <c r="EK281" s="381"/>
      <c r="EL281" s="381"/>
      <c r="EM281" s="381"/>
      <c r="EN281" s="384"/>
      <c r="EO281" s="381"/>
      <c r="EP281" s="37"/>
      <c r="EQ281" s="24"/>
      <c r="ER281" s="24"/>
      <c r="ES281" s="24"/>
      <c r="ET281" s="33"/>
      <c r="EU281" s="33"/>
      <c r="EV281" s="222"/>
      <c r="EW281" s="222"/>
      <c r="EX281" s="222"/>
      <c r="EY281" s="222"/>
      <c r="EZ281" s="222"/>
      <c r="FA281" s="222"/>
      <c r="FB281" s="222"/>
      <c r="FC281" s="222"/>
      <c r="FD281" s="222"/>
      <c r="FE281" s="222"/>
      <c r="FF281" s="222"/>
      <c r="FG281" s="222"/>
      <c r="FH281" s="222"/>
      <c r="FI281" s="222"/>
      <c r="FJ281" s="222"/>
      <c r="FK281" s="222"/>
      <c r="FL281" s="222"/>
      <c r="FM281" s="222"/>
      <c r="FN281" s="222"/>
      <c r="FO281" s="222"/>
      <c r="FP281" s="222"/>
      <c r="FQ281" s="222"/>
      <c r="FR281" s="222"/>
      <c r="FS281" s="222"/>
      <c r="FT281" s="222"/>
      <c r="FU281" s="222"/>
      <c r="FV281" s="222"/>
      <c r="FW281" s="222"/>
      <c r="FX281" s="222"/>
      <c r="FY281" s="222"/>
      <c r="FZ281" s="222"/>
      <c r="GA281" s="222"/>
      <c r="GB281" s="222"/>
      <c r="GC281" s="222"/>
      <c r="GD281" s="222"/>
      <c r="GE281" s="222"/>
      <c r="GF281" s="222"/>
      <c r="GG281" s="222"/>
      <c r="GH281" s="222"/>
      <c r="GI281" s="222"/>
      <c r="GJ281" s="222"/>
      <c r="GK281" s="222"/>
      <c r="GL281" s="222"/>
      <c r="GM281" s="222"/>
      <c r="GN281" s="222"/>
      <c r="GO281" s="222"/>
      <c r="GP281" s="222"/>
      <c r="GQ281" s="222"/>
      <c r="GR281" s="222"/>
      <c r="GS281" s="222"/>
      <c r="GT281" s="222"/>
      <c r="GU281" s="222"/>
      <c r="GV281" s="222"/>
      <c r="GW281" s="222"/>
      <c r="GX281" s="222"/>
      <c r="GY281" s="222"/>
      <c r="GZ281" s="222"/>
      <c r="HA281" s="222"/>
      <c r="HB281" s="222"/>
      <c r="HC281" s="222"/>
      <c r="HD281" s="222"/>
      <c r="HE281" s="222"/>
      <c r="HF281" s="222"/>
      <c r="HG281" s="222"/>
      <c r="HH281" s="222"/>
      <c r="HI281" s="222"/>
      <c r="HJ281" s="222"/>
      <c r="HK281" s="222"/>
      <c r="HL281" s="222"/>
      <c r="HM281" s="222"/>
      <c r="HN281" s="222"/>
      <c r="HO281" s="222"/>
      <c r="HP281" s="222"/>
      <c r="HQ281" s="222"/>
      <c r="HR281" s="222"/>
      <c r="HS281" s="222"/>
      <c r="HT281" s="222"/>
      <c r="HU281" s="222"/>
      <c r="HV281" s="222"/>
      <c r="HW281" s="222"/>
      <c r="HX281" s="222"/>
      <c r="HY281" s="222"/>
      <c r="HZ281" s="222"/>
      <c r="IA281" s="222"/>
      <c r="IB281" s="222"/>
      <c r="IC281" s="222"/>
      <c r="ID281" s="222"/>
      <c r="IE281" s="222"/>
      <c r="IF281" s="222"/>
      <c r="IG281" s="222"/>
      <c r="IH281" s="222"/>
      <c r="II281" s="222"/>
      <c r="IJ281" s="222"/>
      <c r="IK281" s="222"/>
      <c r="IL281" s="222"/>
      <c r="IM281" s="222"/>
      <c r="IN281" s="222"/>
      <c r="IO281" s="222"/>
      <c r="IP281" s="222"/>
      <c r="IQ281" s="222"/>
      <c r="IR281" s="222"/>
      <c r="IS281" s="222"/>
      <c r="IT281" s="222"/>
      <c r="IU281" s="222"/>
      <c r="IV281" s="222"/>
      <c r="IW281" s="222"/>
      <c r="IX281" s="222"/>
      <c r="IY281" s="222"/>
      <c r="IZ281" s="222"/>
      <c r="JA281" s="222"/>
      <c r="JB281" s="222"/>
      <c r="JC281" s="222"/>
      <c r="JD281" s="222"/>
      <c r="JE281" s="222"/>
      <c r="JF281" s="222"/>
      <c r="JG281" s="222"/>
      <c r="JH281" s="222"/>
      <c r="JI281" s="222"/>
      <c r="JJ281" s="222"/>
      <c r="JK281" s="222"/>
      <c r="JL281" s="222"/>
      <c r="JM281" s="222"/>
      <c r="JN281" s="222"/>
      <c r="JO281" s="222"/>
      <c r="JP281" s="222"/>
      <c r="JQ281" s="222"/>
      <c r="JR281" s="222"/>
      <c r="JS281" s="222"/>
      <c r="JT281" s="222"/>
      <c r="JU281" s="222"/>
      <c r="JV281" s="222"/>
      <c r="JW281" s="222"/>
      <c r="JX281" s="222"/>
    </row>
    <row r="282" spans="2:284" x14ac:dyDescent="0.2">
      <c r="B282" s="162" t="s">
        <v>483</v>
      </c>
      <c r="C282" s="378">
        <v>2.4999999999999998E-2</v>
      </c>
      <c r="D282" s="354">
        <f t="dataTable" ref="D282:E286" dt2D="0" dtr="0" r1="D85" ca="1"/>
        <v>67.554368743548764</v>
      </c>
      <c r="E282" s="371">
        <v>1.5315511942467923</v>
      </c>
      <c r="F282" s="162" t="s">
        <v>483</v>
      </c>
      <c r="G282" s="373">
        <v>2.4999999999999998E-2</v>
      </c>
      <c r="H282" s="354">
        <f t="dataTable" ref="H282:I286" dt2D="0" dtr="0" r1="D114" ca="1"/>
        <v>81.567444611446305</v>
      </c>
      <c r="I282" s="371">
        <v>1.6400119965209028</v>
      </c>
      <c r="J282" s="381"/>
      <c r="K282" s="381"/>
      <c r="L282" s="381"/>
      <c r="M282" s="381"/>
      <c r="N282" s="381"/>
      <c r="O282" s="381"/>
      <c r="P282" s="381"/>
      <c r="Q282" s="381"/>
      <c r="R282" s="381"/>
      <c r="S282" s="381"/>
      <c r="T282" s="381"/>
      <c r="U282" s="381"/>
      <c r="V282" s="381"/>
      <c r="W282" s="381"/>
      <c r="X282" s="381"/>
      <c r="Y282" s="381"/>
      <c r="Z282" s="381"/>
      <c r="AA282" s="381"/>
      <c r="AB282" s="381"/>
      <c r="AC282" s="381"/>
      <c r="AD282" s="381"/>
      <c r="AE282" s="381"/>
      <c r="AF282" s="381"/>
      <c r="AG282" s="381"/>
      <c r="AH282" s="381"/>
      <c r="AI282" s="381"/>
      <c r="AJ282" s="381"/>
      <c r="AK282" s="381"/>
      <c r="AL282" s="381"/>
      <c r="AM282" s="381"/>
      <c r="AN282" s="381"/>
      <c r="AO282" s="381"/>
      <c r="AP282" s="381"/>
      <c r="AQ282" s="381"/>
      <c r="AR282" s="381"/>
      <c r="AS282" s="381"/>
      <c r="AT282" s="381"/>
      <c r="AU282" s="381"/>
      <c r="AV282" s="381"/>
      <c r="AW282" s="381"/>
      <c r="AX282" s="381"/>
      <c r="AY282" s="381"/>
      <c r="AZ282" s="381"/>
      <c r="BA282" s="381"/>
      <c r="BB282" s="381"/>
      <c r="BC282" s="381"/>
      <c r="BD282" s="381"/>
      <c r="BE282" s="381"/>
      <c r="BF282" s="381"/>
      <c r="BG282" s="381"/>
      <c r="BH282" s="381"/>
      <c r="BI282" s="381"/>
      <c r="BJ282" s="381"/>
      <c r="BK282" s="381"/>
      <c r="BL282" s="381"/>
      <c r="BM282" s="381"/>
      <c r="BN282" s="381"/>
      <c r="BO282" s="381"/>
      <c r="BP282" s="381"/>
      <c r="BQ282" s="381"/>
      <c r="BR282" s="381"/>
      <c r="BS282" s="381"/>
      <c r="BT282" s="381"/>
      <c r="BU282" s="381"/>
      <c r="BV282" s="381"/>
      <c r="BW282" s="381"/>
      <c r="BX282" s="381"/>
      <c r="BY282" s="381"/>
      <c r="BZ282" s="381"/>
      <c r="CA282" s="381"/>
      <c r="CB282" s="381"/>
      <c r="CC282" s="381"/>
      <c r="CD282" s="381"/>
      <c r="CE282" s="381"/>
      <c r="CF282" s="381"/>
      <c r="CG282" s="381"/>
      <c r="CH282" s="381"/>
      <c r="CI282" s="381"/>
      <c r="CJ282" s="381"/>
      <c r="CK282" s="381"/>
      <c r="CL282" s="381"/>
      <c r="CM282" s="381"/>
      <c r="CN282" s="381"/>
      <c r="CO282" s="381"/>
      <c r="CP282" s="381"/>
      <c r="CQ282" s="381"/>
      <c r="CR282" s="381"/>
      <c r="CS282" s="381"/>
      <c r="CT282" s="381"/>
      <c r="CU282" s="381"/>
      <c r="CV282" s="381"/>
      <c r="CW282" s="381"/>
      <c r="CX282" s="381"/>
      <c r="CY282" s="381"/>
      <c r="CZ282" s="381"/>
      <c r="DA282" s="381"/>
      <c r="DB282" s="381"/>
      <c r="DC282" s="381"/>
      <c r="DD282" s="381"/>
      <c r="DE282" s="381"/>
      <c r="DF282" s="381"/>
      <c r="DG282" s="381"/>
      <c r="DH282" s="381"/>
      <c r="DI282" s="381"/>
      <c r="DJ282" s="381"/>
      <c r="DK282" s="381"/>
      <c r="DL282" s="381"/>
      <c r="DM282" s="381"/>
      <c r="DN282" s="381"/>
      <c r="DO282" s="381"/>
      <c r="DP282" s="381"/>
      <c r="DQ282" s="381"/>
      <c r="DR282" s="381"/>
      <c r="DS282" s="381"/>
      <c r="DT282" s="381"/>
      <c r="DU282" s="381"/>
      <c r="DV282" s="381"/>
      <c r="DW282" s="381"/>
      <c r="DX282" s="381"/>
      <c r="DY282" s="381"/>
      <c r="DZ282" s="381"/>
      <c r="EA282" s="381"/>
      <c r="EB282" s="381"/>
      <c r="EC282" s="381"/>
      <c r="ED282" s="381"/>
      <c r="EE282" s="381"/>
      <c r="EF282" s="381"/>
      <c r="EG282" s="381"/>
      <c r="EH282" s="381"/>
      <c r="EI282" s="381"/>
      <c r="EJ282" s="381"/>
      <c r="EK282" s="381"/>
      <c r="EL282" s="381"/>
      <c r="EM282" s="381"/>
      <c r="EN282" s="381"/>
      <c r="EO282" s="381"/>
      <c r="EP282" s="37"/>
      <c r="EQ282" s="24"/>
      <c r="ER282" s="24"/>
      <c r="ES282" s="24"/>
      <c r="ET282" s="33"/>
      <c r="EU282" s="33"/>
      <c r="EV282" s="222"/>
      <c r="EW282" s="222"/>
      <c r="EX282" s="222"/>
      <c r="EY282" s="222"/>
      <c r="EZ282" s="222"/>
      <c r="FA282" s="222"/>
      <c r="FB282" s="222"/>
      <c r="FC282" s="222"/>
      <c r="FD282" s="222"/>
      <c r="FE282" s="222"/>
      <c r="FF282" s="222"/>
      <c r="FG282" s="222"/>
      <c r="FH282" s="222"/>
      <c r="FI282" s="222"/>
      <c r="FJ282" s="222"/>
      <c r="FK282" s="222"/>
      <c r="FL282" s="222"/>
      <c r="FM282" s="222"/>
      <c r="FN282" s="222"/>
      <c r="FO282" s="222"/>
      <c r="FP282" s="222"/>
      <c r="FQ282" s="222"/>
      <c r="FR282" s="222"/>
      <c r="FS282" s="222"/>
      <c r="FT282" s="222"/>
      <c r="FU282" s="222"/>
      <c r="FV282" s="222"/>
      <c r="FW282" s="222"/>
      <c r="FX282" s="222"/>
      <c r="FY282" s="222"/>
      <c r="FZ282" s="222"/>
      <c r="GA282" s="222"/>
      <c r="GB282" s="222"/>
      <c r="GC282" s="222"/>
      <c r="GD282" s="222"/>
      <c r="GE282" s="222"/>
      <c r="GF282" s="222"/>
      <c r="GG282" s="222"/>
      <c r="GH282" s="222"/>
      <c r="GI282" s="222"/>
      <c r="GJ282" s="222"/>
      <c r="GK282" s="222"/>
      <c r="GL282" s="222"/>
      <c r="GM282" s="222"/>
      <c r="GN282" s="222"/>
      <c r="GO282" s="222"/>
      <c r="GP282" s="222"/>
      <c r="GQ282" s="222"/>
      <c r="GR282" s="222"/>
      <c r="GS282" s="222"/>
      <c r="GT282" s="222"/>
      <c r="GU282" s="222"/>
      <c r="GV282" s="222"/>
      <c r="GW282" s="222"/>
      <c r="GX282" s="222"/>
      <c r="GY282" s="222"/>
      <c r="GZ282" s="222"/>
      <c r="HA282" s="222"/>
      <c r="HB282" s="222"/>
      <c r="HC282" s="222"/>
      <c r="HD282" s="222"/>
      <c r="HE282" s="222"/>
      <c r="HF282" s="222"/>
      <c r="HG282" s="222"/>
      <c r="HH282" s="222"/>
      <c r="HI282" s="222"/>
      <c r="HJ282" s="222"/>
      <c r="HK282" s="222"/>
      <c r="HL282" s="222"/>
      <c r="HM282" s="222"/>
      <c r="HN282" s="222"/>
      <c r="HO282" s="222"/>
      <c r="HP282" s="222"/>
      <c r="HQ282" s="222"/>
      <c r="HR282" s="222"/>
      <c r="HS282" s="222"/>
      <c r="HT282" s="222"/>
      <c r="HU282" s="222"/>
      <c r="HV282" s="222"/>
      <c r="HW282" s="222"/>
      <c r="HX282" s="222"/>
      <c r="HY282" s="222"/>
      <c r="HZ282" s="222"/>
      <c r="IA282" s="222"/>
      <c r="IB282" s="222"/>
      <c r="IC282" s="222"/>
      <c r="ID282" s="222"/>
      <c r="IE282" s="222"/>
      <c r="IF282" s="222"/>
      <c r="IG282" s="222"/>
      <c r="IH282" s="222"/>
      <c r="II282" s="222"/>
      <c r="IJ282" s="222"/>
      <c r="IK282" s="222"/>
      <c r="IL282" s="222"/>
      <c r="IM282" s="222"/>
      <c r="IN282" s="222"/>
      <c r="IO282" s="222"/>
      <c r="IP282" s="222"/>
      <c r="IQ282" s="222"/>
      <c r="IR282" s="222"/>
      <c r="IS282" s="222"/>
      <c r="IT282" s="222"/>
      <c r="IU282" s="222"/>
      <c r="IV282" s="222"/>
      <c r="IW282" s="222"/>
      <c r="IX282" s="222"/>
      <c r="IY282" s="222"/>
      <c r="IZ282" s="222"/>
      <c r="JA282" s="222"/>
      <c r="JB282" s="222"/>
      <c r="JC282" s="222"/>
      <c r="JD282" s="222"/>
      <c r="JE282" s="222"/>
      <c r="JF282" s="222"/>
      <c r="JG282" s="222"/>
      <c r="JH282" s="222"/>
      <c r="JI282" s="222"/>
      <c r="JJ282" s="222"/>
      <c r="JK282" s="222"/>
      <c r="JL282" s="222"/>
      <c r="JM282" s="222"/>
      <c r="JN282" s="222"/>
      <c r="JO282" s="222"/>
      <c r="JP282" s="222"/>
      <c r="JQ282" s="222"/>
      <c r="JR282" s="222"/>
      <c r="JS282" s="222"/>
      <c r="JT282" s="222"/>
      <c r="JU282" s="222"/>
      <c r="JV282" s="222"/>
      <c r="JW282" s="222"/>
      <c r="JX282" s="222"/>
    </row>
    <row r="283" spans="2:284" x14ac:dyDescent="0.2">
      <c r="B283" s="162" t="s">
        <v>484</v>
      </c>
      <c r="C283" s="378">
        <v>1.9999999999999997E-2</v>
      </c>
      <c r="D283" s="354">
        <v>58.467793972137308</v>
      </c>
      <c r="E283" s="371">
        <v>1.4613263039726512</v>
      </c>
      <c r="F283" s="162" t="s">
        <v>484</v>
      </c>
      <c r="G283" s="373">
        <v>1.9999999999999997E-2</v>
      </c>
      <c r="H283" s="354">
        <v>86.417737977781968</v>
      </c>
      <c r="I283" s="371">
        <v>1.677670215726202</v>
      </c>
      <c r="J283" s="381"/>
      <c r="K283" s="381"/>
      <c r="L283" s="381"/>
      <c r="M283" s="381"/>
      <c r="N283" s="381"/>
      <c r="O283" s="381"/>
      <c r="P283" s="381"/>
      <c r="Q283" s="381"/>
      <c r="R283" s="381"/>
      <c r="S283" s="381"/>
      <c r="T283" s="381"/>
      <c r="U283" s="381"/>
      <c r="V283" s="381"/>
      <c r="W283" s="381"/>
      <c r="X283" s="381"/>
      <c r="Y283" s="381"/>
      <c r="Z283" s="381"/>
      <c r="AA283" s="381"/>
      <c r="AB283" s="381"/>
      <c r="AC283" s="381"/>
      <c r="AD283" s="381"/>
      <c r="AE283" s="381"/>
      <c r="AF283" s="381"/>
      <c r="AG283" s="381"/>
      <c r="AH283" s="381"/>
      <c r="AI283" s="381"/>
      <c r="AJ283" s="381"/>
      <c r="AK283" s="381"/>
      <c r="AL283" s="381"/>
      <c r="AM283" s="381"/>
      <c r="AN283" s="381"/>
      <c r="AO283" s="381"/>
      <c r="AP283" s="381"/>
      <c r="AQ283" s="381"/>
      <c r="AR283" s="381"/>
      <c r="AS283" s="381"/>
      <c r="AT283" s="381"/>
      <c r="AU283" s="381"/>
      <c r="AV283" s="381"/>
      <c r="AW283" s="381"/>
      <c r="AX283" s="381"/>
      <c r="AY283" s="381"/>
      <c r="AZ283" s="381"/>
      <c r="BA283" s="381"/>
      <c r="BB283" s="381"/>
      <c r="BC283" s="381"/>
      <c r="BD283" s="381"/>
      <c r="BE283" s="381"/>
      <c r="BF283" s="381"/>
      <c r="BG283" s="381"/>
      <c r="BH283" s="381"/>
      <c r="BI283" s="381"/>
      <c r="BJ283" s="381"/>
      <c r="BK283" s="381"/>
      <c r="BL283" s="381"/>
      <c r="BM283" s="381"/>
      <c r="BN283" s="381"/>
      <c r="BO283" s="381"/>
      <c r="BP283" s="381"/>
      <c r="BQ283" s="381"/>
      <c r="BR283" s="381"/>
      <c r="BS283" s="381"/>
      <c r="BT283" s="381"/>
      <c r="BU283" s="381"/>
      <c r="BV283" s="381"/>
      <c r="BW283" s="381"/>
      <c r="BX283" s="381"/>
      <c r="BY283" s="381"/>
      <c r="BZ283" s="381"/>
      <c r="CA283" s="381"/>
      <c r="CB283" s="381"/>
      <c r="CC283" s="381"/>
      <c r="CD283" s="381"/>
      <c r="CE283" s="381"/>
      <c r="CF283" s="381"/>
      <c r="CG283" s="381"/>
      <c r="CH283" s="381"/>
      <c r="CI283" s="381"/>
      <c r="CJ283" s="381"/>
      <c r="CK283" s="381"/>
      <c r="CL283" s="381"/>
      <c r="CM283" s="381"/>
      <c r="CN283" s="381"/>
      <c r="CO283" s="381"/>
      <c r="CP283" s="381"/>
      <c r="CQ283" s="381"/>
      <c r="CR283" s="381"/>
      <c r="CS283" s="381"/>
      <c r="CT283" s="381"/>
      <c r="CU283" s="381"/>
      <c r="CV283" s="381"/>
      <c r="CW283" s="381"/>
      <c r="CX283" s="381"/>
      <c r="CY283" s="381"/>
      <c r="CZ283" s="381"/>
      <c r="DA283" s="381"/>
      <c r="DB283" s="381"/>
      <c r="DC283" s="381"/>
      <c r="DD283" s="381"/>
      <c r="DE283" s="381"/>
      <c r="DF283" s="381"/>
      <c r="DG283" s="381"/>
      <c r="DH283" s="381"/>
      <c r="DI283" s="381"/>
      <c r="DJ283" s="381"/>
      <c r="DK283" s="381"/>
      <c r="DL283" s="381"/>
      <c r="DM283" s="381"/>
      <c r="DN283" s="381"/>
      <c r="DO283" s="381"/>
      <c r="DP283" s="381"/>
      <c r="DQ283" s="381"/>
      <c r="DR283" s="381"/>
      <c r="DS283" s="381"/>
      <c r="DT283" s="381"/>
      <c r="DU283" s="381"/>
      <c r="DV283" s="381"/>
      <c r="DW283" s="381"/>
      <c r="DX283" s="381"/>
      <c r="DY283" s="381"/>
      <c r="DZ283" s="381"/>
      <c r="EA283" s="381"/>
      <c r="EB283" s="381"/>
      <c r="EC283" s="381"/>
      <c r="ED283" s="381"/>
      <c r="EE283" s="381"/>
      <c r="EF283" s="381"/>
      <c r="EG283" s="381"/>
      <c r="EH283" s="381"/>
      <c r="EI283" s="381"/>
      <c r="EJ283" s="381"/>
      <c r="EK283" s="381"/>
      <c r="EL283" s="381"/>
      <c r="EM283" s="381"/>
      <c r="EN283" s="381"/>
      <c r="EO283" s="381"/>
      <c r="EP283" s="37"/>
      <c r="EQ283" s="24"/>
      <c r="ER283" s="24"/>
      <c r="ES283" s="24"/>
      <c r="ET283" s="33"/>
      <c r="EU283" s="33"/>
      <c r="EV283" s="222"/>
      <c r="EW283" s="222"/>
      <c r="EX283" s="222"/>
      <c r="EY283" s="222"/>
      <c r="EZ283" s="222"/>
      <c r="FA283" s="222"/>
      <c r="FB283" s="222"/>
      <c r="FC283" s="222"/>
      <c r="FD283" s="222"/>
      <c r="FE283" s="222"/>
      <c r="FF283" s="222"/>
      <c r="FG283" s="222"/>
      <c r="FH283" s="222"/>
      <c r="FI283" s="222"/>
      <c r="FJ283" s="222"/>
      <c r="FK283" s="222"/>
      <c r="FL283" s="222"/>
      <c r="FM283" s="222"/>
      <c r="FN283" s="222"/>
      <c r="FO283" s="222"/>
      <c r="FP283" s="222"/>
      <c r="FQ283" s="222"/>
      <c r="FR283" s="222"/>
      <c r="FS283" s="222"/>
      <c r="FT283" s="222"/>
      <c r="FU283" s="222"/>
      <c r="FV283" s="222"/>
      <c r="FW283" s="222"/>
      <c r="FX283" s="222"/>
      <c r="FY283" s="222"/>
      <c r="FZ283" s="222"/>
      <c r="GA283" s="222"/>
      <c r="GB283" s="222"/>
      <c r="GC283" s="222"/>
      <c r="GD283" s="222"/>
      <c r="GE283" s="222"/>
      <c r="GF283" s="222"/>
      <c r="GG283" s="222"/>
      <c r="GH283" s="222"/>
      <c r="GI283" s="222"/>
      <c r="GJ283" s="222"/>
      <c r="GK283" s="222"/>
      <c r="GL283" s="222"/>
      <c r="GM283" s="222"/>
      <c r="GN283" s="222"/>
      <c r="GO283" s="222"/>
      <c r="GP283" s="222"/>
      <c r="GQ283" s="222"/>
      <c r="GR283" s="222"/>
      <c r="GS283" s="222"/>
      <c r="GT283" s="222"/>
      <c r="GU283" s="222"/>
      <c r="GV283" s="222"/>
      <c r="GW283" s="222"/>
      <c r="GX283" s="222"/>
      <c r="GY283" s="222"/>
      <c r="GZ283" s="222"/>
      <c r="HA283" s="222"/>
      <c r="HB283" s="222"/>
      <c r="HC283" s="222"/>
      <c r="HD283" s="222"/>
      <c r="HE283" s="222"/>
      <c r="HF283" s="222"/>
      <c r="HG283" s="222"/>
      <c r="HH283" s="222"/>
      <c r="HI283" s="222"/>
      <c r="HJ283" s="222"/>
      <c r="HK283" s="222"/>
      <c r="HL283" s="222"/>
      <c r="HM283" s="222"/>
      <c r="HN283" s="222"/>
      <c r="HO283" s="222"/>
      <c r="HP283" s="222"/>
      <c r="HQ283" s="222"/>
      <c r="HR283" s="222"/>
      <c r="HS283" s="222"/>
      <c r="HT283" s="222"/>
      <c r="HU283" s="222"/>
      <c r="HV283" s="222"/>
      <c r="HW283" s="222"/>
      <c r="HX283" s="222"/>
      <c r="HY283" s="222"/>
      <c r="HZ283" s="222"/>
      <c r="IA283" s="222"/>
      <c r="IB283" s="222"/>
      <c r="IC283" s="222"/>
      <c r="ID283" s="222"/>
      <c r="IE283" s="222"/>
      <c r="IF283" s="222"/>
      <c r="IG283" s="222"/>
      <c r="IH283" s="222"/>
      <c r="II283" s="222"/>
      <c r="IJ283" s="222"/>
      <c r="IK283" s="222"/>
      <c r="IL283" s="222"/>
      <c r="IM283" s="222"/>
      <c r="IN283" s="222"/>
      <c r="IO283" s="222"/>
      <c r="IP283" s="222"/>
      <c r="IQ283" s="222"/>
      <c r="IR283" s="222"/>
      <c r="IS283" s="222"/>
      <c r="IT283" s="222"/>
      <c r="IU283" s="222"/>
      <c r="IV283" s="222"/>
      <c r="IW283" s="222"/>
      <c r="IX283" s="222"/>
      <c r="IY283" s="222"/>
      <c r="IZ283" s="222"/>
      <c r="JA283" s="222"/>
      <c r="JB283" s="222"/>
      <c r="JC283" s="222"/>
      <c r="JD283" s="222"/>
      <c r="JE283" s="222"/>
      <c r="JF283" s="222"/>
      <c r="JG283" s="222"/>
      <c r="JH283" s="222"/>
      <c r="JI283" s="222"/>
      <c r="JJ283" s="222"/>
      <c r="JK283" s="222"/>
      <c r="JL283" s="222"/>
      <c r="JM283" s="222"/>
      <c r="JN283" s="222"/>
      <c r="JO283" s="222"/>
      <c r="JP283" s="222"/>
      <c r="JQ283" s="222"/>
      <c r="JR283" s="222"/>
      <c r="JS283" s="222"/>
      <c r="JT283" s="222"/>
      <c r="JU283" s="222"/>
      <c r="JV283" s="222"/>
      <c r="JW283" s="222"/>
      <c r="JX283" s="222"/>
    </row>
    <row r="284" spans="2:284" x14ac:dyDescent="0.2">
      <c r="B284" s="162" t="s">
        <v>485</v>
      </c>
      <c r="C284" s="378">
        <v>1.4999999999999996E-2</v>
      </c>
      <c r="D284" s="354">
        <v>49.427992557832184</v>
      </c>
      <c r="E284" s="371">
        <v>1.3914559792462973</v>
      </c>
      <c r="F284" s="162" t="s">
        <v>485</v>
      </c>
      <c r="G284" s="373">
        <v>1.4999999999999996E-2</v>
      </c>
      <c r="H284" s="354">
        <v>90.823322011600183</v>
      </c>
      <c r="I284" s="371">
        <v>1.7119887677195937</v>
      </c>
      <c r="J284" s="381"/>
      <c r="K284" s="381"/>
      <c r="L284" s="381"/>
      <c r="M284" s="381"/>
      <c r="N284" s="381"/>
      <c r="O284" s="381"/>
      <c r="P284" s="381"/>
      <c r="Q284" s="381"/>
      <c r="R284" s="381"/>
      <c r="S284" s="381"/>
      <c r="T284" s="381"/>
      <c r="U284" s="381"/>
      <c r="V284" s="381"/>
      <c r="W284" s="381"/>
      <c r="X284" s="381"/>
      <c r="Y284" s="381"/>
      <c r="Z284" s="381"/>
      <c r="AA284" s="381"/>
      <c r="AB284" s="381"/>
      <c r="AC284" s="381"/>
      <c r="AD284" s="381"/>
      <c r="AE284" s="381"/>
      <c r="AF284" s="381"/>
      <c r="AG284" s="381"/>
      <c r="AH284" s="381"/>
      <c r="AI284" s="381"/>
      <c r="AJ284" s="381"/>
      <c r="AK284" s="381"/>
      <c r="AL284" s="381"/>
      <c r="AM284" s="381"/>
      <c r="AN284" s="381"/>
      <c r="AO284" s="381"/>
      <c r="AP284" s="381"/>
      <c r="AQ284" s="381"/>
      <c r="AR284" s="381"/>
      <c r="AS284" s="381"/>
      <c r="AT284" s="381"/>
      <c r="AU284" s="381"/>
      <c r="AV284" s="381"/>
      <c r="AW284" s="381"/>
      <c r="AX284" s="381"/>
      <c r="AY284" s="381"/>
      <c r="AZ284" s="381"/>
      <c r="BA284" s="381"/>
      <c r="BB284" s="381"/>
      <c r="BC284" s="381"/>
      <c r="BD284" s="381"/>
      <c r="BE284" s="381"/>
      <c r="BF284" s="381"/>
      <c r="BG284" s="381"/>
      <c r="BH284" s="381"/>
      <c r="BI284" s="381"/>
      <c r="BJ284" s="381"/>
      <c r="BK284" s="381"/>
      <c r="BL284" s="381"/>
      <c r="BM284" s="381"/>
      <c r="BN284" s="381"/>
      <c r="BO284" s="381"/>
      <c r="BP284" s="381"/>
      <c r="BQ284" s="381"/>
      <c r="BR284" s="381"/>
      <c r="BS284" s="381"/>
      <c r="BT284" s="381"/>
      <c r="BU284" s="381"/>
      <c r="BV284" s="381"/>
      <c r="BW284" s="381"/>
      <c r="BX284" s="381"/>
      <c r="BY284" s="381"/>
      <c r="BZ284" s="381"/>
      <c r="CA284" s="381"/>
      <c r="CB284" s="381"/>
      <c r="CC284" s="381"/>
      <c r="CD284" s="381"/>
      <c r="CE284" s="381"/>
      <c r="CF284" s="381"/>
      <c r="CG284" s="381"/>
      <c r="CH284" s="381"/>
      <c r="CI284" s="381"/>
      <c r="CJ284" s="381"/>
      <c r="CK284" s="381"/>
      <c r="CL284" s="381"/>
      <c r="CM284" s="381"/>
      <c r="CN284" s="381"/>
      <c r="CO284" s="381"/>
      <c r="CP284" s="381"/>
      <c r="CQ284" s="381"/>
      <c r="CR284" s="381"/>
      <c r="CS284" s="381"/>
      <c r="CT284" s="381"/>
      <c r="CU284" s="381"/>
      <c r="CV284" s="381"/>
      <c r="CW284" s="381"/>
      <c r="CX284" s="381"/>
      <c r="CY284" s="381"/>
      <c r="CZ284" s="381"/>
      <c r="DA284" s="381"/>
      <c r="DB284" s="381"/>
      <c r="DC284" s="381"/>
      <c r="DD284" s="381"/>
      <c r="DE284" s="381"/>
      <c r="DF284" s="381"/>
      <c r="DG284" s="381"/>
      <c r="DH284" s="381"/>
      <c r="DI284" s="381"/>
      <c r="DJ284" s="381"/>
      <c r="DK284" s="381"/>
      <c r="DL284" s="381"/>
      <c r="DM284" s="381"/>
      <c r="DN284" s="381"/>
      <c r="DO284" s="381"/>
      <c r="DP284" s="381"/>
      <c r="DQ284" s="381"/>
      <c r="DR284" s="381"/>
      <c r="DS284" s="381"/>
      <c r="DT284" s="381"/>
      <c r="DU284" s="381"/>
      <c r="DV284" s="381"/>
      <c r="DW284" s="381"/>
      <c r="DX284" s="381"/>
      <c r="DY284" s="381"/>
      <c r="DZ284" s="381"/>
      <c r="EA284" s="381"/>
      <c r="EB284" s="381"/>
      <c r="EC284" s="381"/>
      <c r="ED284" s="381"/>
      <c r="EE284" s="381"/>
      <c r="EF284" s="381"/>
      <c r="EG284" s="381"/>
      <c r="EH284" s="381"/>
      <c r="EI284" s="381"/>
      <c r="EJ284" s="381"/>
      <c r="EK284" s="381"/>
      <c r="EL284" s="381"/>
      <c r="EM284" s="381"/>
      <c r="EN284" s="381"/>
      <c r="EO284" s="381"/>
      <c r="EP284" s="37"/>
      <c r="EQ284" s="24"/>
      <c r="ER284" s="24"/>
      <c r="ES284" s="24"/>
      <c r="ET284" s="33"/>
      <c r="EU284" s="33"/>
      <c r="EV284" s="222"/>
      <c r="EW284" s="222"/>
      <c r="EX284" s="222"/>
      <c r="EY284" s="222"/>
      <c r="EZ284" s="222"/>
      <c r="FA284" s="222"/>
      <c r="FB284" s="222"/>
      <c r="FC284" s="222"/>
      <c r="FD284" s="222"/>
      <c r="FE284" s="222"/>
      <c r="FF284" s="222"/>
      <c r="FG284" s="222"/>
      <c r="FH284" s="222"/>
      <c r="FI284" s="222"/>
      <c r="FJ284" s="222"/>
      <c r="FK284" s="222"/>
      <c r="FL284" s="222"/>
      <c r="FM284" s="222"/>
      <c r="FN284" s="222"/>
      <c r="FO284" s="222"/>
      <c r="FP284" s="222"/>
      <c r="FQ284" s="222"/>
      <c r="FR284" s="222"/>
      <c r="FS284" s="222"/>
      <c r="FT284" s="222"/>
      <c r="FU284" s="222"/>
      <c r="FV284" s="222"/>
      <c r="FW284" s="222"/>
      <c r="FX284" s="222"/>
      <c r="FY284" s="222"/>
      <c r="FZ284" s="222"/>
      <c r="GA284" s="222"/>
      <c r="GB284" s="222"/>
      <c r="GC284" s="222"/>
      <c r="GD284" s="222"/>
      <c r="GE284" s="222"/>
      <c r="GF284" s="222"/>
      <c r="GG284" s="222"/>
      <c r="GH284" s="222"/>
      <c r="GI284" s="222"/>
      <c r="GJ284" s="222"/>
      <c r="GK284" s="222"/>
      <c r="GL284" s="222"/>
      <c r="GM284" s="222"/>
      <c r="GN284" s="222"/>
      <c r="GO284" s="222"/>
      <c r="GP284" s="222"/>
      <c r="GQ284" s="222"/>
      <c r="GR284" s="222"/>
      <c r="GS284" s="222"/>
      <c r="GT284" s="222"/>
      <c r="GU284" s="222"/>
      <c r="GV284" s="222"/>
      <c r="GW284" s="222"/>
      <c r="GX284" s="222"/>
      <c r="GY284" s="222"/>
      <c r="GZ284" s="222"/>
      <c r="HA284" s="222"/>
      <c r="HB284" s="222"/>
      <c r="HC284" s="222"/>
      <c r="HD284" s="222"/>
      <c r="HE284" s="222"/>
      <c r="HF284" s="222"/>
      <c r="HG284" s="222"/>
      <c r="HH284" s="222"/>
      <c r="HI284" s="222"/>
      <c r="HJ284" s="222"/>
      <c r="HK284" s="222"/>
      <c r="HL284" s="222"/>
      <c r="HM284" s="222"/>
      <c r="HN284" s="222"/>
      <c r="HO284" s="222"/>
      <c r="HP284" s="222"/>
      <c r="HQ284" s="222"/>
      <c r="HR284" s="222"/>
      <c r="HS284" s="222"/>
      <c r="HT284" s="222"/>
      <c r="HU284" s="222"/>
      <c r="HV284" s="222"/>
      <c r="HW284" s="222"/>
      <c r="HX284" s="222"/>
      <c r="HY284" s="222"/>
      <c r="HZ284" s="222"/>
      <c r="IA284" s="222"/>
      <c r="IB284" s="222"/>
      <c r="IC284" s="222"/>
      <c r="ID284" s="222"/>
      <c r="IE284" s="222"/>
      <c r="IF284" s="222"/>
      <c r="IG284" s="222"/>
      <c r="IH284" s="222"/>
      <c r="II284" s="222"/>
      <c r="IJ284" s="222"/>
      <c r="IK284" s="222"/>
      <c r="IL284" s="222"/>
      <c r="IM284" s="222"/>
      <c r="IN284" s="222"/>
      <c r="IO284" s="222"/>
      <c r="IP284" s="222"/>
      <c r="IQ284" s="222"/>
      <c r="IR284" s="222"/>
      <c r="IS284" s="222"/>
      <c r="IT284" s="222"/>
      <c r="IU284" s="222"/>
      <c r="IV284" s="222"/>
      <c r="IW284" s="222"/>
      <c r="IX284" s="222"/>
      <c r="IY284" s="222"/>
      <c r="IZ284" s="222"/>
      <c r="JA284" s="222"/>
      <c r="JB284" s="222"/>
      <c r="JC284" s="222"/>
      <c r="JD284" s="222"/>
      <c r="JE284" s="222"/>
      <c r="JF284" s="222"/>
      <c r="JG284" s="222"/>
      <c r="JH284" s="222"/>
      <c r="JI284" s="222"/>
      <c r="JJ284" s="222"/>
      <c r="JK284" s="222"/>
      <c r="JL284" s="222"/>
      <c r="JM284" s="222"/>
      <c r="JN284" s="222"/>
      <c r="JO284" s="222"/>
      <c r="JP284" s="222"/>
      <c r="JQ284" s="222"/>
      <c r="JR284" s="222"/>
      <c r="JS284" s="222"/>
      <c r="JT284" s="222"/>
      <c r="JU284" s="222"/>
      <c r="JV284" s="222"/>
      <c r="JW284" s="222"/>
      <c r="JX284" s="222"/>
    </row>
    <row r="285" spans="2:284" x14ac:dyDescent="0.2">
      <c r="B285" s="162" t="s">
        <v>486</v>
      </c>
      <c r="C285" s="378">
        <v>9.999999999999995E-3</v>
      </c>
      <c r="D285" s="354">
        <v>40.434842738935536</v>
      </c>
      <c r="E285" s="371">
        <v>1.3219393062750975</v>
      </c>
      <c r="F285" s="162" t="s">
        <v>486</v>
      </c>
      <c r="G285" s="373">
        <v>9.999999999999995E-3</v>
      </c>
      <c r="H285" s="354">
        <v>93.669952862556329</v>
      </c>
      <c r="I285" s="371">
        <v>1.7346055169781831</v>
      </c>
      <c r="J285" s="381"/>
      <c r="K285" s="381"/>
      <c r="L285" s="381"/>
      <c r="M285" s="381"/>
      <c r="N285" s="381"/>
      <c r="O285" s="381"/>
      <c r="P285" s="381"/>
      <c r="Q285" s="381"/>
      <c r="R285" s="381"/>
      <c r="S285" s="381"/>
      <c r="T285" s="381"/>
      <c r="U285" s="381"/>
      <c r="V285" s="381"/>
      <c r="W285" s="381"/>
      <c r="X285" s="381"/>
      <c r="Y285" s="381"/>
      <c r="Z285" s="381"/>
      <c r="AA285" s="381"/>
      <c r="AB285" s="381"/>
      <c r="AC285" s="381"/>
      <c r="AD285" s="381"/>
      <c r="AE285" s="381"/>
      <c r="AF285" s="381"/>
      <c r="AG285" s="381"/>
      <c r="AH285" s="381"/>
      <c r="AI285" s="381"/>
      <c r="AJ285" s="381"/>
      <c r="AK285" s="381"/>
      <c r="AL285" s="381"/>
      <c r="AM285" s="381"/>
      <c r="AN285" s="381"/>
      <c r="AO285" s="381"/>
      <c r="AP285" s="381"/>
      <c r="AQ285" s="381"/>
      <c r="AR285" s="381"/>
      <c r="AS285" s="381"/>
      <c r="AT285" s="381"/>
      <c r="AU285" s="381"/>
      <c r="AV285" s="381"/>
      <c r="AW285" s="381"/>
      <c r="AX285" s="381"/>
      <c r="AY285" s="381"/>
      <c r="AZ285" s="381"/>
      <c r="BA285" s="381"/>
      <c r="BB285" s="381"/>
      <c r="BC285" s="381"/>
      <c r="BD285" s="381"/>
      <c r="BE285" s="381"/>
      <c r="BF285" s="381"/>
      <c r="BG285" s="381"/>
      <c r="BH285" s="381"/>
      <c r="BI285" s="381"/>
      <c r="BJ285" s="381"/>
      <c r="BK285" s="381"/>
      <c r="BL285" s="381"/>
      <c r="BM285" s="381"/>
      <c r="BN285" s="381"/>
      <c r="BO285" s="381"/>
      <c r="BP285" s="381"/>
      <c r="BQ285" s="381"/>
      <c r="BR285" s="381"/>
      <c r="BS285" s="381"/>
      <c r="BT285" s="381"/>
      <c r="BU285" s="381"/>
      <c r="BV285" s="381"/>
      <c r="BW285" s="381"/>
      <c r="BX285" s="381"/>
      <c r="BY285" s="381"/>
      <c r="BZ285" s="381"/>
      <c r="CA285" s="381"/>
      <c r="CB285" s="381"/>
      <c r="CC285" s="381"/>
      <c r="CD285" s="381"/>
      <c r="CE285" s="381"/>
      <c r="CF285" s="381"/>
      <c r="CG285" s="381"/>
      <c r="CH285" s="381"/>
      <c r="CI285" s="381"/>
      <c r="CJ285" s="381"/>
      <c r="CK285" s="381"/>
      <c r="CL285" s="381"/>
      <c r="CM285" s="381"/>
      <c r="CN285" s="381"/>
      <c r="CO285" s="381"/>
      <c r="CP285" s="381"/>
      <c r="CQ285" s="381"/>
      <c r="CR285" s="381"/>
      <c r="CS285" s="381"/>
      <c r="CT285" s="381"/>
      <c r="CU285" s="381"/>
      <c r="CV285" s="381"/>
      <c r="CW285" s="381"/>
      <c r="CX285" s="381"/>
      <c r="CY285" s="381"/>
      <c r="CZ285" s="381"/>
      <c r="DA285" s="381"/>
      <c r="DB285" s="381"/>
      <c r="DC285" s="381"/>
      <c r="DD285" s="381"/>
      <c r="DE285" s="381"/>
      <c r="DF285" s="381"/>
      <c r="DG285" s="381"/>
      <c r="DH285" s="381"/>
      <c r="DI285" s="381"/>
      <c r="DJ285" s="381"/>
      <c r="DK285" s="381"/>
      <c r="DL285" s="381"/>
      <c r="DM285" s="381"/>
      <c r="DN285" s="381"/>
      <c r="DO285" s="381"/>
      <c r="DP285" s="381"/>
      <c r="DQ285" s="381"/>
      <c r="DR285" s="381"/>
      <c r="DS285" s="381"/>
      <c r="DT285" s="381"/>
      <c r="DU285" s="381"/>
      <c r="DV285" s="381"/>
      <c r="DW285" s="381"/>
      <c r="DX285" s="381"/>
      <c r="DY285" s="381"/>
      <c r="DZ285" s="381"/>
      <c r="EA285" s="381"/>
      <c r="EB285" s="381"/>
      <c r="EC285" s="381"/>
      <c r="ED285" s="381"/>
      <c r="EE285" s="381"/>
      <c r="EF285" s="381"/>
      <c r="EG285" s="381"/>
      <c r="EH285" s="381"/>
      <c r="EI285" s="381"/>
      <c r="EJ285" s="381"/>
      <c r="EK285" s="381"/>
      <c r="EL285" s="381"/>
      <c r="EM285" s="381"/>
      <c r="EN285" s="381"/>
      <c r="EO285" s="381"/>
      <c r="EP285" s="37"/>
      <c r="EQ285" s="24"/>
      <c r="ER285" s="24"/>
      <c r="ES285" s="24"/>
      <c r="ET285" s="33"/>
      <c r="EU285" s="33"/>
      <c r="EV285" s="222"/>
      <c r="EW285" s="222"/>
      <c r="EX285" s="222"/>
      <c r="EY285" s="222"/>
      <c r="EZ285" s="222"/>
      <c r="FA285" s="222"/>
      <c r="FB285" s="222"/>
      <c r="FC285" s="222"/>
      <c r="FD285" s="222"/>
      <c r="FE285" s="222"/>
      <c r="FF285" s="222"/>
      <c r="FG285" s="222"/>
      <c r="FH285" s="222"/>
      <c r="FI285" s="222"/>
      <c r="FJ285" s="222"/>
      <c r="FK285" s="222"/>
      <c r="FL285" s="222"/>
      <c r="FM285" s="222"/>
      <c r="FN285" s="222"/>
      <c r="FO285" s="222"/>
      <c r="FP285" s="222"/>
      <c r="FQ285" s="222"/>
      <c r="FR285" s="222"/>
      <c r="FS285" s="222"/>
      <c r="FT285" s="222"/>
      <c r="FU285" s="222"/>
      <c r="FV285" s="222"/>
      <c r="FW285" s="222"/>
      <c r="FX285" s="222"/>
      <c r="FY285" s="222"/>
      <c r="FZ285" s="222"/>
      <c r="GA285" s="222"/>
      <c r="GB285" s="222"/>
      <c r="GC285" s="222"/>
      <c r="GD285" s="222"/>
      <c r="GE285" s="222"/>
      <c r="GF285" s="222"/>
      <c r="GG285" s="222"/>
      <c r="GH285" s="222"/>
      <c r="GI285" s="222"/>
      <c r="GJ285" s="222"/>
      <c r="GK285" s="222"/>
      <c r="GL285" s="222"/>
      <c r="GM285" s="222"/>
      <c r="GN285" s="222"/>
      <c r="GO285" s="222"/>
      <c r="GP285" s="222"/>
      <c r="GQ285" s="222"/>
      <c r="GR285" s="222"/>
      <c r="GS285" s="222"/>
      <c r="GT285" s="222"/>
      <c r="GU285" s="222"/>
      <c r="GV285" s="222"/>
      <c r="GW285" s="222"/>
      <c r="GX285" s="222"/>
      <c r="GY285" s="222"/>
      <c r="GZ285" s="222"/>
      <c r="HA285" s="222"/>
      <c r="HB285" s="222"/>
      <c r="HC285" s="222"/>
      <c r="HD285" s="222"/>
      <c r="HE285" s="222"/>
      <c r="HF285" s="222"/>
      <c r="HG285" s="222"/>
      <c r="HH285" s="222"/>
      <c r="HI285" s="222"/>
      <c r="HJ285" s="222"/>
      <c r="HK285" s="222"/>
      <c r="HL285" s="222"/>
      <c r="HM285" s="222"/>
      <c r="HN285" s="222"/>
      <c r="HO285" s="222"/>
      <c r="HP285" s="222"/>
      <c r="HQ285" s="222"/>
      <c r="HR285" s="222"/>
      <c r="HS285" s="222"/>
      <c r="HT285" s="222"/>
      <c r="HU285" s="222"/>
      <c r="HV285" s="222"/>
      <c r="HW285" s="222"/>
      <c r="HX285" s="222"/>
      <c r="HY285" s="222"/>
      <c r="HZ285" s="222"/>
      <c r="IA285" s="222"/>
      <c r="IB285" s="222"/>
      <c r="IC285" s="222"/>
      <c r="ID285" s="222"/>
      <c r="IE285" s="222"/>
      <c r="IF285" s="222"/>
      <c r="IG285" s="222"/>
      <c r="IH285" s="222"/>
      <c r="II285" s="222"/>
      <c r="IJ285" s="222"/>
      <c r="IK285" s="222"/>
      <c r="IL285" s="222"/>
      <c r="IM285" s="222"/>
      <c r="IN285" s="222"/>
      <c r="IO285" s="222"/>
      <c r="IP285" s="222"/>
      <c r="IQ285" s="222"/>
      <c r="IR285" s="222"/>
      <c r="IS285" s="222"/>
      <c r="IT285" s="222"/>
      <c r="IU285" s="222"/>
      <c r="IV285" s="222"/>
      <c r="IW285" s="222"/>
      <c r="IX285" s="222"/>
      <c r="IY285" s="222"/>
      <c r="IZ285" s="222"/>
      <c r="JA285" s="222"/>
      <c r="JB285" s="222"/>
      <c r="JC285" s="222"/>
      <c r="JD285" s="222"/>
      <c r="JE285" s="222"/>
      <c r="JF285" s="222"/>
      <c r="JG285" s="222"/>
      <c r="JH285" s="222"/>
      <c r="JI285" s="222"/>
      <c r="JJ285" s="222"/>
      <c r="JK285" s="222"/>
      <c r="JL285" s="222"/>
      <c r="JM285" s="222"/>
      <c r="JN285" s="222"/>
      <c r="JO285" s="222"/>
      <c r="JP285" s="222"/>
      <c r="JQ285" s="222"/>
      <c r="JR285" s="222"/>
      <c r="JS285" s="222"/>
      <c r="JT285" s="222"/>
      <c r="JU285" s="222"/>
      <c r="JV285" s="222"/>
      <c r="JW285" s="222"/>
      <c r="JX285" s="222"/>
    </row>
    <row r="286" spans="2:284" x14ac:dyDescent="0.2">
      <c r="B286" s="162" t="s">
        <v>487</v>
      </c>
      <c r="C286" s="378">
        <v>4.9999999999999949E-3</v>
      </c>
      <c r="D286" s="354">
        <v>31.488222753750655</v>
      </c>
      <c r="E286" s="371">
        <v>1.252775371266432</v>
      </c>
      <c r="F286" s="162" t="s">
        <v>487</v>
      </c>
      <c r="G286" s="373">
        <v>4.9999999999999949E-3</v>
      </c>
      <c r="H286" s="354">
        <v>96.499267332296611</v>
      </c>
      <c r="I286" s="371">
        <v>1.7570900816411767</v>
      </c>
      <c r="J286" s="381"/>
      <c r="K286" s="381"/>
      <c r="L286" s="381"/>
      <c r="M286" s="381"/>
      <c r="N286" s="381"/>
      <c r="O286" s="381"/>
      <c r="P286" s="381"/>
      <c r="Q286" s="381"/>
      <c r="R286" s="381"/>
      <c r="S286" s="381"/>
      <c r="T286" s="381"/>
      <c r="U286" s="381"/>
      <c r="V286" s="381"/>
      <c r="W286" s="381"/>
      <c r="X286" s="381"/>
      <c r="Y286" s="381"/>
      <c r="Z286" s="381"/>
      <c r="AA286" s="381"/>
      <c r="AB286" s="381"/>
      <c r="AC286" s="381"/>
      <c r="AD286" s="381"/>
      <c r="AE286" s="381"/>
      <c r="AF286" s="381"/>
      <c r="AG286" s="381"/>
      <c r="AH286" s="381"/>
      <c r="AI286" s="381"/>
      <c r="AJ286" s="381"/>
      <c r="AK286" s="381"/>
      <c r="AL286" s="381"/>
      <c r="AM286" s="381"/>
      <c r="AN286" s="381"/>
      <c r="AO286" s="381"/>
      <c r="AP286" s="381"/>
      <c r="AQ286" s="381"/>
      <c r="AR286" s="381"/>
      <c r="AS286" s="381"/>
      <c r="AT286" s="381"/>
      <c r="AU286" s="381"/>
      <c r="AV286" s="381"/>
      <c r="AW286" s="381"/>
      <c r="AX286" s="381"/>
      <c r="AY286" s="381"/>
      <c r="AZ286" s="381"/>
      <c r="BA286" s="381"/>
      <c r="BB286" s="381"/>
      <c r="BC286" s="381"/>
      <c r="BD286" s="381"/>
      <c r="BE286" s="381"/>
      <c r="BF286" s="381"/>
      <c r="BG286" s="381"/>
      <c r="BH286" s="381"/>
      <c r="BI286" s="381"/>
      <c r="BJ286" s="381"/>
      <c r="BK286" s="381"/>
      <c r="BL286" s="381"/>
      <c r="BM286" s="381"/>
      <c r="BN286" s="381"/>
      <c r="BO286" s="381"/>
      <c r="BP286" s="381"/>
      <c r="BQ286" s="381"/>
      <c r="BR286" s="381"/>
      <c r="BS286" s="381"/>
      <c r="BT286" s="381"/>
      <c r="BU286" s="381"/>
      <c r="BV286" s="381"/>
      <c r="BW286" s="381"/>
      <c r="BX286" s="381"/>
      <c r="BY286" s="381"/>
      <c r="BZ286" s="381"/>
      <c r="CA286" s="381"/>
      <c r="CB286" s="381"/>
      <c r="CC286" s="381"/>
      <c r="CD286" s="381"/>
      <c r="CE286" s="381"/>
      <c r="CF286" s="381"/>
      <c r="CG286" s="381"/>
      <c r="CH286" s="381"/>
      <c r="CI286" s="381"/>
      <c r="CJ286" s="381"/>
      <c r="CK286" s="381"/>
      <c r="CL286" s="381"/>
      <c r="CM286" s="381"/>
      <c r="CN286" s="381"/>
      <c r="CO286" s="381"/>
      <c r="CP286" s="381"/>
      <c r="CQ286" s="381"/>
      <c r="CR286" s="381"/>
      <c r="CS286" s="381"/>
      <c r="CT286" s="381"/>
      <c r="CU286" s="381"/>
      <c r="CV286" s="381"/>
      <c r="CW286" s="381"/>
      <c r="CX286" s="381"/>
      <c r="CY286" s="381"/>
      <c r="CZ286" s="381"/>
      <c r="DA286" s="381"/>
      <c r="DB286" s="381"/>
      <c r="DC286" s="381"/>
      <c r="DD286" s="381"/>
      <c r="DE286" s="381"/>
      <c r="DF286" s="381"/>
      <c r="DG286" s="381"/>
      <c r="DH286" s="381"/>
      <c r="DI286" s="381"/>
      <c r="DJ286" s="381"/>
      <c r="DK286" s="381"/>
      <c r="DL286" s="381"/>
      <c r="DM286" s="381"/>
      <c r="DN286" s="381"/>
      <c r="DO286" s="381"/>
      <c r="DP286" s="381"/>
      <c r="DQ286" s="381"/>
      <c r="DR286" s="381"/>
      <c r="DS286" s="381"/>
      <c r="DT286" s="381"/>
      <c r="DU286" s="381"/>
      <c r="DV286" s="381"/>
      <c r="DW286" s="381"/>
      <c r="DX286" s="381"/>
      <c r="DY286" s="381"/>
      <c r="DZ286" s="381"/>
      <c r="EA286" s="381"/>
      <c r="EB286" s="381"/>
      <c r="EC286" s="381"/>
      <c r="ED286" s="381"/>
      <c r="EE286" s="381"/>
      <c r="EF286" s="381"/>
      <c r="EG286" s="381"/>
      <c r="EH286" s="381"/>
      <c r="EI286" s="381"/>
      <c r="EJ286" s="381"/>
      <c r="EK286" s="381"/>
      <c r="EL286" s="381"/>
      <c r="EM286" s="381"/>
      <c r="EN286" s="381"/>
      <c r="EO286" s="381"/>
      <c r="EP286" s="37"/>
      <c r="EQ286" s="24"/>
      <c r="ER286" s="24"/>
      <c r="ES286" s="24"/>
      <c r="ET286" s="33"/>
      <c r="EU286" s="33"/>
      <c r="EV286" s="222"/>
      <c r="EW286" s="222"/>
      <c r="EX286" s="222"/>
      <c r="EY286" s="222"/>
      <c r="EZ286" s="222"/>
      <c r="FA286" s="222"/>
      <c r="FB286" s="222"/>
      <c r="FC286" s="222"/>
      <c r="FD286" s="222"/>
      <c r="FE286" s="222"/>
      <c r="FF286" s="222"/>
      <c r="FG286" s="222"/>
      <c r="FH286" s="222"/>
      <c r="FI286" s="222"/>
      <c r="FJ286" s="222"/>
      <c r="FK286" s="222"/>
      <c r="FL286" s="222"/>
      <c r="FM286" s="222"/>
      <c r="FN286" s="222"/>
      <c r="FO286" s="222"/>
      <c r="FP286" s="222"/>
      <c r="FQ286" s="222"/>
      <c r="FR286" s="222"/>
      <c r="FS286" s="222"/>
      <c r="FT286" s="222"/>
      <c r="FU286" s="222"/>
      <c r="FV286" s="222"/>
      <c r="FW286" s="222"/>
      <c r="FX286" s="222"/>
      <c r="FY286" s="222"/>
      <c r="FZ286" s="222"/>
      <c r="GA286" s="222"/>
      <c r="GB286" s="222"/>
      <c r="GC286" s="222"/>
      <c r="GD286" s="222"/>
      <c r="GE286" s="222"/>
      <c r="GF286" s="222"/>
      <c r="GG286" s="222"/>
      <c r="GH286" s="222"/>
      <c r="GI286" s="222"/>
      <c r="GJ286" s="222"/>
      <c r="GK286" s="222"/>
      <c r="GL286" s="222"/>
      <c r="GM286" s="222"/>
      <c r="GN286" s="222"/>
      <c r="GO286" s="222"/>
      <c r="GP286" s="222"/>
      <c r="GQ286" s="222"/>
      <c r="GR286" s="222"/>
      <c r="GS286" s="222"/>
      <c r="GT286" s="222"/>
      <c r="GU286" s="222"/>
      <c r="GV286" s="222"/>
      <c r="GW286" s="222"/>
      <c r="GX286" s="222"/>
      <c r="GY286" s="222"/>
      <c r="GZ286" s="222"/>
      <c r="HA286" s="222"/>
      <c r="HB286" s="222"/>
      <c r="HC286" s="222"/>
      <c r="HD286" s="222"/>
      <c r="HE286" s="222"/>
      <c r="HF286" s="222"/>
      <c r="HG286" s="222"/>
      <c r="HH286" s="222"/>
      <c r="HI286" s="222"/>
      <c r="HJ286" s="222"/>
      <c r="HK286" s="222"/>
      <c r="HL286" s="222"/>
      <c r="HM286" s="222"/>
      <c r="HN286" s="222"/>
      <c r="HO286" s="222"/>
      <c r="HP286" s="222"/>
      <c r="HQ286" s="222"/>
      <c r="HR286" s="222"/>
      <c r="HS286" s="222"/>
      <c r="HT286" s="222"/>
      <c r="HU286" s="222"/>
      <c r="HV286" s="222"/>
      <c r="HW286" s="222"/>
      <c r="HX286" s="222"/>
      <c r="HY286" s="222"/>
      <c r="HZ286" s="222"/>
      <c r="IA286" s="222"/>
      <c r="IB286" s="222"/>
      <c r="IC286" s="222"/>
      <c r="ID286" s="222"/>
      <c r="IE286" s="222"/>
      <c r="IF286" s="222"/>
      <c r="IG286" s="222"/>
      <c r="IH286" s="222"/>
      <c r="II286" s="222"/>
      <c r="IJ286" s="222"/>
      <c r="IK286" s="222"/>
      <c r="IL286" s="222"/>
      <c r="IM286" s="222"/>
      <c r="IN286" s="222"/>
      <c r="IO286" s="222"/>
      <c r="IP286" s="222"/>
      <c r="IQ286" s="222"/>
      <c r="IR286" s="222"/>
      <c r="IS286" s="222"/>
      <c r="IT286" s="222"/>
      <c r="IU286" s="222"/>
      <c r="IV286" s="222"/>
      <c r="IW286" s="222"/>
      <c r="IX286" s="222"/>
      <c r="IY286" s="222"/>
      <c r="IZ286" s="222"/>
      <c r="JA286" s="222"/>
      <c r="JB286" s="222"/>
      <c r="JC286" s="222"/>
      <c r="JD286" s="222"/>
      <c r="JE286" s="222"/>
      <c r="JF286" s="222"/>
      <c r="JG286" s="222"/>
      <c r="JH286" s="222"/>
      <c r="JI286" s="222"/>
      <c r="JJ286" s="222"/>
      <c r="JK286" s="222"/>
      <c r="JL286" s="222"/>
      <c r="JM286" s="222"/>
      <c r="JN286" s="222"/>
      <c r="JO286" s="222"/>
      <c r="JP286" s="222"/>
      <c r="JQ286" s="222"/>
      <c r="JR286" s="222"/>
      <c r="JS286" s="222"/>
      <c r="JT286" s="222"/>
      <c r="JU286" s="222"/>
      <c r="JV286" s="222"/>
      <c r="JW286" s="222"/>
      <c r="JX286" s="222"/>
    </row>
    <row r="287" spans="2:284" x14ac:dyDescent="0.2">
      <c r="C287" s="374"/>
    </row>
    <row r="288" spans="2:284" x14ac:dyDescent="0.2">
      <c r="B288" s="613" t="s">
        <v>708</v>
      </c>
      <c r="C288" s="609"/>
      <c r="D288" s="609"/>
      <c r="E288" s="609"/>
      <c r="F288" s="609"/>
      <c r="G288" s="609"/>
      <c r="H288" s="609"/>
      <c r="I288" s="609"/>
    </row>
    <row r="289" spans="2:9" x14ac:dyDescent="0.2">
      <c r="B289" s="609" t="s">
        <v>711</v>
      </c>
      <c r="C289" s="610">
        <f>C61</f>
        <v>0.6</v>
      </c>
      <c r="D289" s="609"/>
      <c r="E289" s="609" t="s">
        <v>714</v>
      </c>
      <c r="F289" s="609"/>
      <c r="G289" s="610">
        <f>C42</f>
        <v>3.5000000000000003E-2</v>
      </c>
      <c r="H289" s="609"/>
      <c r="I289" s="609"/>
    </row>
    <row r="290" spans="2:9" x14ac:dyDescent="0.2">
      <c r="B290" s="609" t="s">
        <v>712</v>
      </c>
      <c r="C290" s="610">
        <f>F61</f>
        <v>0.60000001727336982</v>
      </c>
      <c r="D290" s="609"/>
      <c r="E290" s="609" t="s">
        <v>715</v>
      </c>
      <c r="F290" s="609"/>
      <c r="G290" s="610">
        <f>I42/Project_Cost_Total</f>
        <v>3.5000312313094029E-2</v>
      </c>
      <c r="H290" s="609"/>
      <c r="I290" s="609"/>
    </row>
    <row r="291" spans="2:9" x14ac:dyDescent="0.2">
      <c r="B291" s="609" t="s">
        <v>713</v>
      </c>
      <c r="C291" s="611" t="b">
        <f>ROUND(C289,4)&lt;&gt;ROUND(C290,4)</f>
        <v>0</v>
      </c>
      <c r="D291" s="609"/>
      <c r="E291" s="609" t="s">
        <v>716</v>
      </c>
      <c r="F291" s="611"/>
      <c r="G291" s="611" t="b">
        <f>ROUND(G289,4)&lt;&gt;ROUND(G290,4)</f>
        <v>0</v>
      </c>
      <c r="H291" s="609"/>
      <c r="I291" s="609"/>
    </row>
    <row r="292" spans="2:9" x14ac:dyDescent="0.2">
      <c r="B292" s="609"/>
      <c r="C292" s="609"/>
      <c r="D292" s="609"/>
      <c r="E292" s="609"/>
      <c r="F292" s="609"/>
      <c r="G292" s="609"/>
      <c r="H292" s="609"/>
      <c r="I292" s="609"/>
    </row>
    <row r="293" spans="2:9" x14ac:dyDescent="0.2">
      <c r="B293" s="609" t="s">
        <v>717</v>
      </c>
      <c r="C293" s="609"/>
      <c r="D293" s="612" t="b">
        <f>OR(C291,G291)</f>
        <v>0</v>
      </c>
      <c r="E293" s="609"/>
      <c r="F293" s="609"/>
      <c r="G293" s="609"/>
      <c r="H293" s="609"/>
      <c r="I293" s="609"/>
    </row>
    <row r="294" spans="2:9" x14ac:dyDescent="0.2"/>
  </sheetData>
  <mergeCells count="1">
    <mergeCell ref="D2:G2"/>
  </mergeCells>
  <conditionalFormatting sqref="K22:K53">
    <cfRule type="expression" dxfId="38" priority="75">
      <formula>K22="Incomplete"</formula>
    </cfRule>
  </conditionalFormatting>
  <conditionalFormatting sqref="B116">
    <cfRule type="expression" dxfId="37" priority="50">
      <formula>OpEx_Underwriting_Type=0</formula>
    </cfRule>
  </conditionalFormatting>
  <conditionalFormatting sqref="C116">
    <cfRule type="expression" dxfId="36" priority="49">
      <formula>OpEx_Underwriting_Type=0</formula>
    </cfRule>
  </conditionalFormatting>
  <conditionalFormatting sqref="I118:I127">
    <cfRule type="expression" dxfId="35" priority="48">
      <formula>$A$116=0</formula>
    </cfRule>
  </conditionalFormatting>
  <conditionalFormatting sqref="B107">
    <cfRule type="expression" dxfId="34" priority="43">
      <formula>Retail_Income_Include?=1</formula>
    </cfRule>
  </conditionalFormatting>
  <conditionalFormatting sqref="C107">
    <cfRule type="expression" dxfId="33" priority="42">
      <formula>Retail_Income_Include?=1</formula>
    </cfRule>
  </conditionalFormatting>
  <conditionalFormatting sqref="B221">
    <cfRule type="expression" dxfId="32" priority="41">
      <formula>Dbl_Promote?=1</formula>
    </cfRule>
  </conditionalFormatting>
  <conditionalFormatting sqref="C221">
    <cfRule type="expression" dxfId="31" priority="40">
      <formula>Dbl_Promote?=1</formula>
    </cfRule>
  </conditionalFormatting>
  <conditionalFormatting sqref="I221">
    <cfRule type="expression" dxfId="30" priority="39">
      <formula>$G$221="No"</formula>
    </cfRule>
  </conditionalFormatting>
  <conditionalFormatting sqref="E248:F251">
    <cfRule type="expression" dxfId="29" priority="34">
      <formula>$G$221="No"</formula>
    </cfRule>
  </conditionalFormatting>
  <conditionalFormatting sqref="EN5">
    <cfRule type="expression" dxfId="28" priority="31">
      <formula>Show_Calc?</formula>
    </cfRule>
  </conditionalFormatting>
  <conditionalFormatting sqref="EM5">
    <cfRule type="expression" dxfId="27" priority="30">
      <formula>Show_Calc?</formula>
    </cfRule>
  </conditionalFormatting>
  <conditionalFormatting sqref="D2">
    <cfRule type="expression" dxfId="26" priority="76">
      <formula>$D$2="CLICK TO RECALCULATE"</formula>
    </cfRule>
  </conditionalFormatting>
  <conditionalFormatting sqref="L26:EN43">
    <cfRule type="expression" dxfId="25" priority="28">
      <formula>$F26="Detail"</formula>
    </cfRule>
  </conditionalFormatting>
  <conditionalFormatting sqref="K82:K83">
    <cfRule type="expression" dxfId="24" priority="27">
      <formula>K82="Err"</formula>
    </cfRule>
  </conditionalFormatting>
  <conditionalFormatting sqref="K195:K196">
    <cfRule type="expression" dxfId="23" priority="26">
      <formula>K195="Err"</formula>
    </cfRule>
  </conditionalFormatting>
  <conditionalFormatting sqref="M134:EN134">
    <cfRule type="expression" dxfId="22" priority="25">
      <formula>$F$134="Detail"</formula>
    </cfRule>
  </conditionalFormatting>
  <conditionalFormatting sqref="J22:J53">
    <cfRule type="expression" dxfId="21" priority="24">
      <formula>J22="Incomplete"</formula>
    </cfRule>
  </conditionalFormatting>
  <conditionalFormatting sqref="J82:J83">
    <cfRule type="expression" dxfId="20" priority="23">
      <formula>J82="Err"</formula>
    </cfRule>
  </conditionalFormatting>
  <conditionalFormatting sqref="J195:J196">
    <cfRule type="expression" dxfId="19" priority="22">
      <formula>J195="Err"</formula>
    </cfRule>
  </conditionalFormatting>
  <conditionalFormatting sqref="G84">
    <cfRule type="expression" dxfId="18" priority="21">
      <formula>LeaseUp_Method=1</formula>
    </cfRule>
  </conditionalFormatting>
  <conditionalFormatting sqref="H84">
    <cfRule type="expression" dxfId="17" priority="20">
      <formula>LeaseUp_Method=1</formula>
    </cfRule>
  </conditionalFormatting>
  <conditionalFormatting sqref="I85:I86">
    <cfRule type="expression" dxfId="16" priority="19">
      <formula>LeaseUp_Method=1</formula>
    </cfRule>
  </conditionalFormatting>
  <conditionalFormatting sqref="I84">
    <cfRule type="expression" dxfId="15" priority="18">
      <formula>LeaseUp_Method=1</formula>
    </cfRule>
  </conditionalFormatting>
  <conditionalFormatting sqref="M84:EN84">
    <cfRule type="expression" dxfId="14" priority="17">
      <formula>LeaseUp_Method=1</formula>
    </cfRule>
  </conditionalFormatting>
  <conditionalFormatting sqref="D63">
    <cfRule type="expression" dxfId="13" priority="15">
      <formula>Fixed_Variable=1</formula>
    </cfRule>
  </conditionalFormatting>
  <conditionalFormatting sqref="E63">
    <cfRule type="expression" dxfId="12" priority="14">
      <formula>Fixed_Variable=1</formula>
    </cfRule>
  </conditionalFormatting>
  <conditionalFormatting sqref="E61">
    <cfRule type="expression" dxfId="11" priority="13">
      <formula>Fixed_Variable=1</formula>
    </cfRule>
  </conditionalFormatting>
  <conditionalFormatting sqref="L61:EN61">
    <cfRule type="expression" dxfId="10" priority="12">
      <formula>Fixed_Variable=1</formula>
    </cfRule>
  </conditionalFormatting>
  <conditionalFormatting sqref="H74">
    <cfRule type="expression" dxfId="9" priority="11">
      <formula>Perm_Debt?=1</formula>
    </cfRule>
  </conditionalFormatting>
  <conditionalFormatting sqref="I74">
    <cfRule type="expression" dxfId="8" priority="10">
      <formula>Perm_Debt?=1</formula>
    </cfRule>
  </conditionalFormatting>
  <conditionalFormatting sqref="G77">
    <cfRule type="expression" dxfId="7" priority="7">
      <formula>$F$77="Yes"</formula>
    </cfRule>
  </conditionalFormatting>
  <conditionalFormatting sqref="M139:EN139">
    <cfRule type="expression" dxfId="6" priority="6">
      <formula>$F$134="Detail"</formula>
    </cfRule>
  </conditionalFormatting>
  <conditionalFormatting sqref="C233:D233">
    <cfRule type="expression" dxfId="5" priority="5">
      <formula>$H$233&gt;=$H$228</formula>
    </cfRule>
  </conditionalFormatting>
  <conditionalFormatting sqref="L62:EN62">
    <cfRule type="expression" dxfId="4" priority="4">
      <formula>Fixed_Variable=1</formula>
    </cfRule>
  </conditionalFormatting>
  <conditionalFormatting sqref="E62">
    <cfRule type="expression" dxfId="3" priority="3">
      <formula>Fixed_Variable=1</formula>
    </cfRule>
  </conditionalFormatting>
  <conditionalFormatting sqref="K61:K62">
    <cfRule type="expression" dxfId="2" priority="2">
      <formula>$A$63=0</formula>
    </cfRule>
  </conditionalFormatting>
  <conditionalFormatting sqref="K56:EN58">
    <cfRule type="expression" dxfId="1" priority="1">
      <formula>$C$62=0</formula>
    </cfRule>
  </conditionalFormatting>
  <dataValidations count="10">
    <dataValidation type="list" allowBlank="1" showInputMessage="1" showErrorMessage="1" sqref="H50:H53 H44:H48 F26:F28 F30:F43" xr:uid="{00000000-0002-0000-0200-000000000000}">
      <formula1>"Straight-Line, S-Curve, Detail"</formula1>
    </dataValidation>
    <dataValidation type="list" allowBlank="1" showInputMessage="1" showErrorMessage="1" sqref="F49" xr:uid="{00000000-0002-0000-0200-000002000000}">
      <formula1>"Straight-Line"</formula1>
    </dataValidation>
    <dataValidation type="list" allowBlank="1" showInputMessage="1" showErrorMessage="1" sqref="G221" xr:uid="{00000000-0002-0000-0200-000003000000}">
      <formula1>"Yes,No"</formula1>
    </dataValidation>
    <dataValidation type="list" allowBlank="1" showInputMessage="1" showErrorMessage="1" sqref="C271 I270 E279:F279 I279" xr:uid="{00000000-0002-0000-0200-000004000000}">
      <formula1>$EN$270:$EN$277</formula1>
    </dataValidation>
    <dataValidation type="list" allowBlank="1" showInputMessage="1" showErrorMessage="1" sqref="F134" xr:uid="{00000000-0002-0000-0200-000005000000}">
      <formula1>"Straight-Line, Detail"</formula1>
    </dataValidation>
    <dataValidation type="list" allowBlank="1" showInputMessage="1" showErrorMessage="1" sqref="I8" xr:uid="{ADFF4A6B-2992-4263-AB33-6CD5E097FFED}">
      <formula1>"SF, M2"</formula1>
    </dataValidation>
    <dataValidation type="list" allowBlank="1" showInputMessage="1" showErrorMessage="1" sqref="F77 D233" xr:uid="{01309085-2264-416E-BA8E-95A6EF0DFA9D}">
      <formula1>"Yes, No"</formula1>
    </dataValidation>
    <dataValidation type="whole" allowBlank="1" showInputMessage="1" showErrorMessage="1" errorTitle="Invalid Entry" error="Perm. Debt Loan Funding cannot occur any sooner than 1 month following construction end." sqref="C78" xr:uid="{4F97336A-5A8A-4A82-8E49-8E1B5A19551D}">
      <formula1>E53+1</formula1>
      <formula2>Timing_Analysis_End_Month</formula2>
    </dataValidation>
    <dataValidation type="list" allowBlank="1" showInputMessage="1" showErrorMessage="1" sqref="D62" xr:uid="{661014F5-A37A-45AB-9F76-0CB897B55B33}">
      <formula1>"One, Two"</formula1>
    </dataValidation>
    <dataValidation type="list" allowBlank="1" showInputMessage="1" showErrorMessage="1" sqref="D61" xr:uid="{193F7460-5E20-4C76-8B88-5A26B89C2368}">
      <formula1>"One"</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5" tint="0.59999389629810485"/>
  </sheetPr>
  <dimension ref="A1:JZ67"/>
  <sheetViews>
    <sheetView showGridLines="0" showRowColHeaders="0" workbookViewId="0">
      <pane xSplit="9" ySplit="6" topLeftCell="J7" activePane="bottomRight" state="frozen"/>
      <selection pane="topRight" activeCell="J1" sqref="J1"/>
      <selection pane="bottomLeft" activeCell="A7" sqref="A7"/>
      <selection pane="bottomRight" activeCell="J7" sqref="J7"/>
    </sheetView>
  </sheetViews>
  <sheetFormatPr defaultColWidth="0" defaultRowHeight="14.25" customHeight="1" zeroHeight="1" x14ac:dyDescent="0.2"/>
  <cols>
    <col min="1" max="1" width="0.875" style="406" customWidth="1"/>
    <col min="2" max="2" width="8.625" style="4" customWidth="1"/>
    <col min="3" max="4" width="13.375" style="4" customWidth="1"/>
    <col min="5" max="5" width="11.125" style="4" bestFit="1" customWidth="1"/>
    <col min="6" max="6" width="10.125" style="4" bestFit="1" customWidth="1"/>
    <col min="7" max="7" width="13" style="4" bestFit="1" customWidth="1"/>
    <col min="8" max="8" width="8.5" style="4" bestFit="1" customWidth="1"/>
    <col min="9" max="9" width="13" style="4" customWidth="1"/>
    <col min="10" max="10" width="0.875" customWidth="1"/>
    <col min="11" max="283" width="9" customWidth="1"/>
    <col min="284" max="284" width="1.625" customWidth="1"/>
    <col min="285" max="286" width="0" hidden="1" customWidth="1"/>
    <col min="287" max="16384" width="9" hidden="1"/>
  </cols>
  <sheetData>
    <row r="1" spans="1:284" s="7" customFormat="1" ht="4.9000000000000004" customHeight="1" x14ac:dyDescent="0.2">
      <c r="A1" s="406"/>
      <c r="B1"/>
      <c r="C1"/>
      <c r="D1"/>
      <c r="E1"/>
      <c r="F1"/>
      <c r="G1"/>
      <c r="H1"/>
      <c r="I1"/>
    </row>
    <row r="2" spans="1:284" s="7" customFormat="1" ht="15.75" x14ac:dyDescent="0.25">
      <c r="A2" s="406"/>
      <c r="B2" s="5" t="str">
        <f>UPPER(Investment_Name)</f>
        <v>[INVESTMENT NAME]</v>
      </c>
      <c r="C2"/>
      <c r="D2"/>
      <c r="E2"/>
      <c r="F2"/>
      <c r="G2"/>
      <c r="H2"/>
      <c r="I2" s="454" t="s">
        <v>499</v>
      </c>
      <c r="K2" s="9">
        <f>Underwriting!L2</f>
        <v>0</v>
      </c>
      <c r="L2" s="9">
        <f>Underwriting!M2</f>
        <v>1</v>
      </c>
      <c r="M2" s="9">
        <f>Underwriting!N2</f>
        <v>1</v>
      </c>
      <c r="N2" s="9">
        <f>Underwriting!O2</f>
        <v>1</v>
      </c>
      <c r="O2" s="9">
        <f>Underwriting!P2</f>
        <v>1</v>
      </c>
      <c r="P2" s="9">
        <f>Underwriting!Q2</f>
        <v>1</v>
      </c>
      <c r="Q2" s="9">
        <f>Underwriting!R2</f>
        <v>1</v>
      </c>
      <c r="R2" s="9">
        <f>Underwriting!S2</f>
        <v>1</v>
      </c>
      <c r="S2" s="9">
        <f>Underwriting!T2</f>
        <v>1</v>
      </c>
      <c r="T2" s="9">
        <f>Underwriting!U2</f>
        <v>1</v>
      </c>
      <c r="U2" s="9">
        <f>Underwriting!V2</f>
        <v>1</v>
      </c>
      <c r="V2" s="9">
        <f>Underwriting!W2</f>
        <v>1</v>
      </c>
      <c r="W2" s="9">
        <f>Underwriting!X2</f>
        <v>1</v>
      </c>
      <c r="X2" s="9">
        <f>Underwriting!Y2</f>
        <v>2</v>
      </c>
      <c r="Y2" s="9">
        <f>Underwriting!Z2</f>
        <v>2</v>
      </c>
      <c r="Z2" s="9">
        <f>Underwriting!AA2</f>
        <v>2</v>
      </c>
      <c r="AA2" s="9">
        <f>Underwriting!AB2</f>
        <v>2</v>
      </c>
      <c r="AB2" s="9">
        <f>Underwriting!AC2</f>
        <v>2</v>
      </c>
      <c r="AC2" s="9">
        <f>Underwriting!AD2</f>
        <v>2</v>
      </c>
      <c r="AD2" s="9">
        <f>Underwriting!AE2</f>
        <v>2</v>
      </c>
      <c r="AE2" s="9">
        <f>Underwriting!AF2</f>
        <v>2</v>
      </c>
      <c r="AF2" s="9">
        <f>Underwriting!AG2</f>
        <v>2</v>
      </c>
      <c r="AG2" s="9">
        <f>Underwriting!AH2</f>
        <v>2</v>
      </c>
      <c r="AH2" s="9">
        <f>Underwriting!AI2</f>
        <v>2</v>
      </c>
      <c r="AI2" s="9">
        <f>Underwriting!AJ2</f>
        <v>2</v>
      </c>
      <c r="AJ2" s="9">
        <f>Underwriting!AK2</f>
        <v>3</v>
      </c>
      <c r="AK2" s="9">
        <f>Underwriting!AL2</f>
        <v>3</v>
      </c>
      <c r="AL2" s="9">
        <f>Underwriting!AM2</f>
        <v>3</v>
      </c>
      <c r="AM2" s="9">
        <f>Underwriting!AN2</f>
        <v>3</v>
      </c>
      <c r="AN2" s="9">
        <f>Underwriting!AO2</f>
        <v>3</v>
      </c>
      <c r="AO2" s="9">
        <f>Underwriting!AP2</f>
        <v>3</v>
      </c>
      <c r="AP2" s="9">
        <f>Underwriting!AQ2</f>
        <v>3</v>
      </c>
      <c r="AQ2" s="9">
        <f>Underwriting!AR2</f>
        <v>3</v>
      </c>
      <c r="AR2" s="9">
        <f>Underwriting!AS2</f>
        <v>3</v>
      </c>
      <c r="AS2" s="9">
        <f>Underwriting!AT2</f>
        <v>3</v>
      </c>
      <c r="AT2" s="9">
        <f>Underwriting!AU2</f>
        <v>3</v>
      </c>
      <c r="AU2" s="9">
        <f>Underwriting!AV2</f>
        <v>3</v>
      </c>
      <c r="AV2" s="9">
        <f>Underwriting!AW2</f>
        <v>4</v>
      </c>
      <c r="AW2" s="9">
        <f>Underwriting!AX2</f>
        <v>4</v>
      </c>
      <c r="AX2" s="9">
        <f>Underwriting!AY2</f>
        <v>4</v>
      </c>
      <c r="AY2" s="9">
        <f>Underwriting!AZ2</f>
        <v>4</v>
      </c>
      <c r="AZ2" s="9">
        <f>Underwriting!BA2</f>
        <v>4</v>
      </c>
      <c r="BA2" s="9">
        <f>Underwriting!BB2</f>
        <v>4</v>
      </c>
      <c r="BB2" s="9">
        <f>Underwriting!BC2</f>
        <v>4</v>
      </c>
      <c r="BC2" s="9">
        <f>Underwriting!BD2</f>
        <v>4</v>
      </c>
      <c r="BD2" s="9">
        <f>Underwriting!BE2</f>
        <v>4</v>
      </c>
      <c r="BE2" s="9">
        <f>Underwriting!BF2</f>
        <v>4</v>
      </c>
      <c r="BF2" s="9">
        <f>Underwriting!BG2</f>
        <v>4</v>
      </c>
      <c r="BG2" s="9">
        <f>Underwriting!BH2</f>
        <v>4</v>
      </c>
      <c r="BH2" s="9">
        <f>Underwriting!BI2</f>
        <v>5</v>
      </c>
      <c r="BI2" s="9">
        <f>Underwriting!BJ2</f>
        <v>5</v>
      </c>
      <c r="BJ2" s="9">
        <f>Underwriting!BK2</f>
        <v>5</v>
      </c>
      <c r="BK2" s="9">
        <f>Underwriting!BL2</f>
        <v>5</v>
      </c>
      <c r="BL2" s="9">
        <f>Underwriting!BM2</f>
        <v>5</v>
      </c>
      <c r="BM2" s="9">
        <f>Underwriting!BN2</f>
        <v>5</v>
      </c>
      <c r="BN2" s="9">
        <f>Underwriting!BO2</f>
        <v>5</v>
      </c>
      <c r="BO2" s="9">
        <f>Underwriting!BP2</f>
        <v>5</v>
      </c>
      <c r="BP2" s="9">
        <f>Underwriting!BQ2</f>
        <v>5</v>
      </c>
      <c r="BQ2" s="9">
        <f>Underwriting!BR2</f>
        <v>5</v>
      </c>
      <c r="BR2" s="9">
        <f>Underwriting!BS2</f>
        <v>5</v>
      </c>
      <c r="BS2" s="9">
        <f>Underwriting!BT2</f>
        <v>5</v>
      </c>
      <c r="BT2" s="9">
        <f>Underwriting!BU2</f>
        <v>6</v>
      </c>
      <c r="BU2" s="9">
        <f>Underwriting!BV2</f>
        <v>6</v>
      </c>
      <c r="BV2" s="9">
        <f>Underwriting!BW2</f>
        <v>6</v>
      </c>
      <c r="BW2" s="9">
        <f>Underwriting!BX2</f>
        <v>6</v>
      </c>
      <c r="BX2" s="9">
        <f>Underwriting!BY2</f>
        <v>6</v>
      </c>
      <c r="BY2" s="9">
        <f>Underwriting!BZ2</f>
        <v>6</v>
      </c>
      <c r="BZ2" s="9">
        <f>Underwriting!CA2</f>
        <v>6</v>
      </c>
      <c r="CA2" s="9">
        <f>Underwriting!CB2</f>
        <v>6</v>
      </c>
      <c r="CB2" s="9">
        <f>Underwriting!CC2</f>
        <v>6</v>
      </c>
      <c r="CC2" s="9">
        <f>Underwriting!CD2</f>
        <v>6</v>
      </c>
      <c r="CD2" s="9">
        <f>Underwriting!CE2</f>
        <v>6</v>
      </c>
      <c r="CE2" s="9">
        <f>Underwriting!CF2</f>
        <v>6</v>
      </c>
      <c r="CF2" s="9">
        <f>Underwriting!CG2</f>
        <v>7</v>
      </c>
      <c r="CG2" s="9">
        <f>Underwriting!CH2</f>
        <v>7</v>
      </c>
      <c r="CH2" s="9">
        <f>Underwriting!CI2</f>
        <v>7</v>
      </c>
      <c r="CI2" s="9">
        <f>Underwriting!CJ2</f>
        <v>7</v>
      </c>
      <c r="CJ2" s="9">
        <f>Underwriting!CK2</f>
        <v>7</v>
      </c>
      <c r="CK2" s="9">
        <f>Underwriting!CL2</f>
        <v>7</v>
      </c>
      <c r="CL2" s="9">
        <f>Underwriting!CM2</f>
        <v>7</v>
      </c>
      <c r="CM2" s="9">
        <f>Underwriting!CN2</f>
        <v>7</v>
      </c>
      <c r="CN2" s="9">
        <f>Underwriting!CO2</f>
        <v>7</v>
      </c>
      <c r="CO2" s="9">
        <f>Underwriting!CP2</f>
        <v>7</v>
      </c>
      <c r="CP2" s="9">
        <f>Underwriting!CQ2</f>
        <v>7</v>
      </c>
      <c r="CQ2" s="9">
        <f>Underwriting!CR2</f>
        <v>7</v>
      </c>
      <c r="CR2" s="9">
        <f>Underwriting!CS2</f>
        <v>8</v>
      </c>
      <c r="CS2" s="9">
        <f>Underwriting!CT2</f>
        <v>8</v>
      </c>
      <c r="CT2" s="9">
        <f>Underwriting!CU2</f>
        <v>8</v>
      </c>
      <c r="CU2" s="9">
        <f>Underwriting!CV2</f>
        <v>8</v>
      </c>
      <c r="CV2" s="9">
        <f>Underwriting!CW2</f>
        <v>8</v>
      </c>
      <c r="CW2" s="9">
        <f>Underwriting!CX2</f>
        <v>8</v>
      </c>
      <c r="CX2" s="9">
        <f>Underwriting!CY2</f>
        <v>8</v>
      </c>
      <c r="CY2" s="9">
        <f>Underwriting!CZ2</f>
        <v>8</v>
      </c>
      <c r="CZ2" s="9">
        <f>Underwriting!DA2</f>
        <v>8</v>
      </c>
      <c r="DA2" s="9">
        <f>Underwriting!DB2</f>
        <v>8</v>
      </c>
      <c r="DB2" s="9">
        <f>Underwriting!DC2</f>
        <v>8</v>
      </c>
      <c r="DC2" s="9">
        <f>Underwriting!DD2</f>
        <v>8</v>
      </c>
      <c r="DD2" s="9">
        <f>Underwriting!DE2</f>
        <v>9</v>
      </c>
      <c r="DE2" s="9">
        <f>Underwriting!DF2</f>
        <v>9</v>
      </c>
      <c r="DF2" s="9">
        <f>Underwriting!DG2</f>
        <v>9</v>
      </c>
      <c r="DG2" s="9">
        <f>Underwriting!DH2</f>
        <v>9</v>
      </c>
      <c r="DH2" s="9">
        <f>Underwriting!DI2</f>
        <v>9</v>
      </c>
      <c r="DI2" s="9">
        <f>Underwriting!DJ2</f>
        <v>9</v>
      </c>
      <c r="DJ2" s="9">
        <f>Underwriting!DK2</f>
        <v>9</v>
      </c>
      <c r="DK2" s="9">
        <f>Underwriting!DL2</f>
        <v>9</v>
      </c>
      <c r="DL2" s="9">
        <f>Underwriting!DM2</f>
        <v>9</v>
      </c>
      <c r="DM2" s="9">
        <f>Underwriting!DN2</f>
        <v>9</v>
      </c>
      <c r="DN2" s="9">
        <f>Underwriting!DO2</f>
        <v>9</v>
      </c>
      <c r="DO2" s="9">
        <f>Underwriting!DP2</f>
        <v>9</v>
      </c>
      <c r="DP2" s="9">
        <f>Underwriting!DQ2</f>
        <v>10</v>
      </c>
      <c r="DQ2" s="9">
        <f>Underwriting!DR2</f>
        <v>10</v>
      </c>
      <c r="DR2" s="9">
        <f>Underwriting!DS2</f>
        <v>10</v>
      </c>
      <c r="DS2" s="9">
        <f>Underwriting!DT2</f>
        <v>10</v>
      </c>
      <c r="DT2" s="9">
        <f>Underwriting!DU2</f>
        <v>10</v>
      </c>
      <c r="DU2" s="9">
        <f>Underwriting!DV2</f>
        <v>10</v>
      </c>
      <c r="DV2" s="9">
        <f>Underwriting!DW2</f>
        <v>10</v>
      </c>
      <c r="DW2" s="9">
        <f>Underwriting!DX2</f>
        <v>10</v>
      </c>
      <c r="DX2" s="9">
        <f>Underwriting!DY2</f>
        <v>10</v>
      </c>
      <c r="DY2" s="9">
        <f>Underwriting!DZ2</f>
        <v>10</v>
      </c>
      <c r="DZ2" s="9">
        <f>Underwriting!EA2</f>
        <v>10</v>
      </c>
      <c r="EA2" s="9">
        <f>Underwriting!EB2</f>
        <v>10</v>
      </c>
      <c r="EB2" s="9">
        <f>Underwriting!EC2</f>
        <v>11</v>
      </c>
      <c r="EC2" s="9">
        <f>Underwriting!ED2</f>
        <v>11</v>
      </c>
      <c r="ED2" s="9">
        <f>Underwriting!EE2</f>
        <v>11</v>
      </c>
      <c r="EE2" s="9">
        <f>Underwriting!EF2</f>
        <v>11</v>
      </c>
      <c r="EF2" s="9">
        <f>Underwriting!EG2</f>
        <v>11</v>
      </c>
      <c r="EG2" s="9">
        <f>Underwriting!EH2</f>
        <v>11</v>
      </c>
      <c r="EH2" s="9">
        <f>Underwriting!EI2</f>
        <v>11</v>
      </c>
      <c r="EI2" s="9">
        <f>Underwriting!EJ2</f>
        <v>11</v>
      </c>
      <c r="EJ2" s="9">
        <f>Underwriting!EK2</f>
        <v>11</v>
      </c>
      <c r="EK2" s="9">
        <f>Underwriting!EL2</f>
        <v>11</v>
      </c>
      <c r="EL2" s="9">
        <f>Underwriting!EM2</f>
        <v>11</v>
      </c>
      <c r="EM2" s="9">
        <f>Underwriting!EN2</f>
        <v>11</v>
      </c>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c r="IM2" s="24"/>
      <c r="IN2" s="24"/>
      <c r="IO2" s="24"/>
      <c r="IP2" s="24"/>
      <c r="IQ2" s="24"/>
      <c r="IR2" s="24"/>
      <c r="IS2" s="24"/>
      <c r="IT2" s="24"/>
      <c r="IU2" s="24"/>
      <c r="IV2" s="24"/>
      <c r="IW2" s="24"/>
      <c r="IX2" s="24"/>
      <c r="IY2" s="24"/>
      <c r="IZ2" s="24"/>
      <c r="JA2" s="24"/>
      <c r="JB2" s="24"/>
      <c r="JC2" s="24"/>
      <c r="JD2" s="24"/>
      <c r="JE2" s="24"/>
      <c r="JF2" s="24"/>
      <c r="JG2" s="24"/>
      <c r="JH2" s="24"/>
      <c r="JI2" s="24"/>
      <c r="JJ2" s="24"/>
      <c r="JK2" s="24"/>
      <c r="JL2" s="24"/>
      <c r="JM2" s="24"/>
      <c r="JN2" s="24"/>
      <c r="JO2" s="24"/>
      <c r="JP2" s="24"/>
      <c r="JQ2" s="24"/>
      <c r="JR2" s="24"/>
      <c r="JS2" s="24"/>
      <c r="JT2" s="24"/>
      <c r="JU2" s="24"/>
      <c r="JV2" s="24"/>
      <c r="JW2" s="24"/>
    </row>
    <row r="3" spans="1:284" s="7" customFormat="1" x14ac:dyDescent="0.2">
      <c r="A3" s="406"/>
      <c r="B3"/>
      <c r="C3"/>
      <c r="D3"/>
      <c r="E3"/>
      <c r="F3"/>
      <c r="G3"/>
      <c r="H3"/>
      <c r="I3"/>
      <c r="K3" s="8">
        <f>Underwriting!L3</f>
        <v>0</v>
      </c>
      <c r="L3" s="8">
        <f>Underwriting!M3</f>
        <v>1</v>
      </c>
      <c r="M3" s="8">
        <f>Underwriting!N3</f>
        <v>2</v>
      </c>
      <c r="N3" s="8">
        <f>Underwriting!O3</f>
        <v>3</v>
      </c>
      <c r="O3" s="8">
        <f>Underwriting!P3</f>
        <v>4</v>
      </c>
      <c r="P3" s="8">
        <f>Underwriting!Q3</f>
        <v>5</v>
      </c>
      <c r="Q3" s="8">
        <f>Underwriting!R3</f>
        <v>6</v>
      </c>
      <c r="R3" s="8">
        <f>Underwriting!S3</f>
        <v>7</v>
      </c>
      <c r="S3" s="8">
        <f>Underwriting!T3</f>
        <v>8</v>
      </c>
      <c r="T3" s="8">
        <f>Underwriting!U3</f>
        <v>9</v>
      </c>
      <c r="U3" s="8">
        <f>Underwriting!V3</f>
        <v>10</v>
      </c>
      <c r="V3" s="8">
        <f>Underwriting!W3</f>
        <v>11</v>
      </c>
      <c r="W3" s="8">
        <f>Underwriting!X3</f>
        <v>12</v>
      </c>
      <c r="X3" s="8">
        <f>Underwriting!Y3</f>
        <v>13</v>
      </c>
      <c r="Y3" s="8">
        <f>Underwriting!Z3</f>
        <v>14</v>
      </c>
      <c r="Z3" s="8">
        <f>Underwriting!AA3</f>
        <v>15</v>
      </c>
      <c r="AA3" s="8">
        <f>Underwriting!AB3</f>
        <v>16</v>
      </c>
      <c r="AB3" s="8">
        <f>Underwriting!AC3</f>
        <v>17</v>
      </c>
      <c r="AC3" s="8">
        <f>Underwriting!AD3</f>
        <v>18</v>
      </c>
      <c r="AD3" s="8">
        <f>Underwriting!AE3</f>
        <v>19</v>
      </c>
      <c r="AE3" s="8">
        <f>Underwriting!AF3</f>
        <v>20</v>
      </c>
      <c r="AF3" s="8">
        <f>Underwriting!AG3</f>
        <v>21</v>
      </c>
      <c r="AG3" s="8">
        <f>Underwriting!AH3</f>
        <v>22</v>
      </c>
      <c r="AH3" s="8">
        <f>Underwriting!AI3</f>
        <v>23</v>
      </c>
      <c r="AI3" s="8">
        <f>Underwriting!AJ3</f>
        <v>24</v>
      </c>
      <c r="AJ3" s="8">
        <f>Underwriting!AK3</f>
        <v>25</v>
      </c>
      <c r="AK3" s="8">
        <f>Underwriting!AL3</f>
        <v>26</v>
      </c>
      <c r="AL3" s="8">
        <f>Underwriting!AM3</f>
        <v>27</v>
      </c>
      <c r="AM3" s="8">
        <f>Underwriting!AN3</f>
        <v>28</v>
      </c>
      <c r="AN3" s="8">
        <f>Underwriting!AO3</f>
        <v>29</v>
      </c>
      <c r="AO3" s="8">
        <f>Underwriting!AP3</f>
        <v>30</v>
      </c>
      <c r="AP3" s="8">
        <f>Underwriting!AQ3</f>
        <v>31</v>
      </c>
      <c r="AQ3" s="8">
        <f>Underwriting!AR3</f>
        <v>32</v>
      </c>
      <c r="AR3" s="8">
        <f>Underwriting!AS3</f>
        <v>33</v>
      </c>
      <c r="AS3" s="8">
        <f>Underwriting!AT3</f>
        <v>34</v>
      </c>
      <c r="AT3" s="8">
        <f>Underwriting!AU3</f>
        <v>35</v>
      </c>
      <c r="AU3" s="8">
        <f>Underwriting!AV3</f>
        <v>36</v>
      </c>
      <c r="AV3" s="8">
        <f>Underwriting!AW3</f>
        <v>37</v>
      </c>
      <c r="AW3" s="8">
        <f>Underwriting!AX3</f>
        <v>38</v>
      </c>
      <c r="AX3" s="8">
        <f>Underwriting!AY3</f>
        <v>39</v>
      </c>
      <c r="AY3" s="8">
        <f>Underwriting!AZ3</f>
        <v>40</v>
      </c>
      <c r="AZ3" s="8">
        <f>Underwriting!BA3</f>
        <v>41</v>
      </c>
      <c r="BA3" s="8">
        <f>Underwriting!BB3</f>
        <v>42</v>
      </c>
      <c r="BB3" s="8">
        <f>Underwriting!BC3</f>
        <v>43</v>
      </c>
      <c r="BC3" s="8">
        <f>Underwriting!BD3</f>
        <v>44</v>
      </c>
      <c r="BD3" s="8">
        <f>Underwriting!BE3</f>
        <v>45</v>
      </c>
      <c r="BE3" s="8">
        <f>Underwriting!BF3</f>
        <v>46</v>
      </c>
      <c r="BF3" s="8">
        <f>Underwriting!BG3</f>
        <v>47</v>
      </c>
      <c r="BG3" s="8">
        <f>Underwriting!BH3</f>
        <v>48</v>
      </c>
      <c r="BH3" s="8">
        <f>Underwriting!BI3</f>
        <v>49</v>
      </c>
      <c r="BI3" s="8">
        <f>Underwriting!BJ3</f>
        <v>50</v>
      </c>
      <c r="BJ3" s="8">
        <f>Underwriting!BK3</f>
        <v>51</v>
      </c>
      <c r="BK3" s="8">
        <f>Underwriting!BL3</f>
        <v>52</v>
      </c>
      <c r="BL3" s="8">
        <f>Underwriting!BM3</f>
        <v>53</v>
      </c>
      <c r="BM3" s="8">
        <f>Underwriting!BN3</f>
        <v>54</v>
      </c>
      <c r="BN3" s="8">
        <f>Underwriting!BO3</f>
        <v>55</v>
      </c>
      <c r="BO3" s="8">
        <f>Underwriting!BP3</f>
        <v>56</v>
      </c>
      <c r="BP3" s="8">
        <f>Underwriting!BQ3</f>
        <v>57</v>
      </c>
      <c r="BQ3" s="8">
        <f>Underwriting!BR3</f>
        <v>58</v>
      </c>
      <c r="BR3" s="8">
        <f>Underwriting!BS3</f>
        <v>59</v>
      </c>
      <c r="BS3" s="8">
        <f>Underwriting!BT3</f>
        <v>60</v>
      </c>
      <c r="BT3" s="8">
        <f>Underwriting!BU3</f>
        <v>61</v>
      </c>
      <c r="BU3" s="8">
        <f>Underwriting!BV3</f>
        <v>62</v>
      </c>
      <c r="BV3" s="8">
        <f>Underwriting!BW3</f>
        <v>63</v>
      </c>
      <c r="BW3" s="8">
        <f>Underwriting!BX3</f>
        <v>64</v>
      </c>
      <c r="BX3" s="8">
        <f>Underwriting!BY3</f>
        <v>65</v>
      </c>
      <c r="BY3" s="8">
        <f>Underwriting!BZ3</f>
        <v>66</v>
      </c>
      <c r="BZ3" s="8">
        <f>Underwriting!CA3</f>
        <v>67</v>
      </c>
      <c r="CA3" s="8">
        <f>Underwriting!CB3</f>
        <v>68</v>
      </c>
      <c r="CB3" s="8">
        <f>Underwriting!CC3</f>
        <v>69</v>
      </c>
      <c r="CC3" s="8">
        <f>Underwriting!CD3</f>
        <v>70</v>
      </c>
      <c r="CD3" s="8">
        <f>Underwriting!CE3</f>
        <v>71</v>
      </c>
      <c r="CE3" s="8">
        <f>Underwriting!CF3</f>
        <v>72</v>
      </c>
      <c r="CF3" s="8">
        <f>Underwriting!CG3</f>
        <v>73</v>
      </c>
      <c r="CG3" s="8">
        <f>Underwriting!CH3</f>
        <v>74</v>
      </c>
      <c r="CH3" s="8">
        <f>Underwriting!CI3</f>
        <v>75</v>
      </c>
      <c r="CI3" s="8">
        <f>Underwriting!CJ3</f>
        <v>76</v>
      </c>
      <c r="CJ3" s="8">
        <f>Underwriting!CK3</f>
        <v>77</v>
      </c>
      <c r="CK3" s="8">
        <f>Underwriting!CL3</f>
        <v>78</v>
      </c>
      <c r="CL3" s="8">
        <f>Underwriting!CM3</f>
        <v>79</v>
      </c>
      <c r="CM3" s="8">
        <f>Underwriting!CN3</f>
        <v>80</v>
      </c>
      <c r="CN3" s="8">
        <f>Underwriting!CO3</f>
        <v>81</v>
      </c>
      <c r="CO3" s="8">
        <f>Underwriting!CP3</f>
        <v>82</v>
      </c>
      <c r="CP3" s="8">
        <f>Underwriting!CQ3</f>
        <v>83</v>
      </c>
      <c r="CQ3" s="8">
        <f>Underwriting!CR3</f>
        <v>84</v>
      </c>
      <c r="CR3" s="8">
        <f>Underwriting!CS3</f>
        <v>85</v>
      </c>
      <c r="CS3" s="8">
        <f>Underwriting!CT3</f>
        <v>86</v>
      </c>
      <c r="CT3" s="8">
        <f>Underwriting!CU3</f>
        <v>87</v>
      </c>
      <c r="CU3" s="8">
        <f>Underwriting!CV3</f>
        <v>88</v>
      </c>
      <c r="CV3" s="8">
        <f>Underwriting!CW3</f>
        <v>89</v>
      </c>
      <c r="CW3" s="8">
        <f>Underwriting!CX3</f>
        <v>90</v>
      </c>
      <c r="CX3" s="8">
        <f>Underwriting!CY3</f>
        <v>91</v>
      </c>
      <c r="CY3" s="8">
        <f>Underwriting!CZ3</f>
        <v>92</v>
      </c>
      <c r="CZ3" s="8">
        <f>Underwriting!DA3</f>
        <v>93</v>
      </c>
      <c r="DA3" s="8">
        <f>Underwriting!DB3</f>
        <v>94</v>
      </c>
      <c r="DB3" s="8">
        <f>Underwriting!DC3</f>
        <v>95</v>
      </c>
      <c r="DC3" s="8">
        <f>Underwriting!DD3</f>
        <v>96</v>
      </c>
      <c r="DD3" s="8">
        <f>Underwriting!DE3</f>
        <v>97</v>
      </c>
      <c r="DE3" s="8">
        <f>Underwriting!DF3</f>
        <v>98</v>
      </c>
      <c r="DF3" s="8">
        <f>Underwriting!DG3</f>
        <v>99</v>
      </c>
      <c r="DG3" s="8">
        <f>Underwriting!DH3</f>
        <v>100</v>
      </c>
      <c r="DH3" s="8">
        <f>Underwriting!DI3</f>
        <v>101</v>
      </c>
      <c r="DI3" s="8">
        <f>Underwriting!DJ3</f>
        <v>102</v>
      </c>
      <c r="DJ3" s="8">
        <f>Underwriting!DK3</f>
        <v>103</v>
      </c>
      <c r="DK3" s="8">
        <f>Underwriting!DL3</f>
        <v>104</v>
      </c>
      <c r="DL3" s="8">
        <f>Underwriting!DM3</f>
        <v>105</v>
      </c>
      <c r="DM3" s="8">
        <f>Underwriting!DN3</f>
        <v>106</v>
      </c>
      <c r="DN3" s="8">
        <f>Underwriting!DO3</f>
        <v>107</v>
      </c>
      <c r="DO3" s="8">
        <f>Underwriting!DP3</f>
        <v>108</v>
      </c>
      <c r="DP3" s="8">
        <f>Underwriting!DQ3</f>
        <v>109</v>
      </c>
      <c r="DQ3" s="8">
        <f>Underwriting!DR3</f>
        <v>110</v>
      </c>
      <c r="DR3" s="8">
        <f>Underwriting!DS3</f>
        <v>111</v>
      </c>
      <c r="DS3" s="8">
        <f>Underwriting!DT3</f>
        <v>112</v>
      </c>
      <c r="DT3" s="8">
        <f>Underwriting!DU3</f>
        <v>113</v>
      </c>
      <c r="DU3" s="8">
        <f>Underwriting!DV3</f>
        <v>114</v>
      </c>
      <c r="DV3" s="8">
        <f>Underwriting!DW3</f>
        <v>115</v>
      </c>
      <c r="DW3" s="8">
        <f>Underwriting!DX3</f>
        <v>116</v>
      </c>
      <c r="DX3" s="8">
        <f>Underwriting!DY3</f>
        <v>117</v>
      </c>
      <c r="DY3" s="8">
        <f>Underwriting!DZ3</f>
        <v>118</v>
      </c>
      <c r="DZ3" s="8">
        <f>Underwriting!EA3</f>
        <v>119</v>
      </c>
      <c r="EA3" s="8">
        <f>Underwriting!EB3</f>
        <v>120</v>
      </c>
      <c r="EB3" s="8">
        <f>Underwriting!EC3</f>
        <v>121</v>
      </c>
      <c r="EC3" s="8">
        <f>Underwriting!ED3</f>
        <v>122</v>
      </c>
      <c r="ED3" s="8">
        <f>Underwriting!EE3</f>
        <v>123</v>
      </c>
      <c r="EE3" s="8">
        <f>Underwriting!EF3</f>
        <v>124</v>
      </c>
      <c r="EF3" s="8">
        <f>Underwriting!EG3</f>
        <v>125</v>
      </c>
      <c r="EG3" s="8">
        <f>Underwriting!EH3</f>
        <v>126</v>
      </c>
      <c r="EH3" s="8">
        <f>Underwriting!EI3</f>
        <v>127</v>
      </c>
      <c r="EI3" s="8">
        <f>Underwriting!EJ3</f>
        <v>128</v>
      </c>
      <c r="EJ3" s="8">
        <f>Underwriting!EK3</f>
        <v>129</v>
      </c>
      <c r="EK3" s="8">
        <f>Underwriting!EL3</f>
        <v>130</v>
      </c>
      <c r="EL3" s="8">
        <f>Underwriting!EM3</f>
        <v>131</v>
      </c>
      <c r="EM3" s="8">
        <f>Underwriting!EN3</f>
        <v>132</v>
      </c>
      <c r="EO3" s="24"/>
      <c r="EP3" s="24"/>
      <c r="EQ3" s="24"/>
      <c r="ER3" s="24"/>
      <c r="ES3" s="24"/>
      <c r="ET3" s="24"/>
      <c r="EU3" s="24"/>
      <c r="EV3" s="26">
        <f>Underwriting!EW3</f>
        <v>1</v>
      </c>
      <c r="EW3" s="26">
        <f>Underwriting!EX3</f>
        <v>2</v>
      </c>
      <c r="EX3" s="26">
        <f>Underwriting!EY3</f>
        <v>3</v>
      </c>
      <c r="EY3" s="26">
        <f>Underwriting!EZ3</f>
        <v>4</v>
      </c>
      <c r="EZ3" s="26">
        <f>Underwriting!FA3</f>
        <v>5</v>
      </c>
      <c r="FA3" s="26">
        <f>Underwriting!FB3</f>
        <v>6</v>
      </c>
      <c r="FB3" s="26">
        <f>Underwriting!FC3</f>
        <v>7</v>
      </c>
      <c r="FC3" s="26">
        <f>Underwriting!FD3</f>
        <v>8</v>
      </c>
      <c r="FD3" s="26">
        <f>Underwriting!FE3</f>
        <v>9</v>
      </c>
      <c r="FE3" s="26">
        <f>Underwriting!FF3</f>
        <v>10</v>
      </c>
      <c r="FF3" s="26">
        <f>Underwriting!FG3</f>
        <v>11</v>
      </c>
      <c r="FG3" s="26">
        <f>Underwriting!FH3</f>
        <v>12</v>
      </c>
      <c r="FH3" s="26">
        <f>Underwriting!FI3</f>
        <v>13</v>
      </c>
      <c r="FI3" s="26">
        <f>Underwriting!FJ3</f>
        <v>14</v>
      </c>
      <c r="FJ3" s="26">
        <f>Underwriting!FK3</f>
        <v>15</v>
      </c>
      <c r="FK3" s="26">
        <f>Underwriting!FL3</f>
        <v>16</v>
      </c>
      <c r="FL3" s="26">
        <f>Underwriting!FM3</f>
        <v>17</v>
      </c>
      <c r="FM3" s="26">
        <f>Underwriting!FN3</f>
        <v>18</v>
      </c>
      <c r="FN3" s="26">
        <f>Underwriting!FO3</f>
        <v>19</v>
      </c>
      <c r="FO3" s="26">
        <f>Underwriting!FP3</f>
        <v>20</v>
      </c>
      <c r="FP3" s="26">
        <f>Underwriting!FQ3</f>
        <v>21</v>
      </c>
      <c r="FQ3" s="26">
        <f>Underwriting!FR3</f>
        <v>22</v>
      </c>
      <c r="FR3" s="26">
        <f>Underwriting!FS3</f>
        <v>23</v>
      </c>
      <c r="FS3" s="26">
        <f>Underwriting!FT3</f>
        <v>24</v>
      </c>
      <c r="FT3" s="26">
        <f>Underwriting!FU3</f>
        <v>25</v>
      </c>
      <c r="FU3" s="26">
        <f>Underwriting!FV3</f>
        <v>26</v>
      </c>
      <c r="FV3" s="26">
        <f>Underwriting!FW3</f>
        <v>27</v>
      </c>
      <c r="FW3" s="26">
        <f>Underwriting!FX3</f>
        <v>28</v>
      </c>
      <c r="FX3" s="26">
        <f>Underwriting!FY3</f>
        <v>29</v>
      </c>
      <c r="FY3" s="26">
        <f>Underwriting!FZ3</f>
        <v>30</v>
      </c>
      <c r="FZ3" s="26">
        <f>Underwriting!GA3</f>
        <v>31</v>
      </c>
      <c r="GA3" s="26">
        <f>Underwriting!GB3</f>
        <v>32</v>
      </c>
      <c r="GB3" s="26">
        <f>Underwriting!GC3</f>
        <v>33</v>
      </c>
      <c r="GC3" s="26">
        <f>Underwriting!GD3</f>
        <v>34</v>
      </c>
      <c r="GD3" s="26">
        <f>Underwriting!GE3</f>
        <v>35</v>
      </c>
      <c r="GE3" s="26">
        <f>Underwriting!GF3</f>
        <v>36</v>
      </c>
      <c r="GF3" s="26">
        <f>Underwriting!GG3</f>
        <v>37</v>
      </c>
      <c r="GG3" s="26">
        <f>Underwriting!GH3</f>
        <v>38</v>
      </c>
      <c r="GH3" s="26">
        <f>Underwriting!GI3</f>
        <v>39</v>
      </c>
      <c r="GI3" s="26">
        <f>Underwriting!GJ3</f>
        <v>40</v>
      </c>
      <c r="GJ3" s="26">
        <f>Underwriting!GK3</f>
        <v>41</v>
      </c>
      <c r="GK3" s="26">
        <f>Underwriting!GL3</f>
        <v>42</v>
      </c>
      <c r="GL3" s="26">
        <f>Underwriting!GM3</f>
        <v>43</v>
      </c>
      <c r="GM3" s="26">
        <f>Underwriting!GN3</f>
        <v>44</v>
      </c>
      <c r="GN3" s="26">
        <f>Underwriting!GO3</f>
        <v>45</v>
      </c>
      <c r="GO3" s="26">
        <f>Underwriting!GP3</f>
        <v>46</v>
      </c>
      <c r="GP3" s="26">
        <f>Underwriting!GQ3</f>
        <v>47</v>
      </c>
      <c r="GQ3" s="26">
        <f>Underwriting!GR3</f>
        <v>48</v>
      </c>
      <c r="GR3" s="26">
        <f>Underwriting!GS3</f>
        <v>49</v>
      </c>
      <c r="GS3" s="26">
        <f>Underwriting!GT3</f>
        <v>50</v>
      </c>
      <c r="GT3" s="26">
        <f>Underwriting!GU3</f>
        <v>51</v>
      </c>
      <c r="GU3" s="26">
        <f>Underwriting!GV3</f>
        <v>52</v>
      </c>
      <c r="GV3" s="26">
        <f>Underwriting!GW3</f>
        <v>53</v>
      </c>
      <c r="GW3" s="26">
        <f>Underwriting!GX3</f>
        <v>54</v>
      </c>
      <c r="GX3" s="26">
        <f>Underwriting!GY3</f>
        <v>55</v>
      </c>
      <c r="GY3" s="26">
        <f>Underwriting!GZ3</f>
        <v>56</v>
      </c>
      <c r="GZ3" s="26">
        <f>Underwriting!HA3</f>
        <v>57</v>
      </c>
      <c r="HA3" s="26">
        <f>Underwriting!HB3</f>
        <v>58</v>
      </c>
      <c r="HB3" s="26">
        <f>Underwriting!HC3</f>
        <v>59</v>
      </c>
      <c r="HC3" s="26">
        <f>Underwriting!HD3</f>
        <v>60</v>
      </c>
      <c r="HD3" s="26">
        <f>Underwriting!HE3</f>
        <v>61</v>
      </c>
      <c r="HE3" s="26">
        <f>Underwriting!HF3</f>
        <v>62</v>
      </c>
      <c r="HF3" s="26">
        <f>Underwriting!HG3</f>
        <v>63</v>
      </c>
      <c r="HG3" s="26">
        <f>Underwriting!HH3</f>
        <v>64</v>
      </c>
      <c r="HH3" s="26">
        <f>Underwriting!HI3</f>
        <v>65</v>
      </c>
      <c r="HI3" s="26">
        <f>Underwriting!HJ3</f>
        <v>66</v>
      </c>
      <c r="HJ3" s="26">
        <f>Underwriting!HK3</f>
        <v>67</v>
      </c>
      <c r="HK3" s="26">
        <f>Underwriting!HL3</f>
        <v>68</v>
      </c>
      <c r="HL3" s="26">
        <f>Underwriting!HM3</f>
        <v>69</v>
      </c>
      <c r="HM3" s="26">
        <f>Underwriting!HN3</f>
        <v>70</v>
      </c>
      <c r="HN3" s="26">
        <f>Underwriting!HO3</f>
        <v>71</v>
      </c>
      <c r="HO3" s="26">
        <f>Underwriting!HP3</f>
        <v>72</v>
      </c>
      <c r="HP3" s="26">
        <f>Underwriting!HQ3</f>
        <v>73</v>
      </c>
      <c r="HQ3" s="26">
        <f>Underwriting!HR3</f>
        <v>74</v>
      </c>
      <c r="HR3" s="26">
        <f>Underwriting!HS3</f>
        <v>75</v>
      </c>
      <c r="HS3" s="26">
        <f>Underwriting!HT3</f>
        <v>76</v>
      </c>
      <c r="HT3" s="26">
        <f>Underwriting!HU3</f>
        <v>77</v>
      </c>
      <c r="HU3" s="26">
        <f>Underwriting!HV3</f>
        <v>78</v>
      </c>
      <c r="HV3" s="26">
        <f>Underwriting!HW3</f>
        <v>79</v>
      </c>
      <c r="HW3" s="26">
        <f>Underwriting!HX3</f>
        <v>80</v>
      </c>
      <c r="HX3" s="26">
        <f>Underwriting!HY3</f>
        <v>81</v>
      </c>
      <c r="HY3" s="26">
        <f>Underwriting!HZ3</f>
        <v>82</v>
      </c>
      <c r="HZ3" s="26">
        <f>Underwriting!IA3</f>
        <v>83</v>
      </c>
      <c r="IA3" s="26">
        <f>Underwriting!IB3</f>
        <v>84</v>
      </c>
      <c r="IB3" s="26">
        <f>Underwriting!IC3</f>
        <v>85</v>
      </c>
      <c r="IC3" s="26">
        <f>Underwriting!ID3</f>
        <v>86</v>
      </c>
      <c r="ID3" s="26">
        <f>Underwriting!IE3</f>
        <v>87</v>
      </c>
      <c r="IE3" s="26">
        <f>Underwriting!IF3</f>
        <v>88</v>
      </c>
      <c r="IF3" s="26">
        <f>Underwriting!IG3</f>
        <v>89</v>
      </c>
      <c r="IG3" s="26">
        <f>Underwriting!IH3</f>
        <v>90</v>
      </c>
      <c r="IH3" s="26">
        <f>Underwriting!II3</f>
        <v>91</v>
      </c>
      <c r="II3" s="26">
        <f>Underwriting!IJ3</f>
        <v>92</v>
      </c>
      <c r="IJ3" s="26">
        <f>Underwriting!IK3</f>
        <v>93</v>
      </c>
      <c r="IK3" s="26">
        <f>Underwriting!IL3</f>
        <v>94</v>
      </c>
      <c r="IL3" s="26">
        <f>Underwriting!IM3</f>
        <v>95</v>
      </c>
      <c r="IM3" s="26">
        <f>Underwriting!IN3</f>
        <v>96</v>
      </c>
      <c r="IN3" s="26">
        <f>Underwriting!IO3</f>
        <v>97</v>
      </c>
      <c r="IO3" s="26">
        <f>Underwriting!IP3</f>
        <v>98</v>
      </c>
      <c r="IP3" s="26">
        <f>Underwriting!IQ3</f>
        <v>99</v>
      </c>
      <c r="IQ3" s="26">
        <f>Underwriting!IR3</f>
        <v>100</v>
      </c>
      <c r="IR3" s="26">
        <f>Underwriting!IS3</f>
        <v>101</v>
      </c>
      <c r="IS3" s="26">
        <f>Underwriting!IT3</f>
        <v>102</v>
      </c>
      <c r="IT3" s="26">
        <f>Underwriting!IU3</f>
        <v>103</v>
      </c>
      <c r="IU3" s="26">
        <f>Underwriting!IV3</f>
        <v>104</v>
      </c>
      <c r="IV3" s="26">
        <f>Underwriting!IW3</f>
        <v>105</v>
      </c>
      <c r="IW3" s="26">
        <f>Underwriting!IX3</f>
        <v>106</v>
      </c>
      <c r="IX3" s="26">
        <f>Underwriting!IY3</f>
        <v>107</v>
      </c>
      <c r="IY3" s="26">
        <f>Underwriting!IZ3</f>
        <v>108</v>
      </c>
      <c r="IZ3" s="26">
        <f>Underwriting!JA3</f>
        <v>109</v>
      </c>
      <c r="JA3" s="26">
        <f>Underwriting!JB3</f>
        <v>110</v>
      </c>
      <c r="JB3" s="26">
        <f>Underwriting!JC3</f>
        <v>111</v>
      </c>
      <c r="JC3" s="26">
        <f>Underwriting!JD3</f>
        <v>112</v>
      </c>
      <c r="JD3" s="26">
        <f>Underwriting!JE3</f>
        <v>113</v>
      </c>
      <c r="JE3" s="26">
        <f>Underwriting!JF3</f>
        <v>114</v>
      </c>
      <c r="JF3" s="26">
        <f>Underwriting!JG3</f>
        <v>115</v>
      </c>
      <c r="JG3" s="26">
        <f>Underwriting!JH3</f>
        <v>116</v>
      </c>
      <c r="JH3" s="26">
        <f>Underwriting!JI3</f>
        <v>117</v>
      </c>
      <c r="JI3" s="26">
        <f>Underwriting!JJ3</f>
        <v>118</v>
      </c>
      <c r="JJ3" s="26">
        <f>Underwriting!JK3</f>
        <v>119</v>
      </c>
      <c r="JK3" s="26">
        <f>Underwriting!JL3</f>
        <v>120</v>
      </c>
      <c r="JL3" s="26">
        <f>Underwriting!JM3</f>
        <v>121</v>
      </c>
      <c r="JM3" s="26">
        <f>Underwriting!JN3</f>
        <v>122</v>
      </c>
      <c r="JN3" s="26">
        <f>Underwriting!JO3</f>
        <v>123</v>
      </c>
      <c r="JO3" s="26">
        <f>Underwriting!JP3</f>
        <v>124</v>
      </c>
      <c r="JP3" s="26">
        <f>Underwriting!JQ3</f>
        <v>125</v>
      </c>
      <c r="JQ3" s="26">
        <f>Underwriting!JR3</f>
        <v>126</v>
      </c>
      <c r="JR3" s="26">
        <f>Underwriting!JS3</f>
        <v>127</v>
      </c>
      <c r="JS3" s="26">
        <f>Underwriting!JT3</f>
        <v>128</v>
      </c>
      <c r="JT3" s="26">
        <f>Underwriting!JU3</f>
        <v>129</v>
      </c>
      <c r="JU3" s="26">
        <f>Underwriting!JV3</f>
        <v>130</v>
      </c>
      <c r="JV3" s="26">
        <f>Underwriting!JW3</f>
        <v>131</v>
      </c>
      <c r="JW3" s="26">
        <f>Underwriting!JX3</f>
        <v>132</v>
      </c>
    </row>
    <row r="4" spans="1:284" s="7" customFormat="1" ht="4.9000000000000004" customHeight="1" x14ac:dyDescent="0.2">
      <c r="A4" s="406"/>
      <c r="B4"/>
      <c r="C4"/>
      <c r="D4"/>
      <c r="E4"/>
      <c r="F4"/>
      <c r="G4"/>
      <c r="H4"/>
      <c r="I4"/>
      <c r="EO4" s="24"/>
      <c r="EP4" s="24"/>
      <c r="EQ4" s="24"/>
      <c r="ER4" s="24"/>
      <c r="ES4" s="24"/>
      <c r="ET4" s="24"/>
      <c r="EU4" s="24"/>
      <c r="EV4" s="24"/>
      <c r="EW4" s="24"/>
      <c r="EX4" s="24"/>
      <c r="EY4" s="24"/>
      <c r="EZ4" s="24"/>
      <c r="FA4" s="24"/>
      <c r="FB4" s="24"/>
      <c r="FC4" s="24"/>
      <c r="FD4" s="24"/>
      <c r="FE4" s="24"/>
      <c r="FF4" s="24"/>
      <c r="FG4" s="24"/>
      <c r="FH4" s="24"/>
      <c r="FI4" s="24"/>
      <c r="FJ4" s="24"/>
      <c r="FK4" s="24"/>
      <c r="FL4" s="24"/>
      <c r="FM4" s="24"/>
      <c r="FN4" s="24"/>
      <c r="FO4" s="24"/>
      <c r="FP4" s="24"/>
      <c r="FQ4" s="24"/>
      <c r="FR4" s="24"/>
      <c r="FS4" s="24"/>
      <c r="FT4" s="24"/>
      <c r="FU4" s="24"/>
      <c r="FV4" s="24"/>
      <c r="FW4" s="24"/>
      <c r="FX4" s="24"/>
      <c r="FY4" s="24"/>
      <c r="FZ4" s="24"/>
      <c r="GA4" s="24"/>
      <c r="GB4" s="24"/>
      <c r="GC4" s="24"/>
      <c r="GD4" s="24"/>
      <c r="GE4" s="24"/>
      <c r="GF4" s="24"/>
      <c r="GG4" s="24"/>
      <c r="GH4" s="24"/>
      <c r="GI4" s="24"/>
      <c r="GJ4" s="24"/>
      <c r="GK4" s="24"/>
      <c r="GL4" s="24"/>
      <c r="GM4" s="24"/>
      <c r="GN4" s="24"/>
      <c r="GO4" s="24"/>
      <c r="GP4" s="24"/>
      <c r="GQ4" s="24"/>
      <c r="GR4" s="24"/>
      <c r="GS4" s="24"/>
      <c r="GT4" s="24"/>
      <c r="GU4" s="24"/>
      <c r="GV4" s="24"/>
      <c r="GW4" s="24"/>
      <c r="GX4" s="24"/>
      <c r="GY4" s="24"/>
      <c r="GZ4" s="24"/>
      <c r="HA4" s="24"/>
      <c r="HB4" s="24"/>
      <c r="HC4" s="24"/>
      <c r="HD4" s="24"/>
      <c r="HE4" s="24"/>
      <c r="HF4" s="24"/>
      <c r="HG4" s="24"/>
      <c r="HH4" s="24"/>
      <c r="HI4" s="24"/>
      <c r="HJ4" s="24"/>
      <c r="HK4" s="24"/>
      <c r="HL4" s="24"/>
      <c r="HM4" s="24"/>
      <c r="HN4" s="24"/>
      <c r="HO4" s="24"/>
      <c r="HP4" s="24"/>
      <c r="HQ4" s="24"/>
      <c r="HR4" s="24"/>
      <c r="HS4" s="24"/>
      <c r="HT4" s="24"/>
      <c r="HU4" s="24"/>
      <c r="HV4" s="24"/>
      <c r="HW4" s="24"/>
      <c r="HX4" s="24"/>
      <c r="HY4" s="24"/>
      <c r="HZ4" s="24"/>
      <c r="IA4" s="24"/>
      <c r="IB4" s="24"/>
      <c r="IC4" s="24"/>
      <c r="ID4" s="24"/>
      <c r="IE4" s="24"/>
      <c r="IF4" s="24"/>
      <c r="IG4" s="24"/>
      <c r="IH4" s="24"/>
      <c r="II4" s="24"/>
      <c r="IJ4" s="24"/>
      <c r="IK4" s="24"/>
      <c r="IL4" s="24"/>
      <c r="IM4" s="24"/>
      <c r="IN4" s="24"/>
      <c r="IO4" s="24"/>
      <c r="IP4" s="24"/>
      <c r="IQ4" s="24"/>
      <c r="IR4" s="24"/>
      <c r="IS4" s="24"/>
      <c r="IT4" s="24"/>
      <c r="IU4" s="24"/>
      <c r="IV4" s="24"/>
      <c r="IW4" s="24"/>
      <c r="IX4" s="24"/>
      <c r="IY4" s="24"/>
      <c r="IZ4" s="24"/>
      <c r="JA4" s="24"/>
      <c r="JB4" s="24"/>
      <c r="JC4" s="24"/>
      <c r="JD4" s="24"/>
      <c r="JE4" s="24"/>
      <c r="JF4" s="24"/>
      <c r="JG4" s="24"/>
      <c r="JH4" s="24"/>
      <c r="JI4" s="24"/>
      <c r="JJ4" s="24"/>
      <c r="JK4" s="24"/>
      <c r="JL4" s="24"/>
      <c r="JM4" s="24"/>
      <c r="JN4" s="24"/>
      <c r="JO4" s="24"/>
      <c r="JP4" s="24"/>
      <c r="JQ4" s="24"/>
      <c r="JR4" s="24"/>
      <c r="JS4" s="24"/>
      <c r="JT4" s="24"/>
      <c r="JU4" s="24"/>
      <c r="JV4" s="24"/>
      <c r="JW4" s="24"/>
    </row>
    <row r="5" spans="1:284" s="194" customFormat="1" ht="10.5" customHeight="1" x14ac:dyDescent="0.2">
      <c r="A5" s="411"/>
      <c r="B5" s="85" t="s">
        <v>304</v>
      </c>
      <c r="C5" s="86">
        <f ca="1">Underwriting!C5</f>
        <v>0.14798039793968204</v>
      </c>
      <c r="D5" s="87" t="s">
        <v>308</v>
      </c>
      <c r="E5" s="88">
        <f ca="1">Underwriting!E5</f>
        <v>1.60213156386134</v>
      </c>
      <c r="F5" s="88"/>
      <c r="G5" s="86"/>
      <c r="H5" s="85" t="str">
        <f>"Retail Income /"&amp;Unit_Type&amp;", Net of Reserves"</f>
        <v>Retail Income /SF, Net of Reserves</v>
      </c>
      <c r="I5" s="550">
        <f>+H35-H45</f>
        <v>17.067343873517785</v>
      </c>
      <c r="J5" s="89"/>
      <c r="K5" s="197">
        <f>Underwriting!L23</f>
        <v>44561</v>
      </c>
      <c r="L5" s="197">
        <f>Underwriting!M23</f>
        <v>44592</v>
      </c>
      <c r="M5" s="197">
        <f>Underwriting!N23</f>
        <v>44620</v>
      </c>
      <c r="N5" s="197">
        <f>Underwriting!O23</f>
        <v>44651</v>
      </c>
      <c r="O5" s="197">
        <f>Underwriting!P23</f>
        <v>44681</v>
      </c>
      <c r="P5" s="197">
        <f>Underwriting!Q23</f>
        <v>44712</v>
      </c>
      <c r="Q5" s="197">
        <f>Underwriting!R23</f>
        <v>44742</v>
      </c>
      <c r="R5" s="197">
        <f>Underwriting!S23</f>
        <v>44773</v>
      </c>
      <c r="S5" s="197">
        <f>Underwriting!T23</f>
        <v>44804</v>
      </c>
      <c r="T5" s="197">
        <f>Underwriting!U23</f>
        <v>44834</v>
      </c>
      <c r="U5" s="197">
        <f>Underwriting!V23</f>
        <v>44865</v>
      </c>
      <c r="V5" s="197">
        <f>Underwriting!W23</f>
        <v>44895</v>
      </c>
      <c r="W5" s="197">
        <f>Underwriting!X23</f>
        <v>44926</v>
      </c>
      <c r="X5" s="197">
        <f>Underwriting!Y23</f>
        <v>44957</v>
      </c>
      <c r="Y5" s="197">
        <f>Underwriting!Z23</f>
        <v>44985</v>
      </c>
      <c r="Z5" s="197">
        <f>Underwriting!AA23</f>
        <v>45016</v>
      </c>
      <c r="AA5" s="197">
        <f>Underwriting!AB23</f>
        <v>45046</v>
      </c>
      <c r="AB5" s="197">
        <f>Underwriting!AC23</f>
        <v>45077</v>
      </c>
      <c r="AC5" s="197">
        <f>Underwriting!AD23</f>
        <v>45107</v>
      </c>
      <c r="AD5" s="197">
        <f>Underwriting!AE23</f>
        <v>45138</v>
      </c>
      <c r="AE5" s="197">
        <f>Underwriting!AF23</f>
        <v>45169</v>
      </c>
      <c r="AF5" s="197">
        <f>Underwriting!AG23</f>
        <v>45199</v>
      </c>
      <c r="AG5" s="197">
        <f>Underwriting!AH23</f>
        <v>45230</v>
      </c>
      <c r="AH5" s="197">
        <f>Underwriting!AI23</f>
        <v>45260</v>
      </c>
      <c r="AI5" s="197">
        <f>Underwriting!AJ23</f>
        <v>45291</v>
      </c>
      <c r="AJ5" s="197">
        <f>Underwriting!AK23</f>
        <v>45322</v>
      </c>
      <c r="AK5" s="197">
        <f>Underwriting!AL23</f>
        <v>45351</v>
      </c>
      <c r="AL5" s="197">
        <f>Underwriting!AM23</f>
        <v>45382</v>
      </c>
      <c r="AM5" s="197">
        <f>Underwriting!AN23</f>
        <v>45412</v>
      </c>
      <c r="AN5" s="197">
        <f>Underwriting!AO23</f>
        <v>45443</v>
      </c>
      <c r="AO5" s="197">
        <f>Underwriting!AP23</f>
        <v>45473</v>
      </c>
      <c r="AP5" s="197">
        <f>Underwriting!AQ23</f>
        <v>45504</v>
      </c>
      <c r="AQ5" s="197">
        <f>Underwriting!AR23</f>
        <v>45535</v>
      </c>
      <c r="AR5" s="197">
        <f>Underwriting!AS23</f>
        <v>45565</v>
      </c>
      <c r="AS5" s="197">
        <f>Underwriting!AT23</f>
        <v>45596</v>
      </c>
      <c r="AT5" s="197">
        <f>Underwriting!AU23</f>
        <v>45626</v>
      </c>
      <c r="AU5" s="197">
        <f>Underwriting!AV23</f>
        <v>45657</v>
      </c>
      <c r="AV5" s="197">
        <f>Underwriting!AW23</f>
        <v>45688</v>
      </c>
      <c r="AW5" s="197">
        <f>Underwriting!AX23</f>
        <v>45716</v>
      </c>
      <c r="AX5" s="197">
        <f>Underwriting!AY23</f>
        <v>45747</v>
      </c>
      <c r="AY5" s="197">
        <f>Underwriting!AZ23</f>
        <v>45777</v>
      </c>
      <c r="AZ5" s="197">
        <f>Underwriting!BA23</f>
        <v>45808</v>
      </c>
      <c r="BA5" s="197">
        <f>Underwriting!BB23</f>
        <v>45838</v>
      </c>
      <c r="BB5" s="197">
        <f>Underwriting!BC23</f>
        <v>45869</v>
      </c>
      <c r="BC5" s="197">
        <f>Underwriting!BD23</f>
        <v>45900</v>
      </c>
      <c r="BD5" s="197">
        <f>Underwriting!BE23</f>
        <v>45930</v>
      </c>
      <c r="BE5" s="197">
        <f>Underwriting!BF23</f>
        <v>45961</v>
      </c>
      <c r="BF5" s="197">
        <f>Underwriting!BG23</f>
        <v>45991</v>
      </c>
      <c r="BG5" s="197">
        <f>Underwriting!BH23</f>
        <v>46022</v>
      </c>
      <c r="BH5" s="197">
        <f>Underwriting!BI23</f>
        <v>46053</v>
      </c>
      <c r="BI5" s="197">
        <f>Underwriting!BJ23</f>
        <v>46081</v>
      </c>
      <c r="BJ5" s="197">
        <f>Underwriting!BK23</f>
        <v>46112</v>
      </c>
      <c r="BK5" s="197">
        <f>Underwriting!BL23</f>
        <v>46142</v>
      </c>
      <c r="BL5" s="197">
        <f>Underwriting!BM23</f>
        <v>46173</v>
      </c>
      <c r="BM5" s="197">
        <f>Underwriting!BN23</f>
        <v>46203</v>
      </c>
      <c r="BN5" s="197">
        <f>Underwriting!BO23</f>
        <v>46234</v>
      </c>
      <c r="BO5" s="197">
        <f>Underwriting!BP23</f>
        <v>46265</v>
      </c>
      <c r="BP5" s="197">
        <f>Underwriting!BQ23</f>
        <v>46295</v>
      </c>
      <c r="BQ5" s="197">
        <f>Underwriting!BR23</f>
        <v>46326</v>
      </c>
      <c r="BR5" s="197">
        <f>Underwriting!BS23</f>
        <v>46356</v>
      </c>
      <c r="BS5" s="197">
        <f>Underwriting!BT23</f>
        <v>46387</v>
      </c>
      <c r="BT5" s="197">
        <f>Underwriting!BU23</f>
        <v>46418</v>
      </c>
      <c r="BU5" s="197">
        <f>Underwriting!BV23</f>
        <v>46446</v>
      </c>
      <c r="BV5" s="197">
        <f>Underwriting!BW23</f>
        <v>46477</v>
      </c>
      <c r="BW5" s="197">
        <f>Underwriting!BX23</f>
        <v>46507</v>
      </c>
      <c r="BX5" s="197">
        <f>Underwriting!BY23</f>
        <v>46538</v>
      </c>
      <c r="BY5" s="197">
        <f>Underwriting!BZ23</f>
        <v>46568</v>
      </c>
      <c r="BZ5" s="197">
        <f>Underwriting!CA23</f>
        <v>46599</v>
      </c>
      <c r="CA5" s="197">
        <f>Underwriting!CB23</f>
        <v>46630</v>
      </c>
      <c r="CB5" s="197">
        <f>Underwriting!CC23</f>
        <v>46660</v>
      </c>
      <c r="CC5" s="197">
        <f>Underwriting!CD23</f>
        <v>46691</v>
      </c>
      <c r="CD5" s="197">
        <f>Underwriting!CE23</f>
        <v>46721</v>
      </c>
      <c r="CE5" s="197">
        <f>Underwriting!CF23</f>
        <v>46752</v>
      </c>
      <c r="CF5" s="197">
        <f>Underwriting!CG23</f>
        <v>46783</v>
      </c>
      <c r="CG5" s="197">
        <f>Underwriting!CH23</f>
        <v>46812</v>
      </c>
      <c r="CH5" s="197">
        <f>Underwriting!CI23</f>
        <v>46843</v>
      </c>
      <c r="CI5" s="197">
        <f>Underwriting!CJ23</f>
        <v>46873</v>
      </c>
      <c r="CJ5" s="197">
        <f>Underwriting!CK23</f>
        <v>46904</v>
      </c>
      <c r="CK5" s="197">
        <f>Underwriting!CL23</f>
        <v>46934</v>
      </c>
      <c r="CL5" s="197">
        <f>Underwriting!CM23</f>
        <v>46965</v>
      </c>
      <c r="CM5" s="197">
        <f>Underwriting!CN23</f>
        <v>46996</v>
      </c>
      <c r="CN5" s="197">
        <f>Underwriting!CO23</f>
        <v>47026</v>
      </c>
      <c r="CO5" s="197">
        <f>Underwriting!CP23</f>
        <v>47057</v>
      </c>
      <c r="CP5" s="197">
        <f>Underwriting!CQ23</f>
        <v>47087</v>
      </c>
      <c r="CQ5" s="197">
        <f>Underwriting!CR23</f>
        <v>47118</v>
      </c>
      <c r="CR5" s="197">
        <f>Underwriting!CS23</f>
        <v>47149</v>
      </c>
      <c r="CS5" s="197">
        <f>Underwriting!CT23</f>
        <v>47177</v>
      </c>
      <c r="CT5" s="197">
        <f>Underwriting!CU23</f>
        <v>47208</v>
      </c>
      <c r="CU5" s="197">
        <f>Underwriting!CV23</f>
        <v>47238</v>
      </c>
      <c r="CV5" s="197">
        <f>Underwriting!CW23</f>
        <v>47269</v>
      </c>
      <c r="CW5" s="197">
        <f>Underwriting!CX23</f>
        <v>47299</v>
      </c>
      <c r="CX5" s="197">
        <f>Underwriting!CY23</f>
        <v>47330</v>
      </c>
      <c r="CY5" s="197">
        <f>Underwriting!CZ23</f>
        <v>47361</v>
      </c>
      <c r="CZ5" s="197">
        <f>Underwriting!DA23</f>
        <v>47391</v>
      </c>
      <c r="DA5" s="197">
        <f>Underwriting!DB23</f>
        <v>47422</v>
      </c>
      <c r="DB5" s="197">
        <f>Underwriting!DC23</f>
        <v>47452</v>
      </c>
      <c r="DC5" s="197">
        <f>Underwriting!DD23</f>
        <v>47483</v>
      </c>
      <c r="DD5" s="197">
        <f>Underwriting!DE23</f>
        <v>47514</v>
      </c>
      <c r="DE5" s="197">
        <f>Underwriting!DF23</f>
        <v>47542</v>
      </c>
      <c r="DF5" s="197">
        <f>Underwriting!DG23</f>
        <v>47573</v>
      </c>
      <c r="DG5" s="197">
        <f>Underwriting!DH23</f>
        <v>47603</v>
      </c>
      <c r="DH5" s="197">
        <f>Underwriting!DI23</f>
        <v>47634</v>
      </c>
      <c r="DI5" s="197">
        <f>Underwriting!DJ23</f>
        <v>47664</v>
      </c>
      <c r="DJ5" s="197">
        <f>Underwriting!DK23</f>
        <v>47695</v>
      </c>
      <c r="DK5" s="197">
        <f>Underwriting!DL23</f>
        <v>47726</v>
      </c>
      <c r="DL5" s="197">
        <f>Underwriting!DM23</f>
        <v>47756</v>
      </c>
      <c r="DM5" s="197">
        <f>Underwriting!DN23</f>
        <v>47787</v>
      </c>
      <c r="DN5" s="197">
        <f>Underwriting!DO23</f>
        <v>47817</v>
      </c>
      <c r="DO5" s="197">
        <f>Underwriting!DP23</f>
        <v>47848</v>
      </c>
      <c r="DP5" s="197">
        <f>Underwriting!DQ23</f>
        <v>47879</v>
      </c>
      <c r="DQ5" s="197">
        <f>Underwriting!DR23</f>
        <v>47907</v>
      </c>
      <c r="DR5" s="197">
        <f>Underwriting!DS23</f>
        <v>47938</v>
      </c>
      <c r="DS5" s="197">
        <f>Underwriting!DT23</f>
        <v>47968</v>
      </c>
      <c r="DT5" s="197">
        <f>Underwriting!DU23</f>
        <v>47999</v>
      </c>
      <c r="DU5" s="197">
        <f>Underwriting!DV23</f>
        <v>48029</v>
      </c>
      <c r="DV5" s="197">
        <f>Underwriting!DW23</f>
        <v>48060</v>
      </c>
      <c r="DW5" s="197">
        <f>Underwriting!DX23</f>
        <v>48091</v>
      </c>
      <c r="DX5" s="197">
        <f>Underwriting!DY23</f>
        <v>48121</v>
      </c>
      <c r="DY5" s="197">
        <f>Underwriting!DZ23</f>
        <v>48152</v>
      </c>
      <c r="DZ5" s="197">
        <f>Underwriting!EA23</f>
        <v>48182</v>
      </c>
      <c r="EA5" s="197">
        <f>Underwriting!EB23</f>
        <v>48213</v>
      </c>
      <c r="EB5" s="197">
        <f>Underwriting!EC23</f>
        <v>48244</v>
      </c>
      <c r="EC5" s="197">
        <f>Underwriting!ED23</f>
        <v>48273</v>
      </c>
      <c r="ED5" s="197">
        <f>Underwriting!EE23</f>
        <v>48304</v>
      </c>
      <c r="EE5" s="197">
        <f>Underwriting!EF23</f>
        <v>48334</v>
      </c>
      <c r="EF5" s="197">
        <f>Underwriting!EG23</f>
        <v>48365</v>
      </c>
      <c r="EG5" s="197">
        <f>Underwriting!EH23</f>
        <v>48395</v>
      </c>
      <c r="EH5" s="197">
        <f>Underwriting!EI23</f>
        <v>48426</v>
      </c>
      <c r="EI5" s="197">
        <f>Underwriting!EJ23</f>
        <v>48457</v>
      </c>
      <c r="EJ5" s="197">
        <f>Underwriting!EK23</f>
        <v>48487</v>
      </c>
      <c r="EK5" s="197">
        <f>Underwriting!EL23</f>
        <v>48518</v>
      </c>
      <c r="EL5" s="197">
        <f>Underwriting!EM23</f>
        <v>48548</v>
      </c>
      <c r="EM5" s="197">
        <f>Underwriting!EN23</f>
        <v>48579</v>
      </c>
      <c r="EO5" s="24"/>
      <c r="EP5" s="203"/>
      <c r="EQ5" s="203"/>
      <c r="ER5" s="203"/>
      <c r="ES5" s="203"/>
      <c r="ET5" s="203"/>
      <c r="EU5" s="203"/>
      <c r="EV5" s="203"/>
      <c r="EW5" s="203"/>
      <c r="EX5" s="203"/>
      <c r="EY5" s="203"/>
      <c r="EZ5" s="203"/>
      <c r="FA5" s="203"/>
      <c r="FB5" s="203"/>
      <c r="FC5" s="203"/>
      <c r="FD5" s="203"/>
      <c r="FE5" s="203"/>
      <c r="FF5" s="203"/>
      <c r="FG5" s="203"/>
      <c r="FH5" s="203"/>
      <c r="FI5" s="203"/>
      <c r="FJ5" s="203"/>
      <c r="FK5" s="203"/>
      <c r="FL5" s="203"/>
      <c r="FM5" s="203"/>
      <c r="FN5" s="203"/>
      <c r="FO5" s="203"/>
      <c r="FP5" s="203"/>
      <c r="FQ5" s="203"/>
      <c r="FR5" s="203"/>
      <c r="FS5" s="203"/>
      <c r="FT5" s="203"/>
      <c r="FU5" s="203"/>
      <c r="FV5" s="203"/>
      <c r="FW5" s="203"/>
      <c r="FX5" s="203"/>
      <c r="FY5" s="203"/>
      <c r="FZ5" s="203"/>
      <c r="GA5" s="203"/>
      <c r="GB5" s="203"/>
      <c r="GC5" s="203"/>
      <c r="GD5" s="203"/>
      <c r="GE5" s="203"/>
      <c r="GF5" s="203"/>
      <c r="GG5" s="203"/>
      <c r="GH5" s="203"/>
      <c r="GI5" s="203"/>
      <c r="GJ5" s="203"/>
      <c r="GK5" s="203"/>
      <c r="GL5" s="203"/>
      <c r="GM5" s="203"/>
      <c r="GN5" s="203"/>
      <c r="GO5" s="203"/>
      <c r="GP5" s="203"/>
      <c r="GQ5" s="203"/>
      <c r="GR5" s="203"/>
      <c r="GS5" s="203"/>
      <c r="GT5" s="203"/>
      <c r="GU5" s="203"/>
      <c r="GV5" s="203"/>
      <c r="GW5" s="203"/>
      <c r="GX5" s="203"/>
      <c r="GY5" s="203"/>
      <c r="GZ5" s="203"/>
      <c r="HA5" s="203"/>
      <c r="HB5" s="203"/>
      <c r="HC5" s="203"/>
      <c r="HD5" s="203"/>
      <c r="HE5" s="203"/>
      <c r="HF5" s="203"/>
      <c r="HG5" s="203"/>
      <c r="HH5" s="203"/>
      <c r="HI5" s="203"/>
      <c r="HJ5" s="203"/>
      <c r="HK5" s="203"/>
      <c r="HL5" s="203"/>
      <c r="HM5" s="203"/>
      <c r="HN5" s="203"/>
      <c r="HO5" s="203"/>
      <c r="HP5" s="203"/>
      <c r="HQ5" s="203"/>
      <c r="HR5" s="203"/>
      <c r="HS5" s="203"/>
      <c r="HT5" s="203"/>
      <c r="HU5" s="203"/>
      <c r="HV5" s="203"/>
      <c r="HW5" s="203"/>
      <c r="HX5" s="203"/>
      <c r="HY5" s="203"/>
      <c r="HZ5" s="203"/>
      <c r="IA5" s="203"/>
      <c r="IB5" s="203"/>
      <c r="IC5" s="203"/>
      <c r="ID5" s="203"/>
      <c r="IE5" s="203"/>
      <c r="IF5" s="203"/>
      <c r="IG5" s="203"/>
      <c r="IH5" s="203"/>
      <c r="II5" s="203"/>
      <c r="IJ5" s="203"/>
      <c r="IK5" s="203"/>
      <c r="IL5" s="203"/>
      <c r="IM5" s="203"/>
      <c r="IN5" s="203"/>
      <c r="IO5" s="203"/>
      <c r="IP5" s="203"/>
      <c r="IQ5" s="203"/>
      <c r="IR5" s="203"/>
      <c r="IS5" s="203"/>
      <c r="IT5" s="203"/>
      <c r="IU5" s="203"/>
      <c r="IV5" s="203"/>
      <c r="IW5" s="203"/>
      <c r="IX5" s="203"/>
      <c r="IY5" s="203"/>
      <c r="IZ5" s="203"/>
      <c r="JA5" s="203"/>
      <c r="JB5" s="203"/>
      <c r="JC5" s="203"/>
      <c r="JD5" s="203"/>
      <c r="JE5" s="203"/>
      <c r="JF5" s="203"/>
      <c r="JG5" s="203"/>
      <c r="JH5" s="203"/>
      <c r="JI5" s="203"/>
      <c r="JJ5" s="203"/>
      <c r="JK5" s="203"/>
      <c r="JL5" s="203"/>
      <c r="JM5" s="203"/>
      <c r="JN5" s="203"/>
      <c r="JO5" s="203"/>
      <c r="JP5" s="203"/>
      <c r="JQ5" s="203"/>
      <c r="JR5" s="203"/>
      <c r="JS5" s="203"/>
      <c r="JT5" s="203"/>
      <c r="JU5" s="203"/>
      <c r="JV5" s="203"/>
      <c r="JW5" s="203"/>
    </row>
    <row r="6" spans="1:284" s="7" customFormat="1" ht="4.9000000000000004" customHeight="1" x14ac:dyDescent="0.2">
      <c r="A6" s="406"/>
      <c r="B6"/>
      <c r="C6"/>
      <c r="D6"/>
      <c r="E6"/>
      <c r="F6"/>
      <c r="G6"/>
      <c r="H6"/>
      <c r="I6"/>
      <c r="EO6" s="24"/>
      <c r="EP6" s="24"/>
      <c r="EQ6" s="24"/>
      <c r="ER6" s="24"/>
      <c r="ES6" s="24"/>
      <c r="ET6" s="24"/>
      <c r="EU6" s="24"/>
      <c r="EV6" s="24"/>
      <c r="EW6" s="24"/>
      <c r="EX6" s="24"/>
      <c r="EY6" s="24"/>
      <c r="EZ6" s="24"/>
      <c r="FA6" s="24"/>
      <c r="FB6" s="24"/>
      <c r="FC6" s="24"/>
      <c r="FD6" s="24"/>
      <c r="FE6" s="24"/>
      <c r="FF6" s="24"/>
      <c r="FG6" s="24"/>
      <c r="FH6" s="24"/>
      <c r="FI6" s="24"/>
      <c r="FJ6" s="24"/>
      <c r="FK6" s="24"/>
      <c r="FL6" s="24"/>
      <c r="FM6" s="24"/>
      <c r="FN6" s="24"/>
      <c r="FO6" s="24"/>
      <c r="FP6" s="24"/>
      <c r="FQ6" s="24"/>
      <c r="FR6" s="24"/>
      <c r="FS6" s="24"/>
      <c r="FT6" s="24"/>
      <c r="FU6" s="24"/>
      <c r="FV6" s="24"/>
      <c r="FW6" s="24"/>
      <c r="FX6" s="24"/>
      <c r="FY6" s="24"/>
      <c r="FZ6" s="24"/>
      <c r="GA6" s="24"/>
      <c r="GB6" s="24"/>
      <c r="GC6" s="24"/>
      <c r="GD6" s="24"/>
      <c r="GE6" s="24"/>
      <c r="GF6" s="24"/>
      <c r="GG6" s="24"/>
      <c r="GH6" s="24"/>
      <c r="GI6" s="24"/>
      <c r="GJ6" s="24"/>
      <c r="GK6" s="24"/>
      <c r="GL6" s="24"/>
      <c r="GM6" s="24"/>
      <c r="GN6" s="24"/>
      <c r="GO6" s="24"/>
      <c r="GP6" s="24"/>
      <c r="GQ6" s="24"/>
      <c r="GR6" s="24"/>
      <c r="GS6" s="24"/>
      <c r="GT6" s="24"/>
      <c r="GU6" s="24"/>
      <c r="GV6" s="24"/>
      <c r="GW6" s="24"/>
      <c r="GX6" s="24"/>
      <c r="GY6" s="24"/>
      <c r="GZ6" s="24"/>
      <c r="HA6" s="24"/>
      <c r="HB6" s="24"/>
      <c r="HC6" s="24"/>
      <c r="HD6" s="24"/>
      <c r="HE6" s="24"/>
      <c r="HF6" s="24"/>
      <c r="HG6" s="24"/>
      <c r="HH6" s="24"/>
      <c r="HI6" s="24"/>
      <c r="HJ6" s="24"/>
      <c r="HK6" s="24"/>
      <c r="HL6" s="24"/>
      <c r="HM6" s="24"/>
      <c r="HN6" s="24"/>
      <c r="HO6" s="24"/>
      <c r="HP6" s="24"/>
      <c r="HQ6" s="24"/>
      <c r="HR6" s="24"/>
      <c r="HS6" s="24"/>
      <c r="HT6" s="24"/>
      <c r="HU6" s="24"/>
      <c r="HV6" s="24"/>
      <c r="HW6" s="24"/>
      <c r="HX6" s="24"/>
      <c r="HY6" s="24"/>
      <c r="HZ6" s="24"/>
      <c r="IA6" s="24"/>
      <c r="IB6" s="24"/>
      <c r="IC6" s="24"/>
      <c r="ID6" s="24"/>
      <c r="IE6" s="24"/>
      <c r="IF6" s="24"/>
      <c r="IG6" s="24"/>
      <c r="IH6" s="24"/>
      <c r="II6" s="24"/>
      <c r="IJ6" s="24"/>
      <c r="IK6" s="24"/>
      <c r="IL6" s="24"/>
      <c r="IM6" s="24"/>
      <c r="IN6" s="24"/>
      <c r="IO6" s="24"/>
      <c r="IP6" s="24"/>
      <c r="IQ6" s="24"/>
      <c r="IR6" s="24"/>
      <c r="IS6" s="24"/>
      <c r="IT6" s="24"/>
      <c r="IU6" s="24"/>
      <c r="IV6" s="24"/>
      <c r="IW6" s="24"/>
      <c r="IX6" s="24"/>
      <c r="IY6" s="24"/>
      <c r="IZ6" s="24"/>
      <c r="JA6" s="24"/>
      <c r="JB6" s="24"/>
      <c r="JC6" s="24"/>
      <c r="JD6" s="24"/>
      <c r="JE6" s="24"/>
      <c r="JF6" s="24"/>
      <c r="JG6" s="24"/>
      <c r="JH6" s="24"/>
      <c r="JI6" s="24"/>
      <c r="JJ6" s="24"/>
      <c r="JK6" s="24"/>
      <c r="JL6" s="24"/>
      <c r="JM6" s="24"/>
      <c r="JN6" s="24"/>
      <c r="JO6" s="24"/>
      <c r="JP6" s="24"/>
      <c r="JQ6" s="24"/>
      <c r="JR6" s="24"/>
      <c r="JS6" s="24"/>
      <c r="JT6" s="24"/>
      <c r="JU6" s="24"/>
      <c r="JV6" s="24"/>
      <c r="JW6" s="24"/>
    </row>
    <row r="7" spans="1:284" ht="5.0999999999999996" customHeight="1" x14ac:dyDescent="0.2">
      <c r="B7" s="40"/>
      <c r="C7" s="40"/>
      <c r="D7" s="40"/>
      <c r="E7" s="40"/>
      <c r="F7" s="40"/>
      <c r="G7" s="40"/>
      <c r="H7" s="40"/>
      <c r="I7" s="40"/>
      <c r="EO7" s="24"/>
      <c r="EP7" s="201"/>
      <c r="EQ7" s="201"/>
      <c r="ER7" s="201"/>
      <c r="ES7" s="201"/>
      <c r="ET7" s="201"/>
      <c r="EU7" s="201"/>
      <c r="EV7" s="201"/>
      <c r="EW7" s="201"/>
      <c r="EX7" s="201"/>
      <c r="EY7" s="201"/>
      <c r="EZ7" s="201"/>
      <c r="FA7" s="201"/>
      <c r="FB7" s="201"/>
      <c r="FC7" s="201"/>
      <c r="FD7" s="201"/>
      <c r="FE7" s="201"/>
      <c r="FF7" s="201"/>
      <c r="FG7" s="201"/>
      <c r="FH7" s="201"/>
      <c r="FI7" s="201"/>
      <c r="FJ7" s="201"/>
      <c r="FK7" s="201"/>
      <c r="FL7" s="201"/>
      <c r="FM7" s="201"/>
      <c r="FN7" s="201"/>
      <c r="FO7" s="201"/>
      <c r="FP7" s="201"/>
      <c r="FQ7" s="201"/>
      <c r="FR7" s="201"/>
      <c r="FS7" s="201"/>
      <c r="FT7" s="201"/>
      <c r="FU7" s="201"/>
      <c r="FV7" s="201"/>
      <c r="FW7" s="201"/>
      <c r="FX7" s="201"/>
      <c r="FY7" s="201"/>
      <c r="FZ7" s="201"/>
      <c r="GA7" s="201"/>
      <c r="GB7" s="201"/>
      <c r="GC7" s="201"/>
      <c r="GD7" s="201"/>
      <c r="GE7" s="201"/>
      <c r="GF7" s="201"/>
      <c r="GG7" s="201"/>
      <c r="GH7" s="201"/>
      <c r="GI7" s="201"/>
      <c r="GJ7" s="201"/>
      <c r="GK7" s="201"/>
      <c r="GL7" s="201"/>
      <c r="GM7" s="201"/>
      <c r="GN7" s="201"/>
      <c r="GO7" s="201"/>
      <c r="GP7" s="201"/>
      <c r="GQ7" s="201"/>
      <c r="GR7" s="201"/>
      <c r="GS7" s="201"/>
      <c r="GT7" s="201"/>
      <c r="GU7" s="201"/>
      <c r="GV7" s="201"/>
      <c r="GW7" s="201"/>
      <c r="GX7" s="201"/>
      <c r="GY7" s="201"/>
      <c r="GZ7" s="201"/>
      <c r="HA7" s="201"/>
      <c r="HB7" s="201"/>
      <c r="HC7" s="201"/>
      <c r="HD7" s="201"/>
      <c r="HE7" s="201"/>
      <c r="HF7" s="201"/>
      <c r="HG7" s="201"/>
      <c r="HH7" s="201"/>
      <c r="HI7" s="201"/>
      <c r="HJ7" s="201"/>
      <c r="HK7" s="201"/>
      <c r="HL7" s="201"/>
      <c r="HM7" s="201"/>
      <c r="HN7" s="201"/>
      <c r="HO7" s="201"/>
      <c r="HP7" s="201"/>
      <c r="HQ7" s="201"/>
      <c r="HR7" s="201"/>
      <c r="HS7" s="201"/>
      <c r="HT7" s="201"/>
      <c r="HU7" s="201"/>
      <c r="HV7" s="201"/>
      <c r="HW7" s="201"/>
      <c r="HX7" s="201"/>
      <c r="HY7" s="201"/>
      <c r="HZ7" s="201"/>
      <c r="IA7" s="201"/>
      <c r="IB7" s="201"/>
      <c r="IC7" s="201"/>
      <c r="ID7" s="201"/>
      <c r="IE7" s="201"/>
      <c r="IF7" s="201"/>
      <c r="IG7" s="201"/>
      <c r="IH7" s="201"/>
      <c r="II7" s="201"/>
      <c r="IJ7" s="201"/>
      <c r="IK7" s="201"/>
      <c r="IL7" s="201"/>
      <c r="IM7" s="201"/>
      <c r="IN7" s="201"/>
      <c r="IO7" s="201"/>
      <c r="IP7" s="201"/>
      <c r="IQ7" s="201"/>
      <c r="IR7" s="201"/>
      <c r="IS7" s="201"/>
      <c r="IT7" s="201"/>
      <c r="IU7" s="201"/>
      <c r="IV7" s="201"/>
      <c r="IW7" s="201"/>
      <c r="IX7" s="201"/>
      <c r="IY7" s="201"/>
      <c r="IZ7" s="201"/>
      <c r="JA7" s="201"/>
      <c r="JB7" s="201"/>
      <c r="JC7" s="201"/>
      <c r="JD7" s="201"/>
      <c r="JE7" s="201"/>
      <c r="JF7" s="201"/>
      <c r="JG7" s="201"/>
      <c r="JH7" s="201"/>
      <c r="JI7" s="201"/>
      <c r="JJ7" s="201"/>
      <c r="JK7" s="201"/>
      <c r="JL7" s="201"/>
      <c r="JM7" s="201"/>
      <c r="JN7" s="201"/>
      <c r="JO7" s="201"/>
      <c r="JP7" s="201"/>
      <c r="JQ7" s="201"/>
      <c r="JR7" s="201"/>
      <c r="JS7" s="201"/>
      <c r="JT7" s="201"/>
      <c r="JU7" s="201"/>
      <c r="JV7" s="201"/>
      <c r="JW7" s="201"/>
    </row>
    <row r="8" spans="1:284" x14ac:dyDescent="0.2">
      <c r="B8" s="2" t="s">
        <v>316</v>
      </c>
      <c r="C8" s="1"/>
      <c r="D8" s="1"/>
      <c r="E8" s="1"/>
      <c r="F8" s="1"/>
      <c r="G8" s="1"/>
      <c r="H8" s="1"/>
      <c r="I8" s="1"/>
      <c r="EO8" s="24"/>
      <c r="EP8" s="201"/>
      <c r="EQ8" s="201"/>
      <c r="ER8" s="201"/>
      <c r="ES8" s="201"/>
      <c r="ET8" s="201"/>
      <c r="EU8" s="201"/>
      <c r="EV8" s="201"/>
      <c r="EW8" s="201"/>
      <c r="EX8" s="201"/>
      <c r="EY8" s="201"/>
      <c r="EZ8" s="201"/>
      <c r="FA8" s="201"/>
      <c r="FB8" s="201"/>
      <c r="FC8" s="201"/>
      <c r="FD8" s="201"/>
      <c r="FE8" s="201"/>
      <c r="FF8" s="201"/>
      <c r="FG8" s="201"/>
      <c r="FH8" s="201"/>
      <c r="FI8" s="201"/>
      <c r="FJ8" s="201"/>
      <c r="FK8" s="201"/>
      <c r="FL8" s="201"/>
      <c r="FM8" s="201"/>
      <c r="FN8" s="201"/>
      <c r="FO8" s="201"/>
      <c r="FP8" s="201"/>
      <c r="FQ8" s="201"/>
      <c r="FR8" s="201"/>
      <c r="FS8" s="201"/>
      <c r="FT8" s="201"/>
      <c r="FU8" s="201"/>
      <c r="FV8" s="201"/>
      <c r="FW8" s="201"/>
      <c r="FX8" s="201"/>
      <c r="FY8" s="201"/>
      <c r="FZ8" s="201"/>
      <c r="GA8" s="201"/>
      <c r="GB8" s="201"/>
      <c r="GC8" s="201"/>
      <c r="GD8" s="201"/>
      <c r="GE8" s="201"/>
      <c r="GF8" s="201"/>
      <c r="GG8" s="201"/>
      <c r="GH8" s="201"/>
      <c r="GI8" s="201"/>
      <c r="GJ8" s="201"/>
      <c r="GK8" s="201"/>
      <c r="GL8" s="201"/>
      <c r="GM8" s="201"/>
      <c r="GN8" s="201"/>
      <c r="GO8" s="201"/>
      <c r="GP8" s="201"/>
      <c r="GQ8" s="201"/>
      <c r="GR8" s="201"/>
      <c r="GS8" s="201"/>
      <c r="GT8" s="201"/>
      <c r="GU8" s="201"/>
      <c r="GV8" s="201"/>
      <c r="GW8" s="201"/>
      <c r="GX8" s="201"/>
      <c r="GY8" s="201"/>
      <c r="GZ8" s="201"/>
      <c r="HA8" s="201"/>
      <c r="HB8" s="201"/>
      <c r="HC8" s="201"/>
      <c r="HD8" s="201"/>
      <c r="HE8" s="201"/>
      <c r="HF8" s="201"/>
      <c r="HG8" s="201"/>
      <c r="HH8" s="201"/>
      <c r="HI8" s="201"/>
      <c r="HJ8" s="201"/>
      <c r="HK8" s="201"/>
      <c r="HL8" s="201"/>
      <c r="HM8" s="201"/>
      <c r="HN8" s="201"/>
      <c r="HO8" s="201"/>
      <c r="HP8" s="201"/>
      <c r="HQ8" s="201"/>
      <c r="HR8" s="201"/>
      <c r="HS8" s="201"/>
      <c r="HT8" s="201"/>
      <c r="HU8" s="201"/>
      <c r="HV8" s="201"/>
      <c r="HW8" s="201"/>
      <c r="HX8" s="201"/>
      <c r="HY8" s="201"/>
      <c r="HZ8" s="201"/>
      <c r="IA8" s="201"/>
      <c r="IB8" s="201"/>
      <c r="IC8" s="201"/>
      <c r="ID8" s="201"/>
      <c r="IE8" s="201"/>
      <c r="IF8" s="201"/>
      <c r="IG8" s="201"/>
      <c r="IH8" s="201"/>
      <c r="II8" s="201"/>
      <c r="IJ8" s="201"/>
      <c r="IK8" s="201"/>
      <c r="IL8" s="201"/>
      <c r="IM8" s="201"/>
      <c r="IN8" s="201"/>
      <c r="IO8" s="201"/>
      <c r="IP8" s="201"/>
      <c r="IQ8" s="201"/>
      <c r="IR8" s="201"/>
      <c r="IS8" s="201"/>
      <c r="IT8" s="201"/>
      <c r="IU8" s="201"/>
      <c r="IV8" s="201"/>
      <c r="IW8" s="201"/>
      <c r="IX8" s="201"/>
      <c r="IY8" s="201"/>
      <c r="IZ8" s="201"/>
      <c r="JA8" s="201"/>
      <c r="JB8" s="201"/>
      <c r="JC8" s="201"/>
      <c r="JD8" s="201"/>
      <c r="JE8" s="201"/>
      <c r="JF8" s="201"/>
      <c r="JG8" s="201"/>
      <c r="JH8" s="201"/>
      <c r="JI8" s="201"/>
      <c r="JJ8" s="201"/>
      <c r="JK8" s="201"/>
      <c r="JL8" s="201"/>
      <c r="JM8" s="201"/>
      <c r="JN8" s="201"/>
      <c r="JO8" s="201"/>
      <c r="JP8" s="201"/>
      <c r="JQ8" s="201"/>
      <c r="JR8" s="201"/>
      <c r="JS8" s="201"/>
      <c r="JT8" s="201"/>
      <c r="JU8" s="201"/>
      <c r="JV8" s="201"/>
      <c r="JW8" s="201"/>
    </row>
    <row r="9" spans="1:284" x14ac:dyDescent="0.2">
      <c r="B9" s="12" t="s">
        <v>317</v>
      </c>
      <c r="C9" s="10"/>
      <c r="D9" s="10"/>
      <c r="E9" s="10"/>
      <c r="F9" s="10"/>
      <c r="G9" s="10"/>
      <c r="H9" s="10"/>
      <c r="I9" s="10"/>
      <c r="K9" s="199" t="s">
        <v>336</v>
      </c>
      <c r="L9" s="199">
        <f t="shared" ref="L9:AQ9" si="0">EV15/Units_Retail</f>
        <v>0</v>
      </c>
      <c r="M9" s="199">
        <f t="shared" si="0"/>
        <v>0</v>
      </c>
      <c r="N9" s="199">
        <f t="shared" si="0"/>
        <v>0</v>
      </c>
      <c r="O9" s="199">
        <f t="shared" si="0"/>
        <v>0</v>
      </c>
      <c r="P9" s="199">
        <f t="shared" si="0"/>
        <v>0</v>
      </c>
      <c r="Q9" s="199">
        <f t="shared" si="0"/>
        <v>0</v>
      </c>
      <c r="R9" s="199">
        <f t="shared" si="0"/>
        <v>0</v>
      </c>
      <c r="S9" s="199">
        <f t="shared" si="0"/>
        <v>0</v>
      </c>
      <c r="T9" s="199">
        <f t="shared" si="0"/>
        <v>0</v>
      </c>
      <c r="U9" s="199">
        <f t="shared" si="0"/>
        <v>0</v>
      </c>
      <c r="V9" s="199">
        <f t="shared" si="0"/>
        <v>0</v>
      </c>
      <c r="W9" s="199">
        <f t="shared" si="0"/>
        <v>0</v>
      </c>
      <c r="X9" s="199">
        <f t="shared" si="0"/>
        <v>0</v>
      </c>
      <c r="Y9" s="199">
        <f t="shared" si="0"/>
        <v>0</v>
      </c>
      <c r="Z9" s="199">
        <f t="shared" si="0"/>
        <v>0</v>
      </c>
      <c r="AA9" s="199">
        <f t="shared" si="0"/>
        <v>0</v>
      </c>
      <c r="AB9" s="199">
        <f t="shared" si="0"/>
        <v>0</v>
      </c>
      <c r="AC9" s="199">
        <f t="shared" si="0"/>
        <v>0</v>
      </c>
      <c r="AD9" s="199">
        <f t="shared" si="0"/>
        <v>0.2608695652173913</v>
      </c>
      <c r="AE9" s="199">
        <f t="shared" si="0"/>
        <v>0.2608695652173913</v>
      </c>
      <c r="AF9" s="199">
        <f t="shared" si="0"/>
        <v>0.2608695652173913</v>
      </c>
      <c r="AG9" s="199">
        <f t="shared" si="0"/>
        <v>0.56521739130434778</v>
      </c>
      <c r="AH9" s="199">
        <f t="shared" si="0"/>
        <v>0.56521739130434778</v>
      </c>
      <c r="AI9" s="199">
        <f t="shared" si="0"/>
        <v>0.56521739130434778</v>
      </c>
      <c r="AJ9" s="199">
        <f t="shared" si="0"/>
        <v>1</v>
      </c>
      <c r="AK9" s="199">
        <f t="shared" si="0"/>
        <v>1</v>
      </c>
      <c r="AL9" s="199">
        <f t="shared" si="0"/>
        <v>1</v>
      </c>
      <c r="AM9" s="199">
        <f t="shared" si="0"/>
        <v>1</v>
      </c>
      <c r="AN9" s="199">
        <f t="shared" si="0"/>
        <v>1</v>
      </c>
      <c r="AO9" s="199">
        <f t="shared" si="0"/>
        <v>1</v>
      </c>
      <c r="AP9" s="199">
        <f t="shared" si="0"/>
        <v>1</v>
      </c>
      <c r="AQ9" s="199">
        <f t="shared" si="0"/>
        <v>1</v>
      </c>
      <c r="AR9" s="199">
        <f t="shared" ref="AR9:BW9" si="1">GB15/Units_Retail</f>
        <v>1</v>
      </c>
      <c r="AS9" s="199">
        <f t="shared" si="1"/>
        <v>1</v>
      </c>
      <c r="AT9" s="199">
        <f t="shared" si="1"/>
        <v>1</v>
      </c>
      <c r="AU9" s="199">
        <f t="shared" si="1"/>
        <v>1</v>
      </c>
      <c r="AV9" s="199">
        <f t="shared" si="1"/>
        <v>1</v>
      </c>
      <c r="AW9" s="199">
        <f t="shared" si="1"/>
        <v>1</v>
      </c>
      <c r="AX9" s="199">
        <f t="shared" si="1"/>
        <v>1</v>
      </c>
      <c r="AY9" s="199">
        <f t="shared" si="1"/>
        <v>1</v>
      </c>
      <c r="AZ9" s="199">
        <f t="shared" si="1"/>
        <v>1</v>
      </c>
      <c r="BA9" s="199">
        <f t="shared" si="1"/>
        <v>1</v>
      </c>
      <c r="BB9" s="199">
        <f t="shared" si="1"/>
        <v>1</v>
      </c>
      <c r="BC9" s="199">
        <f t="shared" si="1"/>
        <v>1</v>
      </c>
      <c r="BD9" s="199">
        <f t="shared" si="1"/>
        <v>1</v>
      </c>
      <c r="BE9" s="199">
        <f t="shared" si="1"/>
        <v>1</v>
      </c>
      <c r="BF9" s="199">
        <f t="shared" si="1"/>
        <v>1</v>
      </c>
      <c r="BG9" s="199">
        <f t="shared" si="1"/>
        <v>1</v>
      </c>
      <c r="BH9" s="199">
        <f t="shared" si="1"/>
        <v>1</v>
      </c>
      <c r="BI9" s="199">
        <f t="shared" si="1"/>
        <v>1</v>
      </c>
      <c r="BJ9" s="199">
        <f t="shared" si="1"/>
        <v>1</v>
      </c>
      <c r="BK9" s="199">
        <f t="shared" si="1"/>
        <v>1</v>
      </c>
      <c r="BL9" s="199">
        <f t="shared" si="1"/>
        <v>1</v>
      </c>
      <c r="BM9" s="199">
        <f t="shared" si="1"/>
        <v>1</v>
      </c>
      <c r="BN9" s="199">
        <f t="shared" si="1"/>
        <v>1</v>
      </c>
      <c r="BO9" s="199">
        <f t="shared" si="1"/>
        <v>1</v>
      </c>
      <c r="BP9" s="199">
        <f t="shared" si="1"/>
        <v>1</v>
      </c>
      <c r="BQ9" s="199">
        <f t="shared" si="1"/>
        <v>1</v>
      </c>
      <c r="BR9" s="199">
        <f t="shared" si="1"/>
        <v>1</v>
      </c>
      <c r="BS9" s="199">
        <f t="shared" si="1"/>
        <v>1</v>
      </c>
      <c r="BT9" s="199">
        <f t="shared" si="1"/>
        <v>1</v>
      </c>
      <c r="BU9" s="199">
        <f t="shared" si="1"/>
        <v>1</v>
      </c>
      <c r="BV9" s="199">
        <f t="shared" si="1"/>
        <v>1</v>
      </c>
      <c r="BW9" s="199">
        <f t="shared" si="1"/>
        <v>1</v>
      </c>
      <c r="BX9" s="199">
        <f t="shared" ref="BX9:DC9" si="2">HH15/Units_Retail</f>
        <v>1</v>
      </c>
      <c r="BY9" s="199">
        <f t="shared" si="2"/>
        <v>1</v>
      </c>
      <c r="BZ9" s="199">
        <f t="shared" si="2"/>
        <v>1</v>
      </c>
      <c r="CA9" s="199">
        <f t="shared" si="2"/>
        <v>1</v>
      </c>
      <c r="CB9" s="199">
        <f t="shared" si="2"/>
        <v>1</v>
      </c>
      <c r="CC9" s="199">
        <f t="shared" si="2"/>
        <v>1</v>
      </c>
      <c r="CD9" s="199">
        <f t="shared" si="2"/>
        <v>1</v>
      </c>
      <c r="CE9" s="199">
        <f t="shared" si="2"/>
        <v>1</v>
      </c>
      <c r="CF9" s="199">
        <f t="shared" si="2"/>
        <v>1</v>
      </c>
      <c r="CG9" s="199">
        <f t="shared" si="2"/>
        <v>1</v>
      </c>
      <c r="CH9" s="199">
        <f t="shared" si="2"/>
        <v>1</v>
      </c>
      <c r="CI9" s="199">
        <f t="shared" si="2"/>
        <v>1</v>
      </c>
      <c r="CJ9" s="199">
        <f t="shared" si="2"/>
        <v>1</v>
      </c>
      <c r="CK9" s="199">
        <f t="shared" si="2"/>
        <v>1</v>
      </c>
      <c r="CL9" s="199">
        <f t="shared" si="2"/>
        <v>1</v>
      </c>
      <c r="CM9" s="199">
        <f t="shared" si="2"/>
        <v>1</v>
      </c>
      <c r="CN9" s="199">
        <f t="shared" si="2"/>
        <v>1</v>
      </c>
      <c r="CO9" s="199">
        <f t="shared" si="2"/>
        <v>1</v>
      </c>
      <c r="CP9" s="199">
        <f t="shared" si="2"/>
        <v>1</v>
      </c>
      <c r="CQ9" s="199">
        <f t="shared" si="2"/>
        <v>1</v>
      </c>
      <c r="CR9" s="199">
        <f t="shared" si="2"/>
        <v>1</v>
      </c>
      <c r="CS9" s="199">
        <f t="shared" si="2"/>
        <v>1</v>
      </c>
      <c r="CT9" s="199">
        <f t="shared" si="2"/>
        <v>1</v>
      </c>
      <c r="CU9" s="199">
        <f t="shared" si="2"/>
        <v>1</v>
      </c>
      <c r="CV9" s="199">
        <f t="shared" si="2"/>
        <v>1</v>
      </c>
      <c r="CW9" s="199">
        <f t="shared" si="2"/>
        <v>1</v>
      </c>
      <c r="CX9" s="199">
        <f t="shared" si="2"/>
        <v>1</v>
      </c>
      <c r="CY9" s="199">
        <f t="shared" si="2"/>
        <v>1</v>
      </c>
      <c r="CZ9" s="199">
        <f t="shared" si="2"/>
        <v>1</v>
      </c>
      <c r="DA9" s="199">
        <f t="shared" si="2"/>
        <v>1</v>
      </c>
      <c r="DB9" s="199">
        <f t="shared" si="2"/>
        <v>1</v>
      </c>
      <c r="DC9" s="199">
        <f t="shared" si="2"/>
        <v>1</v>
      </c>
      <c r="DD9" s="199">
        <f t="shared" ref="DD9:EI9" si="3">IN15/Units_Retail</f>
        <v>1</v>
      </c>
      <c r="DE9" s="199">
        <f t="shared" si="3"/>
        <v>1</v>
      </c>
      <c r="DF9" s="199">
        <f t="shared" si="3"/>
        <v>1</v>
      </c>
      <c r="DG9" s="199">
        <f t="shared" si="3"/>
        <v>1</v>
      </c>
      <c r="DH9" s="199">
        <f t="shared" si="3"/>
        <v>1</v>
      </c>
      <c r="DI9" s="199">
        <f t="shared" si="3"/>
        <v>1</v>
      </c>
      <c r="DJ9" s="199">
        <f t="shared" si="3"/>
        <v>1</v>
      </c>
      <c r="DK9" s="199">
        <f t="shared" si="3"/>
        <v>1</v>
      </c>
      <c r="DL9" s="199">
        <f t="shared" si="3"/>
        <v>1</v>
      </c>
      <c r="DM9" s="199">
        <f t="shared" si="3"/>
        <v>1</v>
      </c>
      <c r="DN9" s="199">
        <f t="shared" si="3"/>
        <v>1</v>
      </c>
      <c r="DO9" s="199">
        <f t="shared" si="3"/>
        <v>1</v>
      </c>
      <c r="DP9" s="199">
        <f t="shared" si="3"/>
        <v>1</v>
      </c>
      <c r="DQ9" s="199">
        <f t="shared" si="3"/>
        <v>1</v>
      </c>
      <c r="DR9" s="199">
        <f t="shared" si="3"/>
        <v>1</v>
      </c>
      <c r="DS9" s="199">
        <f t="shared" si="3"/>
        <v>1</v>
      </c>
      <c r="DT9" s="199">
        <f t="shared" si="3"/>
        <v>1</v>
      </c>
      <c r="DU9" s="199">
        <f t="shared" si="3"/>
        <v>1</v>
      </c>
      <c r="DV9" s="199">
        <f t="shared" si="3"/>
        <v>1</v>
      </c>
      <c r="DW9" s="199">
        <f t="shared" si="3"/>
        <v>1</v>
      </c>
      <c r="DX9" s="199">
        <f t="shared" si="3"/>
        <v>1</v>
      </c>
      <c r="DY9" s="199">
        <f t="shared" si="3"/>
        <v>1</v>
      </c>
      <c r="DZ9" s="199">
        <f t="shared" si="3"/>
        <v>1</v>
      </c>
      <c r="EA9" s="199">
        <f t="shared" si="3"/>
        <v>1</v>
      </c>
      <c r="EB9" s="199">
        <f t="shared" si="3"/>
        <v>1</v>
      </c>
      <c r="EC9" s="199">
        <f t="shared" si="3"/>
        <v>1</v>
      </c>
      <c r="ED9" s="199">
        <f t="shared" si="3"/>
        <v>1</v>
      </c>
      <c r="EE9" s="199">
        <f t="shared" si="3"/>
        <v>1</v>
      </c>
      <c r="EF9" s="199">
        <f t="shared" si="3"/>
        <v>1</v>
      </c>
      <c r="EG9" s="199">
        <f t="shared" si="3"/>
        <v>1</v>
      </c>
      <c r="EH9" s="199">
        <f t="shared" si="3"/>
        <v>1</v>
      </c>
      <c r="EI9" s="199">
        <f t="shared" si="3"/>
        <v>1</v>
      </c>
      <c r="EJ9" s="199">
        <f>JT15/Units_Retail</f>
        <v>1</v>
      </c>
      <c r="EK9" s="199">
        <f>JU15/Units_Retail</f>
        <v>1</v>
      </c>
      <c r="EL9" s="199">
        <f>JV15/Units_Retail</f>
        <v>1</v>
      </c>
      <c r="EM9" s="199">
        <f>JW15/Units_Retail</f>
        <v>1</v>
      </c>
      <c r="EN9" s="199"/>
      <c r="EO9" s="24"/>
      <c r="EP9" s="60"/>
      <c r="EQ9" s="60"/>
      <c r="ER9" s="60"/>
      <c r="ES9" s="60"/>
      <c r="ET9" s="60"/>
      <c r="EU9" s="60"/>
      <c r="EV9" s="60"/>
      <c r="EW9" s="60"/>
      <c r="EX9" s="60"/>
      <c r="EY9" s="60"/>
      <c r="EZ9" s="60"/>
      <c r="FA9" s="60"/>
      <c r="FB9" s="60"/>
      <c r="FC9" s="60"/>
      <c r="FD9" s="60"/>
      <c r="FE9" s="60"/>
      <c r="FF9" s="60"/>
      <c r="FG9" s="60"/>
      <c r="FH9" s="60"/>
      <c r="FI9" s="60"/>
      <c r="FJ9" s="60"/>
      <c r="FK9" s="60"/>
      <c r="FL9" s="60"/>
      <c r="FM9" s="60"/>
      <c r="FN9" s="60"/>
      <c r="FO9" s="60"/>
      <c r="FP9" s="60"/>
      <c r="FQ9" s="60"/>
      <c r="FR9" s="60"/>
      <c r="FS9" s="60"/>
      <c r="FT9" s="60"/>
      <c r="FU9" s="60"/>
      <c r="FV9" s="60"/>
      <c r="FW9" s="60"/>
      <c r="FX9" s="60"/>
      <c r="FY9" s="60"/>
      <c r="FZ9" s="60"/>
      <c r="GA9" s="60"/>
      <c r="GB9" s="60"/>
      <c r="GC9" s="60"/>
      <c r="GD9" s="60"/>
      <c r="GE9" s="60"/>
      <c r="GF9" s="60"/>
      <c r="GG9" s="60"/>
      <c r="GH9" s="60"/>
      <c r="GI9" s="60"/>
      <c r="GJ9" s="60"/>
      <c r="GK9" s="60"/>
      <c r="GL9" s="60"/>
      <c r="GM9" s="60"/>
      <c r="GN9" s="60"/>
      <c r="GO9" s="60"/>
      <c r="GP9" s="60"/>
      <c r="GQ9" s="60"/>
      <c r="GR9" s="60"/>
      <c r="GS9" s="60"/>
      <c r="GT9" s="60"/>
      <c r="GU9" s="60"/>
      <c r="GV9" s="60"/>
      <c r="GW9" s="60"/>
      <c r="GX9" s="60"/>
      <c r="GY9" s="60"/>
      <c r="GZ9" s="60"/>
      <c r="HA9" s="60"/>
      <c r="HB9" s="60"/>
      <c r="HC9" s="60"/>
      <c r="HD9" s="60"/>
      <c r="HE9" s="60"/>
      <c r="HF9" s="60"/>
      <c r="HG9" s="60"/>
      <c r="HH9" s="60"/>
      <c r="HI9" s="60"/>
      <c r="HJ9" s="60"/>
      <c r="HK9" s="60"/>
      <c r="HL9" s="60"/>
      <c r="HM9" s="60"/>
      <c r="HN9" s="60"/>
      <c r="HO9" s="60"/>
      <c r="HP9" s="60"/>
      <c r="HQ9" s="60"/>
      <c r="HR9" s="60"/>
      <c r="HS9" s="60"/>
      <c r="HT9" s="60"/>
      <c r="HU9" s="60"/>
      <c r="HV9" s="60"/>
      <c r="HW9" s="60"/>
      <c r="HX9" s="60"/>
      <c r="HY9" s="60"/>
      <c r="HZ9" s="60"/>
      <c r="IA9" s="60"/>
      <c r="IB9" s="60"/>
      <c r="IC9" s="60"/>
      <c r="ID9" s="60"/>
      <c r="IE9" s="60"/>
      <c r="IF9" s="60"/>
      <c r="IG9" s="60"/>
      <c r="IH9" s="60"/>
      <c r="II9" s="60"/>
      <c r="IJ9" s="60"/>
      <c r="IK9" s="60"/>
      <c r="IL9" s="60"/>
      <c r="IM9" s="60"/>
      <c r="IN9" s="60"/>
      <c r="IO9" s="60"/>
      <c r="IP9" s="60"/>
      <c r="IQ9" s="60"/>
      <c r="IR9" s="60"/>
      <c r="IS9" s="60"/>
      <c r="IT9" s="60"/>
      <c r="IU9" s="60"/>
      <c r="IV9" s="60"/>
      <c r="IW9" s="60"/>
      <c r="IX9" s="60"/>
      <c r="IY9" s="60"/>
      <c r="IZ9" s="60"/>
      <c r="JA9" s="60"/>
      <c r="JB9" s="60"/>
      <c r="JC9" s="60"/>
      <c r="JD9" s="60"/>
      <c r="JE9" s="60"/>
      <c r="JF9" s="60"/>
      <c r="JG9" s="60"/>
      <c r="JH9" s="60"/>
      <c r="JI9" s="60"/>
      <c r="JJ9" s="60"/>
      <c r="JK9" s="60"/>
      <c r="JL9" s="60"/>
      <c r="JM9" s="60"/>
      <c r="JN9" s="60"/>
      <c r="JO9" s="60"/>
      <c r="JP9" s="60"/>
      <c r="JQ9" s="60"/>
      <c r="JR9" s="60"/>
      <c r="JS9" s="60"/>
      <c r="JT9" s="60"/>
      <c r="JU9" s="60"/>
      <c r="JV9" s="60"/>
      <c r="JW9" s="60"/>
      <c r="JX9" s="199"/>
    </row>
    <row r="10" spans="1:284" x14ac:dyDescent="0.2">
      <c r="B10" s="101" t="s">
        <v>335</v>
      </c>
      <c r="C10" s="92"/>
      <c r="D10" s="92"/>
      <c r="E10" s="92"/>
      <c r="F10" s="92"/>
      <c r="G10" s="92"/>
      <c r="H10" s="92"/>
      <c r="I10" s="419">
        <f>COUNTA(I12:I14)</f>
        <v>3</v>
      </c>
      <c r="K10" s="199" t="s">
        <v>338</v>
      </c>
      <c r="L10" s="8">
        <f t="shared" ref="L10:AQ10" si="4">MAX(L3-MIN($F$15,$E$21)+1,0)</f>
        <v>0</v>
      </c>
      <c r="M10" s="8">
        <f t="shared" si="4"/>
        <v>0</v>
      </c>
      <c r="N10" s="8">
        <f t="shared" si="4"/>
        <v>0</v>
      </c>
      <c r="O10" s="8">
        <f t="shared" si="4"/>
        <v>0</v>
      </c>
      <c r="P10" s="8">
        <f t="shared" si="4"/>
        <v>0</v>
      </c>
      <c r="Q10" s="8">
        <f t="shared" si="4"/>
        <v>0</v>
      </c>
      <c r="R10" s="8">
        <f t="shared" si="4"/>
        <v>0</v>
      </c>
      <c r="S10" s="8">
        <f t="shared" si="4"/>
        <v>0</v>
      </c>
      <c r="T10" s="8">
        <f t="shared" si="4"/>
        <v>0</v>
      </c>
      <c r="U10" s="8">
        <f t="shared" si="4"/>
        <v>0</v>
      </c>
      <c r="V10" s="8">
        <f t="shared" si="4"/>
        <v>0</v>
      </c>
      <c r="W10" s="8">
        <f t="shared" si="4"/>
        <v>0</v>
      </c>
      <c r="X10" s="8">
        <f t="shared" si="4"/>
        <v>0</v>
      </c>
      <c r="Y10" s="8">
        <f t="shared" si="4"/>
        <v>0</v>
      </c>
      <c r="Z10" s="8">
        <f t="shared" si="4"/>
        <v>0</v>
      </c>
      <c r="AA10" s="8">
        <f t="shared" si="4"/>
        <v>0</v>
      </c>
      <c r="AB10" s="8">
        <f t="shared" si="4"/>
        <v>0</v>
      </c>
      <c r="AC10" s="8">
        <f t="shared" si="4"/>
        <v>0</v>
      </c>
      <c r="AD10" s="8">
        <f t="shared" si="4"/>
        <v>1</v>
      </c>
      <c r="AE10" s="8">
        <f t="shared" si="4"/>
        <v>2</v>
      </c>
      <c r="AF10" s="8">
        <f t="shared" si="4"/>
        <v>3</v>
      </c>
      <c r="AG10" s="8">
        <f t="shared" si="4"/>
        <v>4</v>
      </c>
      <c r="AH10" s="8">
        <f t="shared" si="4"/>
        <v>5</v>
      </c>
      <c r="AI10" s="8">
        <f t="shared" si="4"/>
        <v>6</v>
      </c>
      <c r="AJ10" s="8">
        <f t="shared" si="4"/>
        <v>7</v>
      </c>
      <c r="AK10" s="8">
        <f t="shared" si="4"/>
        <v>8</v>
      </c>
      <c r="AL10" s="8">
        <f t="shared" si="4"/>
        <v>9</v>
      </c>
      <c r="AM10" s="8">
        <f t="shared" si="4"/>
        <v>10</v>
      </c>
      <c r="AN10" s="8">
        <f t="shared" si="4"/>
        <v>11</v>
      </c>
      <c r="AO10" s="8">
        <f t="shared" si="4"/>
        <v>12</v>
      </c>
      <c r="AP10" s="8">
        <f t="shared" si="4"/>
        <v>13</v>
      </c>
      <c r="AQ10" s="8">
        <f t="shared" si="4"/>
        <v>14</v>
      </c>
      <c r="AR10" s="8">
        <f t="shared" ref="AR10:BW10" si="5">MAX(AR3-MIN($F$15,$E$21)+1,0)</f>
        <v>15</v>
      </c>
      <c r="AS10" s="8">
        <f t="shared" si="5"/>
        <v>16</v>
      </c>
      <c r="AT10" s="8">
        <f t="shared" si="5"/>
        <v>17</v>
      </c>
      <c r="AU10" s="8">
        <f t="shared" si="5"/>
        <v>18</v>
      </c>
      <c r="AV10" s="8">
        <f t="shared" si="5"/>
        <v>19</v>
      </c>
      <c r="AW10" s="8">
        <f t="shared" si="5"/>
        <v>20</v>
      </c>
      <c r="AX10" s="8">
        <f t="shared" si="5"/>
        <v>21</v>
      </c>
      <c r="AY10" s="8">
        <f t="shared" si="5"/>
        <v>22</v>
      </c>
      <c r="AZ10" s="8">
        <f t="shared" si="5"/>
        <v>23</v>
      </c>
      <c r="BA10" s="8">
        <f t="shared" si="5"/>
        <v>24</v>
      </c>
      <c r="BB10" s="8">
        <f t="shared" si="5"/>
        <v>25</v>
      </c>
      <c r="BC10" s="8">
        <f t="shared" si="5"/>
        <v>26</v>
      </c>
      <c r="BD10" s="8">
        <f t="shared" si="5"/>
        <v>27</v>
      </c>
      <c r="BE10" s="8">
        <f t="shared" si="5"/>
        <v>28</v>
      </c>
      <c r="BF10" s="8">
        <f t="shared" si="5"/>
        <v>29</v>
      </c>
      <c r="BG10" s="8">
        <f t="shared" si="5"/>
        <v>30</v>
      </c>
      <c r="BH10" s="8">
        <f t="shared" si="5"/>
        <v>31</v>
      </c>
      <c r="BI10" s="8">
        <f t="shared" si="5"/>
        <v>32</v>
      </c>
      <c r="BJ10" s="8">
        <f t="shared" si="5"/>
        <v>33</v>
      </c>
      <c r="BK10" s="8">
        <f t="shared" si="5"/>
        <v>34</v>
      </c>
      <c r="BL10" s="8">
        <f t="shared" si="5"/>
        <v>35</v>
      </c>
      <c r="BM10" s="8">
        <f t="shared" si="5"/>
        <v>36</v>
      </c>
      <c r="BN10" s="8">
        <f t="shared" si="5"/>
        <v>37</v>
      </c>
      <c r="BO10" s="8">
        <f t="shared" si="5"/>
        <v>38</v>
      </c>
      <c r="BP10" s="8">
        <f t="shared" si="5"/>
        <v>39</v>
      </c>
      <c r="BQ10" s="8">
        <f t="shared" si="5"/>
        <v>40</v>
      </c>
      <c r="BR10" s="8">
        <f t="shared" si="5"/>
        <v>41</v>
      </c>
      <c r="BS10" s="8">
        <f t="shared" si="5"/>
        <v>42</v>
      </c>
      <c r="BT10" s="8">
        <f t="shared" si="5"/>
        <v>43</v>
      </c>
      <c r="BU10" s="8">
        <f t="shared" si="5"/>
        <v>44</v>
      </c>
      <c r="BV10" s="8">
        <f t="shared" si="5"/>
        <v>45</v>
      </c>
      <c r="BW10" s="8">
        <f t="shared" si="5"/>
        <v>46</v>
      </c>
      <c r="BX10" s="8">
        <f t="shared" ref="BX10:DC10" si="6">MAX(BX3-MIN($F$15,$E$21)+1,0)</f>
        <v>47</v>
      </c>
      <c r="BY10" s="8">
        <f t="shared" si="6"/>
        <v>48</v>
      </c>
      <c r="BZ10" s="8">
        <f t="shared" si="6"/>
        <v>49</v>
      </c>
      <c r="CA10" s="8">
        <f t="shared" si="6"/>
        <v>50</v>
      </c>
      <c r="CB10" s="8">
        <f t="shared" si="6"/>
        <v>51</v>
      </c>
      <c r="CC10" s="8">
        <f t="shared" si="6"/>
        <v>52</v>
      </c>
      <c r="CD10" s="8">
        <f t="shared" si="6"/>
        <v>53</v>
      </c>
      <c r="CE10" s="8">
        <f t="shared" si="6"/>
        <v>54</v>
      </c>
      <c r="CF10" s="8">
        <f t="shared" si="6"/>
        <v>55</v>
      </c>
      <c r="CG10" s="8">
        <f t="shared" si="6"/>
        <v>56</v>
      </c>
      <c r="CH10" s="8">
        <f t="shared" si="6"/>
        <v>57</v>
      </c>
      <c r="CI10" s="8">
        <f t="shared" si="6"/>
        <v>58</v>
      </c>
      <c r="CJ10" s="8">
        <f t="shared" si="6"/>
        <v>59</v>
      </c>
      <c r="CK10" s="8">
        <f t="shared" si="6"/>
        <v>60</v>
      </c>
      <c r="CL10" s="8">
        <f t="shared" si="6"/>
        <v>61</v>
      </c>
      <c r="CM10" s="8">
        <f t="shared" si="6"/>
        <v>62</v>
      </c>
      <c r="CN10" s="8">
        <f t="shared" si="6"/>
        <v>63</v>
      </c>
      <c r="CO10" s="8">
        <f t="shared" si="6"/>
        <v>64</v>
      </c>
      <c r="CP10" s="8">
        <f t="shared" si="6"/>
        <v>65</v>
      </c>
      <c r="CQ10" s="8">
        <f t="shared" si="6"/>
        <v>66</v>
      </c>
      <c r="CR10" s="8">
        <f t="shared" si="6"/>
        <v>67</v>
      </c>
      <c r="CS10" s="8">
        <f t="shared" si="6"/>
        <v>68</v>
      </c>
      <c r="CT10" s="8">
        <f t="shared" si="6"/>
        <v>69</v>
      </c>
      <c r="CU10" s="8">
        <f t="shared" si="6"/>
        <v>70</v>
      </c>
      <c r="CV10" s="8">
        <f t="shared" si="6"/>
        <v>71</v>
      </c>
      <c r="CW10" s="8">
        <f t="shared" si="6"/>
        <v>72</v>
      </c>
      <c r="CX10" s="8">
        <f t="shared" si="6"/>
        <v>73</v>
      </c>
      <c r="CY10" s="8">
        <f t="shared" si="6"/>
        <v>74</v>
      </c>
      <c r="CZ10" s="8">
        <f t="shared" si="6"/>
        <v>75</v>
      </c>
      <c r="DA10" s="8">
        <f t="shared" si="6"/>
        <v>76</v>
      </c>
      <c r="DB10" s="8">
        <f t="shared" si="6"/>
        <v>77</v>
      </c>
      <c r="DC10" s="8">
        <f t="shared" si="6"/>
        <v>78</v>
      </c>
      <c r="DD10" s="8">
        <f t="shared" ref="DD10:EM10" si="7">MAX(DD3-MIN($F$15,$E$21)+1,0)</f>
        <v>79</v>
      </c>
      <c r="DE10" s="8">
        <f t="shared" si="7"/>
        <v>80</v>
      </c>
      <c r="DF10" s="8">
        <f t="shared" si="7"/>
        <v>81</v>
      </c>
      <c r="DG10" s="8">
        <f t="shared" si="7"/>
        <v>82</v>
      </c>
      <c r="DH10" s="8">
        <f t="shared" si="7"/>
        <v>83</v>
      </c>
      <c r="DI10" s="8">
        <f t="shared" si="7"/>
        <v>84</v>
      </c>
      <c r="DJ10" s="8">
        <f t="shared" si="7"/>
        <v>85</v>
      </c>
      <c r="DK10" s="8">
        <f t="shared" si="7"/>
        <v>86</v>
      </c>
      <c r="DL10" s="8">
        <f t="shared" si="7"/>
        <v>87</v>
      </c>
      <c r="DM10" s="8">
        <f t="shared" si="7"/>
        <v>88</v>
      </c>
      <c r="DN10" s="8">
        <f t="shared" si="7"/>
        <v>89</v>
      </c>
      <c r="DO10" s="8">
        <f t="shared" si="7"/>
        <v>90</v>
      </c>
      <c r="DP10" s="8">
        <f t="shared" si="7"/>
        <v>91</v>
      </c>
      <c r="DQ10" s="8">
        <f t="shared" si="7"/>
        <v>92</v>
      </c>
      <c r="DR10" s="8">
        <f t="shared" si="7"/>
        <v>93</v>
      </c>
      <c r="DS10" s="8">
        <f t="shared" si="7"/>
        <v>94</v>
      </c>
      <c r="DT10" s="8">
        <f t="shared" si="7"/>
        <v>95</v>
      </c>
      <c r="DU10" s="8">
        <f t="shared" si="7"/>
        <v>96</v>
      </c>
      <c r="DV10" s="8">
        <f t="shared" si="7"/>
        <v>97</v>
      </c>
      <c r="DW10" s="8">
        <f t="shared" si="7"/>
        <v>98</v>
      </c>
      <c r="DX10" s="8">
        <f t="shared" si="7"/>
        <v>99</v>
      </c>
      <c r="DY10" s="8">
        <f t="shared" si="7"/>
        <v>100</v>
      </c>
      <c r="DZ10" s="8">
        <f t="shared" si="7"/>
        <v>101</v>
      </c>
      <c r="EA10" s="8">
        <f t="shared" si="7"/>
        <v>102</v>
      </c>
      <c r="EB10" s="8">
        <f t="shared" si="7"/>
        <v>103</v>
      </c>
      <c r="EC10" s="8">
        <f t="shared" si="7"/>
        <v>104</v>
      </c>
      <c r="ED10" s="8">
        <f t="shared" si="7"/>
        <v>105</v>
      </c>
      <c r="EE10" s="8">
        <f t="shared" si="7"/>
        <v>106</v>
      </c>
      <c r="EF10" s="8">
        <f t="shared" si="7"/>
        <v>107</v>
      </c>
      <c r="EG10" s="8">
        <f t="shared" si="7"/>
        <v>108</v>
      </c>
      <c r="EH10" s="8">
        <f t="shared" si="7"/>
        <v>109</v>
      </c>
      <c r="EI10" s="8">
        <f t="shared" si="7"/>
        <v>110</v>
      </c>
      <c r="EJ10" s="8">
        <f t="shared" si="7"/>
        <v>111</v>
      </c>
      <c r="EK10" s="8">
        <f t="shared" si="7"/>
        <v>112</v>
      </c>
      <c r="EL10" s="8">
        <f t="shared" si="7"/>
        <v>113</v>
      </c>
      <c r="EM10" s="8">
        <f t="shared" si="7"/>
        <v>114</v>
      </c>
      <c r="EO10" s="24"/>
      <c r="EP10" s="201"/>
      <c r="EQ10" s="201"/>
      <c r="ER10" s="201"/>
      <c r="ES10" s="201"/>
      <c r="ET10" s="201"/>
      <c r="EU10" s="201"/>
      <c r="EV10" s="201"/>
      <c r="EW10" s="201"/>
      <c r="EX10" s="201"/>
      <c r="EY10" s="201"/>
      <c r="EZ10" s="201"/>
      <c r="FA10" s="201"/>
      <c r="FB10" s="201"/>
      <c r="FC10" s="201"/>
      <c r="FD10" s="201"/>
      <c r="FE10" s="201"/>
      <c r="FF10" s="201"/>
      <c r="FG10" s="201"/>
      <c r="FH10" s="201"/>
      <c r="FI10" s="201"/>
      <c r="FJ10" s="201"/>
      <c r="FK10" s="201"/>
      <c r="FL10" s="201"/>
      <c r="FM10" s="201"/>
      <c r="FN10" s="201"/>
      <c r="FO10" s="201"/>
      <c r="FP10" s="201"/>
      <c r="FQ10" s="201"/>
      <c r="FR10" s="201"/>
      <c r="FS10" s="201"/>
      <c r="FT10" s="201"/>
      <c r="FU10" s="201"/>
      <c r="FV10" s="201"/>
      <c r="FW10" s="201"/>
      <c r="FX10" s="201"/>
      <c r="FY10" s="201"/>
      <c r="FZ10" s="201"/>
      <c r="GA10" s="201"/>
      <c r="GB10" s="201"/>
      <c r="GC10" s="201"/>
      <c r="GD10" s="201"/>
      <c r="GE10" s="201"/>
      <c r="GF10" s="201"/>
      <c r="GG10" s="201"/>
      <c r="GH10" s="201"/>
      <c r="GI10" s="201"/>
      <c r="GJ10" s="201"/>
      <c r="GK10" s="201"/>
      <c r="GL10" s="201"/>
      <c r="GM10" s="201"/>
      <c r="GN10" s="201"/>
      <c r="GO10" s="201"/>
      <c r="GP10" s="201"/>
      <c r="GQ10" s="201"/>
      <c r="GR10" s="201"/>
      <c r="GS10" s="201"/>
      <c r="GT10" s="201"/>
      <c r="GU10" s="201"/>
      <c r="GV10" s="201"/>
      <c r="GW10" s="201"/>
      <c r="GX10" s="201"/>
      <c r="GY10" s="201"/>
      <c r="GZ10" s="201"/>
      <c r="HA10" s="201"/>
      <c r="HB10" s="201"/>
      <c r="HC10" s="201"/>
      <c r="HD10" s="201"/>
      <c r="HE10" s="201"/>
      <c r="HF10" s="201"/>
      <c r="HG10" s="201"/>
      <c r="HH10" s="201"/>
      <c r="HI10" s="201"/>
      <c r="HJ10" s="201"/>
      <c r="HK10" s="201"/>
      <c r="HL10" s="201"/>
      <c r="HM10" s="201"/>
      <c r="HN10" s="201"/>
      <c r="HO10" s="201"/>
      <c r="HP10" s="201"/>
      <c r="HQ10" s="201"/>
      <c r="HR10" s="201"/>
      <c r="HS10" s="201"/>
      <c r="HT10" s="201"/>
      <c r="HU10" s="201"/>
      <c r="HV10" s="201"/>
      <c r="HW10" s="201"/>
      <c r="HX10" s="201"/>
      <c r="HY10" s="201"/>
      <c r="HZ10" s="201"/>
      <c r="IA10" s="201"/>
      <c r="IB10" s="201"/>
      <c r="IC10" s="201"/>
      <c r="ID10" s="201"/>
      <c r="IE10" s="201"/>
      <c r="IF10" s="201"/>
      <c r="IG10" s="201"/>
      <c r="IH10" s="201"/>
      <c r="II10" s="201"/>
      <c r="IJ10" s="201"/>
      <c r="IK10" s="201"/>
      <c r="IL10" s="201"/>
      <c r="IM10" s="201"/>
      <c r="IN10" s="201"/>
      <c r="IO10" s="201"/>
      <c r="IP10" s="201"/>
      <c r="IQ10" s="201"/>
      <c r="IR10" s="201"/>
      <c r="IS10" s="201"/>
      <c r="IT10" s="201"/>
      <c r="IU10" s="201"/>
      <c r="IV10" s="201"/>
      <c r="IW10" s="201"/>
      <c r="IX10" s="201"/>
      <c r="IY10" s="201"/>
      <c r="IZ10" s="201"/>
      <c r="JA10" s="201"/>
      <c r="JB10" s="201"/>
      <c r="JC10" s="201"/>
      <c r="JD10" s="201"/>
      <c r="JE10" s="201"/>
      <c r="JF10" s="201"/>
      <c r="JG10" s="201"/>
      <c r="JH10" s="201"/>
      <c r="JI10" s="201"/>
      <c r="JJ10" s="201"/>
      <c r="JK10" s="201"/>
      <c r="JL10" s="201"/>
      <c r="JM10" s="201"/>
      <c r="JN10" s="201"/>
      <c r="JO10" s="201"/>
      <c r="JP10" s="201"/>
      <c r="JQ10" s="201"/>
      <c r="JR10" s="201"/>
      <c r="JS10" s="201"/>
      <c r="JT10" s="201"/>
      <c r="JU10" s="201"/>
      <c r="JV10" s="201"/>
      <c r="JW10" s="201"/>
    </row>
    <row r="11" spans="1:284" x14ac:dyDescent="0.2">
      <c r="B11" s="420" t="s">
        <v>320</v>
      </c>
      <c r="C11" s="421" t="s">
        <v>326</v>
      </c>
      <c r="D11" s="421" t="s">
        <v>321</v>
      </c>
      <c r="E11" s="421" t="str">
        <f>Unit_Type</f>
        <v>SF</v>
      </c>
      <c r="F11" s="420" t="s">
        <v>322</v>
      </c>
      <c r="G11" s="420" t="s">
        <v>323</v>
      </c>
      <c r="H11" s="422" t="str">
        <f>"RENT/"&amp;Unit_Type&amp;"/YR"</f>
        <v>RENT/SF/YR</v>
      </c>
      <c r="I11" s="420" t="s">
        <v>325</v>
      </c>
      <c r="K11" s="14"/>
      <c r="L11" s="198"/>
      <c r="M11" s="198"/>
      <c r="N11" s="198"/>
      <c r="O11" s="198"/>
      <c r="P11" s="198"/>
      <c r="Q11" s="198"/>
      <c r="R11" s="198"/>
      <c r="S11" s="198"/>
      <c r="T11" s="198"/>
      <c r="U11" s="198"/>
      <c r="V11" s="198"/>
      <c r="W11" s="198"/>
      <c r="X11" s="198"/>
      <c r="Y11" s="198"/>
      <c r="Z11" s="198"/>
      <c r="AA11" s="198"/>
      <c r="AB11" s="198"/>
      <c r="AC11" s="198"/>
      <c r="AD11" s="198"/>
      <c r="AE11" s="198"/>
      <c r="AF11" s="198"/>
      <c r="AG11" s="198"/>
      <c r="AH11" s="198"/>
      <c r="AI11" s="198"/>
      <c r="AJ11" s="198"/>
      <c r="AK11" s="198"/>
      <c r="AL11" s="198"/>
      <c r="AM11" s="198"/>
      <c r="AN11" s="198"/>
      <c r="AO11" s="198"/>
      <c r="AP11" s="198"/>
      <c r="AQ11" s="198"/>
      <c r="AR11" s="198"/>
      <c r="AS11" s="198"/>
      <c r="AT11" s="198"/>
      <c r="AU11" s="198"/>
      <c r="AV11" s="198"/>
      <c r="AW11" s="198"/>
      <c r="AX11" s="198"/>
      <c r="AY11" s="198"/>
      <c r="AZ11" s="198"/>
      <c r="BA11" s="198"/>
      <c r="BB11" s="198"/>
      <c r="BC11" s="198"/>
      <c r="BD11" s="198"/>
      <c r="BE11" s="198"/>
      <c r="EO11" s="24" t="s">
        <v>339</v>
      </c>
      <c r="EP11" s="201"/>
      <c r="EQ11" s="33" t="s">
        <v>329</v>
      </c>
      <c r="ER11" s="33" t="s">
        <v>321</v>
      </c>
      <c r="ES11" s="201"/>
      <c r="ET11" s="201"/>
      <c r="EU11" s="201"/>
      <c r="EV11" s="201"/>
      <c r="EW11" s="201"/>
      <c r="EX11" s="201"/>
      <c r="EY11" s="201"/>
      <c r="EZ11" s="201"/>
      <c r="FA11" s="201"/>
      <c r="FB11" s="201"/>
      <c r="FC11" s="201"/>
      <c r="FD11" s="201"/>
      <c r="FE11" s="201"/>
      <c r="FF11" s="201"/>
      <c r="FG11" s="201"/>
      <c r="FH11" s="201"/>
      <c r="FI11" s="201"/>
      <c r="FJ11" s="201"/>
      <c r="FK11" s="201"/>
      <c r="FL11" s="201"/>
      <c r="FM11" s="201"/>
      <c r="FN11" s="201"/>
      <c r="FO11" s="201"/>
      <c r="FP11" s="201"/>
      <c r="FQ11" s="201"/>
      <c r="FR11" s="201"/>
      <c r="FS11" s="201"/>
      <c r="FT11" s="201"/>
      <c r="FU11" s="201"/>
      <c r="FV11" s="201"/>
      <c r="FW11" s="201"/>
      <c r="FX11" s="201"/>
      <c r="FY11" s="201"/>
      <c r="FZ11" s="201"/>
      <c r="GA11" s="201"/>
      <c r="GB11" s="201"/>
      <c r="GC11" s="201"/>
      <c r="GD11" s="201"/>
      <c r="GE11" s="201"/>
      <c r="GF11" s="201"/>
      <c r="GG11" s="201"/>
      <c r="GH11" s="201"/>
      <c r="GI11" s="201"/>
      <c r="GJ11" s="201"/>
      <c r="GK11" s="201"/>
      <c r="GL11" s="201"/>
      <c r="GM11" s="201"/>
      <c r="GN11" s="201"/>
      <c r="GO11" s="201"/>
      <c r="GP11" s="201"/>
      <c r="GQ11" s="201"/>
      <c r="GR11" s="201"/>
      <c r="GS11" s="201"/>
      <c r="GT11" s="201"/>
      <c r="GU11" s="201"/>
      <c r="GV11" s="201"/>
      <c r="GW11" s="201"/>
      <c r="GX11" s="201"/>
      <c r="GY11" s="201"/>
      <c r="GZ11" s="201"/>
      <c r="HA11" s="201"/>
      <c r="HB11" s="201"/>
      <c r="HC11" s="201"/>
      <c r="HD11" s="201"/>
      <c r="HE11" s="201"/>
      <c r="HF11" s="201"/>
      <c r="HG11" s="201"/>
      <c r="HH11" s="201"/>
      <c r="HI11" s="201"/>
      <c r="HJ11" s="201"/>
      <c r="HK11" s="201"/>
      <c r="HL11" s="201"/>
      <c r="HM11" s="201"/>
      <c r="HN11" s="201"/>
      <c r="HO11" s="201"/>
      <c r="HP11" s="201"/>
      <c r="HQ11" s="201"/>
      <c r="HR11" s="201"/>
      <c r="HS11" s="201"/>
      <c r="HT11" s="201"/>
      <c r="HU11" s="201"/>
      <c r="HV11" s="201"/>
      <c r="HW11" s="201"/>
      <c r="HX11" s="201"/>
      <c r="HY11" s="201"/>
      <c r="HZ11" s="201"/>
      <c r="IA11" s="201"/>
      <c r="IB11" s="201"/>
      <c r="IC11" s="201"/>
      <c r="ID11" s="201"/>
      <c r="IE11" s="201"/>
      <c r="IF11" s="201"/>
      <c r="IG11" s="201"/>
      <c r="IH11" s="201"/>
      <c r="II11" s="201"/>
      <c r="IJ11" s="201"/>
      <c r="IK11" s="201"/>
      <c r="IL11" s="201"/>
      <c r="IM11" s="201"/>
      <c r="IN11" s="201"/>
      <c r="IO11" s="201"/>
      <c r="IP11" s="201"/>
      <c r="IQ11" s="201"/>
      <c r="IR11" s="201"/>
      <c r="IS11" s="201"/>
      <c r="IT11" s="201"/>
      <c r="IU11" s="201"/>
      <c r="IV11" s="201"/>
      <c r="IW11" s="201"/>
      <c r="IX11" s="201"/>
      <c r="IY11" s="201"/>
      <c r="IZ11" s="201"/>
      <c r="JA11" s="201"/>
      <c r="JB11" s="201"/>
      <c r="JC11" s="201"/>
      <c r="JD11" s="201"/>
      <c r="JE11" s="201"/>
      <c r="JF11" s="201"/>
      <c r="JG11" s="201"/>
      <c r="JH11" s="201"/>
      <c r="JI11" s="201"/>
      <c r="JJ11" s="201"/>
      <c r="JK11" s="201"/>
      <c r="JL11" s="201"/>
      <c r="JM11" s="201"/>
      <c r="JN11" s="201"/>
      <c r="JO11" s="201"/>
      <c r="JP11" s="201"/>
      <c r="JQ11" s="201"/>
      <c r="JR11" s="201"/>
      <c r="JS11" s="201"/>
      <c r="JT11" s="201"/>
      <c r="JU11" s="201"/>
      <c r="JV11" s="201"/>
      <c r="JW11" s="201"/>
    </row>
    <row r="12" spans="1:284" x14ac:dyDescent="0.2">
      <c r="B12" s="423">
        <v>100</v>
      </c>
      <c r="C12" s="133" t="s">
        <v>327</v>
      </c>
      <c r="D12" s="132">
        <f>Timing_Operation_Begin_Month</f>
        <v>19</v>
      </c>
      <c r="E12" s="124">
        <v>1500</v>
      </c>
      <c r="F12" s="132">
        <f>E18+3</f>
        <v>22</v>
      </c>
      <c r="G12" s="130">
        <v>0.03</v>
      </c>
      <c r="H12" s="424">
        <v>25</v>
      </c>
      <c r="I12" s="136">
        <f>H12*E12</f>
        <v>37500</v>
      </c>
      <c r="K12" s="38"/>
      <c r="L12" s="38">
        <f t="shared" ref="L12:U14" si="8">($F12&lt;=L$3)*($I12/12)*(1+$G12)^(ROUNDUP(MAX(L$3-$F12+1,0)/12,0)-1)</f>
        <v>0</v>
      </c>
      <c r="M12" s="38">
        <f t="shared" si="8"/>
        <v>0</v>
      </c>
      <c r="N12" s="38">
        <f t="shared" si="8"/>
        <v>0</v>
      </c>
      <c r="O12" s="38">
        <f t="shared" si="8"/>
        <v>0</v>
      </c>
      <c r="P12" s="38">
        <f t="shared" si="8"/>
        <v>0</v>
      </c>
      <c r="Q12" s="38">
        <f t="shared" si="8"/>
        <v>0</v>
      </c>
      <c r="R12" s="38">
        <f t="shared" si="8"/>
        <v>0</v>
      </c>
      <c r="S12" s="38">
        <f t="shared" si="8"/>
        <v>0</v>
      </c>
      <c r="T12" s="38">
        <f t="shared" si="8"/>
        <v>0</v>
      </c>
      <c r="U12" s="38">
        <f t="shared" si="8"/>
        <v>0</v>
      </c>
      <c r="V12" s="38">
        <f t="shared" ref="V12:AE14" si="9">($F12&lt;=V$3)*($I12/12)*(1+$G12)^(ROUNDUP(MAX(V$3-$F12+1,0)/12,0)-1)</f>
        <v>0</v>
      </c>
      <c r="W12" s="38">
        <f t="shared" si="9"/>
        <v>0</v>
      </c>
      <c r="X12" s="38">
        <f t="shared" si="9"/>
        <v>0</v>
      </c>
      <c r="Y12" s="38">
        <f t="shared" si="9"/>
        <v>0</v>
      </c>
      <c r="Z12" s="38">
        <f t="shared" si="9"/>
        <v>0</v>
      </c>
      <c r="AA12" s="38">
        <f t="shared" si="9"/>
        <v>0</v>
      </c>
      <c r="AB12" s="38">
        <f t="shared" si="9"/>
        <v>0</v>
      </c>
      <c r="AC12" s="38">
        <f t="shared" si="9"/>
        <v>0</v>
      </c>
      <c r="AD12" s="38">
        <f t="shared" si="9"/>
        <v>0</v>
      </c>
      <c r="AE12" s="38">
        <f t="shared" si="9"/>
        <v>0</v>
      </c>
      <c r="AF12" s="38">
        <f t="shared" ref="AF12:AO14" si="10">($F12&lt;=AF$3)*($I12/12)*(1+$G12)^(ROUNDUP(MAX(AF$3-$F12+1,0)/12,0)-1)</f>
        <v>0</v>
      </c>
      <c r="AG12" s="38">
        <f t="shared" si="10"/>
        <v>3125</v>
      </c>
      <c r="AH12" s="38">
        <f t="shared" si="10"/>
        <v>3125</v>
      </c>
      <c r="AI12" s="38">
        <f t="shared" si="10"/>
        <v>3125</v>
      </c>
      <c r="AJ12" s="38">
        <f t="shared" si="10"/>
        <v>3125</v>
      </c>
      <c r="AK12" s="38">
        <f t="shared" si="10"/>
        <v>3125</v>
      </c>
      <c r="AL12" s="38">
        <f t="shared" si="10"/>
        <v>3125</v>
      </c>
      <c r="AM12" s="38">
        <f t="shared" si="10"/>
        <v>3125</v>
      </c>
      <c r="AN12" s="38">
        <f t="shared" si="10"/>
        <v>3125</v>
      </c>
      <c r="AO12" s="38">
        <f t="shared" si="10"/>
        <v>3125</v>
      </c>
      <c r="AP12" s="38">
        <f t="shared" ref="AP12:AY14" si="11">($F12&lt;=AP$3)*($I12/12)*(1+$G12)^(ROUNDUP(MAX(AP$3-$F12+1,0)/12,0)-1)</f>
        <v>3125</v>
      </c>
      <c r="AQ12" s="38">
        <f t="shared" si="11"/>
        <v>3125</v>
      </c>
      <c r="AR12" s="38">
        <f t="shared" si="11"/>
        <v>3125</v>
      </c>
      <c r="AS12" s="38">
        <f t="shared" si="11"/>
        <v>3218.75</v>
      </c>
      <c r="AT12" s="38">
        <f t="shared" si="11"/>
        <v>3218.75</v>
      </c>
      <c r="AU12" s="38">
        <f t="shared" si="11"/>
        <v>3218.75</v>
      </c>
      <c r="AV12" s="38">
        <f t="shared" si="11"/>
        <v>3218.75</v>
      </c>
      <c r="AW12" s="38">
        <f t="shared" si="11"/>
        <v>3218.75</v>
      </c>
      <c r="AX12" s="38">
        <f t="shared" si="11"/>
        <v>3218.75</v>
      </c>
      <c r="AY12" s="38">
        <f t="shared" si="11"/>
        <v>3218.75</v>
      </c>
      <c r="AZ12" s="38">
        <f t="shared" ref="AZ12:BI14" si="12">($F12&lt;=AZ$3)*($I12/12)*(1+$G12)^(ROUNDUP(MAX(AZ$3-$F12+1,0)/12,0)-1)</f>
        <v>3218.75</v>
      </c>
      <c r="BA12" s="38">
        <f t="shared" si="12"/>
        <v>3218.75</v>
      </c>
      <c r="BB12" s="38">
        <f t="shared" si="12"/>
        <v>3218.75</v>
      </c>
      <c r="BC12" s="38">
        <f t="shared" si="12"/>
        <v>3218.75</v>
      </c>
      <c r="BD12" s="38">
        <f t="shared" si="12"/>
        <v>3218.75</v>
      </c>
      <c r="BE12" s="38">
        <f t="shared" si="12"/>
        <v>3315.3125</v>
      </c>
      <c r="BF12" s="38">
        <f t="shared" si="12"/>
        <v>3315.3125</v>
      </c>
      <c r="BG12" s="38">
        <f t="shared" si="12"/>
        <v>3315.3125</v>
      </c>
      <c r="BH12" s="38">
        <f t="shared" si="12"/>
        <v>3315.3125</v>
      </c>
      <c r="BI12" s="38">
        <f t="shared" si="12"/>
        <v>3315.3125</v>
      </c>
      <c r="BJ12" s="38">
        <f t="shared" ref="BJ12:BS14" si="13">($F12&lt;=BJ$3)*($I12/12)*(1+$G12)^(ROUNDUP(MAX(BJ$3-$F12+1,0)/12,0)-1)</f>
        <v>3315.3125</v>
      </c>
      <c r="BK12" s="38">
        <f t="shared" si="13"/>
        <v>3315.3125</v>
      </c>
      <c r="BL12" s="38">
        <f t="shared" si="13"/>
        <v>3315.3125</v>
      </c>
      <c r="BM12" s="38">
        <f t="shared" si="13"/>
        <v>3315.3125</v>
      </c>
      <c r="BN12" s="38">
        <f t="shared" si="13"/>
        <v>3315.3125</v>
      </c>
      <c r="BO12" s="38">
        <f t="shared" si="13"/>
        <v>3315.3125</v>
      </c>
      <c r="BP12" s="38">
        <f t="shared" si="13"/>
        <v>3315.3125</v>
      </c>
      <c r="BQ12" s="38">
        <f t="shared" si="13"/>
        <v>3414.7718749999999</v>
      </c>
      <c r="BR12" s="38">
        <f t="shared" si="13"/>
        <v>3414.7718749999999</v>
      </c>
      <c r="BS12" s="38">
        <f t="shared" si="13"/>
        <v>3414.7718749999999</v>
      </c>
      <c r="BT12" s="38">
        <f t="shared" ref="BT12:CC14" si="14">($F12&lt;=BT$3)*($I12/12)*(1+$G12)^(ROUNDUP(MAX(BT$3-$F12+1,0)/12,0)-1)</f>
        <v>3414.7718749999999</v>
      </c>
      <c r="BU12" s="38">
        <f t="shared" si="14"/>
        <v>3414.7718749999999</v>
      </c>
      <c r="BV12" s="38">
        <f t="shared" si="14"/>
        <v>3414.7718749999999</v>
      </c>
      <c r="BW12" s="38">
        <f t="shared" si="14"/>
        <v>3414.7718749999999</v>
      </c>
      <c r="BX12" s="38">
        <f t="shared" si="14"/>
        <v>3414.7718749999999</v>
      </c>
      <c r="BY12" s="38">
        <f t="shared" si="14"/>
        <v>3414.7718749999999</v>
      </c>
      <c r="BZ12" s="38">
        <f t="shared" si="14"/>
        <v>3414.7718749999999</v>
      </c>
      <c r="CA12" s="38">
        <f t="shared" si="14"/>
        <v>3414.7718749999999</v>
      </c>
      <c r="CB12" s="38">
        <f t="shared" si="14"/>
        <v>3414.7718749999999</v>
      </c>
      <c r="CC12" s="38">
        <f t="shared" si="14"/>
        <v>3517.2150312499998</v>
      </c>
      <c r="CD12" s="38">
        <f t="shared" ref="CD12:CM14" si="15">($F12&lt;=CD$3)*($I12/12)*(1+$G12)^(ROUNDUP(MAX(CD$3-$F12+1,0)/12,0)-1)</f>
        <v>3517.2150312499998</v>
      </c>
      <c r="CE12" s="38">
        <f t="shared" si="15"/>
        <v>3517.2150312499998</v>
      </c>
      <c r="CF12" s="38">
        <f t="shared" si="15"/>
        <v>3517.2150312499998</v>
      </c>
      <c r="CG12" s="38">
        <f t="shared" si="15"/>
        <v>3517.2150312499998</v>
      </c>
      <c r="CH12" s="38">
        <f t="shared" si="15"/>
        <v>3517.2150312499998</v>
      </c>
      <c r="CI12" s="38">
        <f t="shared" si="15"/>
        <v>3517.2150312499998</v>
      </c>
      <c r="CJ12" s="38">
        <f t="shared" si="15"/>
        <v>3517.2150312499998</v>
      </c>
      <c r="CK12" s="38">
        <f t="shared" si="15"/>
        <v>3517.2150312499998</v>
      </c>
      <c r="CL12" s="38">
        <f t="shared" si="15"/>
        <v>3517.2150312499998</v>
      </c>
      <c r="CM12" s="38">
        <f t="shared" si="15"/>
        <v>3517.2150312499998</v>
      </c>
      <c r="CN12" s="38">
        <f t="shared" ref="CN12:CW14" si="16">($F12&lt;=CN$3)*($I12/12)*(1+$G12)^(ROUNDUP(MAX(CN$3-$F12+1,0)/12,0)-1)</f>
        <v>3517.2150312499998</v>
      </c>
      <c r="CO12" s="38">
        <f t="shared" si="16"/>
        <v>3622.7314821874993</v>
      </c>
      <c r="CP12" s="38">
        <f t="shared" si="16"/>
        <v>3622.7314821874993</v>
      </c>
      <c r="CQ12" s="38">
        <f t="shared" si="16"/>
        <v>3622.7314821874993</v>
      </c>
      <c r="CR12" s="38">
        <f t="shared" si="16"/>
        <v>3622.7314821874993</v>
      </c>
      <c r="CS12" s="38">
        <f t="shared" si="16"/>
        <v>3622.7314821874993</v>
      </c>
      <c r="CT12" s="38">
        <f t="shared" si="16"/>
        <v>3622.7314821874993</v>
      </c>
      <c r="CU12" s="38">
        <f t="shared" si="16"/>
        <v>3622.7314821874993</v>
      </c>
      <c r="CV12" s="38">
        <f t="shared" si="16"/>
        <v>3622.7314821874993</v>
      </c>
      <c r="CW12" s="38">
        <f t="shared" si="16"/>
        <v>3622.7314821874993</v>
      </c>
      <c r="CX12" s="38">
        <f t="shared" ref="CX12:DG14" si="17">($F12&lt;=CX$3)*($I12/12)*(1+$G12)^(ROUNDUP(MAX(CX$3-$F12+1,0)/12,0)-1)</f>
        <v>3622.7314821874993</v>
      </c>
      <c r="CY12" s="38">
        <f t="shared" si="17"/>
        <v>3622.7314821874993</v>
      </c>
      <c r="CZ12" s="38">
        <f t="shared" si="17"/>
        <v>3622.7314821874993</v>
      </c>
      <c r="DA12" s="38">
        <f t="shared" si="17"/>
        <v>3731.4134266531246</v>
      </c>
      <c r="DB12" s="38">
        <f t="shared" si="17"/>
        <v>3731.4134266531246</v>
      </c>
      <c r="DC12" s="38">
        <f t="shared" si="17"/>
        <v>3731.4134266531246</v>
      </c>
      <c r="DD12" s="38">
        <f t="shared" si="17"/>
        <v>3731.4134266531246</v>
      </c>
      <c r="DE12" s="38">
        <f t="shared" si="17"/>
        <v>3731.4134266531246</v>
      </c>
      <c r="DF12" s="38">
        <f t="shared" si="17"/>
        <v>3731.4134266531246</v>
      </c>
      <c r="DG12" s="38">
        <f t="shared" si="17"/>
        <v>3731.4134266531246</v>
      </c>
      <c r="DH12" s="38">
        <f t="shared" ref="DH12:DQ14" si="18">($F12&lt;=DH$3)*($I12/12)*(1+$G12)^(ROUNDUP(MAX(DH$3-$F12+1,0)/12,0)-1)</f>
        <v>3731.4134266531246</v>
      </c>
      <c r="DI12" s="38">
        <f t="shared" si="18"/>
        <v>3731.4134266531246</v>
      </c>
      <c r="DJ12" s="38">
        <f t="shared" si="18"/>
        <v>3731.4134266531246</v>
      </c>
      <c r="DK12" s="38">
        <f t="shared" si="18"/>
        <v>3731.4134266531246</v>
      </c>
      <c r="DL12" s="38">
        <f t="shared" si="18"/>
        <v>3731.4134266531246</v>
      </c>
      <c r="DM12" s="38">
        <f t="shared" si="18"/>
        <v>3843.3558294527188</v>
      </c>
      <c r="DN12" s="38">
        <f t="shared" si="18"/>
        <v>3843.3558294527188</v>
      </c>
      <c r="DO12" s="38">
        <f t="shared" si="18"/>
        <v>3843.3558294527188</v>
      </c>
      <c r="DP12" s="38">
        <f t="shared" si="18"/>
        <v>3843.3558294527188</v>
      </c>
      <c r="DQ12" s="38">
        <f t="shared" si="18"/>
        <v>3843.3558294527188</v>
      </c>
      <c r="DR12" s="38">
        <f t="shared" ref="DR12:EA14" si="19">($F12&lt;=DR$3)*($I12/12)*(1+$G12)^(ROUNDUP(MAX(DR$3-$F12+1,0)/12,0)-1)</f>
        <v>3843.3558294527188</v>
      </c>
      <c r="DS12" s="38">
        <f t="shared" si="19"/>
        <v>3843.3558294527188</v>
      </c>
      <c r="DT12" s="38">
        <f t="shared" si="19"/>
        <v>3843.3558294527188</v>
      </c>
      <c r="DU12" s="38">
        <f t="shared" si="19"/>
        <v>3843.3558294527188</v>
      </c>
      <c r="DV12" s="38">
        <f t="shared" si="19"/>
        <v>3843.3558294527188</v>
      </c>
      <c r="DW12" s="38">
        <f t="shared" si="19"/>
        <v>3843.3558294527188</v>
      </c>
      <c r="DX12" s="38">
        <f t="shared" si="19"/>
        <v>3843.3558294527188</v>
      </c>
      <c r="DY12" s="38">
        <f t="shared" si="19"/>
        <v>3958.6565043362998</v>
      </c>
      <c r="DZ12" s="38">
        <f t="shared" si="19"/>
        <v>3958.6565043362998</v>
      </c>
      <c r="EA12" s="38">
        <f t="shared" si="19"/>
        <v>3958.6565043362998</v>
      </c>
      <c r="EB12" s="38">
        <f t="shared" ref="EB12:EM14" si="20">($F12&lt;=EB$3)*($I12/12)*(1+$G12)^(ROUNDUP(MAX(EB$3-$F12+1,0)/12,0)-1)</f>
        <v>3958.6565043362998</v>
      </c>
      <c r="EC12" s="38">
        <f t="shared" si="20"/>
        <v>3958.6565043362998</v>
      </c>
      <c r="ED12" s="38">
        <f t="shared" si="20"/>
        <v>3958.6565043362998</v>
      </c>
      <c r="EE12" s="38">
        <f t="shared" si="20"/>
        <v>3958.6565043362998</v>
      </c>
      <c r="EF12" s="38">
        <f t="shared" si="20"/>
        <v>3958.6565043362998</v>
      </c>
      <c r="EG12" s="38">
        <f t="shared" si="20"/>
        <v>3958.6565043362998</v>
      </c>
      <c r="EH12" s="38">
        <f t="shared" si="20"/>
        <v>3958.6565043362998</v>
      </c>
      <c r="EI12" s="38">
        <f t="shared" si="20"/>
        <v>3958.6565043362998</v>
      </c>
      <c r="EJ12" s="38">
        <f t="shared" si="20"/>
        <v>3958.6565043362998</v>
      </c>
      <c r="EK12" s="38">
        <f t="shared" si="20"/>
        <v>4077.4161994663891</v>
      </c>
      <c r="EL12" s="38">
        <f t="shared" si="20"/>
        <v>4077.4161994663891</v>
      </c>
      <c r="EM12" s="38">
        <f t="shared" si="20"/>
        <v>4077.4161994663891</v>
      </c>
      <c r="EO12" s="24"/>
      <c r="EP12" s="24"/>
      <c r="EQ12" s="30">
        <f>E12</f>
        <v>1500</v>
      </c>
      <c r="ER12" s="26">
        <f>D12</f>
        <v>19</v>
      </c>
      <c r="ES12" s="24"/>
      <c r="ET12" s="24"/>
      <c r="EU12" s="24"/>
      <c r="EV12" s="30">
        <f>(EV$3&gt;=$ER12)*$EQ12</f>
        <v>0</v>
      </c>
      <c r="EW12" s="30">
        <f t="shared" ref="EW12:HH14" si="21">(EW$3&gt;=$ER12)*$EQ12</f>
        <v>0</v>
      </c>
      <c r="EX12" s="30">
        <f t="shared" si="21"/>
        <v>0</v>
      </c>
      <c r="EY12" s="30">
        <f t="shared" si="21"/>
        <v>0</v>
      </c>
      <c r="EZ12" s="30">
        <f t="shared" si="21"/>
        <v>0</v>
      </c>
      <c r="FA12" s="30">
        <f t="shared" si="21"/>
        <v>0</v>
      </c>
      <c r="FB12" s="30">
        <f t="shared" si="21"/>
        <v>0</v>
      </c>
      <c r="FC12" s="30">
        <f t="shared" si="21"/>
        <v>0</v>
      </c>
      <c r="FD12" s="30">
        <f t="shared" si="21"/>
        <v>0</v>
      </c>
      <c r="FE12" s="30">
        <f t="shared" si="21"/>
        <v>0</v>
      </c>
      <c r="FF12" s="30">
        <f t="shared" si="21"/>
        <v>0</v>
      </c>
      <c r="FG12" s="30">
        <f t="shared" si="21"/>
        <v>0</v>
      </c>
      <c r="FH12" s="30">
        <f t="shared" si="21"/>
        <v>0</v>
      </c>
      <c r="FI12" s="30">
        <f t="shared" si="21"/>
        <v>0</v>
      </c>
      <c r="FJ12" s="30">
        <f t="shared" si="21"/>
        <v>0</v>
      </c>
      <c r="FK12" s="30">
        <f t="shared" si="21"/>
        <v>0</v>
      </c>
      <c r="FL12" s="30">
        <f t="shared" si="21"/>
        <v>0</v>
      </c>
      <c r="FM12" s="30">
        <f t="shared" si="21"/>
        <v>0</v>
      </c>
      <c r="FN12" s="30">
        <f t="shared" si="21"/>
        <v>1500</v>
      </c>
      <c r="FO12" s="30">
        <f t="shared" si="21"/>
        <v>1500</v>
      </c>
      <c r="FP12" s="30">
        <f t="shared" si="21"/>
        <v>1500</v>
      </c>
      <c r="FQ12" s="30">
        <f t="shared" si="21"/>
        <v>1500</v>
      </c>
      <c r="FR12" s="30">
        <f t="shared" si="21"/>
        <v>1500</v>
      </c>
      <c r="FS12" s="30">
        <f t="shared" si="21"/>
        <v>1500</v>
      </c>
      <c r="FT12" s="30">
        <f t="shared" si="21"/>
        <v>1500</v>
      </c>
      <c r="FU12" s="30">
        <f t="shared" si="21"/>
        <v>1500</v>
      </c>
      <c r="FV12" s="30">
        <f t="shared" si="21"/>
        <v>1500</v>
      </c>
      <c r="FW12" s="30">
        <f t="shared" si="21"/>
        <v>1500</v>
      </c>
      <c r="FX12" s="30">
        <f t="shared" si="21"/>
        <v>1500</v>
      </c>
      <c r="FY12" s="30">
        <f t="shared" si="21"/>
        <v>1500</v>
      </c>
      <c r="FZ12" s="30">
        <f t="shared" si="21"/>
        <v>1500</v>
      </c>
      <c r="GA12" s="30">
        <f t="shared" si="21"/>
        <v>1500</v>
      </c>
      <c r="GB12" s="30">
        <f t="shared" si="21"/>
        <v>1500</v>
      </c>
      <c r="GC12" s="30">
        <f t="shared" si="21"/>
        <v>1500</v>
      </c>
      <c r="GD12" s="30">
        <f t="shared" si="21"/>
        <v>1500</v>
      </c>
      <c r="GE12" s="30">
        <f t="shared" si="21"/>
        <v>1500</v>
      </c>
      <c r="GF12" s="30">
        <f t="shared" si="21"/>
        <v>1500</v>
      </c>
      <c r="GG12" s="30">
        <f t="shared" si="21"/>
        <v>1500</v>
      </c>
      <c r="GH12" s="30">
        <f t="shared" si="21"/>
        <v>1500</v>
      </c>
      <c r="GI12" s="30">
        <f t="shared" si="21"/>
        <v>1500</v>
      </c>
      <c r="GJ12" s="30">
        <f t="shared" si="21"/>
        <v>1500</v>
      </c>
      <c r="GK12" s="30">
        <f t="shared" si="21"/>
        <v>1500</v>
      </c>
      <c r="GL12" s="30">
        <f t="shared" si="21"/>
        <v>1500</v>
      </c>
      <c r="GM12" s="30">
        <f t="shared" si="21"/>
        <v>1500</v>
      </c>
      <c r="GN12" s="30">
        <f t="shared" si="21"/>
        <v>1500</v>
      </c>
      <c r="GO12" s="30">
        <f t="shared" si="21"/>
        <v>1500</v>
      </c>
      <c r="GP12" s="30">
        <f t="shared" si="21"/>
        <v>1500</v>
      </c>
      <c r="GQ12" s="30">
        <f t="shared" si="21"/>
        <v>1500</v>
      </c>
      <c r="GR12" s="30">
        <f t="shared" si="21"/>
        <v>1500</v>
      </c>
      <c r="GS12" s="30">
        <f t="shared" si="21"/>
        <v>1500</v>
      </c>
      <c r="GT12" s="30">
        <f t="shared" si="21"/>
        <v>1500</v>
      </c>
      <c r="GU12" s="30">
        <f t="shared" si="21"/>
        <v>1500</v>
      </c>
      <c r="GV12" s="30">
        <f t="shared" si="21"/>
        <v>1500</v>
      </c>
      <c r="GW12" s="30">
        <f t="shared" si="21"/>
        <v>1500</v>
      </c>
      <c r="GX12" s="30">
        <f t="shared" si="21"/>
        <v>1500</v>
      </c>
      <c r="GY12" s="30">
        <f t="shared" si="21"/>
        <v>1500</v>
      </c>
      <c r="GZ12" s="30">
        <f t="shared" si="21"/>
        <v>1500</v>
      </c>
      <c r="HA12" s="30">
        <f t="shared" si="21"/>
        <v>1500</v>
      </c>
      <c r="HB12" s="30">
        <f t="shared" si="21"/>
        <v>1500</v>
      </c>
      <c r="HC12" s="30">
        <f t="shared" si="21"/>
        <v>1500</v>
      </c>
      <c r="HD12" s="30">
        <f t="shared" si="21"/>
        <v>1500</v>
      </c>
      <c r="HE12" s="30">
        <f t="shared" si="21"/>
        <v>1500</v>
      </c>
      <c r="HF12" s="30">
        <f t="shared" si="21"/>
        <v>1500</v>
      </c>
      <c r="HG12" s="30">
        <f t="shared" si="21"/>
        <v>1500</v>
      </c>
      <c r="HH12" s="30">
        <f t="shared" si="21"/>
        <v>1500</v>
      </c>
      <c r="HI12" s="30">
        <f t="shared" ref="HI12:JT14" si="22">(HI$3&gt;=$ER12)*$EQ12</f>
        <v>1500</v>
      </c>
      <c r="HJ12" s="30">
        <f t="shared" si="22"/>
        <v>1500</v>
      </c>
      <c r="HK12" s="30">
        <f t="shared" si="22"/>
        <v>1500</v>
      </c>
      <c r="HL12" s="30">
        <f t="shared" si="22"/>
        <v>1500</v>
      </c>
      <c r="HM12" s="30">
        <f t="shared" si="22"/>
        <v>1500</v>
      </c>
      <c r="HN12" s="30">
        <f t="shared" si="22"/>
        <v>1500</v>
      </c>
      <c r="HO12" s="30">
        <f t="shared" si="22"/>
        <v>1500</v>
      </c>
      <c r="HP12" s="30">
        <f t="shared" si="22"/>
        <v>1500</v>
      </c>
      <c r="HQ12" s="30">
        <f t="shared" si="22"/>
        <v>1500</v>
      </c>
      <c r="HR12" s="30">
        <f t="shared" si="22"/>
        <v>1500</v>
      </c>
      <c r="HS12" s="30">
        <f t="shared" si="22"/>
        <v>1500</v>
      </c>
      <c r="HT12" s="30">
        <f t="shared" si="22"/>
        <v>1500</v>
      </c>
      <c r="HU12" s="30">
        <f t="shared" si="22"/>
        <v>1500</v>
      </c>
      <c r="HV12" s="30">
        <f t="shared" si="22"/>
        <v>1500</v>
      </c>
      <c r="HW12" s="30">
        <f t="shared" si="22"/>
        <v>1500</v>
      </c>
      <c r="HX12" s="30">
        <f t="shared" si="22"/>
        <v>1500</v>
      </c>
      <c r="HY12" s="30">
        <f t="shared" si="22"/>
        <v>1500</v>
      </c>
      <c r="HZ12" s="30">
        <f t="shared" si="22"/>
        <v>1500</v>
      </c>
      <c r="IA12" s="30">
        <f t="shared" si="22"/>
        <v>1500</v>
      </c>
      <c r="IB12" s="30">
        <f t="shared" si="22"/>
        <v>1500</v>
      </c>
      <c r="IC12" s="30">
        <f t="shared" si="22"/>
        <v>1500</v>
      </c>
      <c r="ID12" s="30">
        <f t="shared" si="22"/>
        <v>1500</v>
      </c>
      <c r="IE12" s="30">
        <f t="shared" si="22"/>
        <v>1500</v>
      </c>
      <c r="IF12" s="30">
        <f t="shared" si="22"/>
        <v>1500</v>
      </c>
      <c r="IG12" s="30">
        <f t="shared" si="22"/>
        <v>1500</v>
      </c>
      <c r="IH12" s="30">
        <f t="shared" si="22"/>
        <v>1500</v>
      </c>
      <c r="II12" s="30">
        <f t="shared" si="22"/>
        <v>1500</v>
      </c>
      <c r="IJ12" s="30">
        <f t="shared" si="22"/>
        <v>1500</v>
      </c>
      <c r="IK12" s="30">
        <f t="shared" si="22"/>
        <v>1500</v>
      </c>
      <c r="IL12" s="30">
        <f t="shared" si="22"/>
        <v>1500</v>
      </c>
      <c r="IM12" s="30">
        <f t="shared" si="22"/>
        <v>1500</v>
      </c>
      <c r="IN12" s="30">
        <f t="shared" si="22"/>
        <v>1500</v>
      </c>
      <c r="IO12" s="30">
        <f t="shared" si="22"/>
        <v>1500</v>
      </c>
      <c r="IP12" s="30">
        <f t="shared" si="22"/>
        <v>1500</v>
      </c>
      <c r="IQ12" s="30">
        <f t="shared" si="22"/>
        <v>1500</v>
      </c>
      <c r="IR12" s="30">
        <f t="shared" si="22"/>
        <v>1500</v>
      </c>
      <c r="IS12" s="30">
        <f t="shared" si="22"/>
        <v>1500</v>
      </c>
      <c r="IT12" s="30">
        <f t="shared" si="22"/>
        <v>1500</v>
      </c>
      <c r="IU12" s="30">
        <f t="shared" si="22"/>
        <v>1500</v>
      </c>
      <c r="IV12" s="30">
        <f t="shared" si="22"/>
        <v>1500</v>
      </c>
      <c r="IW12" s="30">
        <f t="shared" si="22"/>
        <v>1500</v>
      </c>
      <c r="IX12" s="30">
        <f t="shared" si="22"/>
        <v>1500</v>
      </c>
      <c r="IY12" s="30">
        <f t="shared" si="22"/>
        <v>1500</v>
      </c>
      <c r="IZ12" s="30">
        <f t="shared" si="22"/>
        <v>1500</v>
      </c>
      <c r="JA12" s="30">
        <f t="shared" si="22"/>
        <v>1500</v>
      </c>
      <c r="JB12" s="30">
        <f t="shared" si="22"/>
        <v>1500</v>
      </c>
      <c r="JC12" s="30">
        <f t="shared" si="22"/>
        <v>1500</v>
      </c>
      <c r="JD12" s="30">
        <f t="shared" si="22"/>
        <v>1500</v>
      </c>
      <c r="JE12" s="30">
        <f t="shared" si="22"/>
        <v>1500</v>
      </c>
      <c r="JF12" s="30">
        <f t="shared" si="22"/>
        <v>1500</v>
      </c>
      <c r="JG12" s="30">
        <f t="shared" si="22"/>
        <v>1500</v>
      </c>
      <c r="JH12" s="30">
        <f t="shared" si="22"/>
        <v>1500</v>
      </c>
      <c r="JI12" s="30">
        <f t="shared" si="22"/>
        <v>1500</v>
      </c>
      <c r="JJ12" s="30">
        <f t="shared" si="22"/>
        <v>1500</v>
      </c>
      <c r="JK12" s="30">
        <f t="shared" si="22"/>
        <v>1500</v>
      </c>
      <c r="JL12" s="30">
        <f t="shared" si="22"/>
        <v>1500</v>
      </c>
      <c r="JM12" s="30">
        <f t="shared" si="22"/>
        <v>1500</v>
      </c>
      <c r="JN12" s="30">
        <f t="shared" si="22"/>
        <v>1500</v>
      </c>
      <c r="JO12" s="30">
        <f t="shared" si="22"/>
        <v>1500</v>
      </c>
      <c r="JP12" s="30">
        <f t="shared" si="22"/>
        <v>1500</v>
      </c>
      <c r="JQ12" s="30">
        <f t="shared" si="22"/>
        <v>1500</v>
      </c>
      <c r="JR12" s="30">
        <f t="shared" si="22"/>
        <v>1500</v>
      </c>
      <c r="JS12" s="30">
        <f t="shared" si="22"/>
        <v>1500</v>
      </c>
      <c r="JT12" s="30">
        <f t="shared" si="22"/>
        <v>1500</v>
      </c>
      <c r="JU12" s="30">
        <f t="shared" ref="JU12:JW14" si="23">(JU$3&gt;=$ER12)*$EQ12</f>
        <v>1500</v>
      </c>
      <c r="JV12" s="30">
        <f t="shared" si="23"/>
        <v>1500</v>
      </c>
      <c r="JW12" s="30">
        <f t="shared" si="23"/>
        <v>1500</v>
      </c>
    </row>
    <row r="13" spans="1:284" x14ac:dyDescent="0.2">
      <c r="B13" s="423">
        <v>200</v>
      </c>
      <c r="C13" s="133" t="s">
        <v>328</v>
      </c>
      <c r="D13" s="132">
        <f>D12+3</f>
        <v>22</v>
      </c>
      <c r="E13" s="124">
        <v>1750</v>
      </c>
      <c r="F13" s="132">
        <f>E19+3</f>
        <v>25</v>
      </c>
      <c r="G13" s="130">
        <v>0.02</v>
      </c>
      <c r="H13" s="424">
        <v>24.5</v>
      </c>
      <c r="I13" s="425">
        <f>H13*E13</f>
        <v>42875</v>
      </c>
      <c r="K13" s="38"/>
      <c r="L13" s="38">
        <f t="shared" si="8"/>
        <v>0</v>
      </c>
      <c r="M13" s="38">
        <f t="shared" si="8"/>
        <v>0</v>
      </c>
      <c r="N13" s="38">
        <f t="shared" si="8"/>
        <v>0</v>
      </c>
      <c r="O13" s="38">
        <f t="shared" si="8"/>
        <v>0</v>
      </c>
      <c r="P13" s="38">
        <f t="shared" si="8"/>
        <v>0</v>
      </c>
      <c r="Q13" s="38">
        <f t="shared" si="8"/>
        <v>0</v>
      </c>
      <c r="R13" s="38">
        <f t="shared" si="8"/>
        <v>0</v>
      </c>
      <c r="S13" s="38">
        <f t="shared" si="8"/>
        <v>0</v>
      </c>
      <c r="T13" s="38">
        <f t="shared" si="8"/>
        <v>0</v>
      </c>
      <c r="U13" s="38">
        <f t="shared" si="8"/>
        <v>0</v>
      </c>
      <c r="V13" s="38">
        <f t="shared" si="9"/>
        <v>0</v>
      </c>
      <c r="W13" s="38">
        <f t="shared" si="9"/>
        <v>0</v>
      </c>
      <c r="X13" s="38">
        <f t="shared" si="9"/>
        <v>0</v>
      </c>
      <c r="Y13" s="38">
        <f t="shared" si="9"/>
        <v>0</v>
      </c>
      <c r="Z13" s="38">
        <f t="shared" si="9"/>
        <v>0</v>
      </c>
      <c r="AA13" s="38">
        <f t="shared" si="9"/>
        <v>0</v>
      </c>
      <c r="AB13" s="38">
        <f t="shared" si="9"/>
        <v>0</v>
      </c>
      <c r="AC13" s="38">
        <f t="shared" si="9"/>
        <v>0</v>
      </c>
      <c r="AD13" s="38">
        <f t="shared" si="9"/>
        <v>0</v>
      </c>
      <c r="AE13" s="38">
        <f t="shared" si="9"/>
        <v>0</v>
      </c>
      <c r="AF13" s="38">
        <f t="shared" si="10"/>
        <v>0</v>
      </c>
      <c r="AG13" s="38">
        <f t="shared" si="10"/>
        <v>0</v>
      </c>
      <c r="AH13" s="38">
        <f t="shared" si="10"/>
        <v>0</v>
      </c>
      <c r="AI13" s="38">
        <f t="shared" si="10"/>
        <v>0</v>
      </c>
      <c r="AJ13" s="38">
        <f t="shared" si="10"/>
        <v>3572.9166666666665</v>
      </c>
      <c r="AK13" s="38">
        <f t="shared" si="10"/>
        <v>3572.9166666666665</v>
      </c>
      <c r="AL13" s="38">
        <f t="shared" si="10"/>
        <v>3572.9166666666665</v>
      </c>
      <c r="AM13" s="38">
        <f t="shared" si="10"/>
        <v>3572.9166666666665</v>
      </c>
      <c r="AN13" s="38">
        <f t="shared" si="10"/>
        <v>3572.9166666666665</v>
      </c>
      <c r="AO13" s="38">
        <f t="shared" si="10"/>
        <v>3572.9166666666665</v>
      </c>
      <c r="AP13" s="38">
        <f t="shared" si="11"/>
        <v>3572.9166666666665</v>
      </c>
      <c r="AQ13" s="38">
        <f t="shared" si="11"/>
        <v>3572.9166666666665</v>
      </c>
      <c r="AR13" s="38">
        <f t="shared" si="11"/>
        <v>3572.9166666666665</v>
      </c>
      <c r="AS13" s="38">
        <f t="shared" si="11"/>
        <v>3572.9166666666665</v>
      </c>
      <c r="AT13" s="38">
        <f t="shared" si="11"/>
        <v>3572.9166666666665</v>
      </c>
      <c r="AU13" s="38">
        <f t="shared" si="11"/>
        <v>3572.9166666666665</v>
      </c>
      <c r="AV13" s="38">
        <f t="shared" si="11"/>
        <v>3644.375</v>
      </c>
      <c r="AW13" s="38">
        <f t="shared" si="11"/>
        <v>3644.375</v>
      </c>
      <c r="AX13" s="38">
        <f t="shared" si="11"/>
        <v>3644.375</v>
      </c>
      <c r="AY13" s="38">
        <f t="shared" si="11"/>
        <v>3644.375</v>
      </c>
      <c r="AZ13" s="38">
        <f t="shared" si="12"/>
        <v>3644.375</v>
      </c>
      <c r="BA13" s="38">
        <f t="shared" si="12"/>
        <v>3644.375</v>
      </c>
      <c r="BB13" s="38">
        <f t="shared" si="12"/>
        <v>3644.375</v>
      </c>
      <c r="BC13" s="38">
        <f t="shared" si="12"/>
        <v>3644.375</v>
      </c>
      <c r="BD13" s="38">
        <f t="shared" si="12"/>
        <v>3644.375</v>
      </c>
      <c r="BE13" s="38">
        <f t="shared" si="12"/>
        <v>3644.375</v>
      </c>
      <c r="BF13" s="38">
        <f t="shared" si="12"/>
        <v>3644.375</v>
      </c>
      <c r="BG13" s="38">
        <f t="shared" si="12"/>
        <v>3644.375</v>
      </c>
      <c r="BH13" s="38">
        <f t="shared" si="12"/>
        <v>3717.2624999999998</v>
      </c>
      <c r="BI13" s="38">
        <f t="shared" si="12"/>
        <v>3717.2624999999998</v>
      </c>
      <c r="BJ13" s="38">
        <f t="shared" si="13"/>
        <v>3717.2624999999998</v>
      </c>
      <c r="BK13" s="38">
        <f t="shared" si="13"/>
        <v>3717.2624999999998</v>
      </c>
      <c r="BL13" s="38">
        <f t="shared" si="13"/>
        <v>3717.2624999999998</v>
      </c>
      <c r="BM13" s="38">
        <f t="shared" si="13"/>
        <v>3717.2624999999998</v>
      </c>
      <c r="BN13" s="38">
        <f t="shared" si="13"/>
        <v>3717.2624999999998</v>
      </c>
      <c r="BO13" s="38">
        <f t="shared" si="13"/>
        <v>3717.2624999999998</v>
      </c>
      <c r="BP13" s="38">
        <f t="shared" si="13"/>
        <v>3717.2624999999998</v>
      </c>
      <c r="BQ13" s="38">
        <f t="shared" si="13"/>
        <v>3717.2624999999998</v>
      </c>
      <c r="BR13" s="38">
        <f t="shared" si="13"/>
        <v>3717.2624999999998</v>
      </c>
      <c r="BS13" s="38">
        <f t="shared" si="13"/>
        <v>3717.2624999999998</v>
      </c>
      <c r="BT13" s="38">
        <f t="shared" si="14"/>
        <v>3791.6077499999997</v>
      </c>
      <c r="BU13" s="38">
        <f t="shared" si="14"/>
        <v>3791.6077499999997</v>
      </c>
      <c r="BV13" s="38">
        <f t="shared" si="14"/>
        <v>3791.6077499999997</v>
      </c>
      <c r="BW13" s="38">
        <f t="shared" si="14"/>
        <v>3791.6077499999997</v>
      </c>
      <c r="BX13" s="38">
        <f t="shared" si="14"/>
        <v>3791.6077499999997</v>
      </c>
      <c r="BY13" s="38">
        <f t="shared" si="14"/>
        <v>3791.6077499999997</v>
      </c>
      <c r="BZ13" s="38">
        <f t="shared" si="14"/>
        <v>3791.6077499999997</v>
      </c>
      <c r="CA13" s="38">
        <f t="shared" si="14"/>
        <v>3791.6077499999997</v>
      </c>
      <c r="CB13" s="38">
        <f t="shared" si="14"/>
        <v>3791.6077499999997</v>
      </c>
      <c r="CC13" s="38">
        <f t="shared" si="14"/>
        <v>3791.6077499999997</v>
      </c>
      <c r="CD13" s="38">
        <f t="shared" si="15"/>
        <v>3791.6077499999997</v>
      </c>
      <c r="CE13" s="38">
        <f t="shared" si="15"/>
        <v>3791.6077499999997</v>
      </c>
      <c r="CF13" s="38">
        <f t="shared" si="15"/>
        <v>3867.4399049999997</v>
      </c>
      <c r="CG13" s="38">
        <f t="shared" si="15"/>
        <v>3867.4399049999997</v>
      </c>
      <c r="CH13" s="38">
        <f t="shared" si="15"/>
        <v>3867.4399049999997</v>
      </c>
      <c r="CI13" s="38">
        <f t="shared" si="15"/>
        <v>3867.4399049999997</v>
      </c>
      <c r="CJ13" s="38">
        <f t="shared" si="15"/>
        <v>3867.4399049999997</v>
      </c>
      <c r="CK13" s="38">
        <f t="shared" si="15"/>
        <v>3867.4399049999997</v>
      </c>
      <c r="CL13" s="38">
        <f t="shared" si="15"/>
        <v>3867.4399049999997</v>
      </c>
      <c r="CM13" s="38">
        <f t="shared" si="15"/>
        <v>3867.4399049999997</v>
      </c>
      <c r="CN13" s="38">
        <f t="shared" si="16"/>
        <v>3867.4399049999997</v>
      </c>
      <c r="CO13" s="38">
        <f t="shared" si="16"/>
        <v>3867.4399049999997</v>
      </c>
      <c r="CP13" s="38">
        <f t="shared" si="16"/>
        <v>3867.4399049999997</v>
      </c>
      <c r="CQ13" s="38">
        <f t="shared" si="16"/>
        <v>3867.4399049999997</v>
      </c>
      <c r="CR13" s="38">
        <f t="shared" si="16"/>
        <v>3944.7887031</v>
      </c>
      <c r="CS13" s="38">
        <f t="shared" si="16"/>
        <v>3944.7887031</v>
      </c>
      <c r="CT13" s="38">
        <f t="shared" si="16"/>
        <v>3944.7887031</v>
      </c>
      <c r="CU13" s="38">
        <f t="shared" si="16"/>
        <v>3944.7887031</v>
      </c>
      <c r="CV13" s="38">
        <f t="shared" si="16"/>
        <v>3944.7887031</v>
      </c>
      <c r="CW13" s="38">
        <f t="shared" si="16"/>
        <v>3944.7887031</v>
      </c>
      <c r="CX13" s="38">
        <f t="shared" si="17"/>
        <v>3944.7887031</v>
      </c>
      <c r="CY13" s="38">
        <f t="shared" si="17"/>
        <v>3944.7887031</v>
      </c>
      <c r="CZ13" s="38">
        <f t="shared" si="17"/>
        <v>3944.7887031</v>
      </c>
      <c r="DA13" s="38">
        <f t="shared" si="17"/>
        <v>3944.7887031</v>
      </c>
      <c r="DB13" s="38">
        <f t="shared" si="17"/>
        <v>3944.7887031</v>
      </c>
      <c r="DC13" s="38">
        <f t="shared" si="17"/>
        <v>3944.7887031</v>
      </c>
      <c r="DD13" s="38">
        <f t="shared" si="17"/>
        <v>4023.6844771619999</v>
      </c>
      <c r="DE13" s="38">
        <f t="shared" si="17"/>
        <v>4023.6844771619999</v>
      </c>
      <c r="DF13" s="38">
        <f t="shared" si="17"/>
        <v>4023.6844771619999</v>
      </c>
      <c r="DG13" s="38">
        <f t="shared" si="17"/>
        <v>4023.6844771619999</v>
      </c>
      <c r="DH13" s="38">
        <f t="shared" si="18"/>
        <v>4023.6844771619999</v>
      </c>
      <c r="DI13" s="38">
        <f t="shared" si="18"/>
        <v>4023.6844771619999</v>
      </c>
      <c r="DJ13" s="38">
        <f t="shared" si="18"/>
        <v>4023.6844771619999</v>
      </c>
      <c r="DK13" s="38">
        <f t="shared" si="18"/>
        <v>4023.6844771619999</v>
      </c>
      <c r="DL13" s="38">
        <f t="shared" si="18"/>
        <v>4023.6844771619999</v>
      </c>
      <c r="DM13" s="38">
        <f t="shared" si="18"/>
        <v>4023.6844771619999</v>
      </c>
      <c r="DN13" s="38">
        <f t="shared" si="18"/>
        <v>4023.6844771619999</v>
      </c>
      <c r="DO13" s="38">
        <f t="shared" si="18"/>
        <v>4023.6844771619999</v>
      </c>
      <c r="DP13" s="38">
        <f t="shared" si="18"/>
        <v>4104.1581667052387</v>
      </c>
      <c r="DQ13" s="38">
        <f t="shared" si="18"/>
        <v>4104.1581667052387</v>
      </c>
      <c r="DR13" s="38">
        <f t="shared" si="19"/>
        <v>4104.1581667052387</v>
      </c>
      <c r="DS13" s="38">
        <f t="shared" si="19"/>
        <v>4104.1581667052387</v>
      </c>
      <c r="DT13" s="38">
        <f t="shared" si="19"/>
        <v>4104.1581667052387</v>
      </c>
      <c r="DU13" s="38">
        <f t="shared" si="19"/>
        <v>4104.1581667052387</v>
      </c>
      <c r="DV13" s="38">
        <f t="shared" si="19"/>
        <v>4104.1581667052387</v>
      </c>
      <c r="DW13" s="38">
        <f t="shared" si="19"/>
        <v>4104.1581667052387</v>
      </c>
      <c r="DX13" s="38">
        <f t="shared" si="19"/>
        <v>4104.1581667052387</v>
      </c>
      <c r="DY13" s="38">
        <f t="shared" si="19"/>
        <v>4104.1581667052387</v>
      </c>
      <c r="DZ13" s="38">
        <f t="shared" si="19"/>
        <v>4104.1581667052387</v>
      </c>
      <c r="EA13" s="38">
        <f t="shared" si="19"/>
        <v>4104.1581667052387</v>
      </c>
      <c r="EB13" s="38">
        <f t="shared" si="20"/>
        <v>4186.2413300393446</v>
      </c>
      <c r="EC13" s="38">
        <f t="shared" si="20"/>
        <v>4186.2413300393446</v>
      </c>
      <c r="ED13" s="38">
        <f t="shared" si="20"/>
        <v>4186.2413300393446</v>
      </c>
      <c r="EE13" s="38">
        <f t="shared" si="20"/>
        <v>4186.2413300393446</v>
      </c>
      <c r="EF13" s="38">
        <f t="shared" si="20"/>
        <v>4186.2413300393446</v>
      </c>
      <c r="EG13" s="38">
        <f t="shared" si="20"/>
        <v>4186.2413300393446</v>
      </c>
      <c r="EH13" s="38">
        <f t="shared" si="20"/>
        <v>4186.2413300393446</v>
      </c>
      <c r="EI13" s="38">
        <f t="shared" si="20"/>
        <v>4186.2413300393446</v>
      </c>
      <c r="EJ13" s="38">
        <f t="shared" si="20"/>
        <v>4186.2413300393446</v>
      </c>
      <c r="EK13" s="38">
        <f t="shared" si="20"/>
        <v>4186.2413300393446</v>
      </c>
      <c r="EL13" s="38">
        <f t="shared" si="20"/>
        <v>4186.2413300393446</v>
      </c>
      <c r="EM13" s="38">
        <f t="shared" si="20"/>
        <v>4186.2413300393446</v>
      </c>
      <c r="EO13" s="24"/>
      <c r="EP13" s="24"/>
      <c r="EQ13" s="30">
        <f>E13</f>
        <v>1750</v>
      </c>
      <c r="ER13" s="26">
        <f>D13</f>
        <v>22</v>
      </c>
      <c r="ES13" s="24"/>
      <c r="ET13" s="24"/>
      <c r="EU13" s="24"/>
      <c r="EV13" s="30">
        <f>(EV$3&gt;=$ER13)*$EQ13</f>
        <v>0</v>
      </c>
      <c r="EW13" s="30">
        <f t="shared" si="21"/>
        <v>0</v>
      </c>
      <c r="EX13" s="30">
        <f t="shared" si="21"/>
        <v>0</v>
      </c>
      <c r="EY13" s="30">
        <f t="shared" si="21"/>
        <v>0</v>
      </c>
      <c r="EZ13" s="30">
        <f t="shared" si="21"/>
        <v>0</v>
      </c>
      <c r="FA13" s="30">
        <f t="shared" si="21"/>
        <v>0</v>
      </c>
      <c r="FB13" s="30">
        <f t="shared" si="21"/>
        <v>0</v>
      </c>
      <c r="FC13" s="30">
        <f t="shared" si="21"/>
        <v>0</v>
      </c>
      <c r="FD13" s="30">
        <f t="shared" si="21"/>
        <v>0</v>
      </c>
      <c r="FE13" s="30">
        <f t="shared" si="21"/>
        <v>0</v>
      </c>
      <c r="FF13" s="30">
        <f t="shared" si="21"/>
        <v>0</v>
      </c>
      <c r="FG13" s="30">
        <f t="shared" si="21"/>
        <v>0</v>
      </c>
      <c r="FH13" s="30">
        <f t="shared" si="21"/>
        <v>0</v>
      </c>
      <c r="FI13" s="30">
        <f t="shared" si="21"/>
        <v>0</v>
      </c>
      <c r="FJ13" s="30">
        <f t="shared" si="21"/>
        <v>0</v>
      </c>
      <c r="FK13" s="30">
        <f t="shared" si="21"/>
        <v>0</v>
      </c>
      <c r="FL13" s="30">
        <f t="shared" si="21"/>
        <v>0</v>
      </c>
      <c r="FM13" s="30">
        <f t="shared" si="21"/>
        <v>0</v>
      </c>
      <c r="FN13" s="30">
        <f t="shared" si="21"/>
        <v>0</v>
      </c>
      <c r="FO13" s="30">
        <f t="shared" si="21"/>
        <v>0</v>
      </c>
      <c r="FP13" s="30">
        <f t="shared" si="21"/>
        <v>0</v>
      </c>
      <c r="FQ13" s="30">
        <f t="shared" si="21"/>
        <v>1750</v>
      </c>
      <c r="FR13" s="30">
        <f t="shared" si="21"/>
        <v>1750</v>
      </c>
      <c r="FS13" s="30">
        <f t="shared" si="21"/>
        <v>1750</v>
      </c>
      <c r="FT13" s="30">
        <f t="shared" si="21"/>
        <v>1750</v>
      </c>
      <c r="FU13" s="30">
        <f t="shared" si="21"/>
        <v>1750</v>
      </c>
      <c r="FV13" s="30">
        <f t="shared" si="21"/>
        <v>1750</v>
      </c>
      <c r="FW13" s="30">
        <f t="shared" si="21"/>
        <v>1750</v>
      </c>
      <c r="FX13" s="30">
        <f t="shared" si="21"/>
        <v>1750</v>
      </c>
      <c r="FY13" s="30">
        <f t="shared" si="21"/>
        <v>1750</v>
      </c>
      <c r="FZ13" s="30">
        <f t="shared" si="21"/>
        <v>1750</v>
      </c>
      <c r="GA13" s="30">
        <f t="shared" si="21"/>
        <v>1750</v>
      </c>
      <c r="GB13" s="30">
        <f t="shared" si="21"/>
        <v>1750</v>
      </c>
      <c r="GC13" s="30">
        <f t="shared" si="21"/>
        <v>1750</v>
      </c>
      <c r="GD13" s="30">
        <f t="shared" si="21"/>
        <v>1750</v>
      </c>
      <c r="GE13" s="30">
        <f t="shared" si="21"/>
        <v>1750</v>
      </c>
      <c r="GF13" s="30">
        <f t="shared" si="21"/>
        <v>1750</v>
      </c>
      <c r="GG13" s="30">
        <f t="shared" si="21"/>
        <v>1750</v>
      </c>
      <c r="GH13" s="30">
        <f t="shared" si="21"/>
        <v>1750</v>
      </c>
      <c r="GI13" s="30">
        <f t="shared" si="21"/>
        <v>1750</v>
      </c>
      <c r="GJ13" s="30">
        <f t="shared" si="21"/>
        <v>1750</v>
      </c>
      <c r="GK13" s="30">
        <f t="shared" si="21"/>
        <v>1750</v>
      </c>
      <c r="GL13" s="30">
        <f t="shared" si="21"/>
        <v>1750</v>
      </c>
      <c r="GM13" s="30">
        <f t="shared" si="21"/>
        <v>1750</v>
      </c>
      <c r="GN13" s="30">
        <f t="shared" si="21"/>
        <v>1750</v>
      </c>
      <c r="GO13" s="30">
        <f t="shared" si="21"/>
        <v>1750</v>
      </c>
      <c r="GP13" s="30">
        <f t="shared" si="21"/>
        <v>1750</v>
      </c>
      <c r="GQ13" s="30">
        <f t="shared" si="21"/>
        <v>1750</v>
      </c>
      <c r="GR13" s="30">
        <f t="shared" si="21"/>
        <v>1750</v>
      </c>
      <c r="GS13" s="30">
        <f t="shared" si="21"/>
        <v>1750</v>
      </c>
      <c r="GT13" s="30">
        <f t="shared" si="21"/>
        <v>1750</v>
      </c>
      <c r="GU13" s="30">
        <f t="shared" si="21"/>
        <v>1750</v>
      </c>
      <c r="GV13" s="30">
        <f t="shared" si="21"/>
        <v>1750</v>
      </c>
      <c r="GW13" s="30">
        <f t="shared" si="21"/>
        <v>1750</v>
      </c>
      <c r="GX13" s="30">
        <f t="shared" si="21"/>
        <v>1750</v>
      </c>
      <c r="GY13" s="30">
        <f t="shared" si="21"/>
        <v>1750</v>
      </c>
      <c r="GZ13" s="30">
        <f t="shared" si="21"/>
        <v>1750</v>
      </c>
      <c r="HA13" s="30">
        <f t="shared" si="21"/>
        <v>1750</v>
      </c>
      <c r="HB13" s="30">
        <f t="shared" si="21"/>
        <v>1750</v>
      </c>
      <c r="HC13" s="30">
        <f t="shared" si="21"/>
        <v>1750</v>
      </c>
      <c r="HD13" s="30">
        <f t="shared" si="21"/>
        <v>1750</v>
      </c>
      <c r="HE13" s="30">
        <f t="shared" si="21"/>
        <v>1750</v>
      </c>
      <c r="HF13" s="30">
        <f t="shared" si="21"/>
        <v>1750</v>
      </c>
      <c r="HG13" s="30">
        <f t="shared" si="21"/>
        <v>1750</v>
      </c>
      <c r="HH13" s="30">
        <f t="shared" si="21"/>
        <v>1750</v>
      </c>
      <c r="HI13" s="30">
        <f t="shared" si="22"/>
        <v>1750</v>
      </c>
      <c r="HJ13" s="30">
        <f t="shared" si="22"/>
        <v>1750</v>
      </c>
      <c r="HK13" s="30">
        <f t="shared" si="22"/>
        <v>1750</v>
      </c>
      <c r="HL13" s="30">
        <f t="shared" si="22"/>
        <v>1750</v>
      </c>
      <c r="HM13" s="30">
        <f t="shared" si="22"/>
        <v>1750</v>
      </c>
      <c r="HN13" s="30">
        <f t="shared" si="22"/>
        <v>1750</v>
      </c>
      <c r="HO13" s="30">
        <f t="shared" si="22"/>
        <v>1750</v>
      </c>
      <c r="HP13" s="30">
        <f t="shared" si="22"/>
        <v>1750</v>
      </c>
      <c r="HQ13" s="30">
        <f t="shared" si="22"/>
        <v>1750</v>
      </c>
      <c r="HR13" s="30">
        <f t="shared" si="22"/>
        <v>1750</v>
      </c>
      <c r="HS13" s="30">
        <f t="shared" si="22"/>
        <v>1750</v>
      </c>
      <c r="HT13" s="30">
        <f t="shared" si="22"/>
        <v>1750</v>
      </c>
      <c r="HU13" s="30">
        <f t="shared" si="22"/>
        <v>1750</v>
      </c>
      <c r="HV13" s="30">
        <f t="shared" si="22"/>
        <v>1750</v>
      </c>
      <c r="HW13" s="30">
        <f t="shared" si="22"/>
        <v>1750</v>
      </c>
      <c r="HX13" s="30">
        <f t="shared" si="22"/>
        <v>1750</v>
      </c>
      <c r="HY13" s="30">
        <f t="shared" si="22"/>
        <v>1750</v>
      </c>
      <c r="HZ13" s="30">
        <f t="shared" si="22"/>
        <v>1750</v>
      </c>
      <c r="IA13" s="30">
        <f t="shared" si="22"/>
        <v>1750</v>
      </c>
      <c r="IB13" s="30">
        <f t="shared" si="22"/>
        <v>1750</v>
      </c>
      <c r="IC13" s="30">
        <f t="shared" si="22"/>
        <v>1750</v>
      </c>
      <c r="ID13" s="30">
        <f t="shared" si="22"/>
        <v>1750</v>
      </c>
      <c r="IE13" s="30">
        <f t="shared" si="22"/>
        <v>1750</v>
      </c>
      <c r="IF13" s="30">
        <f t="shared" si="22"/>
        <v>1750</v>
      </c>
      <c r="IG13" s="30">
        <f t="shared" si="22"/>
        <v>1750</v>
      </c>
      <c r="IH13" s="30">
        <f t="shared" si="22"/>
        <v>1750</v>
      </c>
      <c r="II13" s="30">
        <f t="shared" si="22"/>
        <v>1750</v>
      </c>
      <c r="IJ13" s="30">
        <f t="shared" si="22"/>
        <v>1750</v>
      </c>
      <c r="IK13" s="30">
        <f t="shared" si="22"/>
        <v>1750</v>
      </c>
      <c r="IL13" s="30">
        <f t="shared" si="22"/>
        <v>1750</v>
      </c>
      <c r="IM13" s="30">
        <f t="shared" si="22"/>
        <v>1750</v>
      </c>
      <c r="IN13" s="30">
        <f t="shared" si="22"/>
        <v>1750</v>
      </c>
      <c r="IO13" s="30">
        <f t="shared" si="22"/>
        <v>1750</v>
      </c>
      <c r="IP13" s="30">
        <f t="shared" si="22"/>
        <v>1750</v>
      </c>
      <c r="IQ13" s="30">
        <f t="shared" si="22"/>
        <v>1750</v>
      </c>
      <c r="IR13" s="30">
        <f t="shared" si="22"/>
        <v>1750</v>
      </c>
      <c r="IS13" s="30">
        <f t="shared" si="22"/>
        <v>1750</v>
      </c>
      <c r="IT13" s="30">
        <f t="shared" si="22"/>
        <v>1750</v>
      </c>
      <c r="IU13" s="30">
        <f t="shared" si="22"/>
        <v>1750</v>
      </c>
      <c r="IV13" s="30">
        <f t="shared" si="22"/>
        <v>1750</v>
      </c>
      <c r="IW13" s="30">
        <f t="shared" si="22"/>
        <v>1750</v>
      </c>
      <c r="IX13" s="30">
        <f t="shared" si="22"/>
        <v>1750</v>
      </c>
      <c r="IY13" s="30">
        <f t="shared" si="22"/>
        <v>1750</v>
      </c>
      <c r="IZ13" s="30">
        <f t="shared" si="22"/>
        <v>1750</v>
      </c>
      <c r="JA13" s="30">
        <f t="shared" si="22"/>
        <v>1750</v>
      </c>
      <c r="JB13" s="30">
        <f t="shared" si="22"/>
        <v>1750</v>
      </c>
      <c r="JC13" s="30">
        <f t="shared" si="22"/>
        <v>1750</v>
      </c>
      <c r="JD13" s="30">
        <f t="shared" si="22"/>
        <v>1750</v>
      </c>
      <c r="JE13" s="30">
        <f t="shared" si="22"/>
        <v>1750</v>
      </c>
      <c r="JF13" s="30">
        <f t="shared" si="22"/>
        <v>1750</v>
      </c>
      <c r="JG13" s="30">
        <f t="shared" si="22"/>
        <v>1750</v>
      </c>
      <c r="JH13" s="30">
        <f t="shared" si="22"/>
        <v>1750</v>
      </c>
      <c r="JI13" s="30">
        <f t="shared" si="22"/>
        <v>1750</v>
      </c>
      <c r="JJ13" s="30">
        <f t="shared" si="22"/>
        <v>1750</v>
      </c>
      <c r="JK13" s="30">
        <f t="shared" si="22"/>
        <v>1750</v>
      </c>
      <c r="JL13" s="30">
        <f t="shared" si="22"/>
        <v>1750</v>
      </c>
      <c r="JM13" s="30">
        <f t="shared" si="22"/>
        <v>1750</v>
      </c>
      <c r="JN13" s="30">
        <f t="shared" si="22"/>
        <v>1750</v>
      </c>
      <c r="JO13" s="30">
        <f t="shared" si="22"/>
        <v>1750</v>
      </c>
      <c r="JP13" s="30">
        <f t="shared" si="22"/>
        <v>1750</v>
      </c>
      <c r="JQ13" s="30">
        <f t="shared" si="22"/>
        <v>1750</v>
      </c>
      <c r="JR13" s="30">
        <f t="shared" si="22"/>
        <v>1750</v>
      </c>
      <c r="JS13" s="30">
        <f t="shared" si="22"/>
        <v>1750</v>
      </c>
      <c r="JT13" s="30">
        <f t="shared" si="22"/>
        <v>1750</v>
      </c>
      <c r="JU13" s="30">
        <f t="shared" si="23"/>
        <v>1750</v>
      </c>
      <c r="JV13" s="30">
        <f t="shared" si="23"/>
        <v>1750</v>
      </c>
      <c r="JW13" s="30">
        <f t="shared" si="23"/>
        <v>1750</v>
      </c>
    </row>
    <row r="14" spans="1:284" ht="16.5" x14ac:dyDescent="0.35">
      <c r="B14" s="423">
        <v>300</v>
      </c>
      <c r="C14" s="124" t="s">
        <v>586</v>
      </c>
      <c r="D14" s="132">
        <v>25</v>
      </c>
      <c r="E14" s="127">
        <v>2500</v>
      </c>
      <c r="F14" s="426">
        <f>Timing_Operation_Begin_Month+3</f>
        <v>22</v>
      </c>
      <c r="G14" s="427">
        <v>0</v>
      </c>
      <c r="H14" s="428">
        <v>24</v>
      </c>
      <c r="I14" s="142">
        <f>H14*E14</f>
        <v>60000</v>
      </c>
      <c r="K14" s="39"/>
      <c r="L14" s="39">
        <f t="shared" si="8"/>
        <v>0</v>
      </c>
      <c r="M14" s="39">
        <f t="shared" si="8"/>
        <v>0</v>
      </c>
      <c r="N14" s="39">
        <f t="shared" si="8"/>
        <v>0</v>
      </c>
      <c r="O14" s="39">
        <f t="shared" si="8"/>
        <v>0</v>
      </c>
      <c r="P14" s="39">
        <f t="shared" si="8"/>
        <v>0</v>
      </c>
      <c r="Q14" s="39">
        <f t="shared" si="8"/>
        <v>0</v>
      </c>
      <c r="R14" s="39">
        <f t="shared" si="8"/>
        <v>0</v>
      </c>
      <c r="S14" s="39">
        <f t="shared" si="8"/>
        <v>0</v>
      </c>
      <c r="T14" s="39">
        <f t="shared" si="8"/>
        <v>0</v>
      </c>
      <c r="U14" s="39">
        <f t="shared" si="8"/>
        <v>0</v>
      </c>
      <c r="V14" s="39">
        <f t="shared" si="9"/>
        <v>0</v>
      </c>
      <c r="W14" s="39">
        <f t="shared" si="9"/>
        <v>0</v>
      </c>
      <c r="X14" s="39">
        <f t="shared" si="9"/>
        <v>0</v>
      </c>
      <c r="Y14" s="39">
        <f t="shared" si="9"/>
        <v>0</v>
      </c>
      <c r="Z14" s="39">
        <f t="shared" si="9"/>
        <v>0</v>
      </c>
      <c r="AA14" s="39">
        <f t="shared" si="9"/>
        <v>0</v>
      </c>
      <c r="AB14" s="39">
        <f t="shared" si="9"/>
        <v>0</v>
      </c>
      <c r="AC14" s="39">
        <f t="shared" si="9"/>
        <v>0</v>
      </c>
      <c r="AD14" s="39">
        <f t="shared" si="9"/>
        <v>0</v>
      </c>
      <c r="AE14" s="39">
        <f t="shared" si="9"/>
        <v>0</v>
      </c>
      <c r="AF14" s="39">
        <f t="shared" si="10"/>
        <v>0</v>
      </c>
      <c r="AG14" s="39">
        <f t="shared" si="10"/>
        <v>5000</v>
      </c>
      <c r="AH14" s="39">
        <f t="shared" si="10"/>
        <v>5000</v>
      </c>
      <c r="AI14" s="39">
        <f t="shared" si="10"/>
        <v>5000</v>
      </c>
      <c r="AJ14" s="39">
        <f t="shared" si="10"/>
        <v>5000</v>
      </c>
      <c r="AK14" s="39">
        <f t="shared" si="10"/>
        <v>5000</v>
      </c>
      <c r="AL14" s="39">
        <f t="shared" si="10"/>
        <v>5000</v>
      </c>
      <c r="AM14" s="39">
        <f t="shared" si="10"/>
        <v>5000</v>
      </c>
      <c r="AN14" s="39">
        <f t="shared" si="10"/>
        <v>5000</v>
      </c>
      <c r="AO14" s="39">
        <f t="shared" si="10"/>
        <v>5000</v>
      </c>
      <c r="AP14" s="39">
        <f t="shared" si="11"/>
        <v>5000</v>
      </c>
      <c r="AQ14" s="39">
        <f t="shared" si="11"/>
        <v>5000</v>
      </c>
      <c r="AR14" s="39">
        <f t="shared" si="11"/>
        <v>5000</v>
      </c>
      <c r="AS14" s="39">
        <f t="shared" si="11"/>
        <v>5000</v>
      </c>
      <c r="AT14" s="39">
        <f t="shared" si="11"/>
        <v>5000</v>
      </c>
      <c r="AU14" s="39">
        <f t="shared" si="11"/>
        <v>5000</v>
      </c>
      <c r="AV14" s="39">
        <f t="shared" si="11"/>
        <v>5000</v>
      </c>
      <c r="AW14" s="39">
        <f t="shared" si="11"/>
        <v>5000</v>
      </c>
      <c r="AX14" s="39">
        <f t="shared" si="11"/>
        <v>5000</v>
      </c>
      <c r="AY14" s="39">
        <f t="shared" si="11"/>
        <v>5000</v>
      </c>
      <c r="AZ14" s="39">
        <f t="shared" si="12"/>
        <v>5000</v>
      </c>
      <c r="BA14" s="39">
        <f t="shared" si="12"/>
        <v>5000</v>
      </c>
      <c r="BB14" s="39">
        <f t="shared" si="12"/>
        <v>5000</v>
      </c>
      <c r="BC14" s="39">
        <f t="shared" si="12"/>
        <v>5000</v>
      </c>
      <c r="BD14" s="39">
        <f t="shared" si="12"/>
        <v>5000</v>
      </c>
      <c r="BE14" s="39">
        <f t="shared" si="12"/>
        <v>5000</v>
      </c>
      <c r="BF14" s="39">
        <f t="shared" si="12"/>
        <v>5000</v>
      </c>
      <c r="BG14" s="39">
        <f t="shared" si="12"/>
        <v>5000</v>
      </c>
      <c r="BH14" s="39">
        <f t="shared" si="12"/>
        <v>5000</v>
      </c>
      <c r="BI14" s="39">
        <f t="shared" si="12"/>
        <v>5000</v>
      </c>
      <c r="BJ14" s="39">
        <f t="shared" si="13"/>
        <v>5000</v>
      </c>
      <c r="BK14" s="39">
        <f t="shared" si="13"/>
        <v>5000</v>
      </c>
      <c r="BL14" s="39">
        <f t="shared" si="13"/>
        <v>5000</v>
      </c>
      <c r="BM14" s="39">
        <f t="shared" si="13"/>
        <v>5000</v>
      </c>
      <c r="BN14" s="39">
        <f t="shared" si="13"/>
        <v>5000</v>
      </c>
      <c r="BO14" s="39">
        <f t="shared" si="13"/>
        <v>5000</v>
      </c>
      <c r="BP14" s="39">
        <f t="shared" si="13"/>
        <v>5000</v>
      </c>
      <c r="BQ14" s="39">
        <f t="shared" si="13"/>
        <v>5000</v>
      </c>
      <c r="BR14" s="39">
        <f t="shared" si="13"/>
        <v>5000</v>
      </c>
      <c r="BS14" s="39">
        <f t="shared" si="13"/>
        <v>5000</v>
      </c>
      <c r="BT14" s="39">
        <f t="shared" si="14"/>
        <v>5000</v>
      </c>
      <c r="BU14" s="39">
        <f t="shared" si="14"/>
        <v>5000</v>
      </c>
      <c r="BV14" s="39">
        <f t="shared" si="14"/>
        <v>5000</v>
      </c>
      <c r="BW14" s="39">
        <f t="shared" si="14"/>
        <v>5000</v>
      </c>
      <c r="BX14" s="39">
        <f t="shared" si="14"/>
        <v>5000</v>
      </c>
      <c r="BY14" s="39">
        <f t="shared" si="14"/>
        <v>5000</v>
      </c>
      <c r="BZ14" s="39">
        <f t="shared" si="14"/>
        <v>5000</v>
      </c>
      <c r="CA14" s="39">
        <f t="shared" si="14"/>
        <v>5000</v>
      </c>
      <c r="CB14" s="39">
        <f t="shared" si="14"/>
        <v>5000</v>
      </c>
      <c r="CC14" s="39">
        <f t="shared" si="14"/>
        <v>5000</v>
      </c>
      <c r="CD14" s="39">
        <f t="shared" si="15"/>
        <v>5000</v>
      </c>
      <c r="CE14" s="39">
        <f t="shared" si="15"/>
        <v>5000</v>
      </c>
      <c r="CF14" s="39">
        <f t="shared" si="15"/>
        <v>5000</v>
      </c>
      <c r="CG14" s="39">
        <f t="shared" si="15"/>
        <v>5000</v>
      </c>
      <c r="CH14" s="39">
        <f t="shared" si="15"/>
        <v>5000</v>
      </c>
      <c r="CI14" s="39">
        <f t="shared" si="15"/>
        <v>5000</v>
      </c>
      <c r="CJ14" s="39">
        <f t="shared" si="15"/>
        <v>5000</v>
      </c>
      <c r="CK14" s="39">
        <f t="shared" si="15"/>
        <v>5000</v>
      </c>
      <c r="CL14" s="39">
        <f t="shared" si="15"/>
        <v>5000</v>
      </c>
      <c r="CM14" s="39">
        <f t="shared" si="15"/>
        <v>5000</v>
      </c>
      <c r="CN14" s="39">
        <f t="shared" si="16"/>
        <v>5000</v>
      </c>
      <c r="CO14" s="39">
        <f t="shared" si="16"/>
        <v>5000</v>
      </c>
      <c r="CP14" s="39">
        <f t="shared" si="16"/>
        <v>5000</v>
      </c>
      <c r="CQ14" s="39">
        <f t="shared" si="16"/>
        <v>5000</v>
      </c>
      <c r="CR14" s="39">
        <f t="shared" si="16"/>
        <v>5000</v>
      </c>
      <c r="CS14" s="39">
        <f t="shared" si="16"/>
        <v>5000</v>
      </c>
      <c r="CT14" s="39">
        <f t="shared" si="16"/>
        <v>5000</v>
      </c>
      <c r="CU14" s="39">
        <f t="shared" si="16"/>
        <v>5000</v>
      </c>
      <c r="CV14" s="39">
        <f t="shared" si="16"/>
        <v>5000</v>
      </c>
      <c r="CW14" s="39">
        <f t="shared" si="16"/>
        <v>5000</v>
      </c>
      <c r="CX14" s="39">
        <f t="shared" si="17"/>
        <v>5000</v>
      </c>
      <c r="CY14" s="39">
        <f t="shared" si="17"/>
        <v>5000</v>
      </c>
      <c r="CZ14" s="39">
        <f t="shared" si="17"/>
        <v>5000</v>
      </c>
      <c r="DA14" s="39">
        <f t="shared" si="17"/>
        <v>5000</v>
      </c>
      <c r="DB14" s="39">
        <f t="shared" si="17"/>
        <v>5000</v>
      </c>
      <c r="DC14" s="39">
        <f t="shared" si="17"/>
        <v>5000</v>
      </c>
      <c r="DD14" s="39">
        <f t="shared" si="17"/>
        <v>5000</v>
      </c>
      <c r="DE14" s="39">
        <f t="shared" si="17"/>
        <v>5000</v>
      </c>
      <c r="DF14" s="39">
        <f t="shared" si="17"/>
        <v>5000</v>
      </c>
      <c r="DG14" s="39">
        <f t="shared" si="17"/>
        <v>5000</v>
      </c>
      <c r="DH14" s="39">
        <f t="shared" si="18"/>
        <v>5000</v>
      </c>
      <c r="DI14" s="39">
        <f t="shared" si="18"/>
        <v>5000</v>
      </c>
      <c r="DJ14" s="39">
        <f t="shared" si="18"/>
        <v>5000</v>
      </c>
      <c r="DK14" s="39">
        <f t="shared" si="18"/>
        <v>5000</v>
      </c>
      <c r="DL14" s="39">
        <f t="shared" si="18"/>
        <v>5000</v>
      </c>
      <c r="DM14" s="39">
        <f t="shared" si="18"/>
        <v>5000</v>
      </c>
      <c r="DN14" s="39">
        <f t="shared" si="18"/>
        <v>5000</v>
      </c>
      <c r="DO14" s="39">
        <f t="shared" si="18"/>
        <v>5000</v>
      </c>
      <c r="DP14" s="39">
        <f t="shared" si="18"/>
        <v>5000</v>
      </c>
      <c r="DQ14" s="39">
        <f t="shared" si="18"/>
        <v>5000</v>
      </c>
      <c r="DR14" s="39">
        <f t="shared" si="19"/>
        <v>5000</v>
      </c>
      <c r="DS14" s="39">
        <f t="shared" si="19"/>
        <v>5000</v>
      </c>
      <c r="DT14" s="39">
        <f t="shared" si="19"/>
        <v>5000</v>
      </c>
      <c r="DU14" s="39">
        <f t="shared" si="19"/>
        <v>5000</v>
      </c>
      <c r="DV14" s="39">
        <f t="shared" si="19"/>
        <v>5000</v>
      </c>
      <c r="DW14" s="39">
        <f t="shared" si="19"/>
        <v>5000</v>
      </c>
      <c r="DX14" s="39">
        <f t="shared" si="19"/>
        <v>5000</v>
      </c>
      <c r="DY14" s="39">
        <f t="shared" si="19"/>
        <v>5000</v>
      </c>
      <c r="DZ14" s="39">
        <f t="shared" si="19"/>
        <v>5000</v>
      </c>
      <c r="EA14" s="39">
        <f t="shared" si="19"/>
        <v>5000</v>
      </c>
      <c r="EB14" s="39">
        <f t="shared" si="20"/>
        <v>5000</v>
      </c>
      <c r="EC14" s="39">
        <f t="shared" si="20"/>
        <v>5000</v>
      </c>
      <c r="ED14" s="39">
        <f t="shared" si="20"/>
        <v>5000</v>
      </c>
      <c r="EE14" s="39">
        <f t="shared" si="20"/>
        <v>5000</v>
      </c>
      <c r="EF14" s="39">
        <f t="shared" si="20"/>
        <v>5000</v>
      </c>
      <c r="EG14" s="39">
        <f t="shared" si="20"/>
        <v>5000</v>
      </c>
      <c r="EH14" s="39">
        <f t="shared" si="20"/>
        <v>5000</v>
      </c>
      <c r="EI14" s="39">
        <f t="shared" si="20"/>
        <v>5000</v>
      </c>
      <c r="EJ14" s="39">
        <f t="shared" si="20"/>
        <v>5000</v>
      </c>
      <c r="EK14" s="39">
        <f t="shared" si="20"/>
        <v>5000</v>
      </c>
      <c r="EL14" s="39">
        <f t="shared" si="20"/>
        <v>5000</v>
      </c>
      <c r="EM14" s="39">
        <f t="shared" si="20"/>
        <v>5000</v>
      </c>
      <c r="EO14" s="24"/>
      <c r="EP14" s="24"/>
      <c r="EQ14" s="30">
        <f>E14</f>
        <v>2500</v>
      </c>
      <c r="ER14" s="26">
        <f>D14</f>
        <v>25</v>
      </c>
      <c r="ES14" s="24"/>
      <c r="ET14" s="24"/>
      <c r="EU14" s="24"/>
      <c r="EV14" s="46">
        <f>(EV$3&gt;=$ER14)*$EQ14</f>
        <v>0</v>
      </c>
      <c r="EW14" s="46">
        <f t="shared" si="21"/>
        <v>0</v>
      </c>
      <c r="EX14" s="46">
        <f t="shared" si="21"/>
        <v>0</v>
      </c>
      <c r="EY14" s="46">
        <f t="shared" si="21"/>
        <v>0</v>
      </c>
      <c r="EZ14" s="46">
        <f t="shared" si="21"/>
        <v>0</v>
      </c>
      <c r="FA14" s="46">
        <f t="shared" si="21"/>
        <v>0</v>
      </c>
      <c r="FB14" s="46">
        <f t="shared" si="21"/>
        <v>0</v>
      </c>
      <c r="FC14" s="46">
        <f t="shared" si="21"/>
        <v>0</v>
      </c>
      <c r="FD14" s="46">
        <f t="shared" si="21"/>
        <v>0</v>
      </c>
      <c r="FE14" s="46">
        <f t="shared" si="21"/>
        <v>0</v>
      </c>
      <c r="FF14" s="46">
        <f t="shared" si="21"/>
        <v>0</v>
      </c>
      <c r="FG14" s="46">
        <f t="shared" si="21"/>
        <v>0</v>
      </c>
      <c r="FH14" s="46">
        <f t="shared" si="21"/>
        <v>0</v>
      </c>
      <c r="FI14" s="46">
        <f t="shared" si="21"/>
        <v>0</v>
      </c>
      <c r="FJ14" s="46">
        <f t="shared" si="21"/>
        <v>0</v>
      </c>
      <c r="FK14" s="46">
        <f t="shared" si="21"/>
        <v>0</v>
      </c>
      <c r="FL14" s="46">
        <f t="shared" si="21"/>
        <v>0</v>
      </c>
      <c r="FM14" s="46">
        <f t="shared" si="21"/>
        <v>0</v>
      </c>
      <c r="FN14" s="46">
        <f t="shared" si="21"/>
        <v>0</v>
      </c>
      <c r="FO14" s="46">
        <f t="shared" si="21"/>
        <v>0</v>
      </c>
      <c r="FP14" s="46">
        <f t="shared" si="21"/>
        <v>0</v>
      </c>
      <c r="FQ14" s="46">
        <f t="shared" si="21"/>
        <v>0</v>
      </c>
      <c r="FR14" s="46">
        <f t="shared" si="21"/>
        <v>0</v>
      </c>
      <c r="FS14" s="46">
        <f t="shared" si="21"/>
        <v>0</v>
      </c>
      <c r="FT14" s="46">
        <f t="shared" si="21"/>
        <v>2500</v>
      </c>
      <c r="FU14" s="46">
        <f t="shared" si="21"/>
        <v>2500</v>
      </c>
      <c r="FV14" s="46">
        <f t="shared" si="21"/>
        <v>2500</v>
      </c>
      <c r="FW14" s="46">
        <f t="shared" si="21"/>
        <v>2500</v>
      </c>
      <c r="FX14" s="46">
        <f t="shared" si="21"/>
        <v>2500</v>
      </c>
      <c r="FY14" s="46">
        <f t="shared" si="21"/>
        <v>2500</v>
      </c>
      <c r="FZ14" s="46">
        <f t="shared" si="21"/>
        <v>2500</v>
      </c>
      <c r="GA14" s="46">
        <f t="shared" si="21"/>
        <v>2500</v>
      </c>
      <c r="GB14" s="46">
        <f t="shared" si="21"/>
        <v>2500</v>
      </c>
      <c r="GC14" s="46">
        <f t="shared" si="21"/>
        <v>2500</v>
      </c>
      <c r="GD14" s="46">
        <f t="shared" si="21"/>
        <v>2500</v>
      </c>
      <c r="GE14" s="46">
        <f t="shared" si="21"/>
        <v>2500</v>
      </c>
      <c r="GF14" s="46">
        <f t="shared" si="21"/>
        <v>2500</v>
      </c>
      <c r="GG14" s="46">
        <f t="shared" si="21"/>
        <v>2500</v>
      </c>
      <c r="GH14" s="46">
        <f t="shared" si="21"/>
        <v>2500</v>
      </c>
      <c r="GI14" s="46">
        <f t="shared" si="21"/>
        <v>2500</v>
      </c>
      <c r="GJ14" s="46">
        <f t="shared" si="21"/>
        <v>2500</v>
      </c>
      <c r="GK14" s="46">
        <f t="shared" si="21"/>
        <v>2500</v>
      </c>
      <c r="GL14" s="46">
        <f t="shared" si="21"/>
        <v>2500</v>
      </c>
      <c r="GM14" s="46">
        <f t="shared" si="21"/>
        <v>2500</v>
      </c>
      <c r="GN14" s="46">
        <f t="shared" si="21"/>
        <v>2500</v>
      </c>
      <c r="GO14" s="46">
        <f t="shared" si="21"/>
        <v>2500</v>
      </c>
      <c r="GP14" s="46">
        <f t="shared" si="21"/>
        <v>2500</v>
      </c>
      <c r="GQ14" s="46">
        <f t="shared" si="21"/>
        <v>2500</v>
      </c>
      <c r="GR14" s="46">
        <f t="shared" si="21"/>
        <v>2500</v>
      </c>
      <c r="GS14" s="46">
        <f t="shared" si="21"/>
        <v>2500</v>
      </c>
      <c r="GT14" s="46">
        <f t="shared" si="21"/>
        <v>2500</v>
      </c>
      <c r="GU14" s="46">
        <f t="shared" si="21"/>
        <v>2500</v>
      </c>
      <c r="GV14" s="46">
        <f t="shared" si="21"/>
        <v>2500</v>
      </c>
      <c r="GW14" s="46">
        <f t="shared" si="21"/>
        <v>2500</v>
      </c>
      <c r="GX14" s="46">
        <f t="shared" si="21"/>
        <v>2500</v>
      </c>
      <c r="GY14" s="46">
        <f t="shared" si="21"/>
        <v>2500</v>
      </c>
      <c r="GZ14" s="46">
        <f t="shared" si="21"/>
        <v>2500</v>
      </c>
      <c r="HA14" s="46">
        <f t="shared" si="21"/>
        <v>2500</v>
      </c>
      <c r="HB14" s="46">
        <f t="shared" si="21"/>
        <v>2500</v>
      </c>
      <c r="HC14" s="46">
        <f t="shared" si="21"/>
        <v>2500</v>
      </c>
      <c r="HD14" s="46">
        <f t="shared" si="21"/>
        <v>2500</v>
      </c>
      <c r="HE14" s="46">
        <f t="shared" si="21"/>
        <v>2500</v>
      </c>
      <c r="HF14" s="46">
        <f t="shared" si="21"/>
        <v>2500</v>
      </c>
      <c r="HG14" s="46">
        <f t="shared" si="21"/>
        <v>2500</v>
      </c>
      <c r="HH14" s="46">
        <f t="shared" si="21"/>
        <v>2500</v>
      </c>
      <c r="HI14" s="46">
        <f t="shared" si="22"/>
        <v>2500</v>
      </c>
      <c r="HJ14" s="46">
        <f t="shared" si="22"/>
        <v>2500</v>
      </c>
      <c r="HK14" s="46">
        <f t="shared" si="22"/>
        <v>2500</v>
      </c>
      <c r="HL14" s="46">
        <f t="shared" si="22"/>
        <v>2500</v>
      </c>
      <c r="HM14" s="46">
        <f t="shared" si="22"/>
        <v>2500</v>
      </c>
      <c r="HN14" s="46">
        <f t="shared" si="22"/>
        <v>2500</v>
      </c>
      <c r="HO14" s="46">
        <f t="shared" si="22"/>
        <v>2500</v>
      </c>
      <c r="HP14" s="46">
        <f t="shared" si="22"/>
        <v>2500</v>
      </c>
      <c r="HQ14" s="46">
        <f t="shared" si="22"/>
        <v>2500</v>
      </c>
      <c r="HR14" s="46">
        <f t="shared" si="22"/>
        <v>2500</v>
      </c>
      <c r="HS14" s="46">
        <f t="shared" si="22"/>
        <v>2500</v>
      </c>
      <c r="HT14" s="46">
        <f t="shared" si="22"/>
        <v>2500</v>
      </c>
      <c r="HU14" s="46">
        <f t="shared" si="22"/>
        <v>2500</v>
      </c>
      <c r="HV14" s="46">
        <f t="shared" si="22"/>
        <v>2500</v>
      </c>
      <c r="HW14" s="46">
        <f t="shared" si="22"/>
        <v>2500</v>
      </c>
      <c r="HX14" s="46">
        <f t="shared" si="22"/>
        <v>2500</v>
      </c>
      <c r="HY14" s="46">
        <f t="shared" si="22"/>
        <v>2500</v>
      </c>
      <c r="HZ14" s="46">
        <f t="shared" si="22"/>
        <v>2500</v>
      </c>
      <c r="IA14" s="46">
        <f t="shared" si="22"/>
        <v>2500</v>
      </c>
      <c r="IB14" s="46">
        <f t="shared" si="22"/>
        <v>2500</v>
      </c>
      <c r="IC14" s="46">
        <f t="shared" si="22"/>
        <v>2500</v>
      </c>
      <c r="ID14" s="46">
        <f t="shared" si="22"/>
        <v>2500</v>
      </c>
      <c r="IE14" s="46">
        <f t="shared" si="22"/>
        <v>2500</v>
      </c>
      <c r="IF14" s="46">
        <f t="shared" si="22"/>
        <v>2500</v>
      </c>
      <c r="IG14" s="46">
        <f t="shared" si="22"/>
        <v>2500</v>
      </c>
      <c r="IH14" s="46">
        <f t="shared" si="22"/>
        <v>2500</v>
      </c>
      <c r="II14" s="46">
        <f t="shared" si="22"/>
        <v>2500</v>
      </c>
      <c r="IJ14" s="46">
        <f t="shared" si="22"/>
        <v>2500</v>
      </c>
      <c r="IK14" s="46">
        <f t="shared" si="22"/>
        <v>2500</v>
      </c>
      <c r="IL14" s="46">
        <f t="shared" si="22"/>
        <v>2500</v>
      </c>
      <c r="IM14" s="46">
        <f t="shared" si="22"/>
        <v>2500</v>
      </c>
      <c r="IN14" s="46">
        <f t="shared" si="22"/>
        <v>2500</v>
      </c>
      <c r="IO14" s="46">
        <f t="shared" si="22"/>
        <v>2500</v>
      </c>
      <c r="IP14" s="46">
        <f t="shared" si="22"/>
        <v>2500</v>
      </c>
      <c r="IQ14" s="46">
        <f t="shared" si="22"/>
        <v>2500</v>
      </c>
      <c r="IR14" s="46">
        <f t="shared" si="22"/>
        <v>2500</v>
      </c>
      <c r="IS14" s="46">
        <f t="shared" si="22"/>
        <v>2500</v>
      </c>
      <c r="IT14" s="46">
        <f t="shared" si="22"/>
        <v>2500</v>
      </c>
      <c r="IU14" s="46">
        <f t="shared" si="22"/>
        <v>2500</v>
      </c>
      <c r="IV14" s="46">
        <f t="shared" si="22"/>
        <v>2500</v>
      </c>
      <c r="IW14" s="46">
        <f t="shared" si="22"/>
        <v>2500</v>
      </c>
      <c r="IX14" s="46">
        <f t="shared" si="22"/>
        <v>2500</v>
      </c>
      <c r="IY14" s="46">
        <f t="shared" si="22"/>
        <v>2500</v>
      </c>
      <c r="IZ14" s="46">
        <f t="shared" si="22"/>
        <v>2500</v>
      </c>
      <c r="JA14" s="46">
        <f t="shared" si="22"/>
        <v>2500</v>
      </c>
      <c r="JB14" s="46">
        <f t="shared" si="22"/>
        <v>2500</v>
      </c>
      <c r="JC14" s="46">
        <f t="shared" si="22"/>
        <v>2500</v>
      </c>
      <c r="JD14" s="46">
        <f t="shared" si="22"/>
        <v>2500</v>
      </c>
      <c r="JE14" s="46">
        <f t="shared" si="22"/>
        <v>2500</v>
      </c>
      <c r="JF14" s="46">
        <f t="shared" si="22"/>
        <v>2500</v>
      </c>
      <c r="JG14" s="46">
        <f t="shared" si="22"/>
        <v>2500</v>
      </c>
      <c r="JH14" s="46">
        <f t="shared" si="22"/>
        <v>2500</v>
      </c>
      <c r="JI14" s="46">
        <f t="shared" si="22"/>
        <v>2500</v>
      </c>
      <c r="JJ14" s="46">
        <f t="shared" si="22"/>
        <v>2500</v>
      </c>
      <c r="JK14" s="46">
        <f t="shared" si="22"/>
        <v>2500</v>
      </c>
      <c r="JL14" s="46">
        <f t="shared" si="22"/>
        <v>2500</v>
      </c>
      <c r="JM14" s="46">
        <f t="shared" si="22"/>
        <v>2500</v>
      </c>
      <c r="JN14" s="46">
        <f t="shared" si="22"/>
        <v>2500</v>
      </c>
      <c r="JO14" s="46">
        <f t="shared" si="22"/>
        <v>2500</v>
      </c>
      <c r="JP14" s="46">
        <f t="shared" si="22"/>
        <v>2500</v>
      </c>
      <c r="JQ14" s="46">
        <f t="shared" si="22"/>
        <v>2500</v>
      </c>
      <c r="JR14" s="46">
        <f t="shared" si="22"/>
        <v>2500</v>
      </c>
      <c r="JS14" s="46">
        <f t="shared" si="22"/>
        <v>2500</v>
      </c>
      <c r="JT14" s="46">
        <f t="shared" si="22"/>
        <v>2500</v>
      </c>
      <c r="JU14" s="46">
        <f t="shared" si="23"/>
        <v>2500</v>
      </c>
      <c r="JV14" s="46">
        <f t="shared" si="23"/>
        <v>2500</v>
      </c>
      <c r="JW14" s="46">
        <f t="shared" si="23"/>
        <v>2500</v>
      </c>
    </row>
    <row r="15" spans="1:284" x14ac:dyDescent="0.2">
      <c r="B15" s="429"/>
      <c r="C15" s="124"/>
      <c r="D15" s="124"/>
      <c r="E15" s="136">
        <f>SUM(E12:E14)</f>
        <v>5750</v>
      </c>
      <c r="F15" s="135">
        <f>MIN(F12:F14)</f>
        <v>22</v>
      </c>
      <c r="G15" s="430">
        <f>SUMPRODUCT(G12:G14,I12:I14)/I15</f>
        <v>1.4122885129118433E-2</v>
      </c>
      <c r="H15" s="431">
        <f>I15/E15</f>
        <v>24.413043478260871</v>
      </c>
      <c r="I15" s="123">
        <f>SUM(I12:I14)</f>
        <v>140375</v>
      </c>
      <c r="K15" s="38"/>
      <c r="L15" s="38">
        <f t="shared" ref="L15:AQ15" si="24">SUM(L12:L14)</f>
        <v>0</v>
      </c>
      <c r="M15" s="38">
        <f t="shared" si="24"/>
        <v>0</v>
      </c>
      <c r="N15" s="38">
        <f t="shared" si="24"/>
        <v>0</v>
      </c>
      <c r="O15" s="38">
        <f t="shared" si="24"/>
        <v>0</v>
      </c>
      <c r="P15" s="38">
        <f t="shared" si="24"/>
        <v>0</v>
      </c>
      <c r="Q15" s="38">
        <f t="shared" si="24"/>
        <v>0</v>
      </c>
      <c r="R15" s="38">
        <f t="shared" si="24"/>
        <v>0</v>
      </c>
      <c r="S15" s="38">
        <f t="shared" si="24"/>
        <v>0</v>
      </c>
      <c r="T15" s="38">
        <f t="shared" si="24"/>
        <v>0</v>
      </c>
      <c r="U15" s="38">
        <f t="shared" si="24"/>
        <v>0</v>
      </c>
      <c r="V15" s="38">
        <f t="shared" si="24"/>
        <v>0</v>
      </c>
      <c r="W15" s="38">
        <f t="shared" si="24"/>
        <v>0</v>
      </c>
      <c r="X15" s="38">
        <f t="shared" si="24"/>
        <v>0</v>
      </c>
      <c r="Y15" s="38">
        <f t="shared" si="24"/>
        <v>0</v>
      </c>
      <c r="Z15" s="38">
        <f t="shared" si="24"/>
        <v>0</v>
      </c>
      <c r="AA15" s="38">
        <f t="shared" si="24"/>
        <v>0</v>
      </c>
      <c r="AB15" s="38">
        <f t="shared" si="24"/>
        <v>0</v>
      </c>
      <c r="AC15" s="38">
        <f t="shared" si="24"/>
        <v>0</v>
      </c>
      <c r="AD15" s="38">
        <f t="shared" si="24"/>
        <v>0</v>
      </c>
      <c r="AE15" s="38">
        <f t="shared" si="24"/>
        <v>0</v>
      </c>
      <c r="AF15" s="38">
        <f t="shared" si="24"/>
        <v>0</v>
      </c>
      <c r="AG15" s="38">
        <f t="shared" si="24"/>
        <v>8125</v>
      </c>
      <c r="AH15" s="38">
        <f t="shared" si="24"/>
        <v>8125</v>
      </c>
      <c r="AI15" s="38">
        <f t="shared" si="24"/>
        <v>8125</v>
      </c>
      <c r="AJ15" s="38">
        <f t="shared" si="24"/>
        <v>11697.916666666666</v>
      </c>
      <c r="AK15" s="38">
        <f t="shared" si="24"/>
        <v>11697.916666666666</v>
      </c>
      <c r="AL15" s="38">
        <f t="shared" si="24"/>
        <v>11697.916666666666</v>
      </c>
      <c r="AM15" s="38">
        <f t="shared" si="24"/>
        <v>11697.916666666666</v>
      </c>
      <c r="AN15" s="38">
        <f t="shared" si="24"/>
        <v>11697.916666666666</v>
      </c>
      <c r="AO15" s="38">
        <f t="shared" si="24"/>
        <v>11697.916666666666</v>
      </c>
      <c r="AP15" s="38">
        <f t="shared" si="24"/>
        <v>11697.916666666666</v>
      </c>
      <c r="AQ15" s="38">
        <f t="shared" si="24"/>
        <v>11697.916666666666</v>
      </c>
      <c r="AR15" s="38">
        <f t="shared" ref="AR15:BW15" si="25">SUM(AR12:AR14)</f>
        <v>11697.916666666666</v>
      </c>
      <c r="AS15" s="38">
        <f t="shared" si="25"/>
        <v>11791.666666666666</v>
      </c>
      <c r="AT15" s="38">
        <f t="shared" si="25"/>
        <v>11791.666666666666</v>
      </c>
      <c r="AU15" s="38">
        <f t="shared" si="25"/>
        <v>11791.666666666666</v>
      </c>
      <c r="AV15" s="38">
        <f t="shared" si="25"/>
        <v>11863.125</v>
      </c>
      <c r="AW15" s="38">
        <f t="shared" si="25"/>
        <v>11863.125</v>
      </c>
      <c r="AX15" s="38">
        <f t="shared" si="25"/>
        <v>11863.125</v>
      </c>
      <c r="AY15" s="38">
        <f t="shared" si="25"/>
        <v>11863.125</v>
      </c>
      <c r="AZ15" s="38">
        <f t="shared" si="25"/>
        <v>11863.125</v>
      </c>
      <c r="BA15" s="38">
        <f t="shared" si="25"/>
        <v>11863.125</v>
      </c>
      <c r="BB15" s="38">
        <f t="shared" si="25"/>
        <v>11863.125</v>
      </c>
      <c r="BC15" s="38">
        <f t="shared" si="25"/>
        <v>11863.125</v>
      </c>
      <c r="BD15" s="38">
        <f t="shared" si="25"/>
        <v>11863.125</v>
      </c>
      <c r="BE15" s="38">
        <f t="shared" si="25"/>
        <v>11959.6875</v>
      </c>
      <c r="BF15" s="38">
        <f t="shared" si="25"/>
        <v>11959.6875</v>
      </c>
      <c r="BG15" s="38">
        <f t="shared" si="25"/>
        <v>11959.6875</v>
      </c>
      <c r="BH15" s="38">
        <f t="shared" si="25"/>
        <v>12032.575000000001</v>
      </c>
      <c r="BI15" s="38">
        <f t="shared" si="25"/>
        <v>12032.575000000001</v>
      </c>
      <c r="BJ15" s="38">
        <f t="shared" si="25"/>
        <v>12032.575000000001</v>
      </c>
      <c r="BK15" s="38">
        <f t="shared" si="25"/>
        <v>12032.575000000001</v>
      </c>
      <c r="BL15" s="38">
        <f t="shared" si="25"/>
        <v>12032.575000000001</v>
      </c>
      <c r="BM15" s="38">
        <f t="shared" si="25"/>
        <v>12032.575000000001</v>
      </c>
      <c r="BN15" s="38">
        <f t="shared" si="25"/>
        <v>12032.575000000001</v>
      </c>
      <c r="BO15" s="38">
        <f t="shared" si="25"/>
        <v>12032.575000000001</v>
      </c>
      <c r="BP15" s="38">
        <f t="shared" si="25"/>
        <v>12032.575000000001</v>
      </c>
      <c r="BQ15" s="38">
        <f t="shared" si="25"/>
        <v>12132.034374999999</v>
      </c>
      <c r="BR15" s="38">
        <f t="shared" si="25"/>
        <v>12132.034374999999</v>
      </c>
      <c r="BS15" s="38">
        <f t="shared" si="25"/>
        <v>12132.034374999999</v>
      </c>
      <c r="BT15" s="38">
        <f t="shared" si="25"/>
        <v>12206.379625</v>
      </c>
      <c r="BU15" s="38">
        <f t="shared" si="25"/>
        <v>12206.379625</v>
      </c>
      <c r="BV15" s="38">
        <f t="shared" si="25"/>
        <v>12206.379625</v>
      </c>
      <c r="BW15" s="38">
        <f t="shared" si="25"/>
        <v>12206.379625</v>
      </c>
      <c r="BX15" s="38">
        <f t="shared" ref="BX15:DC15" si="26">SUM(BX12:BX14)</f>
        <v>12206.379625</v>
      </c>
      <c r="BY15" s="38">
        <f t="shared" si="26"/>
        <v>12206.379625</v>
      </c>
      <c r="BZ15" s="38">
        <f t="shared" si="26"/>
        <v>12206.379625</v>
      </c>
      <c r="CA15" s="38">
        <f t="shared" si="26"/>
        <v>12206.379625</v>
      </c>
      <c r="CB15" s="38">
        <f t="shared" si="26"/>
        <v>12206.379625</v>
      </c>
      <c r="CC15" s="38">
        <f t="shared" si="26"/>
        <v>12308.822781249999</v>
      </c>
      <c r="CD15" s="38">
        <f t="shared" si="26"/>
        <v>12308.822781249999</v>
      </c>
      <c r="CE15" s="38">
        <f t="shared" si="26"/>
        <v>12308.822781249999</v>
      </c>
      <c r="CF15" s="38">
        <f t="shared" si="26"/>
        <v>12384.654936249999</v>
      </c>
      <c r="CG15" s="38">
        <f t="shared" si="26"/>
        <v>12384.654936249999</v>
      </c>
      <c r="CH15" s="38">
        <f t="shared" si="26"/>
        <v>12384.654936249999</v>
      </c>
      <c r="CI15" s="38">
        <f t="shared" si="26"/>
        <v>12384.654936249999</v>
      </c>
      <c r="CJ15" s="38">
        <f t="shared" si="26"/>
        <v>12384.654936249999</v>
      </c>
      <c r="CK15" s="38">
        <f t="shared" si="26"/>
        <v>12384.654936249999</v>
      </c>
      <c r="CL15" s="38">
        <f t="shared" si="26"/>
        <v>12384.654936249999</v>
      </c>
      <c r="CM15" s="38">
        <f t="shared" si="26"/>
        <v>12384.654936249999</v>
      </c>
      <c r="CN15" s="38">
        <f t="shared" si="26"/>
        <v>12384.654936249999</v>
      </c>
      <c r="CO15" s="38">
        <f t="shared" si="26"/>
        <v>12490.1713871875</v>
      </c>
      <c r="CP15" s="38">
        <f t="shared" si="26"/>
        <v>12490.1713871875</v>
      </c>
      <c r="CQ15" s="38">
        <f t="shared" si="26"/>
        <v>12490.1713871875</v>
      </c>
      <c r="CR15" s="38">
        <f t="shared" si="26"/>
        <v>12567.5201852875</v>
      </c>
      <c r="CS15" s="38">
        <f t="shared" si="26"/>
        <v>12567.5201852875</v>
      </c>
      <c r="CT15" s="38">
        <f t="shared" si="26"/>
        <v>12567.5201852875</v>
      </c>
      <c r="CU15" s="38">
        <f t="shared" si="26"/>
        <v>12567.5201852875</v>
      </c>
      <c r="CV15" s="38">
        <f t="shared" si="26"/>
        <v>12567.5201852875</v>
      </c>
      <c r="CW15" s="38">
        <f t="shared" si="26"/>
        <v>12567.5201852875</v>
      </c>
      <c r="CX15" s="38">
        <f t="shared" si="26"/>
        <v>12567.5201852875</v>
      </c>
      <c r="CY15" s="38">
        <f t="shared" si="26"/>
        <v>12567.5201852875</v>
      </c>
      <c r="CZ15" s="38">
        <f t="shared" si="26"/>
        <v>12567.5201852875</v>
      </c>
      <c r="DA15" s="38">
        <f t="shared" si="26"/>
        <v>12676.202129753125</v>
      </c>
      <c r="DB15" s="38">
        <f t="shared" si="26"/>
        <v>12676.202129753125</v>
      </c>
      <c r="DC15" s="38">
        <f t="shared" si="26"/>
        <v>12676.202129753125</v>
      </c>
      <c r="DD15" s="38">
        <f t="shared" ref="DD15:EI15" si="27">SUM(DD12:DD14)</f>
        <v>12755.097903815124</v>
      </c>
      <c r="DE15" s="38">
        <f t="shared" si="27"/>
        <v>12755.097903815124</v>
      </c>
      <c r="DF15" s="38">
        <f t="shared" si="27"/>
        <v>12755.097903815124</v>
      </c>
      <c r="DG15" s="38">
        <f t="shared" si="27"/>
        <v>12755.097903815124</v>
      </c>
      <c r="DH15" s="38">
        <f t="shared" si="27"/>
        <v>12755.097903815124</v>
      </c>
      <c r="DI15" s="38">
        <f t="shared" si="27"/>
        <v>12755.097903815124</v>
      </c>
      <c r="DJ15" s="38">
        <f t="shared" si="27"/>
        <v>12755.097903815124</v>
      </c>
      <c r="DK15" s="38">
        <f t="shared" si="27"/>
        <v>12755.097903815124</v>
      </c>
      <c r="DL15" s="38">
        <f t="shared" si="27"/>
        <v>12755.097903815124</v>
      </c>
      <c r="DM15" s="38">
        <f t="shared" si="27"/>
        <v>12867.040306614719</v>
      </c>
      <c r="DN15" s="38">
        <f t="shared" si="27"/>
        <v>12867.040306614719</v>
      </c>
      <c r="DO15" s="38">
        <f t="shared" si="27"/>
        <v>12867.040306614719</v>
      </c>
      <c r="DP15" s="38">
        <f t="shared" si="27"/>
        <v>12947.513996157957</v>
      </c>
      <c r="DQ15" s="38">
        <f t="shared" si="27"/>
        <v>12947.513996157957</v>
      </c>
      <c r="DR15" s="38">
        <f t="shared" si="27"/>
        <v>12947.513996157957</v>
      </c>
      <c r="DS15" s="38">
        <f t="shared" si="27"/>
        <v>12947.513996157957</v>
      </c>
      <c r="DT15" s="38">
        <f t="shared" si="27"/>
        <v>12947.513996157957</v>
      </c>
      <c r="DU15" s="38">
        <f t="shared" si="27"/>
        <v>12947.513996157957</v>
      </c>
      <c r="DV15" s="38">
        <f t="shared" si="27"/>
        <v>12947.513996157957</v>
      </c>
      <c r="DW15" s="38">
        <f t="shared" si="27"/>
        <v>12947.513996157957</v>
      </c>
      <c r="DX15" s="38">
        <f t="shared" si="27"/>
        <v>12947.513996157957</v>
      </c>
      <c r="DY15" s="38">
        <f t="shared" si="27"/>
        <v>13062.814671041539</v>
      </c>
      <c r="DZ15" s="38">
        <f t="shared" si="27"/>
        <v>13062.814671041539</v>
      </c>
      <c r="EA15" s="38">
        <f t="shared" si="27"/>
        <v>13062.814671041539</v>
      </c>
      <c r="EB15" s="38">
        <f t="shared" si="27"/>
        <v>13144.897834375644</v>
      </c>
      <c r="EC15" s="38">
        <f t="shared" si="27"/>
        <v>13144.897834375644</v>
      </c>
      <c r="ED15" s="38">
        <f t="shared" si="27"/>
        <v>13144.897834375644</v>
      </c>
      <c r="EE15" s="38">
        <f t="shared" si="27"/>
        <v>13144.897834375644</v>
      </c>
      <c r="EF15" s="38">
        <f t="shared" si="27"/>
        <v>13144.897834375644</v>
      </c>
      <c r="EG15" s="38">
        <f t="shared" si="27"/>
        <v>13144.897834375644</v>
      </c>
      <c r="EH15" s="38">
        <f t="shared" si="27"/>
        <v>13144.897834375644</v>
      </c>
      <c r="EI15" s="38">
        <f t="shared" si="27"/>
        <v>13144.897834375644</v>
      </c>
      <c r="EJ15" s="38">
        <f t="shared" ref="EJ15:EM15" si="28">SUM(EJ12:EJ14)</f>
        <v>13144.897834375644</v>
      </c>
      <c r="EK15" s="38">
        <f t="shared" si="28"/>
        <v>13263.657529505734</v>
      </c>
      <c r="EL15" s="38">
        <f t="shared" si="28"/>
        <v>13263.657529505734</v>
      </c>
      <c r="EM15" s="38">
        <f t="shared" si="28"/>
        <v>13263.657529505734</v>
      </c>
      <c r="EO15" s="24"/>
      <c r="EP15" s="24"/>
      <c r="EQ15" s="59"/>
      <c r="ER15" s="24"/>
      <c r="ES15" s="24"/>
      <c r="ET15" s="24"/>
      <c r="EU15" s="24"/>
      <c r="EV15" s="30">
        <f t="shared" ref="EV15:GA15" si="29">SUM(EV12:EV14)</f>
        <v>0</v>
      </c>
      <c r="EW15" s="30">
        <f t="shared" si="29"/>
        <v>0</v>
      </c>
      <c r="EX15" s="30">
        <f t="shared" si="29"/>
        <v>0</v>
      </c>
      <c r="EY15" s="30">
        <f t="shared" si="29"/>
        <v>0</v>
      </c>
      <c r="EZ15" s="30">
        <f t="shared" si="29"/>
        <v>0</v>
      </c>
      <c r="FA15" s="30">
        <f t="shared" si="29"/>
        <v>0</v>
      </c>
      <c r="FB15" s="30">
        <f t="shared" si="29"/>
        <v>0</v>
      </c>
      <c r="FC15" s="30">
        <f t="shared" si="29"/>
        <v>0</v>
      </c>
      <c r="FD15" s="30">
        <f t="shared" si="29"/>
        <v>0</v>
      </c>
      <c r="FE15" s="30">
        <f t="shared" si="29"/>
        <v>0</v>
      </c>
      <c r="FF15" s="30">
        <f t="shared" si="29"/>
        <v>0</v>
      </c>
      <c r="FG15" s="30">
        <f t="shared" si="29"/>
        <v>0</v>
      </c>
      <c r="FH15" s="30">
        <f t="shared" si="29"/>
        <v>0</v>
      </c>
      <c r="FI15" s="30">
        <f t="shared" si="29"/>
        <v>0</v>
      </c>
      <c r="FJ15" s="30">
        <f t="shared" si="29"/>
        <v>0</v>
      </c>
      <c r="FK15" s="30">
        <f t="shared" si="29"/>
        <v>0</v>
      </c>
      <c r="FL15" s="30">
        <f t="shared" si="29"/>
        <v>0</v>
      </c>
      <c r="FM15" s="30">
        <f t="shared" si="29"/>
        <v>0</v>
      </c>
      <c r="FN15" s="30">
        <f t="shared" si="29"/>
        <v>1500</v>
      </c>
      <c r="FO15" s="30">
        <f t="shared" si="29"/>
        <v>1500</v>
      </c>
      <c r="FP15" s="30">
        <f t="shared" si="29"/>
        <v>1500</v>
      </c>
      <c r="FQ15" s="30">
        <f t="shared" si="29"/>
        <v>3250</v>
      </c>
      <c r="FR15" s="30">
        <f t="shared" si="29"/>
        <v>3250</v>
      </c>
      <c r="FS15" s="30">
        <f t="shared" si="29"/>
        <v>3250</v>
      </c>
      <c r="FT15" s="30">
        <f t="shared" si="29"/>
        <v>5750</v>
      </c>
      <c r="FU15" s="30">
        <f t="shared" si="29"/>
        <v>5750</v>
      </c>
      <c r="FV15" s="30">
        <f t="shared" si="29"/>
        <v>5750</v>
      </c>
      <c r="FW15" s="30">
        <f t="shared" si="29"/>
        <v>5750</v>
      </c>
      <c r="FX15" s="30">
        <f t="shared" si="29"/>
        <v>5750</v>
      </c>
      <c r="FY15" s="30">
        <f t="shared" si="29"/>
        <v>5750</v>
      </c>
      <c r="FZ15" s="30">
        <f t="shared" si="29"/>
        <v>5750</v>
      </c>
      <c r="GA15" s="30">
        <f t="shared" si="29"/>
        <v>5750</v>
      </c>
      <c r="GB15" s="30">
        <f t="shared" ref="GB15:HG15" si="30">SUM(GB12:GB14)</f>
        <v>5750</v>
      </c>
      <c r="GC15" s="30">
        <f t="shared" si="30"/>
        <v>5750</v>
      </c>
      <c r="GD15" s="30">
        <f t="shared" si="30"/>
        <v>5750</v>
      </c>
      <c r="GE15" s="30">
        <f t="shared" si="30"/>
        <v>5750</v>
      </c>
      <c r="GF15" s="30">
        <f t="shared" si="30"/>
        <v>5750</v>
      </c>
      <c r="GG15" s="30">
        <f t="shared" si="30"/>
        <v>5750</v>
      </c>
      <c r="GH15" s="30">
        <f t="shared" si="30"/>
        <v>5750</v>
      </c>
      <c r="GI15" s="30">
        <f t="shared" si="30"/>
        <v>5750</v>
      </c>
      <c r="GJ15" s="30">
        <f t="shared" si="30"/>
        <v>5750</v>
      </c>
      <c r="GK15" s="30">
        <f t="shared" si="30"/>
        <v>5750</v>
      </c>
      <c r="GL15" s="30">
        <f t="shared" si="30"/>
        <v>5750</v>
      </c>
      <c r="GM15" s="30">
        <f t="shared" si="30"/>
        <v>5750</v>
      </c>
      <c r="GN15" s="30">
        <f t="shared" si="30"/>
        <v>5750</v>
      </c>
      <c r="GO15" s="30">
        <f t="shared" si="30"/>
        <v>5750</v>
      </c>
      <c r="GP15" s="30">
        <f t="shared" si="30"/>
        <v>5750</v>
      </c>
      <c r="GQ15" s="30">
        <f t="shared" si="30"/>
        <v>5750</v>
      </c>
      <c r="GR15" s="30">
        <f t="shared" si="30"/>
        <v>5750</v>
      </c>
      <c r="GS15" s="30">
        <f t="shared" si="30"/>
        <v>5750</v>
      </c>
      <c r="GT15" s="30">
        <f t="shared" si="30"/>
        <v>5750</v>
      </c>
      <c r="GU15" s="30">
        <f t="shared" si="30"/>
        <v>5750</v>
      </c>
      <c r="GV15" s="30">
        <f t="shared" si="30"/>
        <v>5750</v>
      </c>
      <c r="GW15" s="30">
        <f t="shared" si="30"/>
        <v>5750</v>
      </c>
      <c r="GX15" s="30">
        <f t="shared" si="30"/>
        <v>5750</v>
      </c>
      <c r="GY15" s="30">
        <f t="shared" si="30"/>
        <v>5750</v>
      </c>
      <c r="GZ15" s="30">
        <f t="shared" si="30"/>
        <v>5750</v>
      </c>
      <c r="HA15" s="30">
        <f t="shared" si="30"/>
        <v>5750</v>
      </c>
      <c r="HB15" s="30">
        <f t="shared" si="30"/>
        <v>5750</v>
      </c>
      <c r="HC15" s="30">
        <f t="shared" si="30"/>
        <v>5750</v>
      </c>
      <c r="HD15" s="30">
        <f t="shared" si="30"/>
        <v>5750</v>
      </c>
      <c r="HE15" s="30">
        <f t="shared" si="30"/>
        <v>5750</v>
      </c>
      <c r="HF15" s="30">
        <f t="shared" si="30"/>
        <v>5750</v>
      </c>
      <c r="HG15" s="30">
        <f t="shared" si="30"/>
        <v>5750</v>
      </c>
      <c r="HH15" s="30">
        <f t="shared" ref="HH15:IM15" si="31">SUM(HH12:HH14)</f>
        <v>5750</v>
      </c>
      <c r="HI15" s="30">
        <f t="shared" si="31"/>
        <v>5750</v>
      </c>
      <c r="HJ15" s="30">
        <f t="shared" si="31"/>
        <v>5750</v>
      </c>
      <c r="HK15" s="30">
        <f t="shared" si="31"/>
        <v>5750</v>
      </c>
      <c r="HL15" s="30">
        <f t="shared" si="31"/>
        <v>5750</v>
      </c>
      <c r="HM15" s="30">
        <f t="shared" si="31"/>
        <v>5750</v>
      </c>
      <c r="HN15" s="30">
        <f t="shared" si="31"/>
        <v>5750</v>
      </c>
      <c r="HO15" s="30">
        <f t="shared" si="31"/>
        <v>5750</v>
      </c>
      <c r="HP15" s="30">
        <f t="shared" si="31"/>
        <v>5750</v>
      </c>
      <c r="HQ15" s="30">
        <f t="shared" si="31"/>
        <v>5750</v>
      </c>
      <c r="HR15" s="30">
        <f t="shared" si="31"/>
        <v>5750</v>
      </c>
      <c r="HS15" s="30">
        <f t="shared" si="31"/>
        <v>5750</v>
      </c>
      <c r="HT15" s="30">
        <f t="shared" si="31"/>
        <v>5750</v>
      </c>
      <c r="HU15" s="30">
        <f t="shared" si="31"/>
        <v>5750</v>
      </c>
      <c r="HV15" s="30">
        <f t="shared" si="31"/>
        <v>5750</v>
      </c>
      <c r="HW15" s="30">
        <f t="shared" si="31"/>
        <v>5750</v>
      </c>
      <c r="HX15" s="30">
        <f t="shared" si="31"/>
        <v>5750</v>
      </c>
      <c r="HY15" s="30">
        <f t="shared" si="31"/>
        <v>5750</v>
      </c>
      <c r="HZ15" s="30">
        <f t="shared" si="31"/>
        <v>5750</v>
      </c>
      <c r="IA15" s="30">
        <f t="shared" si="31"/>
        <v>5750</v>
      </c>
      <c r="IB15" s="30">
        <f t="shared" si="31"/>
        <v>5750</v>
      </c>
      <c r="IC15" s="30">
        <f t="shared" si="31"/>
        <v>5750</v>
      </c>
      <c r="ID15" s="30">
        <f t="shared" si="31"/>
        <v>5750</v>
      </c>
      <c r="IE15" s="30">
        <f t="shared" si="31"/>
        <v>5750</v>
      </c>
      <c r="IF15" s="30">
        <f t="shared" si="31"/>
        <v>5750</v>
      </c>
      <c r="IG15" s="30">
        <f t="shared" si="31"/>
        <v>5750</v>
      </c>
      <c r="IH15" s="30">
        <f t="shared" si="31"/>
        <v>5750</v>
      </c>
      <c r="II15" s="30">
        <f t="shared" si="31"/>
        <v>5750</v>
      </c>
      <c r="IJ15" s="30">
        <f t="shared" si="31"/>
        <v>5750</v>
      </c>
      <c r="IK15" s="30">
        <f t="shared" si="31"/>
        <v>5750</v>
      </c>
      <c r="IL15" s="30">
        <f t="shared" si="31"/>
        <v>5750</v>
      </c>
      <c r="IM15" s="30">
        <f t="shared" si="31"/>
        <v>5750</v>
      </c>
      <c r="IN15" s="30">
        <f t="shared" ref="IN15:JS15" si="32">SUM(IN12:IN14)</f>
        <v>5750</v>
      </c>
      <c r="IO15" s="30">
        <f t="shared" si="32"/>
        <v>5750</v>
      </c>
      <c r="IP15" s="30">
        <f t="shared" si="32"/>
        <v>5750</v>
      </c>
      <c r="IQ15" s="30">
        <f t="shared" si="32"/>
        <v>5750</v>
      </c>
      <c r="IR15" s="30">
        <f t="shared" si="32"/>
        <v>5750</v>
      </c>
      <c r="IS15" s="30">
        <f t="shared" si="32"/>
        <v>5750</v>
      </c>
      <c r="IT15" s="30">
        <f t="shared" si="32"/>
        <v>5750</v>
      </c>
      <c r="IU15" s="30">
        <f t="shared" si="32"/>
        <v>5750</v>
      </c>
      <c r="IV15" s="30">
        <f t="shared" si="32"/>
        <v>5750</v>
      </c>
      <c r="IW15" s="30">
        <f t="shared" si="32"/>
        <v>5750</v>
      </c>
      <c r="IX15" s="30">
        <f t="shared" si="32"/>
        <v>5750</v>
      </c>
      <c r="IY15" s="30">
        <f t="shared" si="32"/>
        <v>5750</v>
      </c>
      <c r="IZ15" s="30">
        <f t="shared" si="32"/>
        <v>5750</v>
      </c>
      <c r="JA15" s="30">
        <f t="shared" si="32"/>
        <v>5750</v>
      </c>
      <c r="JB15" s="30">
        <f t="shared" si="32"/>
        <v>5750</v>
      </c>
      <c r="JC15" s="30">
        <f t="shared" si="32"/>
        <v>5750</v>
      </c>
      <c r="JD15" s="30">
        <f t="shared" si="32"/>
        <v>5750</v>
      </c>
      <c r="JE15" s="30">
        <f t="shared" si="32"/>
        <v>5750</v>
      </c>
      <c r="JF15" s="30">
        <f t="shared" si="32"/>
        <v>5750</v>
      </c>
      <c r="JG15" s="30">
        <f t="shared" si="32"/>
        <v>5750</v>
      </c>
      <c r="JH15" s="30">
        <f t="shared" si="32"/>
        <v>5750</v>
      </c>
      <c r="JI15" s="30">
        <f t="shared" si="32"/>
        <v>5750</v>
      </c>
      <c r="JJ15" s="30">
        <f t="shared" si="32"/>
        <v>5750</v>
      </c>
      <c r="JK15" s="30">
        <f t="shared" si="32"/>
        <v>5750</v>
      </c>
      <c r="JL15" s="30">
        <f t="shared" si="32"/>
        <v>5750</v>
      </c>
      <c r="JM15" s="30">
        <f t="shared" si="32"/>
        <v>5750</v>
      </c>
      <c r="JN15" s="30">
        <f t="shared" si="32"/>
        <v>5750</v>
      </c>
      <c r="JO15" s="30">
        <f t="shared" si="32"/>
        <v>5750</v>
      </c>
      <c r="JP15" s="30">
        <f t="shared" si="32"/>
        <v>5750</v>
      </c>
      <c r="JQ15" s="30">
        <f t="shared" si="32"/>
        <v>5750</v>
      </c>
      <c r="JR15" s="30">
        <f t="shared" si="32"/>
        <v>5750</v>
      </c>
      <c r="JS15" s="30">
        <f t="shared" si="32"/>
        <v>5750</v>
      </c>
      <c r="JT15" s="30">
        <f t="shared" ref="JT15:JW15" si="33">SUM(JT12:JT14)</f>
        <v>5750</v>
      </c>
      <c r="JU15" s="30">
        <f t="shared" si="33"/>
        <v>5750</v>
      </c>
      <c r="JV15" s="30">
        <f t="shared" si="33"/>
        <v>5750</v>
      </c>
      <c r="JW15" s="30">
        <f t="shared" si="33"/>
        <v>5750</v>
      </c>
    </row>
    <row r="16" spans="1:284" ht="16.5" x14ac:dyDescent="0.35">
      <c r="B16" s="429"/>
      <c r="C16" s="124"/>
      <c r="D16" s="124"/>
      <c r="E16" s="124"/>
      <c r="F16" s="177"/>
      <c r="G16" s="432"/>
      <c r="H16" s="432"/>
      <c r="I16" s="432"/>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c r="AR16" s="38"/>
      <c r="AS16" s="38"/>
      <c r="AT16" s="38"/>
      <c r="AU16" s="38"/>
      <c r="AV16" s="38"/>
      <c r="AW16" s="38"/>
      <c r="AX16" s="38"/>
      <c r="AY16" s="38"/>
      <c r="AZ16" s="38"/>
      <c r="BA16" s="38"/>
      <c r="BB16" s="38"/>
      <c r="BC16" s="38"/>
      <c r="BD16" s="38"/>
      <c r="BE16" s="38"/>
      <c r="BF16" s="38"/>
      <c r="BG16" s="38"/>
      <c r="BH16" s="38"/>
      <c r="BI16" s="38"/>
      <c r="BJ16" s="38"/>
      <c r="BK16" s="38"/>
      <c r="BL16" s="38"/>
      <c r="BM16" s="38"/>
      <c r="BN16" s="38"/>
      <c r="BO16" s="38"/>
      <c r="BP16" s="38"/>
      <c r="BQ16" s="38"/>
      <c r="BR16" s="38"/>
      <c r="BS16" s="38"/>
      <c r="BT16" s="38"/>
      <c r="BU16" s="38"/>
      <c r="BV16" s="38"/>
      <c r="BW16" s="38"/>
      <c r="BX16" s="38"/>
      <c r="BY16" s="38"/>
      <c r="BZ16" s="38"/>
      <c r="CA16" s="38"/>
      <c r="CB16" s="38"/>
      <c r="CC16" s="38"/>
      <c r="CD16" s="38"/>
      <c r="CE16" s="38"/>
      <c r="CF16" s="38"/>
      <c r="CG16" s="38"/>
      <c r="CH16" s="38"/>
      <c r="CI16" s="38"/>
      <c r="CJ16" s="38"/>
      <c r="CK16" s="38"/>
      <c r="CL16" s="38"/>
      <c r="CM16" s="38"/>
      <c r="CN16" s="38"/>
      <c r="CO16" s="38"/>
      <c r="CP16" s="38"/>
      <c r="CQ16" s="38"/>
      <c r="CR16" s="38"/>
      <c r="CS16" s="38"/>
      <c r="CT16" s="38"/>
      <c r="CU16" s="38"/>
      <c r="CV16" s="38"/>
      <c r="CW16" s="38"/>
      <c r="CX16" s="38"/>
      <c r="CY16" s="38"/>
      <c r="CZ16" s="38"/>
      <c r="DA16" s="38"/>
      <c r="DB16" s="38"/>
      <c r="DC16" s="38"/>
      <c r="DD16" s="38"/>
      <c r="DE16" s="38"/>
      <c r="DF16" s="38"/>
      <c r="DG16" s="38"/>
      <c r="DH16" s="38"/>
      <c r="DI16" s="38"/>
      <c r="DJ16" s="38"/>
      <c r="DK16" s="38"/>
      <c r="DL16" s="38"/>
      <c r="DM16" s="38"/>
      <c r="DN16" s="38"/>
      <c r="DO16" s="38"/>
      <c r="DP16" s="38"/>
      <c r="DQ16" s="38"/>
      <c r="DR16" s="38"/>
      <c r="DS16" s="38"/>
      <c r="DT16" s="38"/>
      <c r="DU16" s="38"/>
      <c r="DV16" s="38"/>
      <c r="DW16" s="38"/>
      <c r="DX16" s="38"/>
      <c r="DY16" s="38"/>
      <c r="DZ16" s="38"/>
      <c r="EA16" s="38"/>
      <c r="EB16" s="38"/>
      <c r="EC16" s="38"/>
      <c r="ED16" s="38"/>
      <c r="EE16" s="38"/>
      <c r="EF16" s="38"/>
      <c r="EG16" s="38"/>
      <c r="EH16" s="38"/>
      <c r="EI16" s="38"/>
      <c r="EJ16" s="38"/>
      <c r="EK16" s="38"/>
      <c r="EL16" s="38"/>
      <c r="EM16" s="38"/>
      <c r="EO16" s="201"/>
      <c r="EP16" s="201"/>
      <c r="EQ16" s="201"/>
      <c r="ER16" s="201"/>
      <c r="ES16" s="201"/>
      <c r="ET16" s="201"/>
      <c r="EU16" s="201"/>
      <c r="EV16" s="201"/>
      <c r="EW16" s="201"/>
      <c r="EX16" s="201"/>
      <c r="EY16" s="201"/>
      <c r="EZ16" s="201"/>
      <c r="FA16" s="201"/>
      <c r="FB16" s="201"/>
      <c r="FC16" s="201"/>
      <c r="FD16" s="201"/>
      <c r="FE16" s="201"/>
      <c r="FF16" s="201"/>
      <c r="FG16" s="201"/>
      <c r="FH16" s="201"/>
      <c r="FI16" s="201"/>
      <c r="FJ16" s="201"/>
      <c r="FK16" s="201"/>
      <c r="FL16" s="201"/>
      <c r="FM16" s="201"/>
      <c r="FN16" s="201"/>
      <c r="FO16" s="201"/>
      <c r="FP16" s="201"/>
      <c r="FQ16" s="201"/>
      <c r="FR16" s="201"/>
      <c r="FS16" s="201"/>
      <c r="FT16" s="201"/>
      <c r="FU16" s="201"/>
      <c r="FV16" s="201"/>
      <c r="FW16" s="201"/>
      <c r="FX16" s="201"/>
      <c r="FY16" s="201"/>
      <c r="FZ16" s="201"/>
      <c r="GA16" s="201"/>
      <c r="GB16" s="201"/>
      <c r="GC16" s="201"/>
      <c r="GD16" s="201"/>
      <c r="GE16" s="201"/>
      <c r="GF16" s="201"/>
      <c r="GG16" s="201"/>
      <c r="GH16" s="201"/>
      <c r="GI16" s="201"/>
      <c r="GJ16" s="201"/>
      <c r="GK16" s="201"/>
      <c r="GL16" s="201"/>
      <c r="GM16" s="201"/>
      <c r="GN16" s="201"/>
      <c r="GO16" s="201"/>
      <c r="GP16" s="201"/>
      <c r="GQ16" s="201"/>
      <c r="GR16" s="201"/>
      <c r="GS16" s="201"/>
      <c r="GT16" s="201"/>
      <c r="GU16" s="201"/>
      <c r="GV16" s="201"/>
      <c r="GW16" s="201"/>
      <c r="GX16" s="201"/>
      <c r="GY16" s="201"/>
      <c r="GZ16" s="201"/>
      <c r="HA16" s="201"/>
      <c r="HB16" s="201"/>
      <c r="HC16" s="201"/>
      <c r="HD16" s="201"/>
      <c r="HE16" s="201"/>
      <c r="HF16" s="201"/>
      <c r="HG16" s="201"/>
      <c r="HH16" s="201"/>
      <c r="HI16" s="201"/>
      <c r="HJ16" s="201"/>
      <c r="HK16" s="201"/>
      <c r="HL16" s="201"/>
      <c r="HM16" s="201"/>
      <c r="HN16" s="201"/>
      <c r="HO16" s="201"/>
      <c r="HP16" s="201"/>
      <c r="HQ16" s="201"/>
      <c r="HR16" s="201"/>
      <c r="HS16" s="201"/>
      <c r="HT16" s="201"/>
      <c r="HU16" s="201"/>
      <c r="HV16" s="201"/>
      <c r="HW16" s="201"/>
      <c r="HX16" s="201"/>
      <c r="HY16" s="201"/>
      <c r="HZ16" s="201"/>
      <c r="IA16" s="201"/>
      <c r="IB16" s="201"/>
      <c r="IC16" s="201"/>
      <c r="ID16" s="201"/>
      <c r="IE16" s="201"/>
      <c r="IF16" s="201"/>
      <c r="IG16" s="201"/>
      <c r="IH16" s="201"/>
      <c r="II16" s="201"/>
      <c r="IJ16" s="201"/>
      <c r="IK16" s="201"/>
      <c r="IL16" s="201"/>
      <c r="IM16" s="201"/>
      <c r="IN16" s="201"/>
      <c r="IO16" s="201"/>
      <c r="IP16" s="201"/>
      <c r="IQ16" s="201"/>
      <c r="IR16" s="201"/>
      <c r="IS16" s="201"/>
      <c r="IT16" s="201"/>
      <c r="IU16" s="201"/>
      <c r="IV16" s="201"/>
      <c r="IW16" s="201"/>
      <c r="IX16" s="201"/>
      <c r="IY16" s="201"/>
      <c r="IZ16" s="201"/>
      <c r="JA16" s="201"/>
      <c r="JB16" s="201"/>
      <c r="JC16" s="201"/>
      <c r="JD16" s="201"/>
      <c r="JE16" s="201"/>
      <c r="JF16" s="201"/>
      <c r="JG16" s="201"/>
      <c r="JH16" s="201"/>
      <c r="JI16" s="201"/>
      <c r="JJ16" s="201"/>
      <c r="JK16" s="201"/>
      <c r="JL16" s="201"/>
      <c r="JM16" s="201"/>
      <c r="JN16" s="201"/>
      <c r="JO16" s="201"/>
      <c r="JP16" s="201"/>
      <c r="JQ16" s="201"/>
      <c r="JR16" s="201"/>
      <c r="JS16" s="201"/>
      <c r="JT16" s="201"/>
      <c r="JU16" s="201"/>
      <c r="JV16" s="201"/>
      <c r="JW16" s="201"/>
    </row>
    <row r="17" spans="1:283" ht="16.5" x14ac:dyDescent="0.35">
      <c r="B17" s="433" t="s">
        <v>332</v>
      </c>
      <c r="C17" s="126"/>
      <c r="D17" s="126"/>
      <c r="E17" s="420" t="s">
        <v>334</v>
      </c>
      <c r="F17" s="126" t="s">
        <v>324</v>
      </c>
      <c r="G17" s="142" t="s">
        <v>333</v>
      </c>
      <c r="H17" s="142" t="str">
        <f>"REC./"&amp;Unit_Type&amp;"/YR"</f>
        <v>REC./SF/YR</v>
      </c>
      <c r="I17" s="432" t="s">
        <v>129</v>
      </c>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c r="AR17" s="38"/>
      <c r="AS17" s="38"/>
      <c r="AT17" s="38"/>
      <c r="AU17" s="38"/>
      <c r="AV17" s="38"/>
      <c r="AW17" s="38"/>
      <c r="AX17" s="38"/>
      <c r="AY17" s="38"/>
      <c r="AZ17" s="38"/>
      <c r="BA17" s="38"/>
      <c r="BB17" s="38"/>
      <c r="BC17" s="38"/>
      <c r="BD17" s="38"/>
      <c r="BE17" s="38"/>
      <c r="BF17" s="38"/>
      <c r="BG17" s="38"/>
      <c r="BH17" s="38"/>
      <c r="BI17" s="38"/>
      <c r="BJ17" s="38"/>
      <c r="BK17" s="38"/>
      <c r="BL17" s="38"/>
      <c r="BM17" s="38"/>
      <c r="BN17" s="38"/>
      <c r="BO17" s="38"/>
      <c r="BP17" s="38"/>
      <c r="BQ17" s="38"/>
      <c r="BR17" s="38"/>
      <c r="BS17" s="38"/>
      <c r="BT17" s="38"/>
      <c r="BU17" s="38"/>
      <c r="BV17" s="38"/>
      <c r="BW17" s="38"/>
      <c r="BX17" s="38"/>
      <c r="BY17" s="38"/>
      <c r="BZ17" s="38"/>
      <c r="CA17" s="38"/>
      <c r="CB17" s="38"/>
      <c r="CC17" s="38"/>
      <c r="CD17" s="38"/>
      <c r="CE17" s="38"/>
      <c r="CF17" s="38"/>
      <c r="CG17" s="38"/>
      <c r="CH17" s="38"/>
      <c r="CI17" s="38"/>
      <c r="CJ17" s="38"/>
      <c r="CK17" s="38"/>
      <c r="CL17" s="38"/>
      <c r="CM17" s="38"/>
      <c r="CN17" s="38"/>
      <c r="CO17" s="38"/>
      <c r="CP17" s="38"/>
      <c r="CQ17" s="38"/>
      <c r="CR17" s="38"/>
      <c r="CS17" s="38"/>
      <c r="CT17" s="38"/>
      <c r="CU17" s="38"/>
      <c r="CV17" s="38"/>
      <c r="CW17" s="38"/>
      <c r="CX17" s="38"/>
      <c r="CY17" s="38"/>
      <c r="CZ17" s="38"/>
      <c r="DA17" s="38"/>
      <c r="DB17" s="38"/>
      <c r="DC17" s="38"/>
      <c r="DD17" s="38"/>
      <c r="DE17" s="38"/>
      <c r="DF17" s="38"/>
      <c r="DG17" s="38"/>
      <c r="DH17" s="38"/>
      <c r="DI17" s="38"/>
      <c r="DJ17" s="38"/>
      <c r="DK17" s="38"/>
      <c r="DL17" s="38"/>
      <c r="DM17" s="38"/>
      <c r="DN17" s="38"/>
      <c r="DO17" s="38"/>
      <c r="DP17" s="38"/>
      <c r="DQ17" s="38"/>
      <c r="DR17" s="38"/>
      <c r="DS17" s="38"/>
      <c r="DT17" s="38"/>
      <c r="DU17" s="38"/>
      <c r="DV17" s="38"/>
      <c r="DW17" s="38"/>
      <c r="DX17" s="38"/>
      <c r="DY17" s="38"/>
      <c r="DZ17" s="38"/>
      <c r="EA17" s="38"/>
      <c r="EB17" s="38"/>
      <c r="EC17" s="38"/>
      <c r="ED17" s="38"/>
      <c r="EE17" s="38"/>
      <c r="EF17" s="38"/>
      <c r="EG17" s="38"/>
      <c r="EH17" s="38"/>
      <c r="EI17" s="38"/>
      <c r="EJ17" s="38"/>
      <c r="EK17" s="38"/>
      <c r="EL17" s="38"/>
      <c r="EM17" s="38"/>
      <c r="EO17" s="201"/>
      <c r="EP17" s="201"/>
      <c r="EQ17" s="201"/>
      <c r="ER17" s="201"/>
      <c r="ES17" s="201"/>
      <c r="ET17" s="201"/>
      <c r="EU17" s="201"/>
      <c r="EV17" s="201"/>
      <c r="EW17" s="201"/>
      <c r="EX17" s="201"/>
      <c r="EY17" s="201"/>
      <c r="EZ17" s="201"/>
      <c r="FA17" s="201"/>
      <c r="FB17" s="201"/>
      <c r="FC17" s="201"/>
      <c r="FD17" s="201"/>
      <c r="FE17" s="201"/>
      <c r="FF17" s="201"/>
      <c r="FG17" s="201"/>
      <c r="FH17" s="201"/>
      <c r="FI17" s="201"/>
      <c r="FJ17" s="201"/>
      <c r="FK17" s="201"/>
      <c r="FL17" s="201"/>
      <c r="FM17" s="201"/>
      <c r="FN17" s="201"/>
      <c r="FO17" s="201"/>
      <c r="FP17" s="201"/>
      <c r="FQ17" s="201"/>
      <c r="FR17" s="201"/>
      <c r="FS17" s="201"/>
      <c r="FT17" s="201"/>
      <c r="FU17" s="201"/>
      <c r="FV17" s="201"/>
      <c r="FW17" s="201"/>
      <c r="FX17" s="201"/>
      <c r="FY17" s="201"/>
      <c r="FZ17" s="201"/>
      <c r="GA17" s="201"/>
      <c r="GB17" s="201"/>
      <c r="GC17" s="201"/>
      <c r="GD17" s="201"/>
      <c r="GE17" s="201"/>
      <c r="GF17" s="201"/>
      <c r="GG17" s="201"/>
      <c r="GH17" s="201"/>
      <c r="GI17" s="201"/>
      <c r="GJ17" s="201"/>
      <c r="GK17" s="201"/>
      <c r="GL17" s="201"/>
      <c r="GM17" s="201"/>
      <c r="GN17" s="201"/>
      <c r="GO17" s="201"/>
      <c r="GP17" s="201"/>
      <c r="GQ17" s="201"/>
      <c r="GR17" s="201"/>
      <c r="GS17" s="201"/>
      <c r="GT17" s="201"/>
      <c r="GU17" s="201"/>
      <c r="GV17" s="201"/>
      <c r="GW17" s="201"/>
      <c r="GX17" s="201"/>
      <c r="GY17" s="201"/>
      <c r="GZ17" s="201"/>
      <c r="HA17" s="201"/>
      <c r="HB17" s="201"/>
      <c r="HC17" s="201"/>
      <c r="HD17" s="201"/>
      <c r="HE17" s="201"/>
      <c r="HF17" s="201"/>
      <c r="HG17" s="201"/>
      <c r="HH17" s="201"/>
      <c r="HI17" s="201"/>
      <c r="HJ17" s="201"/>
      <c r="HK17" s="201"/>
      <c r="HL17" s="201"/>
      <c r="HM17" s="201"/>
      <c r="HN17" s="201"/>
      <c r="HO17" s="201"/>
      <c r="HP17" s="201"/>
      <c r="HQ17" s="201"/>
      <c r="HR17" s="201"/>
      <c r="HS17" s="201"/>
      <c r="HT17" s="201"/>
      <c r="HU17" s="201"/>
      <c r="HV17" s="201"/>
      <c r="HW17" s="201"/>
      <c r="HX17" s="201"/>
      <c r="HY17" s="201"/>
      <c r="HZ17" s="201"/>
      <c r="IA17" s="201"/>
      <c r="IB17" s="201"/>
      <c r="IC17" s="201"/>
      <c r="ID17" s="201"/>
      <c r="IE17" s="201"/>
      <c r="IF17" s="201"/>
      <c r="IG17" s="201"/>
      <c r="IH17" s="201"/>
      <c r="II17" s="201"/>
      <c r="IJ17" s="201"/>
      <c r="IK17" s="201"/>
      <c r="IL17" s="201"/>
      <c r="IM17" s="201"/>
      <c r="IN17" s="201"/>
      <c r="IO17" s="201"/>
      <c r="IP17" s="201"/>
      <c r="IQ17" s="201"/>
      <c r="IR17" s="201"/>
      <c r="IS17" s="201"/>
      <c r="IT17" s="201"/>
      <c r="IU17" s="201"/>
      <c r="IV17" s="201"/>
      <c r="IW17" s="201"/>
      <c r="IX17" s="201"/>
      <c r="IY17" s="201"/>
      <c r="IZ17" s="201"/>
      <c r="JA17" s="201"/>
      <c r="JB17" s="201"/>
      <c r="JC17" s="201"/>
      <c r="JD17" s="201"/>
      <c r="JE17" s="201"/>
      <c r="JF17" s="201"/>
      <c r="JG17" s="201"/>
      <c r="JH17" s="201"/>
      <c r="JI17" s="201"/>
      <c r="JJ17" s="201"/>
      <c r="JK17" s="201"/>
      <c r="JL17" s="201"/>
      <c r="JM17" s="201"/>
      <c r="JN17" s="201"/>
      <c r="JO17" s="201"/>
      <c r="JP17" s="201"/>
      <c r="JQ17" s="201"/>
      <c r="JR17" s="201"/>
      <c r="JS17" s="201"/>
      <c r="JT17" s="201"/>
      <c r="JU17" s="201"/>
      <c r="JV17" s="201"/>
      <c r="JW17" s="201"/>
    </row>
    <row r="18" spans="1:283" x14ac:dyDescent="0.2">
      <c r="B18" s="262" t="str">
        <f>C12</f>
        <v>Yummy Juice</v>
      </c>
      <c r="C18" s="120"/>
      <c r="D18" s="120"/>
      <c r="E18" s="132">
        <f>D12</f>
        <v>19</v>
      </c>
      <c r="F18" s="173">
        <v>1</v>
      </c>
      <c r="G18" s="149">
        <f>E12/Units_Retail</f>
        <v>0.2608695652173913</v>
      </c>
      <c r="H18" s="431">
        <f>IFERROR(I18/E12,0)</f>
        <v>11.363636363636363</v>
      </c>
      <c r="I18" s="434">
        <f>F18*G18*$I$33</f>
        <v>17045.454545454544</v>
      </c>
      <c r="K18" s="38"/>
      <c r="L18" s="38">
        <f t="shared" ref="L18:U20" si="34">(L$3&gt;=$E18)*$G18*$F18*L$33</f>
        <v>0</v>
      </c>
      <c r="M18" s="38">
        <f t="shared" si="34"/>
        <v>0</v>
      </c>
      <c r="N18" s="38">
        <f t="shared" si="34"/>
        <v>0</v>
      </c>
      <c r="O18" s="38">
        <f t="shared" si="34"/>
        <v>0</v>
      </c>
      <c r="P18" s="38">
        <f t="shared" si="34"/>
        <v>0</v>
      </c>
      <c r="Q18" s="38">
        <f t="shared" si="34"/>
        <v>0</v>
      </c>
      <c r="R18" s="38">
        <f t="shared" si="34"/>
        <v>0</v>
      </c>
      <c r="S18" s="38">
        <f t="shared" si="34"/>
        <v>0</v>
      </c>
      <c r="T18" s="38">
        <f t="shared" si="34"/>
        <v>0</v>
      </c>
      <c r="U18" s="38">
        <f t="shared" si="34"/>
        <v>0</v>
      </c>
      <c r="V18" s="38">
        <f t="shared" ref="V18:AE20" si="35">(V$3&gt;=$E18)*$G18*$F18*V$33</f>
        <v>0</v>
      </c>
      <c r="W18" s="38">
        <f t="shared" si="35"/>
        <v>0</v>
      </c>
      <c r="X18" s="38">
        <f t="shared" si="35"/>
        <v>0</v>
      </c>
      <c r="Y18" s="38">
        <f t="shared" si="35"/>
        <v>0</v>
      </c>
      <c r="Z18" s="38">
        <f t="shared" si="35"/>
        <v>0</v>
      </c>
      <c r="AA18" s="38">
        <f t="shared" si="35"/>
        <v>0</v>
      </c>
      <c r="AB18" s="38">
        <f t="shared" si="35"/>
        <v>0</v>
      </c>
      <c r="AC18" s="38">
        <f t="shared" si="35"/>
        <v>0</v>
      </c>
      <c r="AD18" s="38">
        <f t="shared" si="35"/>
        <v>370.55335968379444</v>
      </c>
      <c r="AE18" s="38">
        <f t="shared" si="35"/>
        <v>370.55335968379444</v>
      </c>
      <c r="AF18" s="38">
        <f t="shared" ref="AF18:AO20" si="36">(AF$3&gt;=$E18)*$G18*$F18*AF$33</f>
        <v>370.55335968379444</v>
      </c>
      <c r="AG18" s="38">
        <f t="shared" si="36"/>
        <v>802.86561264822114</v>
      </c>
      <c r="AH18" s="38">
        <f t="shared" si="36"/>
        <v>802.86561264822114</v>
      </c>
      <c r="AI18" s="38">
        <f t="shared" si="36"/>
        <v>802.86561264822114</v>
      </c>
      <c r="AJ18" s="38">
        <f t="shared" si="36"/>
        <v>1420.4545454545453</v>
      </c>
      <c r="AK18" s="38">
        <f t="shared" si="36"/>
        <v>1420.4545454545453</v>
      </c>
      <c r="AL18" s="38">
        <f t="shared" si="36"/>
        <v>1420.4545454545453</v>
      </c>
      <c r="AM18" s="38">
        <f t="shared" si="36"/>
        <v>1420.4545454545453</v>
      </c>
      <c r="AN18" s="38">
        <f t="shared" si="36"/>
        <v>1420.4545454545453</v>
      </c>
      <c r="AO18" s="38">
        <f t="shared" si="36"/>
        <v>1420.4545454545453</v>
      </c>
      <c r="AP18" s="38">
        <f t="shared" ref="AP18:AY20" si="37">(AP$3&gt;=$E18)*$G18*$F18*AP$33</f>
        <v>1463.0681818181818</v>
      </c>
      <c r="AQ18" s="38">
        <f t="shared" si="37"/>
        <v>1463.0681818181818</v>
      </c>
      <c r="AR18" s="38">
        <f t="shared" si="37"/>
        <v>1463.0681818181818</v>
      </c>
      <c r="AS18" s="38">
        <f t="shared" si="37"/>
        <v>1463.0681818181818</v>
      </c>
      <c r="AT18" s="38">
        <f t="shared" si="37"/>
        <v>1463.0681818181818</v>
      </c>
      <c r="AU18" s="38">
        <f t="shared" si="37"/>
        <v>1463.0681818181818</v>
      </c>
      <c r="AV18" s="38">
        <f t="shared" si="37"/>
        <v>1463.0681818181818</v>
      </c>
      <c r="AW18" s="38">
        <f t="shared" si="37"/>
        <v>1463.0681818181818</v>
      </c>
      <c r="AX18" s="38">
        <f t="shared" si="37"/>
        <v>1463.0681818181818</v>
      </c>
      <c r="AY18" s="38">
        <f t="shared" si="37"/>
        <v>1463.0681818181818</v>
      </c>
      <c r="AZ18" s="38">
        <f t="shared" ref="AZ18:BI20" si="38">(AZ$3&gt;=$E18)*$G18*$F18*AZ$33</f>
        <v>1463.0681818181818</v>
      </c>
      <c r="BA18" s="38">
        <f t="shared" si="38"/>
        <v>1463.0681818181818</v>
      </c>
      <c r="BB18" s="38">
        <f t="shared" si="38"/>
        <v>1506.960227272727</v>
      </c>
      <c r="BC18" s="38">
        <f t="shared" si="38"/>
        <v>1506.960227272727</v>
      </c>
      <c r="BD18" s="38">
        <f t="shared" si="38"/>
        <v>1506.960227272727</v>
      </c>
      <c r="BE18" s="38">
        <f t="shared" si="38"/>
        <v>1506.960227272727</v>
      </c>
      <c r="BF18" s="38">
        <f t="shared" si="38"/>
        <v>1506.960227272727</v>
      </c>
      <c r="BG18" s="38">
        <f t="shared" si="38"/>
        <v>1506.960227272727</v>
      </c>
      <c r="BH18" s="38">
        <f t="shared" si="38"/>
        <v>1506.960227272727</v>
      </c>
      <c r="BI18" s="38">
        <f t="shared" si="38"/>
        <v>1506.960227272727</v>
      </c>
      <c r="BJ18" s="38">
        <f t="shared" ref="BJ18:BS20" si="39">(BJ$3&gt;=$E18)*$G18*$F18*BJ$33</f>
        <v>1506.960227272727</v>
      </c>
      <c r="BK18" s="38">
        <f t="shared" si="39"/>
        <v>1506.960227272727</v>
      </c>
      <c r="BL18" s="38">
        <f t="shared" si="39"/>
        <v>1506.960227272727</v>
      </c>
      <c r="BM18" s="38">
        <f t="shared" si="39"/>
        <v>1506.960227272727</v>
      </c>
      <c r="BN18" s="38">
        <f t="shared" si="39"/>
        <v>1552.1690340909088</v>
      </c>
      <c r="BO18" s="38">
        <f t="shared" si="39"/>
        <v>1552.1690340909088</v>
      </c>
      <c r="BP18" s="38">
        <f t="shared" si="39"/>
        <v>1552.1690340909088</v>
      </c>
      <c r="BQ18" s="38">
        <f t="shared" si="39"/>
        <v>1552.1690340909088</v>
      </c>
      <c r="BR18" s="38">
        <f t="shared" si="39"/>
        <v>1552.1690340909088</v>
      </c>
      <c r="BS18" s="38">
        <f t="shared" si="39"/>
        <v>1552.1690340909088</v>
      </c>
      <c r="BT18" s="38">
        <f t="shared" ref="BT18:CC20" si="40">(BT$3&gt;=$E18)*$G18*$F18*BT$33</f>
        <v>1552.1690340909088</v>
      </c>
      <c r="BU18" s="38">
        <f t="shared" si="40"/>
        <v>1552.1690340909088</v>
      </c>
      <c r="BV18" s="38">
        <f t="shared" si="40"/>
        <v>1552.1690340909088</v>
      </c>
      <c r="BW18" s="38">
        <f t="shared" si="40"/>
        <v>1552.1690340909088</v>
      </c>
      <c r="BX18" s="38">
        <f t="shared" si="40"/>
        <v>1552.1690340909088</v>
      </c>
      <c r="BY18" s="38">
        <f t="shared" si="40"/>
        <v>1552.1690340909088</v>
      </c>
      <c r="BZ18" s="38">
        <f t="shared" si="40"/>
        <v>1598.7341051136361</v>
      </c>
      <c r="CA18" s="38">
        <f t="shared" si="40"/>
        <v>1598.7341051136361</v>
      </c>
      <c r="CB18" s="38">
        <f t="shared" si="40"/>
        <v>1598.7341051136361</v>
      </c>
      <c r="CC18" s="38">
        <f t="shared" si="40"/>
        <v>1598.7341051136361</v>
      </c>
      <c r="CD18" s="38">
        <f t="shared" ref="CD18:CM20" si="41">(CD$3&gt;=$E18)*$G18*$F18*CD$33</f>
        <v>1598.7341051136361</v>
      </c>
      <c r="CE18" s="38">
        <f t="shared" si="41"/>
        <v>1598.7341051136361</v>
      </c>
      <c r="CF18" s="38">
        <f t="shared" si="41"/>
        <v>1598.7341051136361</v>
      </c>
      <c r="CG18" s="38">
        <f t="shared" si="41"/>
        <v>1598.7341051136361</v>
      </c>
      <c r="CH18" s="38">
        <f t="shared" si="41"/>
        <v>1598.7341051136361</v>
      </c>
      <c r="CI18" s="38">
        <f t="shared" si="41"/>
        <v>1598.7341051136361</v>
      </c>
      <c r="CJ18" s="38">
        <f t="shared" si="41"/>
        <v>1598.7341051136361</v>
      </c>
      <c r="CK18" s="38">
        <f t="shared" si="41"/>
        <v>1598.7341051136361</v>
      </c>
      <c r="CL18" s="38">
        <f t="shared" si="41"/>
        <v>1646.696128267045</v>
      </c>
      <c r="CM18" s="38">
        <f t="shared" si="41"/>
        <v>1646.696128267045</v>
      </c>
      <c r="CN18" s="38">
        <f t="shared" ref="CN18:CW20" si="42">(CN$3&gt;=$E18)*$G18*$F18*CN$33</f>
        <v>1646.696128267045</v>
      </c>
      <c r="CO18" s="38">
        <f t="shared" si="42"/>
        <v>1646.696128267045</v>
      </c>
      <c r="CP18" s="38">
        <f t="shared" si="42"/>
        <v>1646.696128267045</v>
      </c>
      <c r="CQ18" s="38">
        <f t="shared" si="42"/>
        <v>1646.696128267045</v>
      </c>
      <c r="CR18" s="38">
        <f t="shared" si="42"/>
        <v>1646.696128267045</v>
      </c>
      <c r="CS18" s="38">
        <f t="shared" si="42"/>
        <v>1646.696128267045</v>
      </c>
      <c r="CT18" s="38">
        <f t="shared" si="42"/>
        <v>1646.696128267045</v>
      </c>
      <c r="CU18" s="38">
        <f t="shared" si="42"/>
        <v>1646.696128267045</v>
      </c>
      <c r="CV18" s="38">
        <f t="shared" si="42"/>
        <v>1646.696128267045</v>
      </c>
      <c r="CW18" s="38">
        <f t="shared" si="42"/>
        <v>1646.696128267045</v>
      </c>
      <c r="CX18" s="38">
        <f t="shared" ref="CX18:DG20" si="43">(CX$3&gt;=$E18)*$G18*$F18*CX$33</f>
        <v>1696.0970121150563</v>
      </c>
      <c r="CY18" s="38">
        <f t="shared" si="43"/>
        <v>1696.0970121150563</v>
      </c>
      <c r="CZ18" s="38">
        <f t="shared" si="43"/>
        <v>1696.0970121150563</v>
      </c>
      <c r="DA18" s="38">
        <f t="shared" si="43"/>
        <v>1696.0970121150563</v>
      </c>
      <c r="DB18" s="38">
        <f t="shared" si="43"/>
        <v>1696.0970121150563</v>
      </c>
      <c r="DC18" s="38">
        <f t="shared" si="43"/>
        <v>1696.0970121150563</v>
      </c>
      <c r="DD18" s="38">
        <f t="shared" si="43"/>
        <v>1696.0970121150563</v>
      </c>
      <c r="DE18" s="38">
        <f t="shared" si="43"/>
        <v>1696.0970121150563</v>
      </c>
      <c r="DF18" s="38">
        <f t="shared" si="43"/>
        <v>1696.0970121150563</v>
      </c>
      <c r="DG18" s="38">
        <f t="shared" si="43"/>
        <v>1696.0970121150563</v>
      </c>
      <c r="DH18" s="38">
        <f t="shared" ref="DH18:DQ20" si="44">(DH$3&gt;=$E18)*$G18*$F18*DH$33</f>
        <v>1696.0970121150563</v>
      </c>
      <c r="DI18" s="38">
        <f t="shared" si="44"/>
        <v>1696.0970121150563</v>
      </c>
      <c r="DJ18" s="38">
        <f t="shared" si="44"/>
        <v>1746.9799224785083</v>
      </c>
      <c r="DK18" s="38">
        <f t="shared" si="44"/>
        <v>1746.9799224785083</v>
      </c>
      <c r="DL18" s="38">
        <f t="shared" si="44"/>
        <v>1746.9799224785083</v>
      </c>
      <c r="DM18" s="38">
        <f t="shared" si="44"/>
        <v>1746.9799224785083</v>
      </c>
      <c r="DN18" s="38">
        <f t="shared" si="44"/>
        <v>1746.9799224785083</v>
      </c>
      <c r="DO18" s="38">
        <f t="shared" si="44"/>
        <v>1746.9799224785083</v>
      </c>
      <c r="DP18" s="38">
        <f t="shared" si="44"/>
        <v>1746.9799224785083</v>
      </c>
      <c r="DQ18" s="38">
        <f t="shared" si="44"/>
        <v>1746.9799224785083</v>
      </c>
      <c r="DR18" s="38">
        <f t="shared" ref="DR18:EA20" si="45">(DR$3&gt;=$E18)*$G18*$F18*DR$33</f>
        <v>1746.9799224785083</v>
      </c>
      <c r="DS18" s="38">
        <f t="shared" si="45"/>
        <v>1746.9799224785083</v>
      </c>
      <c r="DT18" s="38">
        <f t="shared" si="45"/>
        <v>1746.9799224785083</v>
      </c>
      <c r="DU18" s="38">
        <f t="shared" si="45"/>
        <v>1746.9799224785083</v>
      </c>
      <c r="DV18" s="38">
        <f t="shared" si="45"/>
        <v>1799.3893201528633</v>
      </c>
      <c r="DW18" s="38">
        <f t="shared" si="45"/>
        <v>1799.3893201528633</v>
      </c>
      <c r="DX18" s="38">
        <f t="shared" si="45"/>
        <v>1799.3893201528633</v>
      </c>
      <c r="DY18" s="38">
        <f t="shared" si="45"/>
        <v>1799.3893201528633</v>
      </c>
      <c r="DZ18" s="38">
        <f t="shared" si="45"/>
        <v>1799.3893201528633</v>
      </c>
      <c r="EA18" s="38">
        <f t="shared" si="45"/>
        <v>1799.3893201528633</v>
      </c>
      <c r="EB18" s="38">
        <f t="shared" ref="EB18:EM20" si="46">(EB$3&gt;=$E18)*$G18*$F18*EB$33</f>
        <v>1799.3893201528633</v>
      </c>
      <c r="EC18" s="38">
        <f t="shared" si="46"/>
        <v>1799.3893201528633</v>
      </c>
      <c r="ED18" s="38">
        <f t="shared" si="46"/>
        <v>1799.3893201528633</v>
      </c>
      <c r="EE18" s="38">
        <f t="shared" si="46"/>
        <v>1799.3893201528633</v>
      </c>
      <c r="EF18" s="38">
        <f t="shared" si="46"/>
        <v>1799.3893201528633</v>
      </c>
      <c r="EG18" s="38">
        <f t="shared" si="46"/>
        <v>1799.3893201528633</v>
      </c>
      <c r="EH18" s="38">
        <f t="shared" si="46"/>
        <v>1853.3709997574492</v>
      </c>
      <c r="EI18" s="38">
        <f t="shared" si="46"/>
        <v>1853.3709997574492</v>
      </c>
      <c r="EJ18" s="38">
        <f t="shared" si="46"/>
        <v>1853.3709997574492</v>
      </c>
      <c r="EK18" s="38">
        <f t="shared" si="46"/>
        <v>1853.3709997574492</v>
      </c>
      <c r="EL18" s="38">
        <f t="shared" si="46"/>
        <v>1853.3709997574492</v>
      </c>
      <c r="EM18" s="38">
        <f t="shared" si="46"/>
        <v>1853.3709997574492</v>
      </c>
      <c r="EO18" s="201"/>
      <c r="EP18" s="201"/>
      <c r="EQ18" s="201"/>
      <c r="ER18" s="201"/>
      <c r="ES18" s="201"/>
      <c r="ET18" s="201"/>
      <c r="EU18" s="201"/>
      <c r="EV18" s="201"/>
      <c r="EW18" s="201"/>
      <c r="EX18" s="201"/>
      <c r="EY18" s="201"/>
      <c r="EZ18" s="201"/>
      <c r="FA18" s="201"/>
      <c r="FB18" s="201"/>
      <c r="FC18" s="201"/>
      <c r="FD18" s="201"/>
      <c r="FE18" s="201"/>
      <c r="FF18" s="201"/>
      <c r="FG18" s="201"/>
      <c r="FH18" s="201"/>
      <c r="FI18" s="201"/>
      <c r="FJ18" s="201"/>
      <c r="FK18" s="201"/>
      <c r="FL18" s="201"/>
      <c r="FM18" s="201"/>
      <c r="FN18" s="201"/>
      <c r="FO18" s="201"/>
      <c r="FP18" s="201"/>
      <c r="FQ18" s="201"/>
      <c r="FR18" s="201"/>
      <c r="FS18" s="201"/>
      <c r="FT18" s="201"/>
      <c r="FU18" s="201"/>
      <c r="FV18" s="201"/>
      <c r="FW18" s="201"/>
      <c r="FX18" s="201"/>
      <c r="FY18" s="201"/>
      <c r="FZ18" s="201"/>
      <c r="GA18" s="201"/>
      <c r="GB18" s="201"/>
      <c r="GC18" s="201"/>
      <c r="GD18" s="201"/>
      <c r="GE18" s="201"/>
      <c r="GF18" s="201"/>
      <c r="GG18" s="201"/>
      <c r="GH18" s="201"/>
      <c r="GI18" s="201"/>
      <c r="GJ18" s="201"/>
      <c r="GK18" s="201"/>
      <c r="GL18" s="201"/>
      <c r="GM18" s="201"/>
      <c r="GN18" s="201"/>
      <c r="GO18" s="201"/>
      <c r="GP18" s="201"/>
      <c r="GQ18" s="201"/>
      <c r="GR18" s="201"/>
      <c r="GS18" s="201"/>
      <c r="GT18" s="201"/>
      <c r="GU18" s="201"/>
      <c r="GV18" s="201"/>
      <c r="GW18" s="201"/>
      <c r="GX18" s="201"/>
      <c r="GY18" s="201"/>
      <c r="GZ18" s="201"/>
      <c r="HA18" s="201"/>
      <c r="HB18" s="201"/>
      <c r="HC18" s="201"/>
      <c r="HD18" s="201"/>
      <c r="HE18" s="201"/>
      <c r="HF18" s="201"/>
      <c r="HG18" s="201"/>
      <c r="HH18" s="201"/>
      <c r="HI18" s="201"/>
      <c r="HJ18" s="201"/>
      <c r="HK18" s="201"/>
      <c r="HL18" s="201"/>
      <c r="HM18" s="201"/>
      <c r="HN18" s="201"/>
      <c r="HO18" s="201"/>
      <c r="HP18" s="201"/>
      <c r="HQ18" s="201"/>
      <c r="HR18" s="201"/>
      <c r="HS18" s="201"/>
      <c r="HT18" s="201"/>
      <c r="HU18" s="201"/>
      <c r="HV18" s="201"/>
      <c r="HW18" s="201"/>
      <c r="HX18" s="201"/>
      <c r="HY18" s="201"/>
      <c r="HZ18" s="201"/>
      <c r="IA18" s="201"/>
      <c r="IB18" s="201"/>
      <c r="IC18" s="201"/>
      <c r="ID18" s="201"/>
      <c r="IE18" s="201"/>
      <c r="IF18" s="201"/>
      <c r="IG18" s="201"/>
      <c r="IH18" s="201"/>
      <c r="II18" s="201"/>
      <c r="IJ18" s="201"/>
      <c r="IK18" s="201"/>
      <c r="IL18" s="201"/>
      <c r="IM18" s="201"/>
      <c r="IN18" s="201"/>
      <c r="IO18" s="201"/>
      <c r="IP18" s="201"/>
      <c r="IQ18" s="201"/>
      <c r="IR18" s="201"/>
      <c r="IS18" s="201"/>
      <c r="IT18" s="201"/>
      <c r="IU18" s="201"/>
      <c r="IV18" s="201"/>
      <c r="IW18" s="201"/>
      <c r="IX18" s="201"/>
      <c r="IY18" s="201"/>
      <c r="IZ18" s="201"/>
      <c r="JA18" s="201"/>
      <c r="JB18" s="201"/>
      <c r="JC18" s="201"/>
      <c r="JD18" s="201"/>
      <c r="JE18" s="201"/>
      <c r="JF18" s="201"/>
      <c r="JG18" s="201"/>
      <c r="JH18" s="201"/>
      <c r="JI18" s="201"/>
      <c r="JJ18" s="201"/>
      <c r="JK18" s="201"/>
      <c r="JL18" s="201"/>
      <c r="JM18" s="201"/>
      <c r="JN18" s="201"/>
      <c r="JO18" s="201"/>
      <c r="JP18" s="201"/>
      <c r="JQ18" s="201"/>
      <c r="JR18" s="201"/>
      <c r="JS18" s="201"/>
      <c r="JT18" s="201"/>
      <c r="JU18" s="201"/>
      <c r="JV18" s="201"/>
      <c r="JW18" s="201"/>
    </row>
    <row r="19" spans="1:283" x14ac:dyDescent="0.2">
      <c r="B19" s="262" t="str">
        <f>C13</f>
        <v>JoJo's Café</v>
      </c>
      <c r="C19" s="102"/>
      <c r="D19" s="102"/>
      <c r="E19" s="132">
        <f>D13</f>
        <v>22</v>
      </c>
      <c r="F19" s="173">
        <v>1</v>
      </c>
      <c r="G19" s="149">
        <f>E13/Units_Retail</f>
        <v>0.30434782608695654</v>
      </c>
      <c r="H19" s="431">
        <f>IFERROR(I19/E13,0)</f>
        <v>11.363636363636363</v>
      </c>
      <c r="I19" s="434">
        <f>F19*G19*$I$33</f>
        <v>19886.363636363636</v>
      </c>
      <c r="K19" s="38"/>
      <c r="L19" s="38">
        <f t="shared" si="34"/>
        <v>0</v>
      </c>
      <c r="M19" s="38">
        <f t="shared" si="34"/>
        <v>0</v>
      </c>
      <c r="N19" s="38">
        <f t="shared" si="34"/>
        <v>0</v>
      </c>
      <c r="O19" s="38">
        <f t="shared" si="34"/>
        <v>0</v>
      </c>
      <c r="P19" s="38">
        <f t="shared" si="34"/>
        <v>0</v>
      </c>
      <c r="Q19" s="38">
        <f t="shared" si="34"/>
        <v>0</v>
      </c>
      <c r="R19" s="38">
        <f t="shared" si="34"/>
        <v>0</v>
      </c>
      <c r="S19" s="38">
        <f t="shared" si="34"/>
        <v>0</v>
      </c>
      <c r="T19" s="38">
        <f t="shared" si="34"/>
        <v>0</v>
      </c>
      <c r="U19" s="38">
        <f t="shared" si="34"/>
        <v>0</v>
      </c>
      <c r="V19" s="38">
        <f t="shared" si="35"/>
        <v>0</v>
      </c>
      <c r="W19" s="38">
        <f t="shared" si="35"/>
        <v>0</v>
      </c>
      <c r="X19" s="38">
        <f t="shared" si="35"/>
        <v>0</v>
      </c>
      <c r="Y19" s="38">
        <f t="shared" si="35"/>
        <v>0</v>
      </c>
      <c r="Z19" s="38">
        <f t="shared" si="35"/>
        <v>0</v>
      </c>
      <c r="AA19" s="38">
        <f t="shared" si="35"/>
        <v>0</v>
      </c>
      <c r="AB19" s="38">
        <f t="shared" si="35"/>
        <v>0</v>
      </c>
      <c r="AC19" s="38">
        <f t="shared" si="35"/>
        <v>0</v>
      </c>
      <c r="AD19" s="38">
        <f t="shared" si="35"/>
        <v>0</v>
      </c>
      <c r="AE19" s="38">
        <f t="shared" si="35"/>
        <v>0</v>
      </c>
      <c r="AF19" s="38">
        <f t="shared" si="36"/>
        <v>0</v>
      </c>
      <c r="AG19" s="38">
        <f t="shared" si="36"/>
        <v>936.67654808959139</v>
      </c>
      <c r="AH19" s="38">
        <f t="shared" si="36"/>
        <v>936.67654808959139</v>
      </c>
      <c r="AI19" s="38">
        <f t="shared" si="36"/>
        <v>936.67654808959139</v>
      </c>
      <c r="AJ19" s="38">
        <f t="shared" si="36"/>
        <v>1657.1969696969697</v>
      </c>
      <c r="AK19" s="38">
        <f t="shared" si="36"/>
        <v>1657.1969696969697</v>
      </c>
      <c r="AL19" s="38">
        <f t="shared" si="36"/>
        <v>1657.1969696969697</v>
      </c>
      <c r="AM19" s="38">
        <f t="shared" si="36"/>
        <v>1657.1969696969697</v>
      </c>
      <c r="AN19" s="38">
        <f t="shared" si="36"/>
        <v>1657.1969696969697</v>
      </c>
      <c r="AO19" s="38">
        <f t="shared" si="36"/>
        <v>1657.1969696969697</v>
      </c>
      <c r="AP19" s="38">
        <f t="shared" si="37"/>
        <v>1706.9128787878788</v>
      </c>
      <c r="AQ19" s="38">
        <f t="shared" si="37"/>
        <v>1706.9128787878788</v>
      </c>
      <c r="AR19" s="38">
        <f t="shared" si="37"/>
        <v>1706.9128787878788</v>
      </c>
      <c r="AS19" s="38">
        <f t="shared" si="37"/>
        <v>1706.9128787878788</v>
      </c>
      <c r="AT19" s="38">
        <f t="shared" si="37"/>
        <v>1706.9128787878788</v>
      </c>
      <c r="AU19" s="38">
        <f t="shared" si="37"/>
        <v>1706.9128787878788</v>
      </c>
      <c r="AV19" s="38">
        <f t="shared" si="37"/>
        <v>1706.9128787878788</v>
      </c>
      <c r="AW19" s="38">
        <f t="shared" si="37"/>
        <v>1706.9128787878788</v>
      </c>
      <c r="AX19" s="38">
        <f t="shared" si="37"/>
        <v>1706.9128787878788</v>
      </c>
      <c r="AY19" s="38">
        <f t="shared" si="37"/>
        <v>1706.9128787878788</v>
      </c>
      <c r="AZ19" s="38">
        <f t="shared" si="38"/>
        <v>1706.9128787878788</v>
      </c>
      <c r="BA19" s="38">
        <f t="shared" si="38"/>
        <v>1706.9128787878788</v>
      </c>
      <c r="BB19" s="38">
        <f t="shared" si="38"/>
        <v>1758.120265151515</v>
      </c>
      <c r="BC19" s="38">
        <f t="shared" si="38"/>
        <v>1758.120265151515</v>
      </c>
      <c r="BD19" s="38">
        <f t="shared" si="38"/>
        <v>1758.120265151515</v>
      </c>
      <c r="BE19" s="38">
        <f t="shared" si="38"/>
        <v>1758.120265151515</v>
      </c>
      <c r="BF19" s="38">
        <f t="shared" si="38"/>
        <v>1758.120265151515</v>
      </c>
      <c r="BG19" s="38">
        <f t="shared" si="38"/>
        <v>1758.120265151515</v>
      </c>
      <c r="BH19" s="38">
        <f t="shared" si="38"/>
        <v>1758.120265151515</v>
      </c>
      <c r="BI19" s="38">
        <f t="shared" si="38"/>
        <v>1758.120265151515</v>
      </c>
      <c r="BJ19" s="38">
        <f t="shared" si="39"/>
        <v>1758.120265151515</v>
      </c>
      <c r="BK19" s="38">
        <f t="shared" si="39"/>
        <v>1758.120265151515</v>
      </c>
      <c r="BL19" s="38">
        <f t="shared" si="39"/>
        <v>1758.120265151515</v>
      </c>
      <c r="BM19" s="38">
        <f t="shared" si="39"/>
        <v>1758.120265151515</v>
      </c>
      <c r="BN19" s="38">
        <f t="shared" si="39"/>
        <v>1810.8638731060605</v>
      </c>
      <c r="BO19" s="38">
        <f t="shared" si="39"/>
        <v>1810.8638731060605</v>
      </c>
      <c r="BP19" s="38">
        <f t="shared" si="39"/>
        <v>1810.8638731060605</v>
      </c>
      <c r="BQ19" s="38">
        <f t="shared" si="39"/>
        <v>1810.8638731060605</v>
      </c>
      <c r="BR19" s="38">
        <f t="shared" si="39"/>
        <v>1810.8638731060605</v>
      </c>
      <c r="BS19" s="38">
        <f t="shared" si="39"/>
        <v>1810.8638731060605</v>
      </c>
      <c r="BT19" s="38">
        <f t="shared" si="40"/>
        <v>1810.8638731060605</v>
      </c>
      <c r="BU19" s="38">
        <f t="shared" si="40"/>
        <v>1810.8638731060605</v>
      </c>
      <c r="BV19" s="38">
        <f t="shared" si="40"/>
        <v>1810.8638731060605</v>
      </c>
      <c r="BW19" s="38">
        <f t="shared" si="40"/>
        <v>1810.8638731060605</v>
      </c>
      <c r="BX19" s="38">
        <f t="shared" si="40"/>
        <v>1810.8638731060605</v>
      </c>
      <c r="BY19" s="38">
        <f t="shared" si="40"/>
        <v>1810.8638731060605</v>
      </c>
      <c r="BZ19" s="38">
        <f t="shared" si="40"/>
        <v>1865.1897892992424</v>
      </c>
      <c r="CA19" s="38">
        <f t="shared" si="40"/>
        <v>1865.1897892992424</v>
      </c>
      <c r="CB19" s="38">
        <f t="shared" si="40"/>
        <v>1865.1897892992424</v>
      </c>
      <c r="CC19" s="38">
        <f t="shared" si="40"/>
        <v>1865.1897892992424</v>
      </c>
      <c r="CD19" s="38">
        <f t="shared" si="41"/>
        <v>1865.1897892992424</v>
      </c>
      <c r="CE19" s="38">
        <f t="shared" si="41"/>
        <v>1865.1897892992424</v>
      </c>
      <c r="CF19" s="38">
        <f t="shared" si="41"/>
        <v>1865.1897892992424</v>
      </c>
      <c r="CG19" s="38">
        <f t="shared" si="41"/>
        <v>1865.1897892992424</v>
      </c>
      <c r="CH19" s="38">
        <f t="shared" si="41"/>
        <v>1865.1897892992424</v>
      </c>
      <c r="CI19" s="38">
        <f t="shared" si="41"/>
        <v>1865.1897892992424</v>
      </c>
      <c r="CJ19" s="38">
        <f t="shared" si="41"/>
        <v>1865.1897892992424</v>
      </c>
      <c r="CK19" s="38">
        <f t="shared" si="41"/>
        <v>1865.1897892992424</v>
      </c>
      <c r="CL19" s="38">
        <f t="shared" si="41"/>
        <v>1921.1454829782192</v>
      </c>
      <c r="CM19" s="38">
        <f t="shared" si="41"/>
        <v>1921.1454829782192</v>
      </c>
      <c r="CN19" s="38">
        <f t="shared" si="42"/>
        <v>1921.1454829782192</v>
      </c>
      <c r="CO19" s="38">
        <f t="shared" si="42"/>
        <v>1921.1454829782192</v>
      </c>
      <c r="CP19" s="38">
        <f t="shared" si="42"/>
        <v>1921.1454829782192</v>
      </c>
      <c r="CQ19" s="38">
        <f t="shared" si="42"/>
        <v>1921.1454829782192</v>
      </c>
      <c r="CR19" s="38">
        <f t="shared" si="42"/>
        <v>1921.1454829782192</v>
      </c>
      <c r="CS19" s="38">
        <f t="shared" si="42"/>
        <v>1921.1454829782192</v>
      </c>
      <c r="CT19" s="38">
        <f t="shared" si="42"/>
        <v>1921.1454829782192</v>
      </c>
      <c r="CU19" s="38">
        <f t="shared" si="42"/>
        <v>1921.1454829782192</v>
      </c>
      <c r="CV19" s="38">
        <f t="shared" si="42"/>
        <v>1921.1454829782192</v>
      </c>
      <c r="CW19" s="38">
        <f t="shared" si="42"/>
        <v>1921.1454829782192</v>
      </c>
      <c r="CX19" s="38">
        <f t="shared" si="43"/>
        <v>1978.779847467566</v>
      </c>
      <c r="CY19" s="38">
        <f t="shared" si="43"/>
        <v>1978.779847467566</v>
      </c>
      <c r="CZ19" s="38">
        <f t="shared" si="43"/>
        <v>1978.779847467566</v>
      </c>
      <c r="DA19" s="38">
        <f t="shared" si="43"/>
        <v>1978.779847467566</v>
      </c>
      <c r="DB19" s="38">
        <f t="shared" si="43"/>
        <v>1978.779847467566</v>
      </c>
      <c r="DC19" s="38">
        <f t="shared" si="43"/>
        <v>1978.779847467566</v>
      </c>
      <c r="DD19" s="38">
        <f t="shared" si="43"/>
        <v>1978.779847467566</v>
      </c>
      <c r="DE19" s="38">
        <f t="shared" si="43"/>
        <v>1978.779847467566</v>
      </c>
      <c r="DF19" s="38">
        <f t="shared" si="43"/>
        <v>1978.779847467566</v>
      </c>
      <c r="DG19" s="38">
        <f t="shared" si="43"/>
        <v>1978.779847467566</v>
      </c>
      <c r="DH19" s="38">
        <f t="shared" si="44"/>
        <v>1978.779847467566</v>
      </c>
      <c r="DI19" s="38">
        <f t="shared" si="44"/>
        <v>1978.779847467566</v>
      </c>
      <c r="DJ19" s="38">
        <f t="shared" si="44"/>
        <v>2038.1432428915932</v>
      </c>
      <c r="DK19" s="38">
        <f t="shared" si="44"/>
        <v>2038.1432428915932</v>
      </c>
      <c r="DL19" s="38">
        <f t="shared" si="44"/>
        <v>2038.1432428915932</v>
      </c>
      <c r="DM19" s="38">
        <f t="shared" si="44"/>
        <v>2038.1432428915932</v>
      </c>
      <c r="DN19" s="38">
        <f t="shared" si="44"/>
        <v>2038.1432428915932</v>
      </c>
      <c r="DO19" s="38">
        <f t="shared" si="44"/>
        <v>2038.1432428915932</v>
      </c>
      <c r="DP19" s="38">
        <f t="shared" si="44"/>
        <v>2038.1432428915932</v>
      </c>
      <c r="DQ19" s="38">
        <f t="shared" si="44"/>
        <v>2038.1432428915932</v>
      </c>
      <c r="DR19" s="38">
        <f t="shared" si="45"/>
        <v>2038.1432428915932</v>
      </c>
      <c r="DS19" s="38">
        <f t="shared" si="45"/>
        <v>2038.1432428915932</v>
      </c>
      <c r="DT19" s="38">
        <f t="shared" si="45"/>
        <v>2038.1432428915932</v>
      </c>
      <c r="DU19" s="38">
        <f t="shared" si="45"/>
        <v>2038.1432428915932</v>
      </c>
      <c r="DV19" s="38">
        <f t="shared" si="45"/>
        <v>2099.2875401783408</v>
      </c>
      <c r="DW19" s="38">
        <f t="shared" si="45"/>
        <v>2099.2875401783408</v>
      </c>
      <c r="DX19" s="38">
        <f t="shared" si="45"/>
        <v>2099.2875401783408</v>
      </c>
      <c r="DY19" s="38">
        <f t="shared" si="45"/>
        <v>2099.2875401783408</v>
      </c>
      <c r="DZ19" s="38">
        <f t="shared" si="45"/>
        <v>2099.2875401783408</v>
      </c>
      <c r="EA19" s="38">
        <f t="shared" si="45"/>
        <v>2099.2875401783408</v>
      </c>
      <c r="EB19" s="38">
        <f t="shared" si="46"/>
        <v>2099.2875401783408</v>
      </c>
      <c r="EC19" s="38">
        <f t="shared" si="46"/>
        <v>2099.2875401783408</v>
      </c>
      <c r="ED19" s="38">
        <f t="shared" si="46"/>
        <v>2099.2875401783408</v>
      </c>
      <c r="EE19" s="38">
        <f t="shared" si="46"/>
        <v>2099.2875401783408</v>
      </c>
      <c r="EF19" s="38">
        <f t="shared" si="46"/>
        <v>2099.2875401783408</v>
      </c>
      <c r="EG19" s="38">
        <f t="shared" si="46"/>
        <v>2099.2875401783408</v>
      </c>
      <c r="EH19" s="38">
        <f t="shared" si="46"/>
        <v>2162.2661663836911</v>
      </c>
      <c r="EI19" s="38">
        <f t="shared" si="46"/>
        <v>2162.2661663836911</v>
      </c>
      <c r="EJ19" s="38">
        <f t="shared" si="46"/>
        <v>2162.2661663836911</v>
      </c>
      <c r="EK19" s="38">
        <f t="shared" si="46"/>
        <v>2162.2661663836911</v>
      </c>
      <c r="EL19" s="38">
        <f t="shared" si="46"/>
        <v>2162.2661663836911</v>
      </c>
      <c r="EM19" s="38">
        <f t="shared" si="46"/>
        <v>2162.2661663836911</v>
      </c>
      <c r="EO19" s="201"/>
      <c r="EP19" s="201"/>
      <c r="EQ19" s="201"/>
      <c r="ER19" s="201"/>
      <c r="ES19" s="201"/>
      <c r="ET19" s="201"/>
      <c r="EU19" s="201"/>
      <c r="EV19" s="201"/>
      <c r="EW19" s="201"/>
      <c r="EX19" s="201"/>
      <c r="EY19" s="201"/>
      <c r="EZ19" s="201"/>
      <c r="FA19" s="201"/>
      <c r="FB19" s="201"/>
      <c r="FC19" s="201"/>
      <c r="FD19" s="201"/>
      <c r="FE19" s="201"/>
      <c r="FF19" s="201"/>
      <c r="FG19" s="201"/>
      <c r="FH19" s="201"/>
      <c r="FI19" s="201"/>
      <c r="FJ19" s="201"/>
      <c r="FK19" s="201"/>
      <c r="FL19" s="201"/>
      <c r="FM19" s="201"/>
      <c r="FN19" s="201"/>
      <c r="FO19" s="201"/>
      <c r="FP19" s="201"/>
      <c r="FQ19" s="201"/>
      <c r="FR19" s="201"/>
      <c r="FS19" s="201"/>
      <c r="FT19" s="201"/>
      <c r="FU19" s="201"/>
      <c r="FV19" s="201"/>
      <c r="FW19" s="201"/>
      <c r="FX19" s="201"/>
      <c r="FY19" s="201"/>
      <c r="FZ19" s="201"/>
      <c r="GA19" s="201"/>
      <c r="GB19" s="201"/>
      <c r="GC19" s="201"/>
      <c r="GD19" s="201"/>
      <c r="GE19" s="201"/>
      <c r="GF19" s="201"/>
      <c r="GG19" s="201"/>
      <c r="GH19" s="201"/>
      <c r="GI19" s="201"/>
      <c r="GJ19" s="201"/>
      <c r="GK19" s="201"/>
      <c r="GL19" s="201"/>
      <c r="GM19" s="201"/>
      <c r="GN19" s="201"/>
      <c r="GO19" s="201"/>
      <c r="GP19" s="201"/>
      <c r="GQ19" s="201"/>
      <c r="GR19" s="201"/>
      <c r="GS19" s="201"/>
      <c r="GT19" s="201"/>
      <c r="GU19" s="201"/>
      <c r="GV19" s="201"/>
      <c r="GW19" s="201"/>
      <c r="GX19" s="201"/>
      <c r="GY19" s="201"/>
      <c r="GZ19" s="201"/>
      <c r="HA19" s="201"/>
      <c r="HB19" s="201"/>
      <c r="HC19" s="201"/>
      <c r="HD19" s="201"/>
      <c r="HE19" s="201"/>
      <c r="HF19" s="201"/>
      <c r="HG19" s="201"/>
      <c r="HH19" s="201"/>
      <c r="HI19" s="201"/>
      <c r="HJ19" s="201"/>
      <c r="HK19" s="201"/>
      <c r="HL19" s="201"/>
      <c r="HM19" s="201"/>
      <c r="HN19" s="201"/>
      <c r="HO19" s="201"/>
      <c r="HP19" s="201"/>
      <c r="HQ19" s="201"/>
      <c r="HR19" s="201"/>
      <c r="HS19" s="201"/>
      <c r="HT19" s="201"/>
      <c r="HU19" s="201"/>
      <c r="HV19" s="201"/>
      <c r="HW19" s="201"/>
      <c r="HX19" s="201"/>
      <c r="HY19" s="201"/>
      <c r="HZ19" s="201"/>
      <c r="IA19" s="201"/>
      <c r="IB19" s="201"/>
      <c r="IC19" s="201"/>
      <c r="ID19" s="201"/>
      <c r="IE19" s="201"/>
      <c r="IF19" s="201"/>
      <c r="IG19" s="201"/>
      <c r="IH19" s="201"/>
      <c r="II19" s="201"/>
      <c r="IJ19" s="201"/>
      <c r="IK19" s="201"/>
      <c r="IL19" s="201"/>
      <c r="IM19" s="201"/>
      <c r="IN19" s="201"/>
      <c r="IO19" s="201"/>
      <c r="IP19" s="201"/>
      <c r="IQ19" s="201"/>
      <c r="IR19" s="201"/>
      <c r="IS19" s="201"/>
      <c r="IT19" s="201"/>
      <c r="IU19" s="201"/>
      <c r="IV19" s="201"/>
      <c r="IW19" s="201"/>
      <c r="IX19" s="201"/>
      <c r="IY19" s="201"/>
      <c r="IZ19" s="201"/>
      <c r="JA19" s="201"/>
      <c r="JB19" s="201"/>
      <c r="JC19" s="201"/>
      <c r="JD19" s="201"/>
      <c r="JE19" s="201"/>
      <c r="JF19" s="201"/>
      <c r="JG19" s="201"/>
      <c r="JH19" s="201"/>
      <c r="JI19" s="201"/>
      <c r="JJ19" s="201"/>
      <c r="JK19" s="201"/>
      <c r="JL19" s="201"/>
      <c r="JM19" s="201"/>
      <c r="JN19" s="201"/>
      <c r="JO19" s="201"/>
      <c r="JP19" s="201"/>
      <c r="JQ19" s="201"/>
      <c r="JR19" s="201"/>
      <c r="JS19" s="201"/>
      <c r="JT19" s="201"/>
      <c r="JU19" s="201"/>
      <c r="JV19" s="201"/>
      <c r="JW19" s="201"/>
    </row>
    <row r="20" spans="1:283" ht="16.5" x14ac:dyDescent="0.35">
      <c r="B20" s="262" t="str">
        <f>C14</f>
        <v>Cuts 'N Stuff</v>
      </c>
      <c r="C20" s="124"/>
      <c r="D20" s="124"/>
      <c r="E20" s="426">
        <f>D14</f>
        <v>25</v>
      </c>
      <c r="F20" s="173">
        <v>1</v>
      </c>
      <c r="G20" s="149">
        <f>E14/Units_Retail</f>
        <v>0.43478260869565216</v>
      </c>
      <c r="H20" s="435">
        <f>IFERROR(I20/E14,0)</f>
        <v>11.363636363636363</v>
      </c>
      <c r="I20" s="436">
        <f>F20*G20*$I$33</f>
        <v>28409.090909090908</v>
      </c>
      <c r="K20" s="39"/>
      <c r="L20" s="39">
        <f t="shared" si="34"/>
        <v>0</v>
      </c>
      <c r="M20" s="39">
        <f t="shared" si="34"/>
        <v>0</v>
      </c>
      <c r="N20" s="39">
        <f t="shared" si="34"/>
        <v>0</v>
      </c>
      <c r="O20" s="39">
        <f t="shared" si="34"/>
        <v>0</v>
      </c>
      <c r="P20" s="39">
        <f t="shared" si="34"/>
        <v>0</v>
      </c>
      <c r="Q20" s="39">
        <f t="shared" si="34"/>
        <v>0</v>
      </c>
      <c r="R20" s="39">
        <f t="shared" si="34"/>
        <v>0</v>
      </c>
      <c r="S20" s="39">
        <f t="shared" si="34"/>
        <v>0</v>
      </c>
      <c r="T20" s="39">
        <f t="shared" si="34"/>
        <v>0</v>
      </c>
      <c r="U20" s="39">
        <f t="shared" si="34"/>
        <v>0</v>
      </c>
      <c r="V20" s="39">
        <f t="shared" si="35"/>
        <v>0</v>
      </c>
      <c r="W20" s="39">
        <f t="shared" si="35"/>
        <v>0</v>
      </c>
      <c r="X20" s="39">
        <f t="shared" si="35"/>
        <v>0</v>
      </c>
      <c r="Y20" s="39">
        <f t="shared" si="35"/>
        <v>0</v>
      </c>
      <c r="Z20" s="39">
        <f t="shared" si="35"/>
        <v>0</v>
      </c>
      <c r="AA20" s="39">
        <f t="shared" si="35"/>
        <v>0</v>
      </c>
      <c r="AB20" s="39">
        <f t="shared" si="35"/>
        <v>0</v>
      </c>
      <c r="AC20" s="39">
        <f t="shared" si="35"/>
        <v>0</v>
      </c>
      <c r="AD20" s="39">
        <f t="shared" si="35"/>
        <v>0</v>
      </c>
      <c r="AE20" s="39">
        <f t="shared" si="35"/>
        <v>0</v>
      </c>
      <c r="AF20" s="39">
        <f t="shared" si="36"/>
        <v>0</v>
      </c>
      <c r="AG20" s="39">
        <f t="shared" si="36"/>
        <v>0</v>
      </c>
      <c r="AH20" s="39">
        <f t="shared" si="36"/>
        <v>0</v>
      </c>
      <c r="AI20" s="39">
        <f t="shared" si="36"/>
        <v>0</v>
      </c>
      <c r="AJ20" s="39">
        <f t="shared" si="36"/>
        <v>2367.424242424242</v>
      </c>
      <c r="AK20" s="39">
        <f t="shared" si="36"/>
        <v>2367.424242424242</v>
      </c>
      <c r="AL20" s="39">
        <f t="shared" si="36"/>
        <v>2367.424242424242</v>
      </c>
      <c r="AM20" s="39">
        <f t="shared" si="36"/>
        <v>2367.424242424242</v>
      </c>
      <c r="AN20" s="39">
        <f t="shared" si="36"/>
        <v>2367.424242424242</v>
      </c>
      <c r="AO20" s="39">
        <f t="shared" si="36"/>
        <v>2367.424242424242</v>
      </c>
      <c r="AP20" s="39">
        <f t="shared" si="37"/>
        <v>2438.4469696969695</v>
      </c>
      <c r="AQ20" s="39">
        <f t="shared" si="37"/>
        <v>2438.4469696969695</v>
      </c>
      <c r="AR20" s="39">
        <f t="shared" si="37"/>
        <v>2438.4469696969695</v>
      </c>
      <c r="AS20" s="39">
        <f t="shared" si="37"/>
        <v>2438.4469696969695</v>
      </c>
      <c r="AT20" s="39">
        <f t="shared" si="37"/>
        <v>2438.4469696969695</v>
      </c>
      <c r="AU20" s="39">
        <f t="shared" si="37"/>
        <v>2438.4469696969695</v>
      </c>
      <c r="AV20" s="39">
        <f t="shared" si="37"/>
        <v>2438.4469696969695</v>
      </c>
      <c r="AW20" s="39">
        <f t="shared" si="37"/>
        <v>2438.4469696969695</v>
      </c>
      <c r="AX20" s="39">
        <f t="shared" si="37"/>
        <v>2438.4469696969695</v>
      </c>
      <c r="AY20" s="39">
        <f t="shared" si="37"/>
        <v>2438.4469696969695</v>
      </c>
      <c r="AZ20" s="39">
        <f t="shared" si="38"/>
        <v>2438.4469696969695</v>
      </c>
      <c r="BA20" s="39">
        <f t="shared" si="38"/>
        <v>2438.4469696969695</v>
      </c>
      <c r="BB20" s="39">
        <f t="shared" si="38"/>
        <v>2511.6003787878781</v>
      </c>
      <c r="BC20" s="39">
        <f t="shared" si="38"/>
        <v>2511.6003787878781</v>
      </c>
      <c r="BD20" s="39">
        <f t="shared" si="38"/>
        <v>2511.6003787878781</v>
      </c>
      <c r="BE20" s="39">
        <f t="shared" si="38"/>
        <v>2511.6003787878781</v>
      </c>
      <c r="BF20" s="39">
        <f t="shared" si="38"/>
        <v>2511.6003787878781</v>
      </c>
      <c r="BG20" s="39">
        <f t="shared" si="38"/>
        <v>2511.6003787878781</v>
      </c>
      <c r="BH20" s="39">
        <f t="shared" si="38"/>
        <v>2511.6003787878781</v>
      </c>
      <c r="BI20" s="39">
        <f t="shared" si="38"/>
        <v>2511.6003787878781</v>
      </c>
      <c r="BJ20" s="39">
        <f t="shared" si="39"/>
        <v>2511.6003787878781</v>
      </c>
      <c r="BK20" s="39">
        <f t="shared" si="39"/>
        <v>2511.6003787878781</v>
      </c>
      <c r="BL20" s="39">
        <f t="shared" si="39"/>
        <v>2511.6003787878781</v>
      </c>
      <c r="BM20" s="39">
        <f t="shared" si="39"/>
        <v>2511.6003787878781</v>
      </c>
      <c r="BN20" s="39">
        <f t="shared" si="39"/>
        <v>2586.9483901515146</v>
      </c>
      <c r="BO20" s="39">
        <f t="shared" si="39"/>
        <v>2586.9483901515146</v>
      </c>
      <c r="BP20" s="39">
        <f t="shared" si="39"/>
        <v>2586.9483901515146</v>
      </c>
      <c r="BQ20" s="39">
        <f t="shared" si="39"/>
        <v>2586.9483901515146</v>
      </c>
      <c r="BR20" s="39">
        <f t="shared" si="39"/>
        <v>2586.9483901515146</v>
      </c>
      <c r="BS20" s="39">
        <f t="shared" si="39"/>
        <v>2586.9483901515146</v>
      </c>
      <c r="BT20" s="39">
        <f t="shared" si="40"/>
        <v>2586.9483901515146</v>
      </c>
      <c r="BU20" s="39">
        <f t="shared" si="40"/>
        <v>2586.9483901515146</v>
      </c>
      <c r="BV20" s="39">
        <f t="shared" si="40"/>
        <v>2586.9483901515146</v>
      </c>
      <c r="BW20" s="39">
        <f t="shared" si="40"/>
        <v>2586.9483901515146</v>
      </c>
      <c r="BX20" s="39">
        <f t="shared" si="40"/>
        <v>2586.9483901515146</v>
      </c>
      <c r="BY20" s="39">
        <f t="shared" si="40"/>
        <v>2586.9483901515146</v>
      </c>
      <c r="BZ20" s="39">
        <f t="shared" si="40"/>
        <v>2664.5568418560601</v>
      </c>
      <c r="CA20" s="39">
        <f t="shared" si="40"/>
        <v>2664.5568418560601</v>
      </c>
      <c r="CB20" s="39">
        <f t="shared" si="40"/>
        <v>2664.5568418560601</v>
      </c>
      <c r="CC20" s="39">
        <f t="shared" si="40"/>
        <v>2664.5568418560601</v>
      </c>
      <c r="CD20" s="39">
        <f t="shared" si="41"/>
        <v>2664.5568418560601</v>
      </c>
      <c r="CE20" s="39">
        <f t="shared" si="41"/>
        <v>2664.5568418560601</v>
      </c>
      <c r="CF20" s="39">
        <f t="shared" si="41"/>
        <v>2664.5568418560601</v>
      </c>
      <c r="CG20" s="39">
        <f t="shared" si="41"/>
        <v>2664.5568418560601</v>
      </c>
      <c r="CH20" s="39">
        <f t="shared" si="41"/>
        <v>2664.5568418560601</v>
      </c>
      <c r="CI20" s="39">
        <f t="shared" si="41"/>
        <v>2664.5568418560601</v>
      </c>
      <c r="CJ20" s="39">
        <f t="shared" si="41"/>
        <v>2664.5568418560601</v>
      </c>
      <c r="CK20" s="39">
        <f t="shared" si="41"/>
        <v>2664.5568418560601</v>
      </c>
      <c r="CL20" s="39">
        <f t="shared" si="41"/>
        <v>2744.4935471117415</v>
      </c>
      <c r="CM20" s="39">
        <f t="shared" si="41"/>
        <v>2744.4935471117415</v>
      </c>
      <c r="CN20" s="39">
        <f t="shared" si="42"/>
        <v>2744.4935471117415</v>
      </c>
      <c r="CO20" s="39">
        <f t="shared" si="42"/>
        <v>2744.4935471117415</v>
      </c>
      <c r="CP20" s="39">
        <f t="shared" si="42"/>
        <v>2744.4935471117415</v>
      </c>
      <c r="CQ20" s="39">
        <f t="shared" si="42"/>
        <v>2744.4935471117415</v>
      </c>
      <c r="CR20" s="39">
        <f t="shared" si="42"/>
        <v>2744.4935471117415</v>
      </c>
      <c r="CS20" s="39">
        <f t="shared" si="42"/>
        <v>2744.4935471117415</v>
      </c>
      <c r="CT20" s="39">
        <f t="shared" si="42"/>
        <v>2744.4935471117415</v>
      </c>
      <c r="CU20" s="39">
        <f t="shared" si="42"/>
        <v>2744.4935471117415</v>
      </c>
      <c r="CV20" s="39">
        <f t="shared" si="42"/>
        <v>2744.4935471117415</v>
      </c>
      <c r="CW20" s="39">
        <f t="shared" si="42"/>
        <v>2744.4935471117415</v>
      </c>
      <c r="CX20" s="39">
        <f t="shared" si="43"/>
        <v>2826.8283535250939</v>
      </c>
      <c r="CY20" s="39">
        <f t="shared" si="43"/>
        <v>2826.8283535250939</v>
      </c>
      <c r="CZ20" s="39">
        <f t="shared" si="43"/>
        <v>2826.8283535250939</v>
      </c>
      <c r="DA20" s="39">
        <f t="shared" si="43"/>
        <v>2826.8283535250939</v>
      </c>
      <c r="DB20" s="39">
        <f t="shared" si="43"/>
        <v>2826.8283535250939</v>
      </c>
      <c r="DC20" s="39">
        <f t="shared" si="43"/>
        <v>2826.8283535250939</v>
      </c>
      <c r="DD20" s="39">
        <f t="shared" si="43"/>
        <v>2826.8283535250939</v>
      </c>
      <c r="DE20" s="39">
        <f t="shared" si="43"/>
        <v>2826.8283535250939</v>
      </c>
      <c r="DF20" s="39">
        <f t="shared" si="43"/>
        <v>2826.8283535250939</v>
      </c>
      <c r="DG20" s="39">
        <f t="shared" si="43"/>
        <v>2826.8283535250939</v>
      </c>
      <c r="DH20" s="39">
        <f t="shared" si="44"/>
        <v>2826.8283535250939</v>
      </c>
      <c r="DI20" s="39">
        <f t="shared" si="44"/>
        <v>2826.8283535250939</v>
      </c>
      <c r="DJ20" s="39">
        <f t="shared" si="44"/>
        <v>2911.6332041308469</v>
      </c>
      <c r="DK20" s="39">
        <f t="shared" si="44"/>
        <v>2911.6332041308469</v>
      </c>
      <c r="DL20" s="39">
        <f t="shared" si="44"/>
        <v>2911.6332041308469</v>
      </c>
      <c r="DM20" s="39">
        <f t="shared" si="44"/>
        <v>2911.6332041308469</v>
      </c>
      <c r="DN20" s="39">
        <f t="shared" si="44"/>
        <v>2911.6332041308469</v>
      </c>
      <c r="DO20" s="39">
        <f t="shared" si="44"/>
        <v>2911.6332041308469</v>
      </c>
      <c r="DP20" s="39">
        <f t="shared" si="44"/>
        <v>2911.6332041308469</v>
      </c>
      <c r="DQ20" s="39">
        <f t="shared" si="44"/>
        <v>2911.6332041308469</v>
      </c>
      <c r="DR20" s="39">
        <f t="shared" si="45"/>
        <v>2911.6332041308469</v>
      </c>
      <c r="DS20" s="39">
        <f t="shared" si="45"/>
        <v>2911.6332041308469</v>
      </c>
      <c r="DT20" s="39">
        <f t="shared" si="45"/>
        <v>2911.6332041308469</v>
      </c>
      <c r="DU20" s="39">
        <f t="shared" si="45"/>
        <v>2911.6332041308469</v>
      </c>
      <c r="DV20" s="39">
        <f t="shared" si="45"/>
        <v>2998.9822002547721</v>
      </c>
      <c r="DW20" s="39">
        <f t="shared" si="45"/>
        <v>2998.9822002547721</v>
      </c>
      <c r="DX20" s="39">
        <f t="shared" si="45"/>
        <v>2998.9822002547721</v>
      </c>
      <c r="DY20" s="39">
        <f t="shared" si="45"/>
        <v>2998.9822002547721</v>
      </c>
      <c r="DZ20" s="39">
        <f t="shared" si="45"/>
        <v>2998.9822002547721</v>
      </c>
      <c r="EA20" s="39">
        <f t="shared" si="45"/>
        <v>2998.9822002547721</v>
      </c>
      <c r="EB20" s="39">
        <f t="shared" si="46"/>
        <v>2998.9822002547721</v>
      </c>
      <c r="EC20" s="39">
        <f t="shared" si="46"/>
        <v>2998.9822002547721</v>
      </c>
      <c r="ED20" s="39">
        <f t="shared" si="46"/>
        <v>2998.9822002547721</v>
      </c>
      <c r="EE20" s="39">
        <f t="shared" si="46"/>
        <v>2998.9822002547721</v>
      </c>
      <c r="EF20" s="39">
        <f t="shared" si="46"/>
        <v>2998.9822002547721</v>
      </c>
      <c r="EG20" s="39">
        <f t="shared" si="46"/>
        <v>2998.9822002547721</v>
      </c>
      <c r="EH20" s="39">
        <f t="shared" si="46"/>
        <v>3088.9516662624155</v>
      </c>
      <c r="EI20" s="39">
        <f t="shared" si="46"/>
        <v>3088.9516662624155</v>
      </c>
      <c r="EJ20" s="39">
        <f t="shared" si="46"/>
        <v>3088.9516662624155</v>
      </c>
      <c r="EK20" s="39">
        <f t="shared" si="46"/>
        <v>3088.9516662624155</v>
      </c>
      <c r="EL20" s="39">
        <f t="shared" si="46"/>
        <v>3088.9516662624155</v>
      </c>
      <c r="EM20" s="39">
        <f t="shared" si="46"/>
        <v>3088.9516662624155</v>
      </c>
      <c r="EO20" s="201"/>
      <c r="EP20" s="201"/>
      <c r="EQ20" s="201"/>
      <c r="ER20" s="201"/>
      <c r="ES20" s="201"/>
      <c r="ET20" s="201"/>
      <c r="EU20" s="201"/>
      <c r="EV20" s="201"/>
      <c r="EW20" s="201"/>
      <c r="EX20" s="201"/>
      <c r="EY20" s="201"/>
      <c r="EZ20" s="201"/>
      <c r="FA20" s="201"/>
      <c r="FB20" s="201"/>
      <c r="FC20" s="201"/>
      <c r="FD20" s="201"/>
      <c r="FE20" s="201"/>
      <c r="FF20" s="201"/>
      <c r="FG20" s="201"/>
      <c r="FH20" s="201"/>
      <c r="FI20" s="201"/>
      <c r="FJ20" s="201"/>
      <c r="FK20" s="201"/>
      <c r="FL20" s="201"/>
      <c r="FM20" s="201"/>
      <c r="FN20" s="201"/>
      <c r="FO20" s="201"/>
      <c r="FP20" s="201"/>
      <c r="FQ20" s="201"/>
      <c r="FR20" s="201"/>
      <c r="FS20" s="201"/>
      <c r="FT20" s="201"/>
      <c r="FU20" s="201"/>
      <c r="FV20" s="201"/>
      <c r="FW20" s="201"/>
      <c r="FX20" s="201"/>
      <c r="FY20" s="201"/>
      <c r="FZ20" s="201"/>
      <c r="GA20" s="201"/>
      <c r="GB20" s="201"/>
      <c r="GC20" s="201"/>
      <c r="GD20" s="201"/>
      <c r="GE20" s="201"/>
      <c r="GF20" s="201"/>
      <c r="GG20" s="201"/>
      <c r="GH20" s="201"/>
      <c r="GI20" s="201"/>
      <c r="GJ20" s="201"/>
      <c r="GK20" s="201"/>
      <c r="GL20" s="201"/>
      <c r="GM20" s="201"/>
      <c r="GN20" s="201"/>
      <c r="GO20" s="201"/>
      <c r="GP20" s="201"/>
      <c r="GQ20" s="201"/>
      <c r="GR20" s="201"/>
      <c r="GS20" s="201"/>
      <c r="GT20" s="201"/>
      <c r="GU20" s="201"/>
      <c r="GV20" s="201"/>
      <c r="GW20" s="201"/>
      <c r="GX20" s="201"/>
      <c r="GY20" s="201"/>
      <c r="GZ20" s="201"/>
      <c r="HA20" s="201"/>
      <c r="HB20" s="201"/>
      <c r="HC20" s="201"/>
      <c r="HD20" s="201"/>
      <c r="HE20" s="201"/>
      <c r="HF20" s="201"/>
      <c r="HG20" s="201"/>
      <c r="HH20" s="201"/>
      <c r="HI20" s="201"/>
      <c r="HJ20" s="201"/>
      <c r="HK20" s="201"/>
      <c r="HL20" s="201"/>
      <c r="HM20" s="201"/>
      <c r="HN20" s="201"/>
      <c r="HO20" s="201"/>
      <c r="HP20" s="201"/>
      <c r="HQ20" s="201"/>
      <c r="HR20" s="201"/>
      <c r="HS20" s="201"/>
      <c r="HT20" s="201"/>
      <c r="HU20" s="201"/>
      <c r="HV20" s="201"/>
      <c r="HW20" s="201"/>
      <c r="HX20" s="201"/>
      <c r="HY20" s="201"/>
      <c r="HZ20" s="201"/>
      <c r="IA20" s="201"/>
      <c r="IB20" s="201"/>
      <c r="IC20" s="201"/>
      <c r="ID20" s="201"/>
      <c r="IE20" s="201"/>
      <c r="IF20" s="201"/>
      <c r="IG20" s="201"/>
      <c r="IH20" s="201"/>
      <c r="II20" s="201"/>
      <c r="IJ20" s="201"/>
      <c r="IK20" s="201"/>
      <c r="IL20" s="201"/>
      <c r="IM20" s="201"/>
      <c r="IN20" s="201"/>
      <c r="IO20" s="201"/>
      <c r="IP20" s="201"/>
      <c r="IQ20" s="201"/>
      <c r="IR20" s="201"/>
      <c r="IS20" s="201"/>
      <c r="IT20" s="201"/>
      <c r="IU20" s="201"/>
      <c r="IV20" s="201"/>
      <c r="IW20" s="201"/>
      <c r="IX20" s="201"/>
      <c r="IY20" s="201"/>
      <c r="IZ20" s="201"/>
      <c r="JA20" s="201"/>
      <c r="JB20" s="201"/>
      <c r="JC20" s="201"/>
      <c r="JD20" s="201"/>
      <c r="JE20" s="201"/>
      <c r="JF20" s="201"/>
      <c r="JG20" s="201"/>
      <c r="JH20" s="201"/>
      <c r="JI20" s="201"/>
      <c r="JJ20" s="201"/>
      <c r="JK20" s="201"/>
      <c r="JL20" s="201"/>
      <c r="JM20" s="201"/>
      <c r="JN20" s="201"/>
      <c r="JO20" s="201"/>
      <c r="JP20" s="201"/>
      <c r="JQ20" s="201"/>
      <c r="JR20" s="201"/>
      <c r="JS20" s="201"/>
      <c r="JT20" s="201"/>
      <c r="JU20" s="201"/>
      <c r="JV20" s="201"/>
      <c r="JW20" s="201"/>
    </row>
    <row r="21" spans="1:283" x14ac:dyDescent="0.2">
      <c r="B21" s="178" t="s">
        <v>332</v>
      </c>
      <c r="C21" s="124"/>
      <c r="D21" s="124"/>
      <c r="E21" s="135">
        <f>MIN(E18:E20)</f>
        <v>19</v>
      </c>
      <c r="F21" s="389"/>
      <c r="G21" s="121"/>
      <c r="H21" s="431">
        <f>I21/E15</f>
        <v>11.363636363636363</v>
      </c>
      <c r="I21" s="434">
        <f>SUM(I18:I20)</f>
        <v>65340.909090909088</v>
      </c>
      <c r="K21" s="38"/>
      <c r="L21" s="38">
        <f t="shared" ref="L21:AQ21" si="47">SUM(L18:L20)</f>
        <v>0</v>
      </c>
      <c r="M21" s="38">
        <f t="shared" si="47"/>
        <v>0</v>
      </c>
      <c r="N21" s="38">
        <f t="shared" si="47"/>
        <v>0</v>
      </c>
      <c r="O21" s="38">
        <f t="shared" si="47"/>
        <v>0</v>
      </c>
      <c r="P21" s="38">
        <f t="shared" si="47"/>
        <v>0</v>
      </c>
      <c r="Q21" s="38">
        <f t="shared" si="47"/>
        <v>0</v>
      </c>
      <c r="R21" s="38">
        <f t="shared" si="47"/>
        <v>0</v>
      </c>
      <c r="S21" s="38">
        <f t="shared" si="47"/>
        <v>0</v>
      </c>
      <c r="T21" s="38">
        <f t="shared" si="47"/>
        <v>0</v>
      </c>
      <c r="U21" s="38">
        <f t="shared" si="47"/>
        <v>0</v>
      </c>
      <c r="V21" s="38">
        <f t="shared" si="47"/>
        <v>0</v>
      </c>
      <c r="W21" s="38">
        <f t="shared" si="47"/>
        <v>0</v>
      </c>
      <c r="X21" s="38">
        <f t="shared" si="47"/>
        <v>0</v>
      </c>
      <c r="Y21" s="38">
        <f t="shared" si="47"/>
        <v>0</v>
      </c>
      <c r="Z21" s="38">
        <f t="shared" si="47"/>
        <v>0</v>
      </c>
      <c r="AA21" s="38">
        <f t="shared" si="47"/>
        <v>0</v>
      </c>
      <c r="AB21" s="38">
        <f t="shared" si="47"/>
        <v>0</v>
      </c>
      <c r="AC21" s="38">
        <f t="shared" si="47"/>
        <v>0</v>
      </c>
      <c r="AD21" s="38">
        <f t="shared" si="47"/>
        <v>370.55335968379444</v>
      </c>
      <c r="AE21" s="38">
        <f t="shared" si="47"/>
        <v>370.55335968379444</v>
      </c>
      <c r="AF21" s="38">
        <f t="shared" si="47"/>
        <v>370.55335968379444</v>
      </c>
      <c r="AG21" s="38">
        <f t="shared" si="47"/>
        <v>1739.5421607378125</v>
      </c>
      <c r="AH21" s="38">
        <f t="shared" si="47"/>
        <v>1739.5421607378125</v>
      </c>
      <c r="AI21" s="38">
        <f t="shared" si="47"/>
        <v>1739.5421607378125</v>
      </c>
      <c r="AJ21" s="38">
        <f t="shared" si="47"/>
        <v>5445.0757575757571</v>
      </c>
      <c r="AK21" s="38">
        <f t="shared" si="47"/>
        <v>5445.0757575757571</v>
      </c>
      <c r="AL21" s="38">
        <f t="shared" si="47"/>
        <v>5445.0757575757571</v>
      </c>
      <c r="AM21" s="38">
        <f t="shared" si="47"/>
        <v>5445.0757575757571</v>
      </c>
      <c r="AN21" s="38">
        <f t="shared" si="47"/>
        <v>5445.0757575757571</v>
      </c>
      <c r="AO21" s="38">
        <f t="shared" si="47"/>
        <v>5445.0757575757571</v>
      </c>
      <c r="AP21" s="38">
        <f t="shared" si="47"/>
        <v>5608.42803030303</v>
      </c>
      <c r="AQ21" s="38">
        <f t="shared" si="47"/>
        <v>5608.42803030303</v>
      </c>
      <c r="AR21" s="38">
        <f t="shared" ref="AR21:BW21" si="48">SUM(AR18:AR20)</f>
        <v>5608.42803030303</v>
      </c>
      <c r="AS21" s="38">
        <f t="shared" si="48"/>
        <v>5608.42803030303</v>
      </c>
      <c r="AT21" s="38">
        <f t="shared" si="48"/>
        <v>5608.42803030303</v>
      </c>
      <c r="AU21" s="38">
        <f t="shared" si="48"/>
        <v>5608.42803030303</v>
      </c>
      <c r="AV21" s="38">
        <f t="shared" si="48"/>
        <v>5608.42803030303</v>
      </c>
      <c r="AW21" s="38">
        <f t="shared" si="48"/>
        <v>5608.42803030303</v>
      </c>
      <c r="AX21" s="38">
        <f t="shared" si="48"/>
        <v>5608.42803030303</v>
      </c>
      <c r="AY21" s="38">
        <f t="shared" si="48"/>
        <v>5608.42803030303</v>
      </c>
      <c r="AZ21" s="38">
        <f t="shared" si="48"/>
        <v>5608.42803030303</v>
      </c>
      <c r="BA21" s="38">
        <f t="shared" si="48"/>
        <v>5608.42803030303</v>
      </c>
      <c r="BB21" s="38">
        <f t="shared" si="48"/>
        <v>5776.6808712121201</v>
      </c>
      <c r="BC21" s="38">
        <f t="shared" si="48"/>
        <v>5776.6808712121201</v>
      </c>
      <c r="BD21" s="38">
        <f t="shared" si="48"/>
        <v>5776.6808712121201</v>
      </c>
      <c r="BE21" s="38">
        <f t="shared" si="48"/>
        <v>5776.6808712121201</v>
      </c>
      <c r="BF21" s="38">
        <f t="shared" si="48"/>
        <v>5776.6808712121201</v>
      </c>
      <c r="BG21" s="38">
        <f t="shared" si="48"/>
        <v>5776.6808712121201</v>
      </c>
      <c r="BH21" s="38">
        <f t="shared" si="48"/>
        <v>5776.6808712121201</v>
      </c>
      <c r="BI21" s="38">
        <f t="shared" si="48"/>
        <v>5776.6808712121201</v>
      </c>
      <c r="BJ21" s="38">
        <f t="shared" si="48"/>
        <v>5776.6808712121201</v>
      </c>
      <c r="BK21" s="38">
        <f t="shared" si="48"/>
        <v>5776.6808712121201</v>
      </c>
      <c r="BL21" s="38">
        <f t="shared" si="48"/>
        <v>5776.6808712121201</v>
      </c>
      <c r="BM21" s="38">
        <f t="shared" si="48"/>
        <v>5776.6808712121201</v>
      </c>
      <c r="BN21" s="38">
        <f t="shared" si="48"/>
        <v>5949.9812973484841</v>
      </c>
      <c r="BO21" s="38">
        <f t="shared" si="48"/>
        <v>5949.9812973484841</v>
      </c>
      <c r="BP21" s="38">
        <f t="shared" si="48"/>
        <v>5949.9812973484841</v>
      </c>
      <c r="BQ21" s="38">
        <f t="shared" si="48"/>
        <v>5949.9812973484841</v>
      </c>
      <c r="BR21" s="38">
        <f t="shared" si="48"/>
        <v>5949.9812973484841</v>
      </c>
      <c r="BS21" s="38">
        <f t="shared" si="48"/>
        <v>5949.9812973484841</v>
      </c>
      <c r="BT21" s="38">
        <f t="shared" si="48"/>
        <v>5949.9812973484841</v>
      </c>
      <c r="BU21" s="38">
        <f t="shared" si="48"/>
        <v>5949.9812973484841</v>
      </c>
      <c r="BV21" s="38">
        <f t="shared" si="48"/>
        <v>5949.9812973484841</v>
      </c>
      <c r="BW21" s="38">
        <f t="shared" si="48"/>
        <v>5949.9812973484841</v>
      </c>
      <c r="BX21" s="38">
        <f t="shared" ref="BX21:DC21" si="49">SUM(BX18:BX20)</f>
        <v>5949.9812973484841</v>
      </c>
      <c r="BY21" s="38">
        <f t="shared" si="49"/>
        <v>5949.9812973484841</v>
      </c>
      <c r="BZ21" s="38">
        <f t="shared" si="49"/>
        <v>6128.4807362689389</v>
      </c>
      <c r="CA21" s="38">
        <f t="shared" si="49"/>
        <v>6128.4807362689389</v>
      </c>
      <c r="CB21" s="38">
        <f t="shared" si="49"/>
        <v>6128.4807362689389</v>
      </c>
      <c r="CC21" s="38">
        <f t="shared" si="49"/>
        <v>6128.4807362689389</v>
      </c>
      <c r="CD21" s="38">
        <f t="shared" si="49"/>
        <v>6128.4807362689389</v>
      </c>
      <c r="CE21" s="38">
        <f t="shared" si="49"/>
        <v>6128.4807362689389</v>
      </c>
      <c r="CF21" s="38">
        <f t="shared" si="49"/>
        <v>6128.4807362689389</v>
      </c>
      <c r="CG21" s="38">
        <f t="shared" si="49"/>
        <v>6128.4807362689389</v>
      </c>
      <c r="CH21" s="38">
        <f t="shared" si="49"/>
        <v>6128.4807362689389</v>
      </c>
      <c r="CI21" s="38">
        <f t="shared" si="49"/>
        <v>6128.4807362689389</v>
      </c>
      <c r="CJ21" s="38">
        <f t="shared" si="49"/>
        <v>6128.4807362689389</v>
      </c>
      <c r="CK21" s="38">
        <f t="shared" si="49"/>
        <v>6128.4807362689389</v>
      </c>
      <c r="CL21" s="38">
        <f t="shared" si="49"/>
        <v>6312.3351583570056</v>
      </c>
      <c r="CM21" s="38">
        <f t="shared" si="49"/>
        <v>6312.3351583570056</v>
      </c>
      <c r="CN21" s="38">
        <f t="shared" si="49"/>
        <v>6312.3351583570056</v>
      </c>
      <c r="CO21" s="38">
        <f t="shared" si="49"/>
        <v>6312.3351583570056</v>
      </c>
      <c r="CP21" s="38">
        <f t="shared" si="49"/>
        <v>6312.3351583570056</v>
      </c>
      <c r="CQ21" s="38">
        <f t="shared" si="49"/>
        <v>6312.3351583570056</v>
      </c>
      <c r="CR21" s="38">
        <f t="shared" si="49"/>
        <v>6312.3351583570056</v>
      </c>
      <c r="CS21" s="38">
        <f t="shared" si="49"/>
        <v>6312.3351583570056</v>
      </c>
      <c r="CT21" s="38">
        <f t="shared" si="49"/>
        <v>6312.3351583570056</v>
      </c>
      <c r="CU21" s="38">
        <f t="shared" si="49"/>
        <v>6312.3351583570056</v>
      </c>
      <c r="CV21" s="38">
        <f t="shared" si="49"/>
        <v>6312.3351583570056</v>
      </c>
      <c r="CW21" s="38">
        <f t="shared" si="49"/>
        <v>6312.3351583570056</v>
      </c>
      <c r="CX21" s="38">
        <f t="shared" si="49"/>
        <v>6501.7052131077162</v>
      </c>
      <c r="CY21" s="38">
        <f t="shared" si="49"/>
        <v>6501.7052131077162</v>
      </c>
      <c r="CZ21" s="38">
        <f t="shared" si="49"/>
        <v>6501.7052131077162</v>
      </c>
      <c r="DA21" s="38">
        <f t="shared" si="49"/>
        <v>6501.7052131077162</v>
      </c>
      <c r="DB21" s="38">
        <f t="shared" si="49"/>
        <v>6501.7052131077162</v>
      </c>
      <c r="DC21" s="38">
        <f t="shared" si="49"/>
        <v>6501.7052131077162</v>
      </c>
      <c r="DD21" s="38">
        <f t="shared" ref="DD21:EI21" si="50">SUM(DD18:DD20)</f>
        <v>6501.7052131077162</v>
      </c>
      <c r="DE21" s="38">
        <f t="shared" si="50"/>
        <v>6501.7052131077162</v>
      </c>
      <c r="DF21" s="38">
        <f t="shared" si="50"/>
        <v>6501.7052131077162</v>
      </c>
      <c r="DG21" s="38">
        <f t="shared" si="50"/>
        <v>6501.7052131077162</v>
      </c>
      <c r="DH21" s="38">
        <f t="shared" si="50"/>
        <v>6501.7052131077162</v>
      </c>
      <c r="DI21" s="38">
        <f t="shared" si="50"/>
        <v>6501.7052131077162</v>
      </c>
      <c r="DJ21" s="38">
        <f t="shared" si="50"/>
        <v>6696.7563695009485</v>
      </c>
      <c r="DK21" s="38">
        <f t="shared" si="50"/>
        <v>6696.7563695009485</v>
      </c>
      <c r="DL21" s="38">
        <f t="shared" si="50"/>
        <v>6696.7563695009485</v>
      </c>
      <c r="DM21" s="38">
        <f t="shared" si="50"/>
        <v>6696.7563695009485</v>
      </c>
      <c r="DN21" s="38">
        <f t="shared" si="50"/>
        <v>6696.7563695009485</v>
      </c>
      <c r="DO21" s="38">
        <f t="shared" si="50"/>
        <v>6696.7563695009485</v>
      </c>
      <c r="DP21" s="38">
        <f t="shared" si="50"/>
        <v>6696.7563695009485</v>
      </c>
      <c r="DQ21" s="38">
        <f t="shared" si="50"/>
        <v>6696.7563695009485</v>
      </c>
      <c r="DR21" s="38">
        <f t="shared" si="50"/>
        <v>6696.7563695009485</v>
      </c>
      <c r="DS21" s="38">
        <f t="shared" si="50"/>
        <v>6696.7563695009485</v>
      </c>
      <c r="DT21" s="38">
        <f t="shared" si="50"/>
        <v>6696.7563695009485</v>
      </c>
      <c r="DU21" s="38">
        <f t="shared" si="50"/>
        <v>6696.7563695009485</v>
      </c>
      <c r="DV21" s="38">
        <f t="shared" si="50"/>
        <v>6897.6590605859765</v>
      </c>
      <c r="DW21" s="38">
        <f t="shared" si="50"/>
        <v>6897.6590605859765</v>
      </c>
      <c r="DX21" s="38">
        <f t="shared" si="50"/>
        <v>6897.6590605859765</v>
      </c>
      <c r="DY21" s="38">
        <f t="shared" si="50"/>
        <v>6897.6590605859765</v>
      </c>
      <c r="DZ21" s="38">
        <f t="shared" si="50"/>
        <v>6897.6590605859765</v>
      </c>
      <c r="EA21" s="38">
        <f t="shared" si="50"/>
        <v>6897.6590605859765</v>
      </c>
      <c r="EB21" s="38">
        <f t="shared" si="50"/>
        <v>6897.6590605859765</v>
      </c>
      <c r="EC21" s="38">
        <f t="shared" si="50"/>
        <v>6897.6590605859765</v>
      </c>
      <c r="ED21" s="38">
        <f t="shared" si="50"/>
        <v>6897.6590605859765</v>
      </c>
      <c r="EE21" s="38">
        <f t="shared" si="50"/>
        <v>6897.6590605859765</v>
      </c>
      <c r="EF21" s="38">
        <f t="shared" si="50"/>
        <v>6897.6590605859765</v>
      </c>
      <c r="EG21" s="38">
        <f t="shared" si="50"/>
        <v>6897.6590605859765</v>
      </c>
      <c r="EH21" s="38">
        <f t="shared" si="50"/>
        <v>7104.5888324035559</v>
      </c>
      <c r="EI21" s="38">
        <f t="shared" si="50"/>
        <v>7104.5888324035559</v>
      </c>
      <c r="EJ21" s="38">
        <f t="shared" ref="EJ21:EM21" si="51">SUM(EJ18:EJ20)</f>
        <v>7104.5888324035559</v>
      </c>
      <c r="EK21" s="38">
        <f t="shared" si="51"/>
        <v>7104.5888324035559</v>
      </c>
      <c r="EL21" s="38">
        <f t="shared" si="51"/>
        <v>7104.5888324035559</v>
      </c>
      <c r="EM21" s="38">
        <f t="shared" si="51"/>
        <v>7104.5888324035559</v>
      </c>
      <c r="EO21" s="201"/>
      <c r="EP21" s="201"/>
      <c r="EQ21" s="201"/>
      <c r="ER21" s="201"/>
      <c r="ES21" s="201"/>
      <c r="ET21" s="201"/>
      <c r="EU21" s="201"/>
      <c r="EV21" s="201"/>
      <c r="EW21" s="201"/>
      <c r="EX21" s="201"/>
      <c r="EY21" s="201"/>
      <c r="EZ21" s="201"/>
      <c r="FA21" s="201"/>
      <c r="FB21" s="201"/>
      <c r="FC21" s="201"/>
      <c r="FD21" s="201"/>
      <c r="FE21" s="201"/>
      <c r="FF21" s="201"/>
      <c r="FG21" s="201"/>
      <c r="FH21" s="201"/>
      <c r="FI21" s="201"/>
      <c r="FJ21" s="201"/>
      <c r="FK21" s="201"/>
      <c r="FL21" s="201"/>
      <c r="FM21" s="201"/>
      <c r="FN21" s="201"/>
      <c r="FO21" s="201"/>
      <c r="FP21" s="201"/>
      <c r="FQ21" s="201"/>
      <c r="FR21" s="201"/>
      <c r="FS21" s="201"/>
      <c r="FT21" s="201"/>
      <c r="FU21" s="201"/>
      <c r="FV21" s="201"/>
      <c r="FW21" s="201"/>
      <c r="FX21" s="201"/>
      <c r="FY21" s="201"/>
      <c r="FZ21" s="201"/>
      <c r="GA21" s="201"/>
      <c r="GB21" s="201"/>
      <c r="GC21" s="201"/>
      <c r="GD21" s="201"/>
      <c r="GE21" s="201"/>
      <c r="GF21" s="201"/>
      <c r="GG21" s="201"/>
      <c r="GH21" s="201"/>
      <c r="GI21" s="201"/>
      <c r="GJ21" s="201"/>
      <c r="GK21" s="201"/>
      <c r="GL21" s="201"/>
      <c r="GM21" s="201"/>
      <c r="GN21" s="201"/>
      <c r="GO21" s="201"/>
      <c r="GP21" s="201"/>
      <c r="GQ21" s="201"/>
      <c r="GR21" s="201"/>
      <c r="GS21" s="201"/>
      <c r="GT21" s="201"/>
      <c r="GU21" s="201"/>
      <c r="GV21" s="201"/>
      <c r="GW21" s="201"/>
      <c r="GX21" s="201"/>
      <c r="GY21" s="201"/>
      <c r="GZ21" s="201"/>
      <c r="HA21" s="201"/>
      <c r="HB21" s="201"/>
      <c r="HC21" s="201"/>
      <c r="HD21" s="201"/>
      <c r="HE21" s="201"/>
      <c r="HF21" s="201"/>
      <c r="HG21" s="201"/>
      <c r="HH21" s="201"/>
      <c r="HI21" s="201"/>
      <c r="HJ21" s="201"/>
      <c r="HK21" s="201"/>
      <c r="HL21" s="201"/>
      <c r="HM21" s="201"/>
      <c r="HN21" s="201"/>
      <c r="HO21" s="201"/>
      <c r="HP21" s="201"/>
      <c r="HQ21" s="201"/>
      <c r="HR21" s="201"/>
      <c r="HS21" s="201"/>
      <c r="HT21" s="201"/>
      <c r="HU21" s="201"/>
      <c r="HV21" s="201"/>
      <c r="HW21" s="201"/>
      <c r="HX21" s="201"/>
      <c r="HY21" s="201"/>
      <c r="HZ21" s="201"/>
      <c r="IA21" s="201"/>
      <c r="IB21" s="201"/>
      <c r="IC21" s="201"/>
      <c r="ID21" s="201"/>
      <c r="IE21" s="201"/>
      <c r="IF21" s="201"/>
      <c r="IG21" s="201"/>
      <c r="IH21" s="201"/>
      <c r="II21" s="201"/>
      <c r="IJ21" s="201"/>
      <c r="IK21" s="201"/>
      <c r="IL21" s="201"/>
      <c r="IM21" s="201"/>
      <c r="IN21" s="201"/>
      <c r="IO21" s="201"/>
      <c r="IP21" s="201"/>
      <c r="IQ21" s="201"/>
      <c r="IR21" s="201"/>
      <c r="IS21" s="201"/>
      <c r="IT21" s="201"/>
      <c r="IU21" s="201"/>
      <c r="IV21" s="201"/>
      <c r="IW21" s="201"/>
      <c r="IX21" s="201"/>
      <c r="IY21" s="201"/>
      <c r="IZ21" s="201"/>
      <c r="JA21" s="201"/>
      <c r="JB21" s="201"/>
      <c r="JC21" s="201"/>
      <c r="JD21" s="201"/>
      <c r="JE21" s="201"/>
      <c r="JF21" s="201"/>
      <c r="JG21" s="201"/>
      <c r="JH21" s="201"/>
      <c r="JI21" s="201"/>
      <c r="JJ21" s="201"/>
      <c r="JK21" s="201"/>
      <c r="JL21" s="201"/>
      <c r="JM21" s="201"/>
      <c r="JN21" s="201"/>
      <c r="JO21" s="201"/>
      <c r="JP21" s="201"/>
      <c r="JQ21" s="201"/>
      <c r="JR21" s="201"/>
      <c r="JS21" s="201"/>
      <c r="JT21" s="201"/>
      <c r="JU21" s="201"/>
      <c r="JV21" s="201"/>
      <c r="JW21" s="201"/>
    </row>
    <row r="22" spans="1:283" ht="5.0999999999999996" customHeight="1" x14ac:dyDescent="0.2">
      <c r="B22" s="178"/>
      <c r="C22" s="124"/>
      <c r="D22" s="124"/>
      <c r="E22" s="135"/>
      <c r="F22" s="389"/>
      <c r="G22" s="121"/>
      <c r="H22" s="121"/>
      <c r="I22" s="434"/>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8"/>
      <c r="AW22" s="38"/>
      <c r="AX22" s="38"/>
      <c r="AY22" s="38"/>
      <c r="AZ22" s="38"/>
      <c r="BA22" s="38"/>
      <c r="BB22" s="38"/>
      <c r="BC22" s="38"/>
      <c r="BD22" s="38"/>
      <c r="BE22" s="38"/>
      <c r="BF22" s="38"/>
      <c r="BG22" s="38"/>
      <c r="BH22" s="38"/>
      <c r="BI22" s="38"/>
      <c r="BJ22" s="38"/>
      <c r="BK22" s="38"/>
      <c r="BL22" s="38"/>
      <c r="BM22" s="38"/>
      <c r="BN22" s="38"/>
      <c r="BO22" s="38"/>
      <c r="BP22" s="38"/>
      <c r="BQ22" s="38"/>
      <c r="BR22" s="38"/>
      <c r="BS22" s="38"/>
      <c r="BT22" s="38"/>
      <c r="BU22" s="38"/>
      <c r="BV22" s="38"/>
      <c r="BW22" s="38"/>
      <c r="BX22" s="38"/>
      <c r="BY22" s="38"/>
      <c r="BZ22" s="38"/>
      <c r="CA22" s="38"/>
      <c r="CB22" s="38"/>
      <c r="CC22" s="38"/>
      <c r="CD22" s="38"/>
      <c r="CE22" s="38"/>
      <c r="CF22" s="38"/>
      <c r="CG22" s="38"/>
      <c r="CH22" s="38"/>
      <c r="CI22" s="38"/>
      <c r="CJ22" s="38"/>
      <c r="CK22" s="38"/>
      <c r="CL22" s="38"/>
      <c r="CM22" s="38"/>
      <c r="CN22" s="38"/>
      <c r="CO22" s="38"/>
      <c r="CP22" s="38"/>
      <c r="CQ22" s="38"/>
      <c r="CR22" s="38"/>
      <c r="CS22" s="38"/>
      <c r="CT22" s="38"/>
      <c r="CU22" s="38"/>
      <c r="CV22" s="38"/>
      <c r="CW22" s="38"/>
      <c r="CX22" s="38"/>
      <c r="CY22" s="38"/>
      <c r="CZ22" s="38"/>
      <c r="DA22" s="38"/>
      <c r="DB22" s="38"/>
      <c r="DC22" s="38"/>
      <c r="DD22" s="38"/>
      <c r="DE22" s="38"/>
      <c r="DF22" s="38"/>
      <c r="DG22" s="38"/>
      <c r="DH22" s="38"/>
      <c r="DI22" s="38"/>
      <c r="DJ22" s="38"/>
      <c r="DK22" s="38"/>
      <c r="DL22" s="38"/>
      <c r="DM22" s="38"/>
      <c r="DN22" s="38"/>
      <c r="DO22" s="38"/>
      <c r="DP22" s="38"/>
      <c r="DQ22" s="38"/>
      <c r="DR22" s="38"/>
      <c r="DS22" s="38"/>
      <c r="DT22" s="38"/>
      <c r="DU22" s="38"/>
      <c r="DV22" s="38"/>
      <c r="DW22" s="38"/>
      <c r="DX22" s="38"/>
      <c r="DY22" s="38"/>
      <c r="DZ22" s="38"/>
      <c r="EA22" s="38"/>
      <c r="EB22" s="38"/>
      <c r="EC22" s="38"/>
      <c r="ED22" s="38"/>
      <c r="EE22" s="38"/>
      <c r="EF22" s="38"/>
      <c r="EG22" s="38"/>
      <c r="EH22" s="38"/>
      <c r="EI22" s="38"/>
      <c r="EJ22" s="38"/>
      <c r="EK22" s="38"/>
      <c r="EL22" s="38"/>
      <c r="EM22" s="38"/>
      <c r="EO22" s="201"/>
      <c r="EP22" s="201"/>
      <c r="EQ22" s="201"/>
      <c r="ER22" s="201"/>
      <c r="ES22" s="201"/>
      <c r="ET22" s="201"/>
      <c r="EU22" s="201"/>
      <c r="EV22" s="201"/>
      <c r="EW22" s="201"/>
      <c r="EX22" s="201"/>
      <c r="EY22" s="201"/>
      <c r="EZ22" s="201"/>
      <c r="FA22" s="201"/>
      <c r="FB22" s="201"/>
      <c r="FC22" s="201"/>
      <c r="FD22" s="201"/>
      <c r="FE22" s="201"/>
      <c r="FF22" s="201"/>
      <c r="FG22" s="201"/>
      <c r="FH22" s="201"/>
      <c r="FI22" s="201"/>
      <c r="FJ22" s="201"/>
      <c r="FK22" s="201"/>
      <c r="FL22" s="201"/>
      <c r="FM22" s="201"/>
      <c r="FN22" s="201"/>
      <c r="FO22" s="201"/>
      <c r="FP22" s="201"/>
      <c r="FQ22" s="201"/>
      <c r="FR22" s="201"/>
      <c r="FS22" s="201"/>
      <c r="FT22" s="201"/>
      <c r="FU22" s="201"/>
      <c r="FV22" s="201"/>
      <c r="FW22" s="201"/>
      <c r="FX22" s="201"/>
      <c r="FY22" s="201"/>
      <c r="FZ22" s="201"/>
      <c r="GA22" s="201"/>
      <c r="GB22" s="201"/>
      <c r="GC22" s="201"/>
      <c r="GD22" s="201"/>
      <c r="GE22" s="201"/>
      <c r="GF22" s="201"/>
      <c r="GG22" s="201"/>
      <c r="GH22" s="201"/>
      <c r="GI22" s="201"/>
      <c r="GJ22" s="201"/>
      <c r="GK22" s="201"/>
      <c r="GL22" s="201"/>
      <c r="GM22" s="201"/>
      <c r="GN22" s="201"/>
      <c r="GO22" s="201"/>
      <c r="GP22" s="201"/>
      <c r="GQ22" s="201"/>
      <c r="GR22" s="201"/>
      <c r="GS22" s="201"/>
      <c r="GT22" s="201"/>
      <c r="GU22" s="201"/>
      <c r="GV22" s="201"/>
      <c r="GW22" s="201"/>
      <c r="GX22" s="201"/>
      <c r="GY22" s="201"/>
      <c r="GZ22" s="201"/>
      <c r="HA22" s="201"/>
      <c r="HB22" s="201"/>
      <c r="HC22" s="201"/>
      <c r="HD22" s="201"/>
      <c r="HE22" s="201"/>
      <c r="HF22" s="201"/>
      <c r="HG22" s="201"/>
      <c r="HH22" s="201"/>
      <c r="HI22" s="201"/>
      <c r="HJ22" s="201"/>
      <c r="HK22" s="201"/>
      <c r="HL22" s="201"/>
      <c r="HM22" s="201"/>
      <c r="HN22" s="201"/>
      <c r="HO22" s="201"/>
      <c r="HP22" s="201"/>
      <c r="HQ22" s="201"/>
      <c r="HR22" s="201"/>
      <c r="HS22" s="201"/>
      <c r="HT22" s="201"/>
      <c r="HU22" s="201"/>
      <c r="HV22" s="201"/>
      <c r="HW22" s="201"/>
      <c r="HX22" s="201"/>
      <c r="HY22" s="201"/>
      <c r="HZ22" s="201"/>
      <c r="IA22" s="201"/>
      <c r="IB22" s="201"/>
      <c r="IC22" s="201"/>
      <c r="ID22" s="201"/>
      <c r="IE22" s="201"/>
      <c r="IF22" s="201"/>
      <c r="IG22" s="201"/>
      <c r="IH22" s="201"/>
      <c r="II22" s="201"/>
      <c r="IJ22" s="201"/>
      <c r="IK22" s="201"/>
      <c r="IL22" s="201"/>
      <c r="IM22" s="201"/>
      <c r="IN22" s="201"/>
      <c r="IO22" s="201"/>
      <c r="IP22" s="201"/>
      <c r="IQ22" s="201"/>
      <c r="IR22" s="201"/>
      <c r="IS22" s="201"/>
      <c r="IT22" s="201"/>
      <c r="IU22" s="201"/>
      <c r="IV22" s="201"/>
      <c r="IW22" s="201"/>
      <c r="IX22" s="201"/>
      <c r="IY22" s="201"/>
      <c r="IZ22" s="201"/>
      <c r="JA22" s="201"/>
      <c r="JB22" s="201"/>
      <c r="JC22" s="201"/>
      <c r="JD22" s="201"/>
      <c r="JE22" s="201"/>
      <c r="JF22" s="201"/>
      <c r="JG22" s="201"/>
      <c r="JH22" s="201"/>
      <c r="JI22" s="201"/>
      <c r="JJ22" s="201"/>
      <c r="JK22" s="201"/>
      <c r="JL22" s="201"/>
      <c r="JM22" s="201"/>
      <c r="JN22" s="201"/>
      <c r="JO22" s="201"/>
      <c r="JP22" s="201"/>
      <c r="JQ22" s="201"/>
      <c r="JR22" s="201"/>
      <c r="JS22" s="201"/>
      <c r="JT22" s="201"/>
      <c r="JU22" s="201"/>
      <c r="JV22" s="201"/>
      <c r="JW22" s="201"/>
    </row>
    <row r="23" spans="1:283" x14ac:dyDescent="0.2">
      <c r="B23" s="178" t="s">
        <v>340</v>
      </c>
      <c r="C23" s="124"/>
      <c r="D23" s="124"/>
      <c r="E23" s="135"/>
      <c r="F23" s="389"/>
      <c r="G23" s="121"/>
      <c r="H23" s="431"/>
      <c r="I23" s="434">
        <f>+I21+I15</f>
        <v>205715.90909090909</v>
      </c>
      <c r="K23" s="38"/>
      <c r="L23" s="38">
        <f t="shared" ref="L23:AQ23" si="52">L21+L15</f>
        <v>0</v>
      </c>
      <c r="M23" s="38">
        <f t="shared" si="52"/>
        <v>0</v>
      </c>
      <c r="N23" s="38">
        <f t="shared" si="52"/>
        <v>0</v>
      </c>
      <c r="O23" s="38">
        <f t="shared" si="52"/>
        <v>0</v>
      </c>
      <c r="P23" s="38">
        <f t="shared" si="52"/>
        <v>0</v>
      </c>
      <c r="Q23" s="38">
        <f t="shared" si="52"/>
        <v>0</v>
      </c>
      <c r="R23" s="38">
        <f t="shared" si="52"/>
        <v>0</v>
      </c>
      <c r="S23" s="38">
        <f t="shared" si="52"/>
        <v>0</v>
      </c>
      <c r="T23" s="38">
        <f t="shared" si="52"/>
        <v>0</v>
      </c>
      <c r="U23" s="38">
        <f t="shared" si="52"/>
        <v>0</v>
      </c>
      <c r="V23" s="38">
        <f t="shared" si="52"/>
        <v>0</v>
      </c>
      <c r="W23" s="38">
        <f t="shared" si="52"/>
        <v>0</v>
      </c>
      <c r="X23" s="38">
        <f t="shared" si="52"/>
        <v>0</v>
      </c>
      <c r="Y23" s="38">
        <f t="shared" si="52"/>
        <v>0</v>
      </c>
      <c r="Z23" s="38">
        <f t="shared" si="52"/>
        <v>0</v>
      </c>
      <c r="AA23" s="38">
        <f t="shared" si="52"/>
        <v>0</v>
      </c>
      <c r="AB23" s="38">
        <f t="shared" si="52"/>
        <v>0</v>
      </c>
      <c r="AC23" s="38">
        <f t="shared" si="52"/>
        <v>0</v>
      </c>
      <c r="AD23" s="38">
        <f t="shared" si="52"/>
        <v>370.55335968379444</v>
      </c>
      <c r="AE23" s="38">
        <f t="shared" si="52"/>
        <v>370.55335968379444</v>
      </c>
      <c r="AF23" s="38">
        <f t="shared" si="52"/>
        <v>370.55335968379444</v>
      </c>
      <c r="AG23" s="38">
        <f t="shared" si="52"/>
        <v>9864.5421607378121</v>
      </c>
      <c r="AH23" s="38">
        <f t="shared" si="52"/>
        <v>9864.5421607378121</v>
      </c>
      <c r="AI23" s="38">
        <f t="shared" si="52"/>
        <v>9864.5421607378121</v>
      </c>
      <c r="AJ23" s="38">
        <f t="shared" si="52"/>
        <v>17142.992424242424</v>
      </c>
      <c r="AK23" s="38">
        <f t="shared" si="52"/>
        <v>17142.992424242424</v>
      </c>
      <c r="AL23" s="38">
        <f t="shared" si="52"/>
        <v>17142.992424242424</v>
      </c>
      <c r="AM23" s="38">
        <f t="shared" si="52"/>
        <v>17142.992424242424</v>
      </c>
      <c r="AN23" s="38">
        <f t="shared" si="52"/>
        <v>17142.992424242424</v>
      </c>
      <c r="AO23" s="38">
        <f t="shared" si="52"/>
        <v>17142.992424242424</v>
      </c>
      <c r="AP23" s="38">
        <f t="shared" si="52"/>
        <v>17306.344696969696</v>
      </c>
      <c r="AQ23" s="38">
        <f t="shared" si="52"/>
        <v>17306.344696969696</v>
      </c>
      <c r="AR23" s="38">
        <f t="shared" ref="AR23:BW23" si="53">AR21+AR15</f>
        <v>17306.344696969696</v>
      </c>
      <c r="AS23" s="38">
        <f t="shared" si="53"/>
        <v>17400.094696969696</v>
      </c>
      <c r="AT23" s="38">
        <f t="shared" si="53"/>
        <v>17400.094696969696</v>
      </c>
      <c r="AU23" s="38">
        <f t="shared" si="53"/>
        <v>17400.094696969696</v>
      </c>
      <c r="AV23" s="38">
        <f t="shared" si="53"/>
        <v>17471.553030303032</v>
      </c>
      <c r="AW23" s="38">
        <f t="shared" si="53"/>
        <v>17471.553030303032</v>
      </c>
      <c r="AX23" s="38">
        <f t="shared" si="53"/>
        <v>17471.553030303032</v>
      </c>
      <c r="AY23" s="38">
        <f t="shared" si="53"/>
        <v>17471.553030303032</v>
      </c>
      <c r="AZ23" s="38">
        <f t="shared" si="53"/>
        <v>17471.553030303032</v>
      </c>
      <c r="BA23" s="38">
        <f t="shared" si="53"/>
        <v>17471.553030303032</v>
      </c>
      <c r="BB23" s="38">
        <f t="shared" si="53"/>
        <v>17639.80587121212</v>
      </c>
      <c r="BC23" s="38">
        <f t="shared" si="53"/>
        <v>17639.80587121212</v>
      </c>
      <c r="BD23" s="38">
        <f t="shared" si="53"/>
        <v>17639.80587121212</v>
      </c>
      <c r="BE23" s="38">
        <f t="shared" si="53"/>
        <v>17736.36837121212</v>
      </c>
      <c r="BF23" s="38">
        <f t="shared" si="53"/>
        <v>17736.36837121212</v>
      </c>
      <c r="BG23" s="38">
        <f t="shared" si="53"/>
        <v>17736.36837121212</v>
      </c>
      <c r="BH23" s="38">
        <f t="shared" si="53"/>
        <v>17809.255871212121</v>
      </c>
      <c r="BI23" s="38">
        <f t="shared" si="53"/>
        <v>17809.255871212121</v>
      </c>
      <c r="BJ23" s="38">
        <f t="shared" si="53"/>
        <v>17809.255871212121</v>
      </c>
      <c r="BK23" s="38">
        <f t="shared" si="53"/>
        <v>17809.255871212121</v>
      </c>
      <c r="BL23" s="38">
        <f t="shared" si="53"/>
        <v>17809.255871212121</v>
      </c>
      <c r="BM23" s="38">
        <f t="shared" si="53"/>
        <v>17809.255871212121</v>
      </c>
      <c r="BN23" s="38">
        <f t="shared" si="53"/>
        <v>17982.556297348485</v>
      </c>
      <c r="BO23" s="38">
        <f t="shared" si="53"/>
        <v>17982.556297348485</v>
      </c>
      <c r="BP23" s="38">
        <f t="shared" si="53"/>
        <v>17982.556297348485</v>
      </c>
      <c r="BQ23" s="38">
        <f t="shared" si="53"/>
        <v>18082.015672348483</v>
      </c>
      <c r="BR23" s="38">
        <f t="shared" si="53"/>
        <v>18082.015672348483</v>
      </c>
      <c r="BS23" s="38">
        <f t="shared" si="53"/>
        <v>18082.015672348483</v>
      </c>
      <c r="BT23" s="38">
        <f t="shared" si="53"/>
        <v>18156.360922348482</v>
      </c>
      <c r="BU23" s="38">
        <f t="shared" si="53"/>
        <v>18156.360922348482</v>
      </c>
      <c r="BV23" s="38">
        <f t="shared" si="53"/>
        <v>18156.360922348482</v>
      </c>
      <c r="BW23" s="38">
        <f t="shared" si="53"/>
        <v>18156.360922348482</v>
      </c>
      <c r="BX23" s="38">
        <f t="shared" ref="BX23:DC23" si="54">BX21+BX15</f>
        <v>18156.360922348482</v>
      </c>
      <c r="BY23" s="38">
        <f t="shared" si="54"/>
        <v>18156.360922348482</v>
      </c>
      <c r="BZ23" s="38">
        <f t="shared" si="54"/>
        <v>18334.86036126894</v>
      </c>
      <c r="CA23" s="38">
        <f t="shared" si="54"/>
        <v>18334.86036126894</v>
      </c>
      <c r="CB23" s="38">
        <f t="shared" si="54"/>
        <v>18334.86036126894</v>
      </c>
      <c r="CC23" s="38">
        <f t="shared" si="54"/>
        <v>18437.303517518936</v>
      </c>
      <c r="CD23" s="38">
        <f t="shared" si="54"/>
        <v>18437.303517518936</v>
      </c>
      <c r="CE23" s="38">
        <f t="shared" si="54"/>
        <v>18437.303517518936</v>
      </c>
      <c r="CF23" s="38">
        <f t="shared" si="54"/>
        <v>18513.13567251894</v>
      </c>
      <c r="CG23" s="38">
        <f t="shared" si="54"/>
        <v>18513.13567251894</v>
      </c>
      <c r="CH23" s="38">
        <f t="shared" si="54"/>
        <v>18513.13567251894</v>
      </c>
      <c r="CI23" s="38">
        <f t="shared" si="54"/>
        <v>18513.13567251894</v>
      </c>
      <c r="CJ23" s="38">
        <f t="shared" si="54"/>
        <v>18513.13567251894</v>
      </c>
      <c r="CK23" s="38">
        <f t="shared" si="54"/>
        <v>18513.13567251894</v>
      </c>
      <c r="CL23" s="38">
        <f t="shared" si="54"/>
        <v>18696.990094607005</v>
      </c>
      <c r="CM23" s="38">
        <f t="shared" si="54"/>
        <v>18696.990094607005</v>
      </c>
      <c r="CN23" s="38">
        <f t="shared" si="54"/>
        <v>18696.990094607005</v>
      </c>
      <c r="CO23" s="38">
        <f t="shared" si="54"/>
        <v>18802.506545544507</v>
      </c>
      <c r="CP23" s="38">
        <f t="shared" si="54"/>
        <v>18802.506545544507</v>
      </c>
      <c r="CQ23" s="38">
        <f t="shared" si="54"/>
        <v>18802.506545544507</v>
      </c>
      <c r="CR23" s="38">
        <f t="shared" si="54"/>
        <v>18879.855343644507</v>
      </c>
      <c r="CS23" s="38">
        <f t="shared" si="54"/>
        <v>18879.855343644507</v>
      </c>
      <c r="CT23" s="38">
        <f t="shared" si="54"/>
        <v>18879.855343644507</v>
      </c>
      <c r="CU23" s="38">
        <f t="shared" si="54"/>
        <v>18879.855343644507</v>
      </c>
      <c r="CV23" s="38">
        <f t="shared" si="54"/>
        <v>18879.855343644507</v>
      </c>
      <c r="CW23" s="38">
        <f t="shared" si="54"/>
        <v>18879.855343644507</v>
      </c>
      <c r="CX23" s="38">
        <f t="shared" si="54"/>
        <v>19069.225398395218</v>
      </c>
      <c r="CY23" s="38">
        <f t="shared" si="54"/>
        <v>19069.225398395218</v>
      </c>
      <c r="CZ23" s="38">
        <f t="shared" si="54"/>
        <v>19069.225398395218</v>
      </c>
      <c r="DA23" s="38">
        <f t="shared" si="54"/>
        <v>19177.907342860839</v>
      </c>
      <c r="DB23" s="38">
        <f t="shared" si="54"/>
        <v>19177.907342860839</v>
      </c>
      <c r="DC23" s="38">
        <f t="shared" si="54"/>
        <v>19177.907342860839</v>
      </c>
      <c r="DD23" s="38">
        <f t="shared" ref="DD23:EM23" si="55">DD21+DD15</f>
        <v>19256.803116922842</v>
      </c>
      <c r="DE23" s="38">
        <f t="shared" si="55"/>
        <v>19256.803116922842</v>
      </c>
      <c r="DF23" s="38">
        <f t="shared" si="55"/>
        <v>19256.803116922842</v>
      </c>
      <c r="DG23" s="38">
        <f t="shared" si="55"/>
        <v>19256.803116922842</v>
      </c>
      <c r="DH23" s="38">
        <f t="shared" si="55"/>
        <v>19256.803116922842</v>
      </c>
      <c r="DI23" s="38">
        <f t="shared" si="55"/>
        <v>19256.803116922842</v>
      </c>
      <c r="DJ23" s="38">
        <f t="shared" si="55"/>
        <v>19451.854273316072</v>
      </c>
      <c r="DK23" s="38">
        <f t="shared" si="55"/>
        <v>19451.854273316072</v>
      </c>
      <c r="DL23" s="38">
        <f t="shared" si="55"/>
        <v>19451.854273316072</v>
      </c>
      <c r="DM23" s="38">
        <f t="shared" si="55"/>
        <v>19563.796676115668</v>
      </c>
      <c r="DN23" s="38">
        <f t="shared" si="55"/>
        <v>19563.796676115668</v>
      </c>
      <c r="DO23" s="38">
        <f t="shared" si="55"/>
        <v>19563.796676115668</v>
      </c>
      <c r="DP23" s="38">
        <f t="shared" si="55"/>
        <v>19644.270365658907</v>
      </c>
      <c r="DQ23" s="38">
        <f t="shared" si="55"/>
        <v>19644.270365658907</v>
      </c>
      <c r="DR23" s="38">
        <f t="shared" si="55"/>
        <v>19644.270365658907</v>
      </c>
      <c r="DS23" s="38">
        <f t="shared" si="55"/>
        <v>19644.270365658907</v>
      </c>
      <c r="DT23" s="38">
        <f t="shared" si="55"/>
        <v>19644.270365658907</v>
      </c>
      <c r="DU23" s="38">
        <f t="shared" si="55"/>
        <v>19644.270365658907</v>
      </c>
      <c r="DV23" s="38">
        <f t="shared" si="55"/>
        <v>19845.173056743934</v>
      </c>
      <c r="DW23" s="38">
        <f t="shared" si="55"/>
        <v>19845.173056743934</v>
      </c>
      <c r="DX23" s="38">
        <f t="shared" si="55"/>
        <v>19845.173056743934</v>
      </c>
      <c r="DY23" s="38">
        <f t="shared" si="55"/>
        <v>19960.473731627513</v>
      </c>
      <c r="DZ23" s="38">
        <f t="shared" si="55"/>
        <v>19960.473731627513</v>
      </c>
      <c r="EA23" s="38">
        <f t="shared" si="55"/>
        <v>19960.473731627513</v>
      </c>
      <c r="EB23" s="38">
        <f t="shared" si="55"/>
        <v>20042.556894961621</v>
      </c>
      <c r="EC23" s="38">
        <f t="shared" si="55"/>
        <v>20042.556894961621</v>
      </c>
      <c r="ED23" s="38">
        <f t="shared" si="55"/>
        <v>20042.556894961621</v>
      </c>
      <c r="EE23" s="38">
        <f t="shared" si="55"/>
        <v>20042.556894961621</v>
      </c>
      <c r="EF23" s="38">
        <f t="shared" si="55"/>
        <v>20042.556894961621</v>
      </c>
      <c r="EG23" s="38">
        <f t="shared" si="55"/>
        <v>20042.556894961621</v>
      </c>
      <c r="EH23" s="38">
        <f t="shared" si="55"/>
        <v>20249.486666779201</v>
      </c>
      <c r="EI23" s="38">
        <f t="shared" si="55"/>
        <v>20249.486666779201</v>
      </c>
      <c r="EJ23" s="38">
        <f t="shared" si="55"/>
        <v>20249.486666779201</v>
      </c>
      <c r="EK23" s="38">
        <f t="shared" si="55"/>
        <v>20368.246361909289</v>
      </c>
      <c r="EL23" s="38">
        <f t="shared" si="55"/>
        <v>20368.246361909289</v>
      </c>
      <c r="EM23" s="38">
        <f t="shared" si="55"/>
        <v>20368.246361909289</v>
      </c>
      <c r="EO23" s="201"/>
      <c r="EP23" s="201"/>
      <c r="EQ23" s="201"/>
      <c r="ER23" s="201"/>
      <c r="ES23" s="201"/>
      <c r="ET23" s="201"/>
      <c r="EU23" s="201"/>
      <c r="EV23" s="201"/>
      <c r="EW23" s="201"/>
      <c r="EX23" s="201"/>
      <c r="EY23" s="201"/>
      <c r="EZ23" s="201"/>
      <c r="FA23" s="201"/>
      <c r="FB23" s="201"/>
      <c r="FC23" s="201"/>
      <c r="FD23" s="201"/>
      <c r="FE23" s="201"/>
      <c r="FF23" s="201"/>
      <c r="FG23" s="201"/>
      <c r="FH23" s="201"/>
      <c r="FI23" s="201"/>
      <c r="FJ23" s="201"/>
      <c r="FK23" s="201"/>
      <c r="FL23" s="201"/>
      <c r="FM23" s="201"/>
      <c r="FN23" s="201"/>
      <c r="FO23" s="201"/>
      <c r="FP23" s="201"/>
      <c r="FQ23" s="201"/>
      <c r="FR23" s="201"/>
      <c r="FS23" s="201"/>
      <c r="FT23" s="201"/>
      <c r="FU23" s="201"/>
      <c r="FV23" s="201"/>
      <c r="FW23" s="201"/>
      <c r="FX23" s="201"/>
      <c r="FY23" s="201"/>
      <c r="FZ23" s="201"/>
      <c r="GA23" s="201"/>
      <c r="GB23" s="201"/>
      <c r="GC23" s="201"/>
      <c r="GD23" s="201"/>
      <c r="GE23" s="201"/>
      <c r="GF23" s="201"/>
      <c r="GG23" s="201"/>
      <c r="GH23" s="201"/>
      <c r="GI23" s="201"/>
      <c r="GJ23" s="201"/>
      <c r="GK23" s="201"/>
      <c r="GL23" s="201"/>
      <c r="GM23" s="201"/>
      <c r="GN23" s="201"/>
      <c r="GO23" s="201"/>
      <c r="GP23" s="201"/>
      <c r="GQ23" s="201"/>
      <c r="GR23" s="201"/>
      <c r="GS23" s="201"/>
      <c r="GT23" s="201"/>
      <c r="GU23" s="201"/>
      <c r="GV23" s="201"/>
      <c r="GW23" s="201"/>
      <c r="GX23" s="201"/>
      <c r="GY23" s="201"/>
      <c r="GZ23" s="201"/>
      <c r="HA23" s="201"/>
      <c r="HB23" s="201"/>
      <c r="HC23" s="201"/>
      <c r="HD23" s="201"/>
      <c r="HE23" s="201"/>
      <c r="HF23" s="201"/>
      <c r="HG23" s="201"/>
      <c r="HH23" s="201"/>
      <c r="HI23" s="201"/>
      <c r="HJ23" s="201"/>
      <c r="HK23" s="201"/>
      <c r="HL23" s="201"/>
      <c r="HM23" s="201"/>
      <c r="HN23" s="201"/>
      <c r="HO23" s="201"/>
      <c r="HP23" s="201"/>
      <c r="HQ23" s="201"/>
      <c r="HR23" s="201"/>
      <c r="HS23" s="201"/>
      <c r="HT23" s="201"/>
      <c r="HU23" s="201"/>
      <c r="HV23" s="201"/>
      <c r="HW23" s="201"/>
      <c r="HX23" s="201"/>
      <c r="HY23" s="201"/>
      <c r="HZ23" s="201"/>
      <c r="IA23" s="201"/>
      <c r="IB23" s="201"/>
      <c r="IC23" s="201"/>
      <c r="ID23" s="201"/>
      <c r="IE23" s="201"/>
      <c r="IF23" s="201"/>
      <c r="IG23" s="201"/>
      <c r="IH23" s="201"/>
      <c r="II23" s="201"/>
      <c r="IJ23" s="201"/>
      <c r="IK23" s="201"/>
      <c r="IL23" s="201"/>
      <c r="IM23" s="201"/>
      <c r="IN23" s="201"/>
      <c r="IO23" s="201"/>
      <c r="IP23" s="201"/>
      <c r="IQ23" s="201"/>
      <c r="IR23" s="201"/>
      <c r="IS23" s="201"/>
      <c r="IT23" s="201"/>
      <c r="IU23" s="201"/>
      <c r="IV23" s="201"/>
      <c r="IW23" s="201"/>
      <c r="IX23" s="201"/>
      <c r="IY23" s="201"/>
      <c r="IZ23" s="201"/>
      <c r="JA23" s="201"/>
      <c r="JB23" s="201"/>
      <c r="JC23" s="201"/>
      <c r="JD23" s="201"/>
      <c r="JE23" s="201"/>
      <c r="JF23" s="201"/>
      <c r="JG23" s="201"/>
      <c r="JH23" s="201"/>
      <c r="JI23" s="201"/>
      <c r="JJ23" s="201"/>
      <c r="JK23" s="201"/>
      <c r="JL23" s="201"/>
      <c r="JM23" s="201"/>
      <c r="JN23" s="201"/>
      <c r="JO23" s="201"/>
      <c r="JP23" s="201"/>
      <c r="JQ23" s="201"/>
      <c r="JR23" s="201"/>
      <c r="JS23" s="201"/>
      <c r="JT23" s="201"/>
      <c r="JU23" s="201"/>
      <c r="JV23" s="201"/>
      <c r="JW23" s="201"/>
    </row>
    <row r="24" spans="1:283" ht="16.5" x14ac:dyDescent="0.35">
      <c r="B24" s="112" t="s">
        <v>341</v>
      </c>
      <c r="C24" s="120"/>
      <c r="D24" s="120"/>
      <c r="E24" s="120"/>
      <c r="F24" s="133"/>
      <c r="G24" s="130">
        <v>0.08</v>
      </c>
      <c r="H24" s="437" t="str">
        <f>"/"&amp;Unit_Type&amp;"/YR"</f>
        <v>/SF/YR</v>
      </c>
      <c r="I24" s="187">
        <f>+-G24*I23</f>
        <v>-16457.272727272728</v>
      </c>
      <c r="K24" s="38"/>
      <c r="L24" s="39">
        <f>-L23*$G$24</f>
        <v>0</v>
      </c>
      <c r="M24" s="39">
        <f t="shared" ref="M24:BX24" si="56">-M23*$G$24</f>
        <v>0</v>
      </c>
      <c r="N24" s="39">
        <f t="shared" si="56"/>
        <v>0</v>
      </c>
      <c r="O24" s="39">
        <f t="shared" si="56"/>
        <v>0</v>
      </c>
      <c r="P24" s="39">
        <f t="shared" si="56"/>
        <v>0</v>
      </c>
      <c r="Q24" s="39">
        <f t="shared" si="56"/>
        <v>0</v>
      </c>
      <c r="R24" s="39">
        <f t="shared" si="56"/>
        <v>0</v>
      </c>
      <c r="S24" s="39">
        <f t="shared" si="56"/>
        <v>0</v>
      </c>
      <c r="T24" s="39">
        <f t="shared" si="56"/>
        <v>0</v>
      </c>
      <c r="U24" s="39">
        <f t="shared" si="56"/>
        <v>0</v>
      </c>
      <c r="V24" s="39">
        <f t="shared" si="56"/>
        <v>0</v>
      </c>
      <c r="W24" s="39">
        <f t="shared" si="56"/>
        <v>0</v>
      </c>
      <c r="X24" s="39">
        <f t="shared" si="56"/>
        <v>0</v>
      </c>
      <c r="Y24" s="39">
        <f t="shared" si="56"/>
        <v>0</v>
      </c>
      <c r="Z24" s="39">
        <f t="shared" si="56"/>
        <v>0</v>
      </c>
      <c r="AA24" s="39">
        <f t="shared" si="56"/>
        <v>0</v>
      </c>
      <c r="AB24" s="39">
        <f t="shared" si="56"/>
        <v>0</v>
      </c>
      <c r="AC24" s="39">
        <f t="shared" si="56"/>
        <v>0</v>
      </c>
      <c r="AD24" s="39">
        <f t="shared" si="56"/>
        <v>-29.644268774703555</v>
      </c>
      <c r="AE24" s="39">
        <f t="shared" si="56"/>
        <v>-29.644268774703555</v>
      </c>
      <c r="AF24" s="39">
        <f t="shared" si="56"/>
        <v>-29.644268774703555</v>
      </c>
      <c r="AG24" s="39">
        <f t="shared" si="56"/>
        <v>-789.163372859025</v>
      </c>
      <c r="AH24" s="39">
        <f t="shared" si="56"/>
        <v>-789.163372859025</v>
      </c>
      <c r="AI24" s="39">
        <f t="shared" si="56"/>
        <v>-789.163372859025</v>
      </c>
      <c r="AJ24" s="39">
        <f t="shared" si="56"/>
        <v>-1371.439393939394</v>
      </c>
      <c r="AK24" s="39">
        <f t="shared" si="56"/>
        <v>-1371.439393939394</v>
      </c>
      <c r="AL24" s="39">
        <f t="shared" si="56"/>
        <v>-1371.439393939394</v>
      </c>
      <c r="AM24" s="39">
        <f t="shared" si="56"/>
        <v>-1371.439393939394</v>
      </c>
      <c r="AN24" s="39">
        <f t="shared" si="56"/>
        <v>-1371.439393939394</v>
      </c>
      <c r="AO24" s="39">
        <f t="shared" si="56"/>
        <v>-1371.439393939394</v>
      </c>
      <c r="AP24" s="39">
        <f t="shared" si="56"/>
        <v>-1384.5075757575758</v>
      </c>
      <c r="AQ24" s="39">
        <f t="shared" si="56"/>
        <v>-1384.5075757575758</v>
      </c>
      <c r="AR24" s="39">
        <f t="shared" si="56"/>
        <v>-1384.5075757575758</v>
      </c>
      <c r="AS24" s="39">
        <f t="shared" si="56"/>
        <v>-1392.0075757575758</v>
      </c>
      <c r="AT24" s="39">
        <f t="shared" si="56"/>
        <v>-1392.0075757575758</v>
      </c>
      <c r="AU24" s="39">
        <f t="shared" si="56"/>
        <v>-1392.0075757575758</v>
      </c>
      <c r="AV24" s="39">
        <f t="shared" si="56"/>
        <v>-1397.7242424242427</v>
      </c>
      <c r="AW24" s="39">
        <f t="shared" si="56"/>
        <v>-1397.7242424242427</v>
      </c>
      <c r="AX24" s="39">
        <f t="shared" si="56"/>
        <v>-1397.7242424242427</v>
      </c>
      <c r="AY24" s="39">
        <f t="shared" si="56"/>
        <v>-1397.7242424242427</v>
      </c>
      <c r="AZ24" s="39">
        <f t="shared" si="56"/>
        <v>-1397.7242424242427</v>
      </c>
      <c r="BA24" s="39">
        <f t="shared" si="56"/>
        <v>-1397.7242424242427</v>
      </c>
      <c r="BB24" s="39">
        <f t="shared" si="56"/>
        <v>-1411.1844696969697</v>
      </c>
      <c r="BC24" s="39">
        <f t="shared" si="56"/>
        <v>-1411.1844696969697</v>
      </c>
      <c r="BD24" s="39">
        <f t="shared" si="56"/>
        <v>-1411.1844696969697</v>
      </c>
      <c r="BE24" s="39">
        <f t="shared" si="56"/>
        <v>-1418.9094696969696</v>
      </c>
      <c r="BF24" s="39">
        <f t="shared" si="56"/>
        <v>-1418.9094696969696</v>
      </c>
      <c r="BG24" s="39">
        <f t="shared" si="56"/>
        <v>-1418.9094696969696</v>
      </c>
      <c r="BH24" s="39">
        <f t="shared" si="56"/>
        <v>-1424.7404696969697</v>
      </c>
      <c r="BI24" s="39">
        <f t="shared" si="56"/>
        <v>-1424.7404696969697</v>
      </c>
      <c r="BJ24" s="39">
        <f t="shared" si="56"/>
        <v>-1424.7404696969697</v>
      </c>
      <c r="BK24" s="39">
        <f t="shared" si="56"/>
        <v>-1424.7404696969697</v>
      </c>
      <c r="BL24" s="39">
        <f t="shared" si="56"/>
        <v>-1424.7404696969697</v>
      </c>
      <c r="BM24" s="39">
        <f t="shared" si="56"/>
        <v>-1424.7404696969697</v>
      </c>
      <c r="BN24" s="39">
        <f t="shared" si="56"/>
        <v>-1438.6045037878789</v>
      </c>
      <c r="BO24" s="39">
        <f t="shared" si="56"/>
        <v>-1438.6045037878789</v>
      </c>
      <c r="BP24" s="39">
        <f t="shared" si="56"/>
        <v>-1438.6045037878789</v>
      </c>
      <c r="BQ24" s="39">
        <f t="shared" si="56"/>
        <v>-1446.5612537878787</v>
      </c>
      <c r="BR24" s="39">
        <f t="shared" si="56"/>
        <v>-1446.5612537878787</v>
      </c>
      <c r="BS24" s="39">
        <f t="shared" si="56"/>
        <v>-1446.5612537878787</v>
      </c>
      <c r="BT24" s="39">
        <f t="shared" si="56"/>
        <v>-1452.5088737878787</v>
      </c>
      <c r="BU24" s="39">
        <f t="shared" si="56"/>
        <v>-1452.5088737878787</v>
      </c>
      <c r="BV24" s="39">
        <f t="shared" si="56"/>
        <v>-1452.5088737878787</v>
      </c>
      <c r="BW24" s="39">
        <f t="shared" si="56"/>
        <v>-1452.5088737878787</v>
      </c>
      <c r="BX24" s="39">
        <f t="shared" si="56"/>
        <v>-1452.5088737878787</v>
      </c>
      <c r="BY24" s="39">
        <f t="shared" ref="BY24:EJ24" si="57">-BY23*$G$24</f>
        <v>-1452.5088737878787</v>
      </c>
      <c r="BZ24" s="39">
        <f t="shared" si="57"/>
        <v>-1466.7888289015152</v>
      </c>
      <c r="CA24" s="39">
        <f t="shared" si="57"/>
        <v>-1466.7888289015152</v>
      </c>
      <c r="CB24" s="39">
        <f t="shared" si="57"/>
        <v>-1466.7888289015152</v>
      </c>
      <c r="CC24" s="39">
        <f t="shared" si="57"/>
        <v>-1474.9842814015149</v>
      </c>
      <c r="CD24" s="39">
        <f t="shared" si="57"/>
        <v>-1474.9842814015149</v>
      </c>
      <c r="CE24" s="39">
        <f t="shared" si="57"/>
        <v>-1474.9842814015149</v>
      </c>
      <c r="CF24" s="39">
        <f t="shared" si="57"/>
        <v>-1481.0508538015151</v>
      </c>
      <c r="CG24" s="39">
        <f t="shared" si="57"/>
        <v>-1481.0508538015151</v>
      </c>
      <c r="CH24" s="39">
        <f t="shared" si="57"/>
        <v>-1481.0508538015151</v>
      </c>
      <c r="CI24" s="39">
        <f t="shared" si="57"/>
        <v>-1481.0508538015151</v>
      </c>
      <c r="CJ24" s="39">
        <f t="shared" si="57"/>
        <v>-1481.0508538015151</v>
      </c>
      <c r="CK24" s="39">
        <f t="shared" si="57"/>
        <v>-1481.0508538015151</v>
      </c>
      <c r="CL24" s="39">
        <f t="shared" si="57"/>
        <v>-1495.7592075685604</v>
      </c>
      <c r="CM24" s="39">
        <f t="shared" si="57"/>
        <v>-1495.7592075685604</v>
      </c>
      <c r="CN24" s="39">
        <f t="shared" si="57"/>
        <v>-1495.7592075685604</v>
      </c>
      <c r="CO24" s="39">
        <f t="shared" si="57"/>
        <v>-1504.2005236435607</v>
      </c>
      <c r="CP24" s="39">
        <f t="shared" si="57"/>
        <v>-1504.2005236435607</v>
      </c>
      <c r="CQ24" s="39">
        <f t="shared" si="57"/>
        <v>-1504.2005236435607</v>
      </c>
      <c r="CR24" s="39">
        <f t="shared" si="57"/>
        <v>-1510.3884274915606</v>
      </c>
      <c r="CS24" s="39">
        <f t="shared" si="57"/>
        <v>-1510.3884274915606</v>
      </c>
      <c r="CT24" s="39">
        <f t="shared" si="57"/>
        <v>-1510.3884274915606</v>
      </c>
      <c r="CU24" s="39">
        <f t="shared" si="57"/>
        <v>-1510.3884274915606</v>
      </c>
      <c r="CV24" s="39">
        <f t="shared" si="57"/>
        <v>-1510.3884274915606</v>
      </c>
      <c r="CW24" s="39">
        <f t="shared" si="57"/>
        <v>-1510.3884274915606</v>
      </c>
      <c r="CX24" s="39">
        <f t="shared" si="57"/>
        <v>-1525.5380318716175</v>
      </c>
      <c r="CY24" s="39">
        <f t="shared" si="57"/>
        <v>-1525.5380318716175</v>
      </c>
      <c r="CZ24" s="39">
        <f t="shared" si="57"/>
        <v>-1525.5380318716175</v>
      </c>
      <c r="DA24" s="39">
        <f t="shared" si="57"/>
        <v>-1534.2325874288672</v>
      </c>
      <c r="DB24" s="39">
        <f t="shared" si="57"/>
        <v>-1534.2325874288672</v>
      </c>
      <c r="DC24" s="39">
        <f t="shared" si="57"/>
        <v>-1534.2325874288672</v>
      </c>
      <c r="DD24" s="39">
        <f t="shared" si="57"/>
        <v>-1540.5442493538274</v>
      </c>
      <c r="DE24" s="39">
        <f t="shared" si="57"/>
        <v>-1540.5442493538274</v>
      </c>
      <c r="DF24" s="39">
        <f t="shared" si="57"/>
        <v>-1540.5442493538274</v>
      </c>
      <c r="DG24" s="39">
        <f t="shared" si="57"/>
        <v>-1540.5442493538274</v>
      </c>
      <c r="DH24" s="39">
        <f t="shared" si="57"/>
        <v>-1540.5442493538274</v>
      </c>
      <c r="DI24" s="39">
        <f t="shared" si="57"/>
        <v>-1540.5442493538274</v>
      </c>
      <c r="DJ24" s="39">
        <f t="shared" si="57"/>
        <v>-1556.1483418652858</v>
      </c>
      <c r="DK24" s="39">
        <f t="shared" si="57"/>
        <v>-1556.1483418652858</v>
      </c>
      <c r="DL24" s="39">
        <f t="shared" si="57"/>
        <v>-1556.1483418652858</v>
      </c>
      <c r="DM24" s="39">
        <f t="shared" si="57"/>
        <v>-1565.1037340892535</v>
      </c>
      <c r="DN24" s="39">
        <f t="shared" si="57"/>
        <v>-1565.1037340892535</v>
      </c>
      <c r="DO24" s="39">
        <f t="shared" si="57"/>
        <v>-1565.1037340892535</v>
      </c>
      <c r="DP24" s="39">
        <f t="shared" si="57"/>
        <v>-1571.5416292527127</v>
      </c>
      <c r="DQ24" s="39">
        <f t="shared" si="57"/>
        <v>-1571.5416292527127</v>
      </c>
      <c r="DR24" s="39">
        <f t="shared" si="57"/>
        <v>-1571.5416292527127</v>
      </c>
      <c r="DS24" s="39">
        <f t="shared" si="57"/>
        <v>-1571.5416292527127</v>
      </c>
      <c r="DT24" s="39">
        <f t="shared" si="57"/>
        <v>-1571.5416292527127</v>
      </c>
      <c r="DU24" s="39">
        <f t="shared" si="57"/>
        <v>-1571.5416292527127</v>
      </c>
      <c r="DV24" s="39">
        <f t="shared" si="57"/>
        <v>-1587.6138445395147</v>
      </c>
      <c r="DW24" s="39">
        <f t="shared" si="57"/>
        <v>-1587.6138445395147</v>
      </c>
      <c r="DX24" s="39">
        <f t="shared" si="57"/>
        <v>-1587.6138445395147</v>
      </c>
      <c r="DY24" s="39">
        <f t="shared" si="57"/>
        <v>-1596.8378985302011</v>
      </c>
      <c r="DZ24" s="39">
        <f t="shared" si="57"/>
        <v>-1596.8378985302011</v>
      </c>
      <c r="EA24" s="39">
        <f t="shared" si="57"/>
        <v>-1596.8378985302011</v>
      </c>
      <c r="EB24" s="39">
        <f t="shared" si="57"/>
        <v>-1603.4045515969297</v>
      </c>
      <c r="EC24" s="39">
        <f t="shared" si="57"/>
        <v>-1603.4045515969297</v>
      </c>
      <c r="ED24" s="39">
        <f t="shared" si="57"/>
        <v>-1603.4045515969297</v>
      </c>
      <c r="EE24" s="39">
        <f t="shared" si="57"/>
        <v>-1603.4045515969297</v>
      </c>
      <c r="EF24" s="39">
        <f t="shared" si="57"/>
        <v>-1603.4045515969297</v>
      </c>
      <c r="EG24" s="39">
        <f t="shared" si="57"/>
        <v>-1603.4045515969297</v>
      </c>
      <c r="EH24" s="39">
        <f t="shared" si="57"/>
        <v>-1619.9589333423362</v>
      </c>
      <c r="EI24" s="39">
        <f t="shared" si="57"/>
        <v>-1619.9589333423362</v>
      </c>
      <c r="EJ24" s="39">
        <f t="shared" si="57"/>
        <v>-1619.9589333423362</v>
      </c>
      <c r="EK24" s="39">
        <f>-EK23*$G$24</f>
        <v>-1629.4597089527431</v>
      </c>
      <c r="EL24" s="39">
        <f>-EL23*$G$24</f>
        <v>-1629.4597089527431</v>
      </c>
      <c r="EM24" s="39">
        <f>-EM23*$G$24</f>
        <v>-1629.4597089527431</v>
      </c>
      <c r="EO24" s="201"/>
      <c r="EP24" s="201"/>
      <c r="EQ24" s="201"/>
      <c r="ER24" s="201"/>
      <c r="ES24" s="201"/>
      <c r="ET24" s="201"/>
      <c r="EU24" s="201"/>
      <c r="EV24" s="201"/>
      <c r="EW24" s="201"/>
      <c r="EX24" s="201"/>
      <c r="EY24" s="201"/>
      <c r="EZ24" s="201"/>
      <c r="FA24" s="201"/>
      <c r="FB24" s="201"/>
      <c r="FC24" s="201"/>
      <c r="FD24" s="201"/>
      <c r="FE24" s="201"/>
      <c r="FF24" s="201"/>
      <c r="FG24" s="201"/>
      <c r="FH24" s="201"/>
      <c r="FI24" s="201"/>
      <c r="FJ24" s="201"/>
      <c r="FK24" s="201"/>
      <c r="FL24" s="201"/>
      <c r="FM24" s="201"/>
      <c r="FN24" s="201"/>
      <c r="FO24" s="201"/>
      <c r="FP24" s="201"/>
      <c r="FQ24" s="201"/>
      <c r="FR24" s="201"/>
      <c r="FS24" s="201"/>
      <c r="FT24" s="201"/>
      <c r="FU24" s="201"/>
      <c r="FV24" s="201"/>
      <c r="FW24" s="201"/>
      <c r="FX24" s="201"/>
      <c r="FY24" s="201"/>
      <c r="FZ24" s="201"/>
      <c r="GA24" s="201"/>
      <c r="GB24" s="201"/>
      <c r="GC24" s="201"/>
      <c r="GD24" s="201"/>
      <c r="GE24" s="201"/>
      <c r="GF24" s="201"/>
      <c r="GG24" s="201"/>
      <c r="GH24" s="201"/>
      <c r="GI24" s="201"/>
      <c r="GJ24" s="201"/>
      <c r="GK24" s="201"/>
      <c r="GL24" s="201"/>
      <c r="GM24" s="201"/>
      <c r="GN24" s="201"/>
      <c r="GO24" s="201"/>
      <c r="GP24" s="201"/>
      <c r="GQ24" s="201"/>
      <c r="GR24" s="201"/>
      <c r="GS24" s="201"/>
      <c r="GT24" s="201"/>
      <c r="GU24" s="201"/>
      <c r="GV24" s="201"/>
      <c r="GW24" s="201"/>
      <c r="GX24" s="201"/>
      <c r="GY24" s="201"/>
      <c r="GZ24" s="201"/>
      <c r="HA24" s="201"/>
      <c r="HB24" s="201"/>
      <c r="HC24" s="201"/>
      <c r="HD24" s="201"/>
      <c r="HE24" s="201"/>
      <c r="HF24" s="201"/>
      <c r="HG24" s="201"/>
      <c r="HH24" s="201"/>
      <c r="HI24" s="201"/>
      <c r="HJ24" s="201"/>
      <c r="HK24" s="201"/>
      <c r="HL24" s="201"/>
      <c r="HM24" s="201"/>
      <c r="HN24" s="201"/>
      <c r="HO24" s="201"/>
      <c r="HP24" s="201"/>
      <c r="HQ24" s="201"/>
      <c r="HR24" s="201"/>
      <c r="HS24" s="201"/>
      <c r="HT24" s="201"/>
      <c r="HU24" s="201"/>
      <c r="HV24" s="201"/>
      <c r="HW24" s="201"/>
      <c r="HX24" s="201"/>
      <c r="HY24" s="201"/>
      <c r="HZ24" s="201"/>
      <c r="IA24" s="201"/>
      <c r="IB24" s="201"/>
      <c r="IC24" s="201"/>
      <c r="ID24" s="201"/>
      <c r="IE24" s="201"/>
      <c r="IF24" s="201"/>
      <c r="IG24" s="201"/>
      <c r="IH24" s="201"/>
      <c r="II24" s="201"/>
      <c r="IJ24" s="201"/>
      <c r="IK24" s="201"/>
      <c r="IL24" s="201"/>
      <c r="IM24" s="201"/>
      <c r="IN24" s="201"/>
      <c r="IO24" s="201"/>
      <c r="IP24" s="201"/>
      <c r="IQ24" s="201"/>
      <c r="IR24" s="201"/>
      <c r="IS24" s="201"/>
      <c r="IT24" s="201"/>
      <c r="IU24" s="201"/>
      <c r="IV24" s="201"/>
      <c r="IW24" s="201"/>
      <c r="IX24" s="201"/>
      <c r="IY24" s="201"/>
      <c r="IZ24" s="201"/>
      <c r="JA24" s="201"/>
      <c r="JB24" s="201"/>
      <c r="JC24" s="201"/>
      <c r="JD24" s="201"/>
      <c r="JE24" s="201"/>
      <c r="JF24" s="201"/>
      <c r="JG24" s="201"/>
      <c r="JH24" s="201"/>
      <c r="JI24" s="201"/>
      <c r="JJ24" s="201"/>
      <c r="JK24" s="201"/>
      <c r="JL24" s="201"/>
      <c r="JM24" s="201"/>
      <c r="JN24" s="201"/>
      <c r="JO24" s="201"/>
      <c r="JP24" s="201"/>
      <c r="JQ24" s="201"/>
      <c r="JR24" s="201"/>
      <c r="JS24" s="201"/>
      <c r="JT24" s="201"/>
      <c r="JU24" s="201"/>
      <c r="JV24" s="201"/>
      <c r="JW24" s="201"/>
    </row>
    <row r="25" spans="1:283" s="83" customFormat="1" ht="12.75" x14ac:dyDescent="0.2">
      <c r="A25" s="412"/>
      <c r="B25" s="92" t="s">
        <v>147</v>
      </c>
      <c r="C25" s="159"/>
      <c r="D25" s="159"/>
      <c r="E25" s="159"/>
      <c r="F25" s="438"/>
      <c r="G25" s="396"/>
      <c r="H25" s="431">
        <f>I25/Units_Retail</f>
        <v>32.914545454545454</v>
      </c>
      <c r="I25" s="434">
        <f>SUM(I23:I24)</f>
        <v>189258.63636363635</v>
      </c>
      <c r="K25" s="38"/>
      <c r="L25" s="38">
        <f>+L23+L24</f>
        <v>0</v>
      </c>
      <c r="M25" s="38">
        <f t="shared" ref="M25:BX25" si="58">+M23+M24</f>
        <v>0</v>
      </c>
      <c r="N25" s="38">
        <f t="shared" si="58"/>
        <v>0</v>
      </c>
      <c r="O25" s="38">
        <f t="shared" si="58"/>
        <v>0</v>
      </c>
      <c r="P25" s="38">
        <f t="shared" si="58"/>
        <v>0</v>
      </c>
      <c r="Q25" s="38">
        <f t="shared" si="58"/>
        <v>0</v>
      </c>
      <c r="R25" s="38">
        <f t="shared" si="58"/>
        <v>0</v>
      </c>
      <c r="S25" s="38">
        <f t="shared" si="58"/>
        <v>0</v>
      </c>
      <c r="T25" s="38">
        <f t="shared" si="58"/>
        <v>0</v>
      </c>
      <c r="U25" s="38">
        <f t="shared" si="58"/>
        <v>0</v>
      </c>
      <c r="V25" s="38">
        <f t="shared" si="58"/>
        <v>0</v>
      </c>
      <c r="W25" s="38">
        <f t="shared" si="58"/>
        <v>0</v>
      </c>
      <c r="X25" s="38">
        <f t="shared" si="58"/>
        <v>0</v>
      </c>
      <c r="Y25" s="38">
        <f t="shared" si="58"/>
        <v>0</v>
      </c>
      <c r="Z25" s="38">
        <f t="shared" si="58"/>
        <v>0</v>
      </c>
      <c r="AA25" s="38">
        <f t="shared" si="58"/>
        <v>0</v>
      </c>
      <c r="AB25" s="38">
        <f t="shared" si="58"/>
        <v>0</v>
      </c>
      <c r="AC25" s="38">
        <f t="shared" si="58"/>
        <v>0</v>
      </c>
      <c r="AD25" s="38">
        <f t="shared" si="58"/>
        <v>340.90909090909088</v>
      </c>
      <c r="AE25" s="38">
        <f t="shared" si="58"/>
        <v>340.90909090909088</v>
      </c>
      <c r="AF25" s="38">
        <f t="shared" si="58"/>
        <v>340.90909090909088</v>
      </c>
      <c r="AG25" s="38">
        <f t="shared" si="58"/>
        <v>9075.378787878788</v>
      </c>
      <c r="AH25" s="38">
        <f t="shared" si="58"/>
        <v>9075.378787878788</v>
      </c>
      <c r="AI25" s="38">
        <f t="shared" si="58"/>
        <v>9075.378787878788</v>
      </c>
      <c r="AJ25" s="38">
        <f t="shared" si="58"/>
        <v>15771.55303030303</v>
      </c>
      <c r="AK25" s="38">
        <f t="shared" si="58"/>
        <v>15771.55303030303</v>
      </c>
      <c r="AL25" s="38">
        <f t="shared" si="58"/>
        <v>15771.55303030303</v>
      </c>
      <c r="AM25" s="38">
        <f t="shared" si="58"/>
        <v>15771.55303030303</v>
      </c>
      <c r="AN25" s="38">
        <f t="shared" si="58"/>
        <v>15771.55303030303</v>
      </c>
      <c r="AO25" s="38">
        <f t="shared" si="58"/>
        <v>15771.55303030303</v>
      </c>
      <c r="AP25" s="38">
        <f t="shared" si="58"/>
        <v>15921.83712121212</v>
      </c>
      <c r="AQ25" s="38">
        <f t="shared" si="58"/>
        <v>15921.83712121212</v>
      </c>
      <c r="AR25" s="38">
        <f t="shared" si="58"/>
        <v>15921.83712121212</v>
      </c>
      <c r="AS25" s="38">
        <f t="shared" si="58"/>
        <v>16008.08712121212</v>
      </c>
      <c r="AT25" s="38">
        <f t="shared" si="58"/>
        <v>16008.08712121212</v>
      </c>
      <c r="AU25" s="38">
        <f t="shared" si="58"/>
        <v>16008.08712121212</v>
      </c>
      <c r="AV25" s="38">
        <f t="shared" si="58"/>
        <v>16073.828787878789</v>
      </c>
      <c r="AW25" s="38">
        <f t="shared" si="58"/>
        <v>16073.828787878789</v>
      </c>
      <c r="AX25" s="38">
        <f t="shared" si="58"/>
        <v>16073.828787878789</v>
      </c>
      <c r="AY25" s="38">
        <f t="shared" si="58"/>
        <v>16073.828787878789</v>
      </c>
      <c r="AZ25" s="38">
        <f t="shared" si="58"/>
        <v>16073.828787878789</v>
      </c>
      <c r="BA25" s="38">
        <f t="shared" si="58"/>
        <v>16073.828787878789</v>
      </c>
      <c r="BB25" s="38">
        <f t="shared" si="58"/>
        <v>16228.621401515151</v>
      </c>
      <c r="BC25" s="38">
        <f t="shared" si="58"/>
        <v>16228.621401515151</v>
      </c>
      <c r="BD25" s="38">
        <f t="shared" si="58"/>
        <v>16228.621401515151</v>
      </c>
      <c r="BE25" s="38">
        <f t="shared" si="58"/>
        <v>16317.458901515151</v>
      </c>
      <c r="BF25" s="38">
        <f t="shared" si="58"/>
        <v>16317.458901515151</v>
      </c>
      <c r="BG25" s="38">
        <f t="shared" si="58"/>
        <v>16317.458901515151</v>
      </c>
      <c r="BH25" s="38">
        <f t="shared" si="58"/>
        <v>16384.515401515149</v>
      </c>
      <c r="BI25" s="38">
        <f t="shared" si="58"/>
        <v>16384.515401515149</v>
      </c>
      <c r="BJ25" s="38">
        <f t="shared" si="58"/>
        <v>16384.515401515149</v>
      </c>
      <c r="BK25" s="38">
        <f t="shared" si="58"/>
        <v>16384.515401515149</v>
      </c>
      <c r="BL25" s="38">
        <f t="shared" si="58"/>
        <v>16384.515401515149</v>
      </c>
      <c r="BM25" s="38">
        <f t="shared" si="58"/>
        <v>16384.515401515149</v>
      </c>
      <c r="BN25" s="38">
        <f t="shared" si="58"/>
        <v>16543.951793560605</v>
      </c>
      <c r="BO25" s="38">
        <f t="shared" si="58"/>
        <v>16543.951793560605</v>
      </c>
      <c r="BP25" s="38">
        <f t="shared" si="58"/>
        <v>16543.951793560605</v>
      </c>
      <c r="BQ25" s="38">
        <f t="shared" si="58"/>
        <v>16635.454418560606</v>
      </c>
      <c r="BR25" s="38">
        <f t="shared" si="58"/>
        <v>16635.454418560606</v>
      </c>
      <c r="BS25" s="38">
        <f t="shared" si="58"/>
        <v>16635.454418560606</v>
      </c>
      <c r="BT25" s="38">
        <f t="shared" si="58"/>
        <v>16703.852048560602</v>
      </c>
      <c r="BU25" s="38">
        <f t="shared" si="58"/>
        <v>16703.852048560602</v>
      </c>
      <c r="BV25" s="38">
        <f t="shared" si="58"/>
        <v>16703.852048560602</v>
      </c>
      <c r="BW25" s="38">
        <f t="shared" si="58"/>
        <v>16703.852048560602</v>
      </c>
      <c r="BX25" s="38">
        <f t="shared" si="58"/>
        <v>16703.852048560602</v>
      </c>
      <c r="BY25" s="38">
        <f t="shared" ref="BY25:EJ25" si="59">+BY23+BY24</f>
        <v>16703.852048560602</v>
      </c>
      <c r="BZ25" s="38">
        <f t="shared" si="59"/>
        <v>16868.071532367427</v>
      </c>
      <c r="CA25" s="38">
        <f t="shared" si="59"/>
        <v>16868.071532367427</v>
      </c>
      <c r="CB25" s="38">
        <f t="shared" si="59"/>
        <v>16868.071532367427</v>
      </c>
      <c r="CC25" s="38">
        <f t="shared" si="59"/>
        <v>16962.319236117422</v>
      </c>
      <c r="CD25" s="38">
        <f t="shared" si="59"/>
        <v>16962.319236117422</v>
      </c>
      <c r="CE25" s="38">
        <f t="shared" si="59"/>
        <v>16962.319236117422</v>
      </c>
      <c r="CF25" s="38">
        <f t="shared" si="59"/>
        <v>17032.084818717423</v>
      </c>
      <c r="CG25" s="38">
        <f t="shared" si="59"/>
        <v>17032.084818717423</v>
      </c>
      <c r="CH25" s="38">
        <f t="shared" si="59"/>
        <v>17032.084818717423</v>
      </c>
      <c r="CI25" s="38">
        <f t="shared" si="59"/>
        <v>17032.084818717423</v>
      </c>
      <c r="CJ25" s="38">
        <f t="shared" si="59"/>
        <v>17032.084818717423</v>
      </c>
      <c r="CK25" s="38">
        <f t="shared" si="59"/>
        <v>17032.084818717423</v>
      </c>
      <c r="CL25" s="38">
        <f t="shared" si="59"/>
        <v>17201.230887038444</v>
      </c>
      <c r="CM25" s="38">
        <f t="shared" si="59"/>
        <v>17201.230887038444</v>
      </c>
      <c r="CN25" s="38">
        <f t="shared" si="59"/>
        <v>17201.230887038444</v>
      </c>
      <c r="CO25" s="38">
        <f t="shared" si="59"/>
        <v>17298.306021900946</v>
      </c>
      <c r="CP25" s="38">
        <f t="shared" si="59"/>
        <v>17298.306021900946</v>
      </c>
      <c r="CQ25" s="38">
        <f t="shared" si="59"/>
        <v>17298.306021900946</v>
      </c>
      <c r="CR25" s="38">
        <f t="shared" si="59"/>
        <v>17369.466916152945</v>
      </c>
      <c r="CS25" s="38">
        <f t="shared" si="59"/>
        <v>17369.466916152945</v>
      </c>
      <c r="CT25" s="38">
        <f t="shared" si="59"/>
        <v>17369.466916152945</v>
      </c>
      <c r="CU25" s="38">
        <f t="shared" si="59"/>
        <v>17369.466916152945</v>
      </c>
      <c r="CV25" s="38">
        <f t="shared" si="59"/>
        <v>17369.466916152945</v>
      </c>
      <c r="CW25" s="38">
        <f t="shared" si="59"/>
        <v>17369.466916152945</v>
      </c>
      <c r="CX25" s="38">
        <f t="shared" si="59"/>
        <v>17543.687366523602</v>
      </c>
      <c r="CY25" s="38">
        <f t="shared" si="59"/>
        <v>17543.687366523602</v>
      </c>
      <c r="CZ25" s="38">
        <f t="shared" si="59"/>
        <v>17543.687366523602</v>
      </c>
      <c r="DA25" s="38">
        <f t="shared" si="59"/>
        <v>17643.674755431974</v>
      </c>
      <c r="DB25" s="38">
        <f t="shared" si="59"/>
        <v>17643.674755431974</v>
      </c>
      <c r="DC25" s="38">
        <f t="shared" si="59"/>
        <v>17643.674755431974</v>
      </c>
      <c r="DD25" s="38">
        <f t="shared" si="59"/>
        <v>17716.258867569013</v>
      </c>
      <c r="DE25" s="38">
        <f t="shared" si="59"/>
        <v>17716.258867569013</v>
      </c>
      <c r="DF25" s="38">
        <f t="shared" si="59"/>
        <v>17716.258867569013</v>
      </c>
      <c r="DG25" s="38">
        <f t="shared" si="59"/>
        <v>17716.258867569013</v>
      </c>
      <c r="DH25" s="38">
        <f t="shared" si="59"/>
        <v>17716.258867569013</v>
      </c>
      <c r="DI25" s="38">
        <f t="shared" si="59"/>
        <v>17716.258867569013</v>
      </c>
      <c r="DJ25" s="38">
        <f t="shared" si="59"/>
        <v>17895.705931450786</v>
      </c>
      <c r="DK25" s="38">
        <f t="shared" si="59"/>
        <v>17895.705931450786</v>
      </c>
      <c r="DL25" s="38">
        <f t="shared" si="59"/>
        <v>17895.705931450786</v>
      </c>
      <c r="DM25" s="38">
        <f t="shared" si="59"/>
        <v>17998.692942026413</v>
      </c>
      <c r="DN25" s="38">
        <f t="shared" si="59"/>
        <v>17998.692942026413</v>
      </c>
      <c r="DO25" s="38">
        <f t="shared" si="59"/>
        <v>17998.692942026413</v>
      </c>
      <c r="DP25" s="38">
        <f t="shared" si="59"/>
        <v>18072.728736406196</v>
      </c>
      <c r="DQ25" s="38">
        <f t="shared" si="59"/>
        <v>18072.728736406196</v>
      </c>
      <c r="DR25" s="38">
        <f t="shared" si="59"/>
        <v>18072.728736406196</v>
      </c>
      <c r="DS25" s="38">
        <f t="shared" si="59"/>
        <v>18072.728736406196</v>
      </c>
      <c r="DT25" s="38">
        <f t="shared" si="59"/>
        <v>18072.728736406196</v>
      </c>
      <c r="DU25" s="38">
        <f t="shared" si="59"/>
        <v>18072.728736406196</v>
      </c>
      <c r="DV25" s="38">
        <f t="shared" si="59"/>
        <v>18257.559212204418</v>
      </c>
      <c r="DW25" s="38">
        <f t="shared" si="59"/>
        <v>18257.559212204418</v>
      </c>
      <c r="DX25" s="38">
        <f t="shared" si="59"/>
        <v>18257.559212204418</v>
      </c>
      <c r="DY25" s="38">
        <f t="shared" si="59"/>
        <v>18363.635833097313</v>
      </c>
      <c r="DZ25" s="38">
        <f t="shared" si="59"/>
        <v>18363.635833097313</v>
      </c>
      <c r="EA25" s="38">
        <f t="shared" si="59"/>
        <v>18363.635833097313</v>
      </c>
      <c r="EB25" s="38">
        <f t="shared" si="59"/>
        <v>18439.152343364691</v>
      </c>
      <c r="EC25" s="38">
        <f t="shared" si="59"/>
        <v>18439.152343364691</v>
      </c>
      <c r="ED25" s="38">
        <f t="shared" si="59"/>
        <v>18439.152343364691</v>
      </c>
      <c r="EE25" s="38">
        <f t="shared" si="59"/>
        <v>18439.152343364691</v>
      </c>
      <c r="EF25" s="38">
        <f t="shared" si="59"/>
        <v>18439.152343364691</v>
      </c>
      <c r="EG25" s="38">
        <f t="shared" si="59"/>
        <v>18439.152343364691</v>
      </c>
      <c r="EH25" s="38">
        <f t="shared" si="59"/>
        <v>18629.527733436866</v>
      </c>
      <c r="EI25" s="38">
        <f t="shared" si="59"/>
        <v>18629.527733436866</v>
      </c>
      <c r="EJ25" s="38">
        <f t="shared" si="59"/>
        <v>18629.527733436866</v>
      </c>
      <c r="EK25" s="38">
        <f>+EK23+EK24</f>
        <v>18738.786652956547</v>
      </c>
      <c r="EL25" s="38">
        <f>+EL23+EL24</f>
        <v>18738.786652956547</v>
      </c>
      <c r="EM25" s="38">
        <f>+EM23+EM24</f>
        <v>18738.786652956547</v>
      </c>
      <c r="EO25" s="202"/>
      <c r="EP25" s="202"/>
      <c r="EQ25" s="202"/>
      <c r="ER25" s="202"/>
      <c r="ES25" s="202"/>
      <c r="ET25" s="202"/>
      <c r="EU25" s="202"/>
      <c r="EV25" s="202"/>
      <c r="EW25" s="202"/>
      <c r="EX25" s="202"/>
      <c r="EY25" s="202"/>
      <c r="EZ25" s="202"/>
      <c r="FA25" s="202"/>
      <c r="FB25" s="202"/>
      <c r="FC25" s="202"/>
      <c r="FD25" s="202"/>
      <c r="FE25" s="202"/>
      <c r="FF25" s="202"/>
      <c r="FG25" s="202"/>
      <c r="FH25" s="202"/>
      <c r="FI25" s="202"/>
      <c r="FJ25" s="202"/>
      <c r="FK25" s="202"/>
      <c r="FL25" s="202"/>
      <c r="FM25" s="202"/>
      <c r="FN25" s="202"/>
      <c r="FO25" s="202"/>
      <c r="FP25" s="202"/>
      <c r="FQ25" s="202"/>
      <c r="FR25" s="202"/>
      <c r="FS25" s="202"/>
      <c r="FT25" s="202"/>
      <c r="FU25" s="202"/>
      <c r="FV25" s="202"/>
      <c r="FW25" s="202"/>
      <c r="FX25" s="202"/>
      <c r="FY25" s="202"/>
      <c r="FZ25" s="202"/>
      <c r="GA25" s="202"/>
      <c r="GB25" s="202"/>
      <c r="GC25" s="202"/>
      <c r="GD25" s="202"/>
      <c r="GE25" s="202"/>
      <c r="GF25" s="202"/>
      <c r="GG25" s="202"/>
      <c r="GH25" s="202"/>
      <c r="GI25" s="202"/>
      <c r="GJ25" s="202"/>
      <c r="GK25" s="202"/>
      <c r="GL25" s="202"/>
      <c r="GM25" s="202"/>
      <c r="GN25" s="202"/>
      <c r="GO25" s="202"/>
      <c r="GP25" s="202"/>
      <c r="GQ25" s="202"/>
      <c r="GR25" s="202"/>
      <c r="GS25" s="202"/>
      <c r="GT25" s="202"/>
      <c r="GU25" s="202"/>
      <c r="GV25" s="202"/>
      <c r="GW25" s="202"/>
      <c r="GX25" s="202"/>
      <c r="GY25" s="202"/>
      <c r="GZ25" s="202"/>
      <c r="HA25" s="202"/>
      <c r="HB25" s="202"/>
      <c r="HC25" s="202"/>
      <c r="HD25" s="202"/>
      <c r="HE25" s="202"/>
      <c r="HF25" s="202"/>
      <c r="HG25" s="202"/>
      <c r="HH25" s="202"/>
      <c r="HI25" s="202"/>
      <c r="HJ25" s="202"/>
      <c r="HK25" s="202"/>
      <c r="HL25" s="202"/>
      <c r="HM25" s="202"/>
      <c r="HN25" s="202"/>
      <c r="HO25" s="202"/>
      <c r="HP25" s="202"/>
      <c r="HQ25" s="202"/>
      <c r="HR25" s="202"/>
      <c r="HS25" s="202"/>
      <c r="HT25" s="202"/>
      <c r="HU25" s="202"/>
      <c r="HV25" s="202"/>
      <c r="HW25" s="202"/>
      <c r="HX25" s="202"/>
      <c r="HY25" s="202"/>
      <c r="HZ25" s="202"/>
      <c r="IA25" s="202"/>
      <c r="IB25" s="202"/>
      <c r="IC25" s="202"/>
      <c r="ID25" s="202"/>
      <c r="IE25" s="202"/>
      <c r="IF25" s="202"/>
      <c r="IG25" s="202"/>
      <c r="IH25" s="202"/>
      <c r="II25" s="202"/>
      <c r="IJ25" s="202"/>
      <c r="IK25" s="202"/>
      <c r="IL25" s="202"/>
      <c r="IM25" s="202"/>
      <c r="IN25" s="202"/>
      <c r="IO25" s="202"/>
      <c r="IP25" s="202"/>
      <c r="IQ25" s="202"/>
      <c r="IR25" s="202"/>
      <c r="IS25" s="202"/>
      <c r="IT25" s="202"/>
      <c r="IU25" s="202"/>
      <c r="IV25" s="202"/>
      <c r="IW25" s="202"/>
      <c r="IX25" s="202"/>
      <c r="IY25" s="202"/>
      <c r="IZ25" s="202"/>
      <c r="JA25" s="202"/>
      <c r="JB25" s="202"/>
      <c r="JC25" s="202"/>
      <c r="JD25" s="202"/>
      <c r="JE25" s="202"/>
      <c r="JF25" s="202"/>
      <c r="JG25" s="202"/>
      <c r="JH25" s="202"/>
      <c r="JI25" s="202"/>
      <c r="JJ25" s="202"/>
      <c r="JK25" s="202"/>
      <c r="JL25" s="202"/>
      <c r="JM25" s="202"/>
      <c r="JN25" s="202"/>
      <c r="JO25" s="202"/>
      <c r="JP25" s="202"/>
      <c r="JQ25" s="202"/>
      <c r="JR25" s="202"/>
      <c r="JS25" s="202"/>
      <c r="JT25" s="202"/>
      <c r="JU25" s="202"/>
      <c r="JV25" s="202"/>
      <c r="JW25" s="202"/>
    </row>
    <row r="26" spans="1:283" ht="5.0999999999999996" customHeight="1" x14ac:dyDescent="0.2">
      <c r="B26" s="429"/>
      <c r="C26" s="120"/>
      <c r="D26" s="120"/>
      <c r="E26" s="120"/>
      <c r="F26" s="133"/>
      <c r="G26" s="123"/>
      <c r="H26" s="123"/>
      <c r="I26" s="124"/>
      <c r="K26" s="38"/>
      <c r="L26" s="38"/>
      <c r="M26" s="38"/>
      <c r="N26" s="38"/>
      <c r="O26" s="38"/>
      <c r="P26" s="38"/>
      <c r="Q26" s="38"/>
      <c r="R26" s="38"/>
      <c r="S26" s="38"/>
      <c r="T26" s="38"/>
      <c r="U26" s="38"/>
      <c r="V26" s="38"/>
      <c r="W26" s="38"/>
      <c r="X26" s="38"/>
      <c r="Y26" s="38"/>
      <c r="Z26" s="38"/>
      <c r="AA26" s="38"/>
      <c r="AB26" s="38"/>
      <c r="AC26" s="38"/>
      <c r="AD26" s="38"/>
      <c r="AE26" s="38"/>
      <c r="AF26" s="38"/>
      <c r="AG26" s="38"/>
      <c r="AH26" s="38"/>
      <c r="AI26" s="38"/>
      <c r="AJ26" s="38"/>
      <c r="AK26" s="38"/>
      <c r="AL26" s="38"/>
      <c r="AM26" s="38"/>
      <c r="AN26" s="38"/>
      <c r="AO26" s="38"/>
      <c r="AP26" s="38"/>
      <c r="AQ26" s="38"/>
      <c r="AR26" s="38"/>
      <c r="AS26" s="38"/>
      <c r="AT26" s="38"/>
      <c r="AU26" s="38"/>
      <c r="AV26" s="38"/>
      <c r="AW26" s="38"/>
      <c r="AX26" s="38"/>
      <c r="AY26" s="38"/>
      <c r="AZ26" s="38"/>
      <c r="BA26" s="38"/>
      <c r="BB26" s="38"/>
      <c r="BC26" s="38"/>
      <c r="BD26" s="38"/>
      <c r="BE26" s="38"/>
      <c r="BF26" s="38"/>
      <c r="BG26" s="38"/>
      <c r="BH26" s="38"/>
      <c r="BI26" s="38"/>
      <c r="BJ26" s="38"/>
      <c r="BK26" s="38"/>
      <c r="BL26" s="38"/>
      <c r="BM26" s="38"/>
      <c r="BN26" s="38"/>
      <c r="BO26" s="38"/>
      <c r="BP26" s="38"/>
      <c r="BQ26" s="38"/>
      <c r="BR26" s="38"/>
      <c r="BS26" s="38"/>
      <c r="BT26" s="38"/>
      <c r="BU26" s="38"/>
      <c r="BV26" s="38"/>
      <c r="BW26" s="38"/>
      <c r="BX26" s="38"/>
      <c r="BY26" s="38"/>
      <c r="BZ26" s="38"/>
      <c r="CA26" s="38"/>
      <c r="CB26" s="38"/>
      <c r="CC26" s="38"/>
      <c r="CD26" s="38"/>
      <c r="CE26" s="38"/>
      <c r="CF26" s="38"/>
      <c r="CG26" s="38"/>
      <c r="CH26" s="38"/>
      <c r="CI26" s="38"/>
      <c r="CJ26" s="38"/>
      <c r="CK26" s="38"/>
      <c r="CL26" s="38"/>
      <c r="CM26" s="38"/>
      <c r="CN26" s="38"/>
      <c r="CO26" s="38"/>
      <c r="CP26" s="38"/>
      <c r="CQ26" s="38"/>
      <c r="CR26" s="38"/>
      <c r="CS26" s="38"/>
      <c r="CT26" s="38"/>
      <c r="CU26" s="38"/>
      <c r="CV26" s="38"/>
      <c r="CW26" s="38"/>
      <c r="CX26" s="38"/>
      <c r="CY26" s="38"/>
      <c r="CZ26" s="38"/>
      <c r="DA26" s="38"/>
      <c r="DB26" s="38"/>
      <c r="DC26" s="38"/>
      <c r="DD26" s="38"/>
      <c r="DE26" s="38"/>
      <c r="DF26" s="38"/>
      <c r="DG26" s="38"/>
      <c r="DH26" s="38"/>
      <c r="DI26" s="38"/>
      <c r="DJ26" s="38"/>
      <c r="DK26" s="38"/>
      <c r="DL26" s="38"/>
      <c r="DM26" s="38"/>
      <c r="DN26" s="38"/>
      <c r="DO26" s="38"/>
      <c r="DP26" s="38"/>
      <c r="DQ26" s="38"/>
      <c r="DR26" s="38"/>
      <c r="DS26" s="38"/>
      <c r="DT26" s="38"/>
      <c r="DU26" s="38"/>
      <c r="DV26" s="38"/>
      <c r="DW26" s="38"/>
      <c r="DX26" s="38"/>
      <c r="DY26" s="38"/>
      <c r="DZ26" s="38"/>
      <c r="EA26" s="38"/>
      <c r="EB26" s="38"/>
      <c r="EC26" s="38"/>
      <c r="ED26" s="38"/>
      <c r="EE26" s="38"/>
      <c r="EF26" s="38"/>
      <c r="EG26" s="38"/>
      <c r="EH26" s="38"/>
      <c r="EI26" s="38"/>
      <c r="EJ26" s="38"/>
      <c r="EK26" s="38"/>
      <c r="EL26" s="38"/>
      <c r="EM26" s="38"/>
      <c r="EO26" s="201"/>
      <c r="EP26" s="201"/>
      <c r="EQ26" s="201"/>
      <c r="ER26" s="201"/>
      <c r="ES26" s="201"/>
      <c r="ET26" s="201"/>
      <c r="EU26" s="201"/>
      <c r="EV26" s="201"/>
      <c r="EW26" s="201"/>
      <c r="EX26" s="201"/>
      <c r="EY26" s="201"/>
      <c r="EZ26" s="201"/>
      <c r="FA26" s="201"/>
      <c r="FB26" s="201"/>
      <c r="FC26" s="201"/>
      <c r="FD26" s="201"/>
      <c r="FE26" s="201"/>
      <c r="FF26" s="201"/>
      <c r="FG26" s="201"/>
      <c r="FH26" s="201"/>
      <c r="FI26" s="201"/>
      <c r="FJ26" s="201"/>
      <c r="FK26" s="201"/>
      <c r="FL26" s="201"/>
      <c r="FM26" s="201"/>
      <c r="FN26" s="201"/>
      <c r="FO26" s="201"/>
      <c r="FP26" s="201"/>
      <c r="FQ26" s="201"/>
      <c r="FR26" s="201"/>
      <c r="FS26" s="201"/>
      <c r="FT26" s="201"/>
      <c r="FU26" s="201"/>
      <c r="FV26" s="201"/>
      <c r="FW26" s="201"/>
      <c r="FX26" s="201"/>
      <c r="FY26" s="201"/>
      <c r="FZ26" s="201"/>
      <c r="GA26" s="201"/>
      <c r="GB26" s="201"/>
      <c r="GC26" s="201"/>
      <c r="GD26" s="201"/>
      <c r="GE26" s="201"/>
      <c r="GF26" s="201"/>
      <c r="GG26" s="201"/>
      <c r="GH26" s="201"/>
      <c r="GI26" s="201"/>
      <c r="GJ26" s="201"/>
      <c r="GK26" s="201"/>
      <c r="GL26" s="201"/>
      <c r="GM26" s="201"/>
      <c r="GN26" s="201"/>
      <c r="GO26" s="201"/>
      <c r="GP26" s="201"/>
      <c r="GQ26" s="201"/>
      <c r="GR26" s="201"/>
      <c r="GS26" s="201"/>
      <c r="GT26" s="201"/>
      <c r="GU26" s="201"/>
      <c r="GV26" s="201"/>
      <c r="GW26" s="201"/>
      <c r="GX26" s="201"/>
      <c r="GY26" s="201"/>
      <c r="GZ26" s="201"/>
      <c r="HA26" s="201"/>
      <c r="HB26" s="201"/>
      <c r="HC26" s="201"/>
      <c r="HD26" s="201"/>
      <c r="HE26" s="201"/>
      <c r="HF26" s="201"/>
      <c r="HG26" s="201"/>
      <c r="HH26" s="201"/>
      <c r="HI26" s="201"/>
      <c r="HJ26" s="201"/>
      <c r="HK26" s="201"/>
      <c r="HL26" s="201"/>
      <c r="HM26" s="201"/>
      <c r="HN26" s="201"/>
      <c r="HO26" s="201"/>
      <c r="HP26" s="201"/>
      <c r="HQ26" s="201"/>
      <c r="HR26" s="201"/>
      <c r="HS26" s="201"/>
      <c r="HT26" s="201"/>
      <c r="HU26" s="201"/>
      <c r="HV26" s="201"/>
      <c r="HW26" s="201"/>
      <c r="HX26" s="201"/>
      <c r="HY26" s="201"/>
      <c r="HZ26" s="201"/>
      <c r="IA26" s="201"/>
      <c r="IB26" s="201"/>
      <c r="IC26" s="201"/>
      <c r="ID26" s="201"/>
      <c r="IE26" s="201"/>
      <c r="IF26" s="201"/>
      <c r="IG26" s="201"/>
      <c r="IH26" s="201"/>
      <c r="II26" s="201"/>
      <c r="IJ26" s="201"/>
      <c r="IK26" s="201"/>
      <c r="IL26" s="201"/>
      <c r="IM26" s="201"/>
      <c r="IN26" s="201"/>
      <c r="IO26" s="201"/>
      <c r="IP26" s="201"/>
      <c r="IQ26" s="201"/>
      <c r="IR26" s="201"/>
      <c r="IS26" s="201"/>
      <c r="IT26" s="201"/>
      <c r="IU26" s="201"/>
      <c r="IV26" s="201"/>
      <c r="IW26" s="201"/>
      <c r="IX26" s="201"/>
      <c r="IY26" s="201"/>
      <c r="IZ26" s="201"/>
      <c r="JA26" s="201"/>
      <c r="JB26" s="201"/>
      <c r="JC26" s="201"/>
      <c r="JD26" s="201"/>
      <c r="JE26" s="201"/>
      <c r="JF26" s="201"/>
      <c r="JG26" s="201"/>
      <c r="JH26" s="201"/>
      <c r="JI26" s="201"/>
      <c r="JJ26" s="201"/>
      <c r="JK26" s="201"/>
      <c r="JL26" s="201"/>
      <c r="JM26" s="201"/>
      <c r="JN26" s="201"/>
      <c r="JO26" s="201"/>
      <c r="JP26" s="201"/>
      <c r="JQ26" s="201"/>
      <c r="JR26" s="201"/>
      <c r="JS26" s="201"/>
      <c r="JT26" s="201"/>
      <c r="JU26" s="201"/>
      <c r="JV26" s="201"/>
      <c r="JW26" s="201"/>
    </row>
    <row r="27" spans="1:283" x14ac:dyDescent="0.2">
      <c r="B27" s="12" t="s">
        <v>318</v>
      </c>
      <c r="C27" s="10"/>
      <c r="D27" s="10"/>
      <c r="E27" s="10"/>
      <c r="F27" s="10"/>
      <c r="G27" s="10"/>
      <c r="H27" s="10"/>
      <c r="I27" s="10"/>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c r="AK27" s="38"/>
      <c r="AL27" s="38"/>
      <c r="AM27" s="38"/>
      <c r="AN27" s="38"/>
      <c r="AO27" s="38"/>
      <c r="AP27" s="38"/>
      <c r="AQ27" s="38"/>
      <c r="AR27" s="38"/>
      <c r="AS27" s="38"/>
      <c r="AT27" s="38"/>
      <c r="AU27" s="38"/>
      <c r="AV27" s="38"/>
      <c r="AW27" s="38"/>
      <c r="AX27" s="38"/>
      <c r="AY27" s="38"/>
      <c r="AZ27" s="38"/>
      <c r="BA27" s="38"/>
      <c r="BB27" s="38"/>
      <c r="BC27" s="38"/>
      <c r="BD27" s="38"/>
      <c r="BE27" s="38"/>
      <c r="BF27" s="38"/>
      <c r="BG27" s="38"/>
      <c r="BH27" s="38"/>
      <c r="BI27" s="38"/>
      <c r="BJ27" s="38"/>
      <c r="BK27" s="38"/>
      <c r="BL27" s="38"/>
      <c r="BM27" s="38"/>
      <c r="BN27" s="38"/>
      <c r="BO27" s="38"/>
      <c r="BP27" s="38"/>
      <c r="BQ27" s="38"/>
      <c r="BR27" s="38"/>
      <c r="BS27" s="38"/>
      <c r="BT27" s="38"/>
      <c r="BU27" s="38"/>
      <c r="BV27" s="38"/>
      <c r="BW27" s="38"/>
      <c r="BX27" s="38"/>
      <c r="BY27" s="38"/>
      <c r="BZ27" s="38"/>
      <c r="CA27" s="38"/>
      <c r="CB27" s="38"/>
      <c r="CC27" s="38"/>
      <c r="CD27" s="38"/>
      <c r="CE27" s="38"/>
      <c r="CF27" s="38"/>
      <c r="CG27" s="38"/>
      <c r="CH27" s="38"/>
      <c r="CI27" s="38"/>
      <c r="CJ27" s="38"/>
      <c r="CK27" s="38"/>
      <c r="CL27" s="38"/>
      <c r="CM27" s="38"/>
      <c r="CN27" s="38"/>
      <c r="CO27" s="38"/>
      <c r="CP27" s="38"/>
      <c r="CQ27" s="38"/>
      <c r="CR27" s="38"/>
      <c r="CS27" s="38"/>
      <c r="CT27" s="38"/>
      <c r="CU27" s="38"/>
      <c r="CV27" s="38"/>
      <c r="CW27" s="38"/>
      <c r="CX27" s="38"/>
      <c r="CY27" s="38"/>
      <c r="CZ27" s="38"/>
      <c r="DA27" s="38"/>
      <c r="DB27" s="38"/>
      <c r="DC27" s="38"/>
      <c r="DD27" s="38"/>
      <c r="DE27" s="38"/>
      <c r="DF27" s="38"/>
      <c r="DG27" s="38"/>
      <c r="DH27" s="38"/>
      <c r="DI27" s="38"/>
      <c r="DJ27" s="38"/>
      <c r="DK27" s="38"/>
      <c r="DL27" s="38"/>
      <c r="DM27" s="38"/>
      <c r="DN27" s="38"/>
      <c r="DO27" s="38"/>
      <c r="DP27" s="38"/>
      <c r="DQ27" s="38"/>
      <c r="DR27" s="38"/>
      <c r="DS27" s="38"/>
      <c r="DT27" s="38"/>
      <c r="DU27" s="38"/>
      <c r="DV27" s="38"/>
      <c r="DW27" s="38"/>
      <c r="DX27" s="38"/>
      <c r="DY27" s="38"/>
      <c r="DZ27" s="38"/>
      <c r="EA27" s="38"/>
      <c r="EB27" s="38"/>
      <c r="EC27" s="38"/>
      <c r="ED27" s="38"/>
      <c r="EE27" s="38"/>
      <c r="EF27" s="38"/>
      <c r="EG27" s="38"/>
      <c r="EH27" s="38"/>
      <c r="EI27" s="38"/>
      <c r="EJ27" s="38"/>
      <c r="EK27" s="38"/>
      <c r="EL27" s="38"/>
      <c r="EM27" s="38"/>
      <c r="EO27" s="201"/>
      <c r="EP27" s="201"/>
      <c r="EQ27" s="201"/>
      <c r="ER27" s="201"/>
      <c r="ES27" s="201"/>
      <c r="ET27" s="201"/>
      <c r="EU27" s="201"/>
      <c r="EV27" s="201"/>
      <c r="EW27" s="201"/>
      <c r="EX27" s="201"/>
      <c r="EY27" s="201"/>
      <c r="EZ27" s="201"/>
      <c r="FA27" s="201"/>
      <c r="FB27" s="201"/>
      <c r="FC27" s="201"/>
      <c r="FD27" s="201"/>
      <c r="FE27" s="201"/>
      <c r="FF27" s="201"/>
      <c r="FG27" s="201"/>
      <c r="FH27" s="201"/>
      <c r="FI27" s="201"/>
      <c r="FJ27" s="201"/>
      <c r="FK27" s="201"/>
      <c r="FL27" s="201"/>
      <c r="FM27" s="201"/>
      <c r="FN27" s="201"/>
      <c r="FO27" s="201"/>
      <c r="FP27" s="201"/>
      <c r="FQ27" s="201"/>
      <c r="FR27" s="201"/>
      <c r="FS27" s="201"/>
      <c r="FT27" s="201"/>
      <c r="FU27" s="201"/>
      <c r="FV27" s="201"/>
      <c r="FW27" s="201"/>
      <c r="FX27" s="201"/>
      <c r="FY27" s="201"/>
      <c r="FZ27" s="201"/>
      <c r="GA27" s="201"/>
      <c r="GB27" s="201"/>
      <c r="GC27" s="201"/>
      <c r="GD27" s="201"/>
      <c r="GE27" s="201"/>
      <c r="GF27" s="201"/>
      <c r="GG27" s="201"/>
      <c r="GH27" s="201"/>
      <c r="GI27" s="201"/>
      <c r="GJ27" s="201"/>
      <c r="GK27" s="201"/>
      <c r="GL27" s="201"/>
      <c r="GM27" s="201"/>
      <c r="GN27" s="201"/>
      <c r="GO27" s="201"/>
      <c r="GP27" s="201"/>
      <c r="GQ27" s="201"/>
      <c r="GR27" s="201"/>
      <c r="GS27" s="201"/>
      <c r="GT27" s="201"/>
      <c r="GU27" s="201"/>
      <c r="GV27" s="201"/>
      <c r="GW27" s="201"/>
      <c r="GX27" s="201"/>
      <c r="GY27" s="201"/>
      <c r="GZ27" s="201"/>
      <c r="HA27" s="201"/>
      <c r="HB27" s="201"/>
      <c r="HC27" s="201"/>
      <c r="HD27" s="201"/>
      <c r="HE27" s="201"/>
      <c r="HF27" s="201"/>
      <c r="HG27" s="201"/>
      <c r="HH27" s="201"/>
      <c r="HI27" s="201"/>
      <c r="HJ27" s="201"/>
      <c r="HK27" s="201"/>
      <c r="HL27" s="201"/>
      <c r="HM27" s="201"/>
      <c r="HN27" s="201"/>
      <c r="HO27" s="201"/>
      <c r="HP27" s="201"/>
      <c r="HQ27" s="201"/>
      <c r="HR27" s="201"/>
      <c r="HS27" s="201"/>
      <c r="HT27" s="201"/>
      <c r="HU27" s="201"/>
      <c r="HV27" s="201"/>
      <c r="HW27" s="201"/>
      <c r="HX27" s="201"/>
      <c r="HY27" s="201"/>
      <c r="HZ27" s="201"/>
      <c r="IA27" s="201"/>
      <c r="IB27" s="201"/>
      <c r="IC27" s="201"/>
      <c r="ID27" s="201"/>
      <c r="IE27" s="201"/>
      <c r="IF27" s="201"/>
      <c r="IG27" s="201"/>
      <c r="IH27" s="201"/>
      <c r="II27" s="201"/>
      <c r="IJ27" s="201"/>
      <c r="IK27" s="201"/>
      <c r="IL27" s="201"/>
      <c r="IM27" s="201"/>
      <c r="IN27" s="201"/>
      <c r="IO27" s="201"/>
      <c r="IP27" s="201"/>
      <c r="IQ27" s="201"/>
      <c r="IR27" s="201"/>
      <c r="IS27" s="201"/>
      <c r="IT27" s="201"/>
      <c r="IU27" s="201"/>
      <c r="IV27" s="201"/>
      <c r="IW27" s="201"/>
      <c r="IX27" s="201"/>
      <c r="IY27" s="201"/>
      <c r="IZ27" s="201"/>
      <c r="JA27" s="201"/>
      <c r="JB27" s="201"/>
      <c r="JC27" s="201"/>
      <c r="JD27" s="201"/>
      <c r="JE27" s="201"/>
      <c r="JF27" s="201"/>
      <c r="JG27" s="201"/>
      <c r="JH27" s="201"/>
      <c r="JI27" s="201"/>
      <c r="JJ27" s="201"/>
      <c r="JK27" s="201"/>
      <c r="JL27" s="201"/>
      <c r="JM27" s="201"/>
      <c r="JN27" s="201"/>
      <c r="JO27" s="201"/>
      <c r="JP27" s="201"/>
      <c r="JQ27" s="201"/>
      <c r="JR27" s="201"/>
      <c r="JS27" s="201"/>
      <c r="JT27" s="201"/>
      <c r="JU27" s="201"/>
      <c r="JV27" s="201"/>
      <c r="JW27" s="201"/>
    </row>
    <row r="28" spans="1:283" s="7" customFormat="1" x14ac:dyDescent="0.2">
      <c r="A28" s="406"/>
      <c r="B28" s="101" t="s">
        <v>330</v>
      </c>
      <c r="C28" s="102"/>
      <c r="D28" s="102"/>
      <c r="E28" s="102" t="s">
        <v>150</v>
      </c>
      <c r="F28" s="102" t="s">
        <v>337</v>
      </c>
      <c r="G28" s="116" t="s">
        <v>130</v>
      </c>
      <c r="H28" s="437" t="str">
        <f>+H24</f>
        <v>/SF/YR</v>
      </c>
      <c r="I28" s="102" t="s">
        <v>129</v>
      </c>
      <c r="EO28" s="24"/>
      <c r="EP28" s="24"/>
      <c r="EQ28" s="59"/>
      <c r="ER28" s="24"/>
      <c r="ES28" s="24"/>
      <c r="ET28" s="24"/>
      <c r="EU28" s="24"/>
      <c r="EV28" s="30"/>
      <c r="EW28" s="30"/>
      <c r="EX28" s="30"/>
      <c r="EY28" s="30"/>
      <c r="EZ28" s="30"/>
      <c r="FA28" s="30"/>
      <c r="FB28" s="30"/>
      <c r="FC28" s="30"/>
      <c r="FD28" s="30"/>
      <c r="FE28" s="30"/>
      <c r="FF28" s="30"/>
      <c r="FG28" s="30"/>
      <c r="FH28" s="30"/>
      <c r="FI28" s="30"/>
      <c r="FJ28" s="30"/>
      <c r="FK28" s="30"/>
      <c r="FL28" s="30"/>
      <c r="FM28" s="30"/>
      <c r="FN28" s="30"/>
      <c r="FO28" s="30"/>
      <c r="FP28" s="30"/>
      <c r="FQ28" s="30"/>
      <c r="FR28" s="30"/>
      <c r="FS28" s="30"/>
      <c r="FT28" s="30"/>
      <c r="FU28" s="30"/>
      <c r="FV28" s="30"/>
      <c r="FW28" s="30"/>
      <c r="FX28" s="30"/>
      <c r="FY28" s="30"/>
      <c r="FZ28" s="30"/>
      <c r="GA28" s="30"/>
      <c r="GB28" s="30"/>
      <c r="GC28" s="30"/>
      <c r="GD28" s="30"/>
      <c r="GE28" s="30"/>
      <c r="GF28" s="30"/>
      <c r="GG28" s="30"/>
      <c r="GH28" s="30"/>
      <c r="GI28" s="30"/>
      <c r="GJ28" s="30"/>
      <c r="GK28" s="30"/>
      <c r="GL28" s="30"/>
      <c r="GM28" s="30"/>
      <c r="GN28" s="30"/>
      <c r="GO28" s="30"/>
      <c r="GP28" s="30"/>
      <c r="GQ28" s="30"/>
      <c r="GR28" s="30"/>
      <c r="GS28" s="30"/>
      <c r="GT28" s="30"/>
      <c r="GU28" s="30"/>
      <c r="GV28" s="30"/>
      <c r="GW28" s="30"/>
      <c r="GX28" s="30"/>
      <c r="GY28" s="30"/>
      <c r="GZ28" s="30"/>
      <c r="HA28" s="30"/>
      <c r="HB28" s="30"/>
      <c r="HC28" s="30"/>
      <c r="HD28" s="30"/>
      <c r="HE28" s="30"/>
      <c r="HF28" s="30"/>
      <c r="HG28" s="30"/>
      <c r="HH28" s="30"/>
      <c r="HI28" s="30"/>
      <c r="HJ28" s="30"/>
      <c r="HK28" s="30"/>
      <c r="HL28" s="30"/>
      <c r="HM28" s="30"/>
      <c r="HN28" s="30"/>
      <c r="HO28" s="30"/>
      <c r="HP28" s="30"/>
      <c r="HQ28" s="30"/>
      <c r="HR28" s="30"/>
      <c r="HS28" s="30"/>
      <c r="HT28" s="30"/>
      <c r="HU28" s="30"/>
      <c r="HV28" s="30"/>
      <c r="HW28" s="30"/>
      <c r="HX28" s="30"/>
      <c r="HY28" s="30"/>
      <c r="HZ28" s="30"/>
      <c r="IA28" s="30"/>
      <c r="IB28" s="30"/>
      <c r="IC28" s="30"/>
      <c r="ID28" s="30"/>
      <c r="IE28" s="30"/>
      <c r="IF28" s="30"/>
      <c r="IG28" s="30"/>
      <c r="IH28" s="30"/>
      <c r="II28" s="30"/>
      <c r="IJ28" s="30"/>
      <c r="IK28" s="30"/>
      <c r="IL28" s="30"/>
      <c r="IM28" s="30"/>
      <c r="IN28" s="30"/>
      <c r="IO28" s="30"/>
      <c r="IP28" s="30"/>
      <c r="IQ28" s="30"/>
      <c r="IR28" s="30"/>
      <c r="IS28" s="30"/>
      <c r="IT28" s="30"/>
      <c r="IU28" s="30"/>
      <c r="IV28" s="30"/>
      <c r="IW28" s="30"/>
      <c r="IX28" s="30"/>
      <c r="IY28" s="30"/>
      <c r="IZ28" s="30"/>
      <c r="JA28" s="30"/>
      <c r="JB28" s="30"/>
      <c r="JC28" s="30"/>
      <c r="JD28" s="30"/>
      <c r="JE28" s="30"/>
      <c r="JF28" s="30"/>
      <c r="JG28" s="30"/>
      <c r="JH28" s="30"/>
      <c r="JI28" s="30"/>
      <c r="JJ28" s="30"/>
      <c r="JK28" s="30"/>
      <c r="JL28" s="30"/>
      <c r="JM28" s="30"/>
      <c r="JN28" s="30"/>
      <c r="JO28" s="30"/>
      <c r="JP28" s="30"/>
      <c r="JQ28" s="30"/>
      <c r="JR28" s="30"/>
      <c r="JS28" s="30"/>
      <c r="JT28" s="30"/>
      <c r="JU28" s="30"/>
      <c r="JV28" s="30"/>
      <c r="JW28" s="30"/>
    </row>
    <row r="29" spans="1:283" s="7" customFormat="1" x14ac:dyDescent="0.2">
      <c r="A29" s="406"/>
      <c r="B29" s="141" t="s">
        <v>331</v>
      </c>
      <c r="C29" s="120"/>
      <c r="D29" s="120"/>
      <c r="E29" s="176">
        <v>0</v>
      </c>
      <c r="F29" s="122">
        <f>Underwriting!$D$114</f>
        <v>0.03</v>
      </c>
      <c r="G29" s="123">
        <f>I29/Units</f>
        <v>41.818181818181813</v>
      </c>
      <c r="H29" s="424">
        <v>2.1818181818181817</v>
      </c>
      <c r="I29" s="136">
        <f>+H29*Units_Retail</f>
        <v>12545.454545454544</v>
      </c>
      <c r="L29" s="38">
        <f>$I29/12*L$9*(1+$F29)^(ROUNDUP(L$10/12,0)-1)</f>
        <v>0</v>
      </c>
      <c r="M29" s="38">
        <f t="shared" ref="M29:BX32" si="60">$I29/12*M$9*(1+$F29)^(ROUNDUP(M$10/12,0)-1)</f>
        <v>0</v>
      </c>
      <c r="N29" s="38">
        <f t="shared" si="60"/>
        <v>0</v>
      </c>
      <c r="O29" s="38">
        <f t="shared" si="60"/>
        <v>0</v>
      </c>
      <c r="P29" s="38">
        <f t="shared" si="60"/>
        <v>0</v>
      </c>
      <c r="Q29" s="38">
        <f t="shared" si="60"/>
        <v>0</v>
      </c>
      <c r="R29" s="38">
        <f t="shared" si="60"/>
        <v>0</v>
      </c>
      <c r="S29" s="38">
        <f t="shared" si="60"/>
        <v>0</v>
      </c>
      <c r="T29" s="38">
        <f t="shared" si="60"/>
        <v>0</v>
      </c>
      <c r="U29" s="38">
        <f t="shared" si="60"/>
        <v>0</v>
      </c>
      <c r="V29" s="38">
        <f t="shared" si="60"/>
        <v>0</v>
      </c>
      <c r="W29" s="38">
        <f t="shared" si="60"/>
        <v>0</v>
      </c>
      <c r="X29" s="38">
        <f t="shared" si="60"/>
        <v>0</v>
      </c>
      <c r="Y29" s="38">
        <f t="shared" si="60"/>
        <v>0</v>
      </c>
      <c r="Z29" s="38">
        <f t="shared" si="60"/>
        <v>0</v>
      </c>
      <c r="AA29" s="38">
        <f t="shared" si="60"/>
        <v>0</v>
      </c>
      <c r="AB29" s="38">
        <f t="shared" si="60"/>
        <v>0</v>
      </c>
      <c r="AC29" s="38">
        <f t="shared" si="60"/>
        <v>0</v>
      </c>
      <c r="AD29" s="38">
        <f t="shared" si="60"/>
        <v>272.72727272727269</v>
      </c>
      <c r="AE29" s="38">
        <f t="shared" si="60"/>
        <v>272.72727272727269</v>
      </c>
      <c r="AF29" s="38">
        <f t="shared" si="60"/>
        <v>272.72727272727269</v>
      </c>
      <c r="AG29" s="38">
        <f t="shared" si="60"/>
        <v>590.90909090909076</v>
      </c>
      <c r="AH29" s="38">
        <f t="shared" si="60"/>
        <v>590.90909090909076</v>
      </c>
      <c r="AI29" s="38">
        <f t="shared" si="60"/>
        <v>590.90909090909076</v>
      </c>
      <c r="AJ29" s="38">
        <f t="shared" si="60"/>
        <v>1045.4545454545453</v>
      </c>
      <c r="AK29" s="38">
        <f t="shared" si="60"/>
        <v>1045.4545454545453</v>
      </c>
      <c r="AL29" s="38">
        <f t="shared" si="60"/>
        <v>1045.4545454545453</v>
      </c>
      <c r="AM29" s="38">
        <f t="shared" si="60"/>
        <v>1045.4545454545453</v>
      </c>
      <c r="AN29" s="38">
        <f t="shared" si="60"/>
        <v>1045.4545454545453</v>
      </c>
      <c r="AO29" s="38">
        <f t="shared" si="60"/>
        <v>1045.4545454545453</v>
      </c>
      <c r="AP29" s="38">
        <f t="shared" si="60"/>
        <v>1076.8181818181818</v>
      </c>
      <c r="AQ29" s="38">
        <f t="shared" si="60"/>
        <v>1076.8181818181818</v>
      </c>
      <c r="AR29" s="38">
        <f t="shared" si="60"/>
        <v>1076.8181818181818</v>
      </c>
      <c r="AS29" s="38">
        <f t="shared" si="60"/>
        <v>1076.8181818181818</v>
      </c>
      <c r="AT29" s="38">
        <f t="shared" si="60"/>
        <v>1076.8181818181818</v>
      </c>
      <c r="AU29" s="38">
        <f t="shared" si="60"/>
        <v>1076.8181818181818</v>
      </c>
      <c r="AV29" s="38">
        <f t="shared" si="60"/>
        <v>1076.8181818181818</v>
      </c>
      <c r="AW29" s="38">
        <f t="shared" si="60"/>
        <v>1076.8181818181818</v>
      </c>
      <c r="AX29" s="38">
        <f t="shared" si="60"/>
        <v>1076.8181818181818</v>
      </c>
      <c r="AY29" s="38">
        <f t="shared" si="60"/>
        <v>1076.8181818181818</v>
      </c>
      <c r="AZ29" s="38">
        <f t="shared" si="60"/>
        <v>1076.8181818181818</v>
      </c>
      <c r="BA29" s="38">
        <f t="shared" si="60"/>
        <v>1076.8181818181818</v>
      </c>
      <c r="BB29" s="38">
        <f t="shared" si="60"/>
        <v>1109.1227272727269</v>
      </c>
      <c r="BC29" s="38">
        <f t="shared" si="60"/>
        <v>1109.1227272727269</v>
      </c>
      <c r="BD29" s="38">
        <f t="shared" si="60"/>
        <v>1109.1227272727269</v>
      </c>
      <c r="BE29" s="38">
        <f t="shared" si="60"/>
        <v>1109.1227272727269</v>
      </c>
      <c r="BF29" s="38">
        <f t="shared" si="60"/>
        <v>1109.1227272727269</v>
      </c>
      <c r="BG29" s="38">
        <f t="shared" si="60"/>
        <v>1109.1227272727269</v>
      </c>
      <c r="BH29" s="38">
        <f t="shared" si="60"/>
        <v>1109.1227272727269</v>
      </c>
      <c r="BI29" s="38">
        <f t="shared" si="60"/>
        <v>1109.1227272727269</v>
      </c>
      <c r="BJ29" s="38">
        <f t="shared" si="60"/>
        <v>1109.1227272727269</v>
      </c>
      <c r="BK29" s="38">
        <f t="shared" si="60"/>
        <v>1109.1227272727269</v>
      </c>
      <c r="BL29" s="38">
        <f t="shared" si="60"/>
        <v>1109.1227272727269</v>
      </c>
      <c r="BM29" s="38">
        <f t="shared" si="60"/>
        <v>1109.1227272727269</v>
      </c>
      <c r="BN29" s="38">
        <f t="shared" si="60"/>
        <v>1142.3964090909089</v>
      </c>
      <c r="BO29" s="38">
        <f t="shared" si="60"/>
        <v>1142.3964090909089</v>
      </c>
      <c r="BP29" s="38">
        <f t="shared" si="60"/>
        <v>1142.3964090909089</v>
      </c>
      <c r="BQ29" s="38">
        <f t="shared" si="60"/>
        <v>1142.3964090909089</v>
      </c>
      <c r="BR29" s="38">
        <f t="shared" si="60"/>
        <v>1142.3964090909089</v>
      </c>
      <c r="BS29" s="38">
        <f t="shared" si="60"/>
        <v>1142.3964090909089</v>
      </c>
      <c r="BT29" s="38">
        <f t="shared" si="60"/>
        <v>1142.3964090909089</v>
      </c>
      <c r="BU29" s="38">
        <f t="shared" si="60"/>
        <v>1142.3964090909089</v>
      </c>
      <c r="BV29" s="38">
        <f t="shared" si="60"/>
        <v>1142.3964090909089</v>
      </c>
      <c r="BW29" s="38">
        <f t="shared" si="60"/>
        <v>1142.3964090909089</v>
      </c>
      <c r="BX29" s="38">
        <f t="shared" si="60"/>
        <v>1142.3964090909089</v>
      </c>
      <c r="BY29" s="38">
        <f t="shared" ref="BY29:EJ32" si="61">$I29/12*BY$9*(1+$F29)^(ROUNDUP(BY$10/12,0)-1)</f>
        <v>1142.3964090909089</v>
      </c>
      <c r="BZ29" s="38">
        <f t="shared" si="61"/>
        <v>1176.6683013636361</v>
      </c>
      <c r="CA29" s="38">
        <f t="shared" si="61"/>
        <v>1176.6683013636361</v>
      </c>
      <c r="CB29" s="38">
        <f t="shared" si="61"/>
        <v>1176.6683013636361</v>
      </c>
      <c r="CC29" s="38">
        <f t="shared" si="61"/>
        <v>1176.6683013636361</v>
      </c>
      <c r="CD29" s="38">
        <f t="shared" si="61"/>
        <v>1176.6683013636361</v>
      </c>
      <c r="CE29" s="38">
        <f t="shared" si="61"/>
        <v>1176.6683013636361</v>
      </c>
      <c r="CF29" s="38">
        <f t="shared" si="61"/>
        <v>1176.6683013636361</v>
      </c>
      <c r="CG29" s="38">
        <f t="shared" si="61"/>
        <v>1176.6683013636361</v>
      </c>
      <c r="CH29" s="38">
        <f t="shared" si="61"/>
        <v>1176.6683013636361</v>
      </c>
      <c r="CI29" s="38">
        <f t="shared" si="61"/>
        <v>1176.6683013636361</v>
      </c>
      <c r="CJ29" s="38">
        <f t="shared" si="61"/>
        <v>1176.6683013636361</v>
      </c>
      <c r="CK29" s="38">
        <f t="shared" si="61"/>
        <v>1176.6683013636361</v>
      </c>
      <c r="CL29" s="38">
        <f t="shared" si="61"/>
        <v>1211.9683504045452</v>
      </c>
      <c r="CM29" s="38">
        <f t="shared" si="61"/>
        <v>1211.9683504045452</v>
      </c>
      <c r="CN29" s="38">
        <f t="shared" si="61"/>
        <v>1211.9683504045452</v>
      </c>
      <c r="CO29" s="38">
        <f t="shared" si="61"/>
        <v>1211.9683504045452</v>
      </c>
      <c r="CP29" s="38">
        <f t="shared" si="61"/>
        <v>1211.9683504045452</v>
      </c>
      <c r="CQ29" s="38">
        <f t="shared" si="61"/>
        <v>1211.9683504045452</v>
      </c>
      <c r="CR29" s="38">
        <f t="shared" si="61"/>
        <v>1211.9683504045452</v>
      </c>
      <c r="CS29" s="38">
        <f t="shared" si="61"/>
        <v>1211.9683504045452</v>
      </c>
      <c r="CT29" s="38">
        <f t="shared" si="61"/>
        <v>1211.9683504045452</v>
      </c>
      <c r="CU29" s="38">
        <f t="shared" si="61"/>
        <v>1211.9683504045452</v>
      </c>
      <c r="CV29" s="38">
        <f t="shared" si="61"/>
        <v>1211.9683504045452</v>
      </c>
      <c r="CW29" s="38">
        <f t="shared" si="61"/>
        <v>1211.9683504045452</v>
      </c>
      <c r="CX29" s="38">
        <f t="shared" si="61"/>
        <v>1248.3274009166814</v>
      </c>
      <c r="CY29" s="38">
        <f t="shared" si="61"/>
        <v>1248.3274009166814</v>
      </c>
      <c r="CZ29" s="38">
        <f t="shared" si="61"/>
        <v>1248.3274009166814</v>
      </c>
      <c r="DA29" s="38">
        <f t="shared" si="61"/>
        <v>1248.3274009166814</v>
      </c>
      <c r="DB29" s="38">
        <f t="shared" si="61"/>
        <v>1248.3274009166814</v>
      </c>
      <c r="DC29" s="38">
        <f t="shared" si="61"/>
        <v>1248.3274009166814</v>
      </c>
      <c r="DD29" s="38">
        <f t="shared" si="61"/>
        <v>1248.3274009166814</v>
      </c>
      <c r="DE29" s="38">
        <f t="shared" si="61"/>
        <v>1248.3274009166814</v>
      </c>
      <c r="DF29" s="38">
        <f t="shared" si="61"/>
        <v>1248.3274009166814</v>
      </c>
      <c r="DG29" s="38">
        <f t="shared" si="61"/>
        <v>1248.3274009166814</v>
      </c>
      <c r="DH29" s="38">
        <f t="shared" si="61"/>
        <v>1248.3274009166814</v>
      </c>
      <c r="DI29" s="38">
        <f t="shared" si="61"/>
        <v>1248.3274009166814</v>
      </c>
      <c r="DJ29" s="38">
        <f t="shared" si="61"/>
        <v>1285.7772229441821</v>
      </c>
      <c r="DK29" s="38">
        <f t="shared" si="61"/>
        <v>1285.7772229441821</v>
      </c>
      <c r="DL29" s="38">
        <f t="shared" si="61"/>
        <v>1285.7772229441821</v>
      </c>
      <c r="DM29" s="38">
        <f t="shared" si="61"/>
        <v>1285.7772229441821</v>
      </c>
      <c r="DN29" s="38">
        <f t="shared" si="61"/>
        <v>1285.7772229441821</v>
      </c>
      <c r="DO29" s="38">
        <f t="shared" si="61"/>
        <v>1285.7772229441821</v>
      </c>
      <c r="DP29" s="38">
        <f t="shared" si="61"/>
        <v>1285.7772229441821</v>
      </c>
      <c r="DQ29" s="38">
        <f t="shared" si="61"/>
        <v>1285.7772229441821</v>
      </c>
      <c r="DR29" s="38">
        <f t="shared" si="61"/>
        <v>1285.7772229441821</v>
      </c>
      <c r="DS29" s="38">
        <f t="shared" si="61"/>
        <v>1285.7772229441821</v>
      </c>
      <c r="DT29" s="38">
        <f t="shared" si="61"/>
        <v>1285.7772229441821</v>
      </c>
      <c r="DU29" s="38">
        <f t="shared" si="61"/>
        <v>1285.7772229441821</v>
      </c>
      <c r="DV29" s="38">
        <f t="shared" si="61"/>
        <v>1324.3505396325074</v>
      </c>
      <c r="DW29" s="38">
        <f t="shared" si="61"/>
        <v>1324.3505396325074</v>
      </c>
      <c r="DX29" s="38">
        <f t="shared" si="61"/>
        <v>1324.3505396325074</v>
      </c>
      <c r="DY29" s="38">
        <f t="shared" si="61"/>
        <v>1324.3505396325074</v>
      </c>
      <c r="DZ29" s="38">
        <f t="shared" si="61"/>
        <v>1324.3505396325074</v>
      </c>
      <c r="EA29" s="38">
        <f t="shared" si="61"/>
        <v>1324.3505396325074</v>
      </c>
      <c r="EB29" s="38">
        <f t="shared" si="61"/>
        <v>1324.3505396325074</v>
      </c>
      <c r="EC29" s="38">
        <f t="shared" si="61"/>
        <v>1324.3505396325074</v>
      </c>
      <c r="ED29" s="38">
        <f t="shared" si="61"/>
        <v>1324.3505396325074</v>
      </c>
      <c r="EE29" s="38">
        <f t="shared" si="61"/>
        <v>1324.3505396325074</v>
      </c>
      <c r="EF29" s="38">
        <f t="shared" si="61"/>
        <v>1324.3505396325074</v>
      </c>
      <c r="EG29" s="38">
        <f t="shared" si="61"/>
        <v>1324.3505396325074</v>
      </c>
      <c r="EH29" s="38">
        <f t="shared" si="61"/>
        <v>1364.0810558214826</v>
      </c>
      <c r="EI29" s="38">
        <f t="shared" si="61"/>
        <v>1364.0810558214826</v>
      </c>
      <c r="EJ29" s="38">
        <f t="shared" si="61"/>
        <v>1364.0810558214826</v>
      </c>
      <c r="EK29" s="38">
        <f t="shared" ref="EK29:EM32" si="62">$I29/12*EK$9*(1+$F29)^(ROUNDUP(EK$10/12,0)-1)</f>
        <v>1364.0810558214826</v>
      </c>
      <c r="EL29" s="38">
        <f t="shared" si="62"/>
        <v>1364.0810558214826</v>
      </c>
      <c r="EM29" s="38">
        <f t="shared" si="62"/>
        <v>1364.0810558214826</v>
      </c>
      <c r="EO29" s="24"/>
      <c r="EP29" s="24"/>
      <c r="EQ29" s="59"/>
      <c r="ER29" s="24"/>
      <c r="ES29" s="24"/>
      <c r="ET29" s="24"/>
      <c r="EU29" s="24"/>
      <c r="EV29" s="30"/>
      <c r="EW29" s="30"/>
      <c r="EX29" s="30"/>
      <c r="EY29" s="30"/>
      <c r="EZ29" s="30"/>
      <c r="FA29" s="30"/>
      <c r="FB29" s="30"/>
      <c r="FC29" s="30"/>
      <c r="FD29" s="30"/>
      <c r="FE29" s="30"/>
      <c r="FF29" s="30"/>
      <c r="FG29" s="30"/>
      <c r="FH29" s="30"/>
      <c r="FI29" s="30"/>
      <c r="FJ29" s="30"/>
      <c r="FK29" s="30"/>
      <c r="FL29" s="30"/>
      <c r="FM29" s="30"/>
      <c r="FN29" s="30"/>
      <c r="FO29" s="30"/>
      <c r="FP29" s="30"/>
      <c r="FQ29" s="30"/>
      <c r="FR29" s="30"/>
      <c r="FS29" s="30"/>
      <c r="FT29" s="30"/>
      <c r="FU29" s="30"/>
      <c r="FV29" s="30"/>
      <c r="FW29" s="30"/>
      <c r="FX29" s="30"/>
      <c r="FY29" s="30"/>
      <c r="FZ29" s="30"/>
      <c r="GA29" s="30"/>
      <c r="GB29" s="30"/>
      <c r="GC29" s="30"/>
      <c r="GD29" s="30"/>
      <c r="GE29" s="30"/>
      <c r="GF29" s="30"/>
      <c r="GG29" s="30"/>
      <c r="GH29" s="30"/>
      <c r="GI29" s="30"/>
      <c r="GJ29" s="30"/>
      <c r="GK29" s="30"/>
      <c r="GL29" s="30"/>
      <c r="GM29" s="30"/>
      <c r="GN29" s="30"/>
      <c r="GO29" s="30"/>
      <c r="GP29" s="30"/>
      <c r="GQ29" s="30"/>
      <c r="GR29" s="30"/>
      <c r="GS29" s="30"/>
      <c r="GT29" s="30"/>
      <c r="GU29" s="30"/>
      <c r="GV29" s="30"/>
      <c r="GW29" s="30"/>
      <c r="GX29" s="30"/>
      <c r="GY29" s="30"/>
      <c r="GZ29" s="30"/>
      <c r="HA29" s="30"/>
      <c r="HB29" s="30"/>
      <c r="HC29" s="30"/>
      <c r="HD29" s="30"/>
      <c r="HE29" s="30"/>
      <c r="HF29" s="30"/>
      <c r="HG29" s="30"/>
      <c r="HH29" s="30"/>
      <c r="HI29" s="30"/>
      <c r="HJ29" s="30"/>
      <c r="HK29" s="30"/>
      <c r="HL29" s="30"/>
      <c r="HM29" s="30"/>
      <c r="HN29" s="30"/>
      <c r="HO29" s="30"/>
      <c r="HP29" s="30"/>
      <c r="HQ29" s="30"/>
      <c r="HR29" s="30"/>
      <c r="HS29" s="30"/>
      <c r="HT29" s="30"/>
      <c r="HU29" s="30"/>
      <c r="HV29" s="30"/>
      <c r="HW29" s="30"/>
      <c r="HX29" s="30"/>
      <c r="HY29" s="30"/>
      <c r="HZ29" s="30"/>
      <c r="IA29" s="30"/>
      <c r="IB29" s="30"/>
      <c r="IC29" s="30"/>
      <c r="ID29" s="30"/>
      <c r="IE29" s="30"/>
      <c r="IF29" s="30"/>
      <c r="IG29" s="30"/>
      <c r="IH29" s="30"/>
      <c r="II29" s="30"/>
      <c r="IJ29" s="30"/>
      <c r="IK29" s="30"/>
      <c r="IL29" s="30"/>
      <c r="IM29" s="30"/>
      <c r="IN29" s="30"/>
      <c r="IO29" s="30"/>
      <c r="IP29" s="30"/>
      <c r="IQ29" s="30"/>
      <c r="IR29" s="30"/>
      <c r="IS29" s="30"/>
      <c r="IT29" s="30"/>
      <c r="IU29" s="30"/>
      <c r="IV29" s="30"/>
      <c r="IW29" s="30"/>
      <c r="IX29" s="30"/>
      <c r="IY29" s="30"/>
      <c r="IZ29" s="30"/>
      <c r="JA29" s="30"/>
      <c r="JB29" s="30"/>
      <c r="JC29" s="30"/>
      <c r="JD29" s="30"/>
      <c r="JE29" s="30"/>
      <c r="JF29" s="30"/>
      <c r="JG29" s="30"/>
      <c r="JH29" s="30"/>
      <c r="JI29" s="30"/>
      <c r="JJ29" s="30"/>
      <c r="JK29" s="30"/>
      <c r="JL29" s="30"/>
      <c r="JM29" s="30"/>
      <c r="JN29" s="30"/>
      <c r="JO29" s="30"/>
      <c r="JP29" s="30"/>
      <c r="JQ29" s="30"/>
      <c r="JR29" s="30"/>
      <c r="JS29" s="30"/>
      <c r="JT29" s="30"/>
      <c r="JU29" s="30"/>
      <c r="JV29" s="30"/>
      <c r="JW29" s="30"/>
    </row>
    <row r="30" spans="1:283" s="7" customFormat="1" x14ac:dyDescent="0.2">
      <c r="A30" s="406"/>
      <c r="B30" s="141" t="s">
        <v>142</v>
      </c>
      <c r="C30" s="120"/>
      <c r="D30" s="120"/>
      <c r="E30" s="176">
        <v>0</v>
      </c>
      <c r="F30" s="122">
        <f>Underwriting!$D$114</f>
        <v>0.03</v>
      </c>
      <c r="G30" s="123">
        <f>I30/Units</f>
        <v>34.848484848484844</v>
      </c>
      <c r="H30" s="424">
        <v>1.8181818181818181</v>
      </c>
      <c r="I30" s="136">
        <f>+H30*Units_Retail</f>
        <v>10454.545454545454</v>
      </c>
      <c r="L30" s="38">
        <f>$I30/12*L$9*(1+$F30)^(ROUNDUP(L$10/12,0)-1)</f>
        <v>0</v>
      </c>
      <c r="M30" s="38">
        <f t="shared" si="60"/>
        <v>0</v>
      </c>
      <c r="N30" s="38">
        <f t="shared" si="60"/>
        <v>0</v>
      </c>
      <c r="O30" s="38">
        <f t="shared" si="60"/>
        <v>0</v>
      </c>
      <c r="P30" s="38">
        <f t="shared" si="60"/>
        <v>0</v>
      </c>
      <c r="Q30" s="38">
        <f t="shared" si="60"/>
        <v>0</v>
      </c>
      <c r="R30" s="38">
        <f t="shared" si="60"/>
        <v>0</v>
      </c>
      <c r="S30" s="38">
        <f t="shared" si="60"/>
        <v>0</v>
      </c>
      <c r="T30" s="38">
        <f t="shared" si="60"/>
        <v>0</v>
      </c>
      <c r="U30" s="38">
        <f t="shared" si="60"/>
        <v>0</v>
      </c>
      <c r="V30" s="38">
        <f t="shared" si="60"/>
        <v>0</v>
      </c>
      <c r="W30" s="38">
        <f t="shared" si="60"/>
        <v>0</v>
      </c>
      <c r="X30" s="38">
        <f t="shared" si="60"/>
        <v>0</v>
      </c>
      <c r="Y30" s="38">
        <f t="shared" si="60"/>
        <v>0</v>
      </c>
      <c r="Z30" s="38">
        <f t="shared" si="60"/>
        <v>0</v>
      </c>
      <c r="AA30" s="38">
        <f t="shared" si="60"/>
        <v>0</v>
      </c>
      <c r="AB30" s="38">
        <f t="shared" si="60"/>
        <v>0</v>
      </c>
      <c r="AC30" s="38">
        <f t="shared" si="60"/>
        <v>0</v>
      </c>
      <c r="AD30" s="38">
        <f t="shared" si="60"/>
        <v>227.27272727272725</v>
      </c>
      <c r="AE30" s="38">
        <f t="shared" si="60"/>
        <v>227.27272727272725</v>
      </c>
      <c r="AF30" s="38">
        <f t="shared" si="60"/>
        <v>227.27272727272725</v>
      </c>
      <c r="AG30" s="38">
        <f t="shared" si="60"/>
        <v>492.42424242424232</v>
      </c>
      <c r="AH30" s="38">
        <f t="shared" si="60"/>
        <v>492.42424242424232</v>
      </c>
      <c r="AI30" s="38">
        <f t="shared" si="60"/>
        <v>492.42424242424232</v>
      </c>
      <c r="AJ30" s="38">
        <f t="shared" si="60"/>
        <v>871.21212121212113</v>
      </c>
      <c r="AK30" s="38">
        <f t="shared" si="60"/>
        <v>871.21212121212113</v>
      </c>
      <c r="AL30" s="38">
        <f t="shared" si="60"/>
        <v>871.21212121212113</v>
      </c>
      <c r="AM30" s="38">
        <f t="shared" si="60"/>
        <v>871.21212121212113</v>
      </c>
      <c r="AN30" s="38">
        <f t="shared" si="60"/>
        <v>871.21212121212113</v>
      </c>
      <c r="AO30" s="38">
        <f t="shared" si="60"/>
        <v>871.21212121212113</v>
      </c>
      <c r="AP30" s="38">
        <f t="shared" si="60"/>
        <v>897.34848484848476</v>
      </c>
      <c r="AQ30" s="38">
        <f t="shared" si="60"/>
        <v>897.34848484848476</v>
      </c>
      <c r="AR30" s="38">
        <f t="shared" si="60"/>
        <v>897.34848484848476</v>
      </c>
      <c r="AS30" s="38">
        <f t="shared" si="60"/>
        <v>897.34848484848476</v>
      </c>
      <c r="AT30" s="38">
        <f t="shared" si="60"/>
        <v>897.34848484848476</v>
      </c>
      <c r="AU30" s="38">
        <f t="shared" si="60"/>
        <v>897.34848484848476</v>
      </c>
      <c r="AV30" s="38">
        <f t="shared" si="60"/>
        <v>897.34848484848476</v>
      </c>
      <c r="AW30" s="38">
        <f t="shared" si="60"/>
        <v>897.34848484848476</v>
      </c>
      <c r="AX30" s="38">
        <f t="shared" si="60"/>
        <v>897.34848484848476</v>
      </c>
      <c r="AY30" s="38">
        <f t="shared" si="60"/>
        <v>897.34848484848476</v>
      </c>
      <c r="AZ30" s="38">
        <f t="shared" si="60"/>
        <v>897.34848484848476</v>
      </c>
      <c r="BA30" s="38">
        <f t="shared" si="60"/>
        <v>897.34848484848476</v>
      </c>
      <c r="BB30" s="38">
        <f t="shared" si="60"/>
        <v>924.26893939393926</v>
      </c>
      <c r="BC30" s="38">
        <f t="shared" si="60"/>
        <v>924.26893939393926</v>
      </c>
      <c r="BD30" s="38">
        <f t="shared" si="60"/>
        <v>924.26893939393926</v>
      </c>
      <c r="BE30" s="38">
        <f t="shared" si="60"/>
        <v>924.26893939393926</v>
      </c>
      <c r="BF30" s="38">
        <f t="shared" si="60"/>
        <v>924.26893939393926</v>
      </c>
      <c r="BG30" s="38">
        <f t="shared" si="60"/>
        <v>924.26893939393926</v>
      </c>
      <c r="BH30" s="38">
        <f t="shared" si="60"/>
        <v>924.26893939393926</v>
      </c>
      <c r="BI30" s="38">
        <f t="shared" si="60"/>
        <v>924.26893939393926</v>
      </c>
      <c r="BJ30" s="38">
        <f t="shared" si="60"/>
        <v>924.26893939393926</v>
      </c>
      <c r="BK30" s="38">
        <f t="shared" si="60"/>
        <v>924.26893939393926</v>
      </c>
      <c r="BL30" s="38">
        <f t="shared" si="60"/>
        <v>924.26893939393926</v>
      </c>
      <c r="BM30" s="38">
        <f t="shared" si="60"/>
        <v>924.26893939393926</v>
      </c>
      <c r="BN30" s="38">
        <f t="shared" si="60"/>
        <v>951.99700757575749</v>
      </c>
      <c r="BO30" s="38">
        <f t="shared" si="60"/>
        <v>951.99700757575749</v>
      </c>
      <c r="BP30" s="38">
        <f t="shared" si="60"/>
        <v>951.99700757575749</v>
      </c>
      <c r="BQ30" s="38">
        <f t="shared" si="60"/>
        <v>951.99700757575749</v>
      </c>
      <c r="BR30" s="38">
        <f t="shared" si="60"/>
        <v>951.99700757575749</v>
      </c>
      <c r="BS30" s="38">
        <f t="shared" si="60"/>
        <v>951.99700757575749</v>
      </c>
      <c r="BT30" s="38">
        <f t="shared" si="60"/>
        <v>951.99700757575749</v>
      </c>
      <c r="BU30" s="38">
        <f t="shared" si="60"/>
        <v>951.99700757575749</v>
      </c>
      <c r="BV30" s="38">
        <f t="shared" si="60"/>
        <v>951.99700757575749</v>
      </c>
      <c r="BW30" s="38">
        <f t="shared" si="60"/>
        <v>951.99700757575749</v>
      </c>
      <c r="BX30" s="38">
        <f t="shared" si="60"/>
        <v>951.99700757575749</v>
      </c>
      <c r="BY30" s="38">
        <f t="shared" si="61"/>
        <v>951.99700757575749</v>
      </c>
      <c r="BZ30" s="38">
        <f t="shared" si="61"/>
        <v>980.55691780303016</v>
      </c>
      <c r="CA30" s="38">
        <f t="shared" si="61"/>
        <v>980.55691780303016</v>
      </c>
      <c r="CB30" s="38">
        <f t="shared" si="61"/>
        <v>980.55691780303016</v>
      </c>
      <c r="CC30" s="38">
        <f t="shared" si="61"/>
        <v>980.55691780303016</v>
      </c>
      <c r="CD30" s="38">
        <f t="shared" si="61"/>
        <v>980.55691780303016</v>
      </c>
      <c r="CE30" s="38">
        <f t="shared" si="61"/>
        <v>980.55691780303016</v>
      </c>
      <c r="CF30" s="38">
        <f t="shared" si="61"/>
        <v>980.55691780303016</v>
      </c>
      <c r="CG30" s="38">
        <f t="shared" si="61"/>
        <v>980.55691780303016</v>
      </c>
      <c r="CH30" s="38">
        <f t="shared" si="61"/>
        <v>980.55691780303016</v>
      </c>
      <c r="CI30" s="38">
        <f t="shared" si="61"/>
        <v>980.55691780303016</v>
      </c>
      <c r="CJ30" s="38">
        <f t="shared" si="61"/>
        <v>980.55691780303016</v>
      </c>
      <c r="CK30" s="38">
        <f t="shared" si="61"/>
        <v>980.55691780303016</v>
      </c>
      <c r="CL30" s="38">
        <f t="shared" si="61"/>
        <v>1009.973625337121</v>
      </c>
      <c r="CM30" s="38">
        <f t="shared" si="61"/>
        <v>1009.973625337121</v>
      </c>
      <c r="CN30" s="38">
        <f t="shared" si="61"/>
        <v>1009.973625337121</v>
      </c>
      <c r="CO30" s="38">
        <f t="shared" si="61"/>
        <v>1009.973625337121</v>
      </c>
      <c r="CP30" s="38">
        <f t="shared" si="61"/>
        <v>1009.973625337121</v>
      </c>
      <c r="CQ30" s="38">
        <f t="shared" si="61"/>
        <v>1009.973625337121</v>
      </c>
      <c r="CR30" s="38">
        <f t="shared" si="61"/>
        <v>1009.973625337121</v>
      </c>
      <c r="CS30" s="38">
        <f t="shared" si="61"/>
        <v>1009.973625337121</v>
      </c>
      <c r="CT30" s="38">
        <f t="shared" si="61"/>
        <v>1009.973625337121</v>
      </c>
      <c r="CU30" s="38">
        <f t="shared" si="61"/>
        <v>1009.973625337121</v>
      </c>
      <c r="CV30" s="38">
        <f t="shared" si="61"/>
        <v>1009.973625337121</v>
      </c>
      <c r="CW30" s="38">
        <f t="shared" si="61"/>
        <v>1009.973625337121</v>
      </c>
      <c r="CX30" s="38">
        <f t="shared" si="61"/>
        <v>1040.2728340972346</v>
      </c>
      <c r="CY30" s="38">
        <f t="shared" si="61"/>
        <v>1040.2728340972346</v>
      </c>
      <c r="CZ30" s="38">
        <f t="shared" si="61"/>
        <v>1040.2728340972346</v>
      </c>
      <c r="DA30" s="38">
        <f t="shared" si="61"/>
        <v>1040.2728340972346</v>
      </c>
      <c r="DB30" s="38">
        <f t="shared" si="61"/>
        <v>1040.2728340972346</v>
      </c>
      <c r="DC30" s="38">
        <f t="shared" si="61"/>
        <v>1040.2728340972346</v>
      </c>
      <c r="DD30" s="38">
        <f t="shared" si="61"/>
        <v>1040.2728340972346</v>
      </c>
      <c r="DE30" s="38">
        <f t="shared" si="61"/>
        <v>1040.2728340972346</v>
      </c>
      <c r="DF30" s="38">
        <f t="shared" si="61"/>
        <v>1040.2728340972346</v>
      </c>
      <c r="DG30" s="38">
        <f t="shared" si="61"/>
        <v>1040.2728340972346</v>
      </c>
      <c r="DH30" s="38">
        <f t="shared" si="61"/>
        <v>1040.2728340972346</v>
      </c>
      <c r="DI30" s="38">
        <f t="shared" si="61"/>
        <v>1040.2728340972346</v>
      </c>
      <c r="DJ30" s="38">
        <f t="shared" si="61"/>
        <v>1071.4810191201518</v>
      </c>
      <c r="DK30" s="38">
        <f t="shared" si="61"/>
        <v>1071.4810191201518</v>
      </c>
      <c r="DL30" s="38">
        <f t="shared" si="61"/>
        <v>1071.4810191201518</v>
      </c>
      <c r="DM30" s="38">
        <f t="shared" si="61"/>
        <v>1071.4810191201518</v>
      </c>
      <c r="DN30" s="38">
        <f t="shared" si="61"/>
        <v>1071.4810191201518</v>
      </c>
      <c r="DO30" s="38">
        <f t="shared" si="61"/>
        <v>1071.4810191201518</v>
      </c>
      <c r="DP30" s="38">
        <f t="shared" si="61"/>
        <v>1071.4810191201518</v>
      </c>
      <c r="DQ30" s="38">
        <f t="shared" si="61"/>
        <v>1071.4810191201518</v>
      </c>
      <c r="DR30" s="38">
        <f t="shared" si="61"/>
        <v>1071.4810191201518</v>
      </c>
      <c r="DS30" s="38">
        <f t="shared" si="61"/>
        <v>1071.4810191201518</v>
      </c>
      <c r="DT30" s="38">
        <f t="shared" si="61"/>
        <v>1071.4810191201518</v>
      </c>
      <c r="DU30" s="38">
        <f t="shared" si="61"/>
        <v>1071.4810191201518</v>
      </c>
      <c r="DV30" s="38">
        <f t="shared" si="61"/>
        <v>1103.6254496937563</v>
      </c>
      <c r="DW30" s="38">
        <f t="shared" si="61"/>
        <v>1103.6254496937563</v>
      </c>
      <c r="DX30" s="38">
        <f t="shared" si="61"/>
        <v>1103.6254496937563</v>
      </c>
      <c r="DY30" s="38">
        <f t="shared" si="61"/>
        <v>1103.6254496937563</v>
      </c>
      <c r="DZ30" s="38">
        <f t="shared" si="61"/>
        <v>1103.6254496937563</v>
      </c>
      <c r="EA30" s="38">
        <f t="shared" si="61"/>
        <v>1103.6254496937563</v>
      </c>
      <c r="EB30" s="38">
        <f t="shared" si="61"/>
        <v>1103.6254496937563</v>
      </c>
      <c r="EC30" s="38">
        <f t="shared" si="61"/>
        <v>1103.6254496937563</v>
      </c>
      <c r="ED30" s="38">
        <f t="shared" si="61"/>
        <v>1103.6254496937563</v>
      </c>
      <c r="EE30" s="38">
        <f t="shared" si="61"/>
        <v>1103.6254496937563</v>
      </c>
      <c r="EF30" s="38">
        <f t="shared" si="61"/>
        <v>1103.6254496937563</v>
      </c>
      <c r="EG30" s="38">
        <f t="shared" si="61"/>
        <v>1103.6254496937563</v>
      </c>
      <c r="EH30" s="38">
        <f t="shared" si="61"/>
        <v>1136.7342131845689</v>
      </c>
      <c r="EI30" s="38">
        <f t="shared" si="61"/>
        <v>1136.7342131845689</v>
      </c>
      <c r="EJ30" s="38">
        <f t="shared" si="61"/>
        <v>1136.7342131845689</v>
      </c>
      <c r="EK30" s="38">
        <f t="shared" si="62"/>
        <v>1136.7342131845689</v>
      </c>
      <c r="EL30" s="38">
        <f t="shared" si="62"/>
        <v>1136.7342131845689</v>
      </c>
      <c r="EM30" s="38">
        <f t="shared" si="62"/>
        <v>1136.7342131845689</v>
      </c>
      <c r="EO30" s="24"/>
      <c r="EP30" s="24"/>
      <c r="EQ30" s="59"/>
      <c r="ER30" s="24"/>
      <c r="ES30" s="24"/>
      <c r="ET30" s="24"/>
      <c r="EU30" s="24"/>
      <c r="EV30" s="30"/>
      <c r="EW30" s="30"/>
      <c r="EX30" s="30"/>
      <c r="EY30" s="30"/>
      <c r="EZ30" s="30"/>
      <c r="FA30" s="30"/>
      <c r="FB30" s="30"/>
      <c r="FC30" s="30"/>
      <c r="FD30" s="30"/>
      <c r="FE30" s="30"/>
      <c r="FF30" s="30"/>
      <c r="FG30" s="30"/>
      <c r="FH30" s="30"/>
      <c r="FI30" s="30"/>
      <c r="FJ30" s="30"/>
      <c r="FK30" s="30"/>
      <c r="FL30" s="30"/>
      <c r="FM30" s="30"/>
      <c r="FN30" s="30"/>
      <c r="FO30" s="30"/>
      <c r="FP30" s="30"/>
      <c r="FQ30" s="30"/>
      <c r="FR30" s="30"/>
      <c r="FS30" s="30"/>
      <c r="FT30" s="30"/>
      <c r="FU30" s="30"/>
      <c r="FV30" s="30"/>
      <c r="FW30" s="30"/>
      <c r="FX30" s="30"/>
      <c r="FY30" s="30"/>
      <c r="FZ30" s="30"/>
      <c r="GA30" s="30"/>
      <c r="GB30" s="30"/>
      <c r="GC30" s="30"/>
      <c r="GD30" s="30"/>
      <c r="GE30" s="30"/>
      <c r="GF30" s="30"/>
      <c r="GG30" s="30"/>
      <c r="GH30" s="30"/>
      <c r="GI30" s="30"/>
      <c r="GJ30" s="30"/>
      <c r="GK30" s="30"/>
      <c r="GL30" s="30"/>
      <c r="GM30" s="30"/>
      <c r="GN30" s="30"/>
      <c r="GO30" s="30"/>
      <c r="GP30" s="30"/>
      <c r="GQ30" s="30"/>
      <c r="GR30" s="30"/>
      <c r="GS30" s="30"/>
      <c r="GT30" s="30"/>
      <c r="GU30" s="30"/>
      <c r="GV30" s="30"/>
      <c r="GW30" s="30"/>
      <c r="GX30" s="30"/>
      <c r="GY30" s="30"/>
      <c r="GZ30" s="30"/>
      <c r="HA30" s="30"/>
      <c r="HB30" s="30"/>
      <c r="HC30" s="30"/>
      <c r="HD30" s="30"/>
      <c r="HE30" s="30"/>
      <c r="HF30" s="30"/>
      <c r="HG30" s="30"/>
      <c r="HH30" s="30"/>
      <c r="HI30" s="30"/>
      <c r="HJ30" s="30"/>
      <c r="HK30" s="30"/>
      <c r="HL30" s="30"/>
      <c r="HM30" s="30"/>
      <c r="HN30" s="30"/>
      <c r="HO30" s="30"/>
      <c r="HP30" s="30"/>
      <c r="HQ30" s="30"/>
      <c r="HR30" s="30"/>
      <c r="HS30" s="30"/>
      <c r="HT30" s="30"/>
      <c r="HU30" s="30"/>
      <c r="HV30" s="30"/>
      <c r="HW30" s="30"/>
      <c r="HX30" s="30"/>
      <c r="HY30" s="30"/>
      <c r="HZ30" s="30"/>
      <c r="IA30" s="30"/>
      <c r="IB30" s="30"/>
      <c r="IC30" s="30"/>
      <c r="ID30" s="30"/>
      <c r="IE30" s="30"/>
      <c r="IF30" s="30"/>
      <c r="IG30" s="30"/>
      <c r="IH30" s="30"/>
      <c r="II30" s="30"/>
      <c r="IJ30" s="30"/>
      <c r="IK30" s="30"/>
      <c r="IL30" s="30"/>
      <c r="IM30" s="30"/>
      <c r="IN30" s="30"/>
      <c r="IO30" s="30"/>
      <c r="IP30" s="30"/>
      <c r="IQ30" s="30"/>
      <c r="IR30" s="30"/>
      <c r="IS30" s="30"/>
      <c r="IT30" s="30"/>
      <c r="IU30" s="30"/>
      <c r="IV30" s="30"/>
      <c r="IW30" s="30"/>
      <c r="IX30" s="30"/>
      <c r="IY30" s="30"/>
      <c r="IZ30" s="30"/>
      <c r="JA30" s="30"/>
      <c r="JB30" s="30"/>
      <c r="JC30" s="30"/>
      <c r="JD30" s="30"/>
      <c r="JE30" s="30"/>
      <c r="JF30" s="30"/>
      <c r="JG30" s="30"/>
      <c r="JH30" s="30"/>
      <c r="JI30" s="30"/>
      <c r="JJ30" s="30"/>
      <c r="JK30" s="30"/>
      <c r="JL30" s="30"/>
      <c r="JM30" s="30"/>
      <c r="JN30" s="30"/>
      <c r="JO30" s="30"/>
      <c r="JP30" s="30"/>
      <c r="JQ30" s="30"/>
      <c r="JR30" s="30"/>
      <c r="JS30" s="30"/>
      <c r="JT30" s="30"/>
      <c r="JU30" s="30"/>
      <c r="JV30" s="30"/>
      <c r="JW30" s="30"/>
    </row>
    <row r="31" spans="1:283" s="7" customFormat="1" x14ac:dyDescent="0.2">
      <c r="A31" s="406"/>
      <c r="B31" s="141" t="s">
        <v>143</v>
      </c>
      <c r="C31" s="120"/>
      <c r="D31" s="120"/>
      <c r="E31" s="176">
        <v>0</v>
      </c>
      <c r="F31" s="122">
        <f>Underwriting!$D$114</f>
        <v>0.03</v>
      </c>
      <c r="G31" s="123">
        <f>I31/Units</f>
        <v>19.166666666666668</v>
      </c>
      <c r="H31" s="424">
        <v>1</v>
      </c>
      <c r="I31" s="136">
        <f>+H31*Units_Retail</f>
        <v>5750</v>
      </c>
      <c r="L31" s="38">
        <f>$I31/12*L$9*(1+$F31)^(ROUNDUP(L$10/12,0)-1)</f>
        <v>0</v>
      </c>
      <c r="M31" s="38">
        <f t="shared" si="60"/>
        <v>0</v>
      </c>
      <c r="N31" s="38">
        <f t="shared" si="60"/>
        <v>0</v>
      </c>
      <c r="O31" s="38">
        <f t="shared" si="60"/>
        <v>0</v>
      </c>
      <c r="P31" s="38">
        <f t="shared" si="60"/>
        <v>0</v>
      </c>
      <c r="Q31" s="38">
        <f t="shared" si="60"/>
        <v>0</v>
      </c>
      <c r="R31" s="38">
        <f t="shared" si="60"/>
        <v>0</v>
      </c>
      <c r="S31" s="38">
        <f t="shared" si="60"/>
        <v>0</v>
      </c>
      <c r="T31" s="38">
        <f t="shared" si="60"/>
        <v>0</v>
      </c>
      <c r="U31" s="38">
        <f t="shared" si="60"/>
        <v>0</v>
      </c>
      <c r="V31" s="38">
        <f t="shared" si="60"/>
        <v>0</v>
      </c>
      <c r="W31" s="38">
        <f t="shared" si="60"/>
        <v>0</v>
      </c>
      <c r="X31" s="38">
        <f t="shared" si="60"/>
        <v>0</v>
      </c>
      <c r="Y31" s="38">
        <f t="shared" si="60"/>
        <v>0</v>
      </c>
      <c r="Z31" s="38">
        <f t="shared" si="60"/>
        <v>0</v>
      </c>
      <c r="AA31" s="38">
        <f t="shared" si="60"/>
        <v>0</v>
      </c>
      <c r="AB31" s="38">
        <f t="shared" si="60"/>
        <v>0</v>
      </c>
      <c r="AC31" s="38">
        <f t="shared" si="60"/>
        <v>0</v>
      </c>
      <c r="AD31" s="38">
        <f t="shared" si="60"/>
        <v>125</v>
      </c>
      <c r="AE31" s="38">
        <f t="shared" si="60"/>
        <v>125</v>
      </c>
      <c r="AF31" s="38">
        <f t="shared" si="60"/>
        <v>125</v>
      </c>
      <c r="AG31" s="38">
        <f t="shared" si="60"/>
        <v>270.83333333333331</v>
      </c>
      <c r="AH31" s="38">
        <f t="shared" si="60"/>
        <v>270.83333333333331</v>
      </c>
      <c r="AI31" s="38">
        <f t="shared" si="60"/>
        <v>270.83333333333331</v>
      </c>
      <c r="AJ31" s="38">
        <f t="shared" si="60"/>
        <v>479.16666666666669</v>
      </c>
      <c r="AK31" s="38">
        <f t="shared" si="60"/>
        <v>479.16666666666669</v>
      </c>
      <c r="AL31" s="38">
        <f t="shared" si="60"/>
        <v>479.16666666666669</v>
      </c>
      <c r="AM31" s="38">
        <f t="shared" si="60"/>
        <v>479.16666666666669</v>
      </c>
      <c r="AN31" s="38">
        <f t="shared" si="60"/>
        <v>479.16666666666669</v>
      </c>
      <c r="AO31" s="38">
        <f t="shared" si="60"/>
        <v>479.16666666666669</v>
      </c>
      <c r="AP31" s="38">
        <f t="shared" si="60"/>
        <v>493.54166666666669</v>
      </c>
      <c r="AQ31" s="38">
        <f t="shared" si="60"/>
        <v>493.54166666666669</v>
      </c>
      <c r="AR31" s="38">
        <f t="shared" si="60"/>
        <v>493.54166666666669</v>
      </c>
      <c r="AS31" s="38">
        <f t="shared" si="60"/>
        <v>493.54166666666669</v>
      </c>
      <c r="AT31" s="38">
        <f t="shared" si="60"/>
        <v>493.54166666666669</v>
      </c>
      <c r="AU31" s="38">
        <f t="shared" si="60"/>
        <v>493.54166666666669</v>
      </c>
      <c r="AV31" s="38">
        <f t="shared" si="60"/>
        <v>493.54166666666669</v>
      </c>
      <c r="AW31" s="38">
        <f t="shared" si="60"/>
        <v>493.54166666666669</v>
      </c>
      <c r="AX31" s="38">
        <f t="shared" si="60"/>
        <v>493.54166666666669</v>
      </c>
      <c r="AY31" s="38">
        <f t="shared" si="60"/>
        <v>493.54166666666669</v>
      </c>
      <c r="AZ31" s="38">
        <f t="shared" si="60"/>
        <v>493.54166666666669</v>
      </c>
      <c r="BA31" s="38">
        <f t="shared" si="60"/>
        <v>493.54166666666669</v>
      </c>
      <c r="BB31" s="38">
        <f t="shared" si="60"/>
        <v>508.34791666666666</v>
      </c>
      <c r="BC31" s="38">
        <f t="shared" si="60"/>
        <v>508.34791666666666</v>
      </c>
      <c r="BD31" s="38">
        <f t="shared" si="60"/>
        <v>508.34791666666666</v>
      </c>
      <c r="BE31" s="38">
        <f t="shared" si="60"/>
        <v>508.34791666666666</v>
      </c>
      <c r="BF31" s="38">
        <f t="shared" si="60"/>
        <v>508.34791666666666</v>
      </c>
      <c r="BG31" s="38">
        <f t="shared" si="60"/>
        <v>508.34791666666666</v>
      </c>
      <c r="BH31" s="38">
        <f t="shared" si="60"/>
        <v>508.34791666666666</v>
      </c>
      <c r="BI31" s="38">
        <f t="shared" si="60"/>
        <v>508.34791666666666</v>
      </c>
      <c r="BJ31" s="38">
        <f t="shared" si="60"/>
        <v>508.34791666666666</v>
      </c>
      <c r="BK31" s="38">
        <f t="shared" si="60"/>
        <v>508.34791666666666</v>
      </c>
      <c r="BL31" s="38">
        <f t="shared" si="60"/>
        <v>508.34791666666666</v>
      </c>
      <c r="BM31" s="38">
        <f t="shared" si="60"/>
        <v>508.34791666666666</v>
      </c>
      <c r="BN31" s="38">
        <f t="shared" si="60"/>
        <v>523.5983541666667</v>
      </c>
      <c r="BO31" s="38">
        <f t="shared" si="60"/>
        <v>523.5983541666667</v>
      </c>
      <c r="BP31" s="38">
        <f t="shared" si="60"/>
        <v>523.5983541666667</v>
      </c>
      <c r="BQ31" s="38">
        <f t="shared" si="60"/>
        <v>523.5983541666667</v>
      </c>
      <c r="BR31" s="38">
        <f t="shared" si="60"/>
        <v>523.5983541666667</v>
      </c>
      <c r="BS31" s="38">
        <f t="shared" si="60"/>
        <v>523.5983541666667</v>
      </c>
      <c r="BT31" s="38">
        <f t="shared" si="60"/>
        <v>523.5983541666667</v>
      </c>
      <c r="BU31" s="38">
        <f t="shared" si="60"/>
        <v>523.5983541666667</v>
      </c>
      <c r="BV31" s="38">
        <f t="shared" si="60"/>
        <v>523.5983541666667</v>
      </c>
      <c r="BW31" s="38">
        <f t="shared" si="60"/>
        <v>523.5983541666667</v>
      </c>
      <c r="BX31" s="38">
        <f t="shared" si="60"/>
        <v>523.5983541666667</v>
      </c>
      <c r="BY31" s="38">
        <f t="shared" si="61"/>
        <v>523.5983541666667</v>
      </c>
      <c r="BZ31" s="38">
        <f t="shared" si="61"/>
        <v>539.30630479166666</v>
      </c>
      <c r="CA31" s="38">
        <f t="shared" si="61"/>
        <v>539.30630479166666</v>
      </c>
      <c r="CB31" s="38">
        <f t="shared" si="61"/>
        <v>539.30630479166666</v>
      </c>
      <c r="CC31" s="38">
        <f t="shared" si="61"/>
        <v>539.30630479166666</v>
      </c>
      <c r="CD31" s="38">
        <f t="shared" si="61"/>
        <v>539.30630479166666</v>
      </c>
      <c r="CE31" s="38">
        <f t="shared" si="61"/>
        <v>539.30630479166666</v>
      </c>
      <c r="CF31" s="38">
        <f t="shared" si="61"/>
        <v>539.30630479166666</v>
      </c>
      <c r="CG31" s="38">
        <f t="shared" si="61"/>
        <v>539.30630479166666</v>
      </c>
      <c r="CH31" s="38">
        <f t="shared" si="61"/>
        <v>539.30630479166666</v>
      </c>
      <c r="CI31" s="38">
        <f t="shared" si="61"/>
        <v>539.30630479166666</v>
      </c>
      <c r="CJ31" s="38">
        <f t="shared" si="61"/>
        <v>539.30630479166666</v>
      </c>
      <c r="CK31" s="38">
        <f t="shared" si="61"/>
        <v>539.30630479166666</v>
      </c>
      <c r="CL31" s="38">
        <f t="shared" si="61"/>
        <v>555.48549393541657</v>
      </c>
      <c r="CM31" s="38">
        <f t="shared" si="61"/>
        <v>555.48549393541657</v>
      </c>
      <c r="CN31" s="38">
        <f t="shared" si="61"/>
        <v>555.48549393541657</v>
      </c>
      <c r="CO31" s="38">
        <f t="shared" si="61"/>
        <v>555.48549393541657</v>
      </c>
      <c r="CP31" s="38">
        <f t="shared" si="61"/>
        <v>555.48549393541657</v>
      </c>
      <c r="CQ31" s="38">
        <f t="shared" si="61"/>
        <v>555.48549393541657</v>
      </c>
      <c r="CR31" s="38">
        <f t="shared" si="61"/>
        <v>555.48549393541657</v>
      </c>
      <c r="CS31" s="38">
        <f t="shared" si="61"/>
        <v>555.48549393541657</v>
      </c>
      <c r="CT31" s="38">
        <f t="shared" si="61"/>
        <v>555.48549393541657</v>
      </c>
      <c r="CU31" s="38">
        <f t="shared" si="61"/>
        <v>555.48549393541657</v>
      </c>
      <c r="CV31" s="38">
        <f t="shared" si="61"/>
        <v>555.48549393541657</v>
      </c>
      <c r="CW31" s="38">
        <f t="shared" si="61"/>
        <v>555.48549393541657</v>
      </c>
      <c r="CX31" s="38">
        <f t="shared" si="61"/>
        <v>572.15005875347913</v>
      </c>
      <c r="CY31" s="38">
        <f t="shared" si="61"/>
        <v>572.15005875347913</v>
      </c>
      <c r="CZ31" s="38">
        <f t="shared" si="61"/>
        <v>572.15005875347913</v>
      </c>
      <c r="DA31" s="38">
        <f t="shared" si="61"/>
        <v>572.15005875347913</v>
      </c>
      <c r="DB31" s="38">
        <f t="shared" si="61"/>
        <v>572.15005875347913</v>
      </c>
      <c r="DC31" s="38">
        <f t="shared" si="61"/>
        <v>572.15005875347913</v>
      </c>
      <c r="DD31" s="38">
        <f t="shared" si="61"/>
        <v>572.15005875347913</v>
      </c>
      <c r="DE31" s="38">
        <f t="shared" si="61"/>
        <v>572.15005875347913</v>
      </c>
      <c r="DF31" s="38">
        <f t="shared" si="61"/>
        <v>572.15005875347913</v>
      </c>
      <c r="DG31" s="38">
        <f t="shared" si="61"/>
        <v>572.15005875347913</v>
      </c>
      <c r="DH31" s="38">
        <f t="shared" si="61"/>
        <v>572.15005875347913</v>
      </c>
      <c r="DI31" s="38">
        <f t="shared" si="61"/>
        <v>572.15005875347913</v>
      </c>
      <c r="DJ31" s="38">
        <f t="shared" si="61"/>
        <v>589.31456051608359</v>
      </c>
      <c r="DK31" s="38">
        <f t="shared" si="61"/>
        <v>589.31456051608359</v>
      </c>
      <c r="DL31" s="38">
        <f t="shared" si="61"/>
        <v>589.31456051608359</v>
      </c>
      <c r="DM31" s="38">
        <f t="shared" si="61"/>
        <v>589.31456051608359</v>
      </c>
      <c r="DN31" s="38">
        <f t="shared" si="61"/>
        <v>589.31456051608359</v>
      </c>
      <c r="DO31" s="38">
        <f t="shared" si="61"/>
        <v>589.31456051608359</v>
      </c>
      <c r="DP31" s="38">
        <f t="shared" si="61"/>
        <v>589.31456051608359</v>
      </c>
      <c r="DQ31" s="38">
        <f t="shared" si="61"/>
        <v>589.31456051608359</v>
      </c>
      <c r="DR31" s="38">
        <f t="shared" si="61"/>
        <v>589.31456051608359</v>
      </c>
      <c r="DS31" s="38">
        <f t="shared" si="61"/>
        <v>589.31456051608359</v>
      </c>
      <c r="DT31" s="38">
        <f t="shared" si="61"/>
        <v>589.31456051608359</v>
      </c>
      <c r="DU31" s="38">
        <f t="shared" si="61"/>
        <v>589.31456051608359</v>
      </c>
      <c r="DV31" s="38">
        <f t="shared" si="61"/>
        <v>606.99399733156599</v>
      </c>
      <c r="DW31" s="38">
        <f t="shared" si="61"/>
        <v>606.99399733156599</v>
      </c>
      <c r="DX31" s="38">
        <f t="shared" si="61"/>
        <v>606.99399733156599</v>
      </c>
      <c r="DY31" s="38">
        <f t="shared" si="61"/>
        <v>606.99399733156599</v>
      </c>
      <c r="DZ31" s="38">
        <f t="shared" si="61"/>
        <v>606.99399733156599</v>
      </c>
      <c r="EA31" s="38">
        <f t="shared" si="61"/>
        <v>606.99399733156599</v>
      </c>
      <c r="EB31" s="38">
        <f t="shared" si="61"/>
        <v>606.99399733156599</v>
      </c>
      <c r="EC31" s="38">
        <f t="shared" si="61"/>
        <v>606.99399733156599</v>
      </c>
      <c r="ED31" s="38">
        <f t="shared" si="61"/>
        <v>606.99399733156599</v>
      </c>
      <c r="EE31" s="38">
        <f t="shared" si="61"/>
        <v>606.99399733156599</v>
      </c>
      <c r="EF31" s="38">
        <f t="shared" si="61"/>
        <v>606.99399733156599</v>
      </c>
      <c r="EG31" s="38">
        <f t="shared" si="61"/>
        <v>606.99399733156599</v>
      </c>
      <c r="EH31" s="38">
        <f t="shared" si="61"/>
        <v>625.20381725151299</v>
      </c>
      <c r="EI31" s="38">
        <f t="shared" si="61"/>
        <v>625.20381725151299</v>
      </c>
      <c r="EJ31" s="38">
        <f t="shared" si="61"/>
        <v>625.20381725151299</v>
      </c>
      <c r="EK31" s="38">
        <f t="shared" si="62"/>
        <v>625.20381725151299</v>
      </c>
      <c r="EL31" s="38">
        <f t="shared" si="62"/>
        <v>625.20381725151299</v>
      </c>
      <c r="EM31" s="38">
        <f t="shared" si="62"/>
        <v>625.20381725151299</v>
      </c>
      <c r="EO31" s="24"/>
      <c r="EP31" s="24"/>
      <c r="EQ31" s="59"/>
      <c r="ER31" s="24"/>
      <c r="ES31" s="24"/>
      <c r="ET31" s="24"/>
      <c r="EU31" s="24"/>
      <c r="EV31" s="30"/>
      <c r="EW31" s="30"/>
      <c r="EX31" s="30"/>
      <c r="EY31" s="30"/>
      <c r="EZ31" s="30"/>
      <c r="FA31" s="30"/>
      <c r="FB31" s="30"/>
      <c r="FC31" s="30"/>
      <c r="FD31" s="30"/>
      <c r="FE31" s="30"/>
      <c r="FF31" s="30"/>
      <c r="FG31" s="30"/>
      <c r="FH31" s="30"/>
      <c r="FI31" s="30"/>
      <c r="FJ31" s="30"/>
      <c r="FK31" s="30"/>
      <c r="FL31" s="30"/>
      <c r="FM31" s="30"/>
      <c r="FN31" s="30"/>
      <c r="FO31" s="30"/>
      <c r="FP31" s="30"/>
      <c r="FQ31" s="30"/>
      <c r="FR31" s="30"/>
      <c r="FS31" s="30"/>
      <c r="FT31" s="30"/>
      <c r="FU31" s="30"/>
      <c r="FV31" s="30"/>
      <c r="FW31" s="30"/>
      <c r="FX31" s="30"/>
      <c r="FY31" s="30"/>
      <c r="FZ31" s="30"/>
      <c r="GA31" s="30"/>
      <c r="GB31" s="30"/>
      <c r="GC31" s="30"/>
      <c r="GD31" s="30"/>
      <c r="GE31" s="30"/>
      <c r="GF31" s="30"/>
      <c r="GG31" s="30"/>
      <c r="GH31" s="30"/>
      <c r="GI31" s="30"/>
      <c r="GJ31" s="30"/>
      <c r="GK31" s="30"/>
      <c r="GL31" s="30"/>
      <c r="GM31" s="30"/>
      <c r="GN31" s="30"/>
      <c r="GO31" s="30"/>
      <c r="GP31" s="30"/>
      <c r="GQ31" s="30"/>
      <c r="GR31" s="30"/>
      <c r="GS31" s="30"/>
      <c r="GT31" s="30"/>
      <c r="GU31" s="30"/>
      <c r="GV31" s="30"/>
      <c r="GW31" s="30"/>
      <c r="GX31" s="30"/>
      <c r="GY31" s="30"/>
      <c r="GZ31" s="30"/>
      <c r="HA31" s="30"/>
      <c r="HB31" s="30"/>
      <c r="HC31" s="30"/>
      <c r="HD31" s="30"/>
      <c r="HE31" s="30"/>
      <c r="HF31" s="30"/>
      <c r="HG31" s="30"/>
      <c r="HH31" s="30"/>
      <c r="HI31" s="30"/>
      <c r="HJ31" s="30"/>
      <c r="HK31" s="30"/>
      <c r="HL31" s="30"/>
      <c r="HM31" s="30"/>
      <c r="HN31" s="30"/>
      <c r="HO31" s="30"/>
      <c r="HP31" s="30"/>
      <c r="HQ31" s="30"/>
      <c r="HR31" s="30"/>
      <c r="HS31" s="30"/>
      <c r="HT31" s="30"/>
      <c r="HU31" s="30"/>
      <c r="HV31" s="30"/>
      <c r="HW31" s="30"/>
      <c r="HX31" s="30"/>
      <c r="HY31" s="30"/>
      <c r="HZ31" s="30"/>
      <c r="IA31" s="30"/>
      <c r="IB31" s="30"/>
      <c r="IC31" s="30"/>
      <c r="ID31" s="30"/>
      <c r="IE31" s="30"/>
      <c r="IF31" s="30"/>
      <c r="IG31" s="30"/>
      <c r="IH31" s="30"/>
      <c r="II31" s="30"/>
      <c r="IJ31" s="30"/>
      <c r="IK31" s="30"/>
      <c r="IL31" s="30"/>
      <c r="IM31" s="30"/>
      <c r="IN31" s="30"/>
      <c r="IO31" s="30"/>
      <c r="IP31" s="30"/>
      <c r="IQ31" s="30"/>
      <c r="IR31" s="30"/>
      <c r="IS31" s="30"/>
      <c r="IT31" s="30"/>
      <c r="IU31" s="30"/>
      <c r="IV31" s="30"/>
      <c r="IW31" s="30"/>
      <c r="IX31" s="30"/>
      <c r="IY31" s="30"/>
      <c r="IZ31" s="30"/>
      <c r="JA31" s="30"/>
      <c r="JB31" s="30"/>
      <c r="JC31" s="30"/>
      <c r="JD31" s="30"/>
      <c r="JE31" s="30"/>
      <c r="JF31" s="30"/>
      <c r="JG31" s="30"/>
      <c r="JH31" s="30"/>
      <c r="JI31" s="30"/>
      <c r="JJ31" s="30"/>
      <c r="JK31" s="30"/>
      <c r="JL31" s="30"/>
      <c r="JM31" s="30"/>
      <c r="JN31" s="30"/>
      <c r="JO31" s="30"/>
      <c r="JP31" s="30"/>
      <c r="JQ31" s="30"/>
      <c r="JR31" s="30"/>
      <c r="JS31" s="30"/>
      <c r="JT31" s="30"/>
      <c r="JU31" s="30"/>
      <c r="JV31" s="30"/>
      <c r="JW31" s="30"/>
    </row>
    <row r="32" spans="1:283" ht="16.5" x14ac:dyDescent="0.35">
      <c r="B32" s="141" t="s">
        <v>144</v>
      </c>
      <c r="C32" s="120"/>
      <c r="D32" s="120"/>
      <c r="E32" s="176">
        <v>0</v>
      </c>
      <c r="F32" s="122">
        <f>Underwriting!$D$114</f>
        <v>0.03</v>
      </c>
      <c r="G32" s="123">
        <f>I32/Units</f>
        <v>121.96969696969695</v>
      </c>
      <c r="H32" s="428">
        <v>6.3636363636363633</v>
      </c>
      <c r="I32" s="187">
        <f>+H32*Units_Retail</f>
        <v>36590.909090909088</v>
      </c>
      <c r="L32" s="39">
        <f>$I32/12*L$9*(1+$F32)^(ROUNDUP(L$10/12,0)-1)</f>
        <v>0</v>
      </c>
      <c r="M32" s="39">
        <f t="shared" si="60"/>
        <v>0</v>
      </c>
      <c r="N32" s="39">
        <f t="shared" si="60"/>
        <v>0</v>
      </c>
      <c r="O32" s="39">
        <f t="shared" si="60"/>
        <v>0</v>
      </c>
      <c r="P32" s="39">
        <f t="shared" si="60"/>
        <v>0</v>
      </c>
      <c r="Q32" s="39">
        <f t="shared" si="60"/>
        <v>0</v>
      </c>
      <c r="R32" s="39">
        <f t="shared" si="60"/>
        <v>0</v>
      </c>
      <c r="S32" s="39">
        <f t="shared" si="60"/>
        <v>0</v>
      </c>
      <c r="T32" s="39">
        <f t="shared" si="60"/>
        <v>0</v>
      </c>
      <c r="U32" s="39">
        <f t="shared" si="60"/>
        <v>0</v>
      </c>
      <c r="V32" s="39">
        <f t="shared" si="60"/>
        <v>0</v>
      </c>
      <c r="W32" s="39">
        <f t="shared" si="60"/>
        <v>0</v>
      </c>
      <c r="X32" s="39">
        <f t="shared" si="60"/>
        <v>0</v>
      </c>
      <c r="Y32" s="39">
        <f t="shared" si="60"/>
        <v>0</v>
      </c>
      <c r="Z32" s="39">
        <f t="shared" si="60"/>
        <v>0</v>
      </c>
      <c r="AA32" s="39">
        <f t="shared" si="60"/>
        <v>0</v>
      </c>
      <c r="AB32" s="39">
        <f t="shared" si="60"/>
        <v>0</v>
      </c>
      <c r="AC32" s="39">
        <f t="shared" si="60"/>
        <v>0</v>
      </c>
      <c r="AD32" s="39">
        <f t="shared" si="60"/>
        <v>795.45454545454538</v>
      </c>
      <c r="AE32" s="39">
        <f t="shared" si="60"/>
        <v>795.45454545454538</v>
      </c>
      <c r="AF32" s="39">
        <f t="shared" si="60"/>
        <v>795.45454545454538</v>
      </c>
      <c r="AG32" s="39">
        <f t="shared" si="60"/>
        <v>1723.4848484848483</v>
      </c>
      <c r="AH32" s="39">
        <f t="shared" si="60"/>
        <v>1723.4848484848483</v>
      </c>
      <c r="AI32" s="39">
        <f t="shared" si="60"/>
        <v>1723.4848484848483</v>
      </c>
      <c r="AJ32" s="39">
        <f t="shared" si="60"/>
        <v>3049.242424242424</v>
      </c>
      <c r="AK32" s="39">
        <f t="shared" si="60"/>
        <v>3049.242424242424</v>
      </c>
      <c r="AL32" s="39">
        <f t="shared" si="60"/>
        <v>3049.242424242424</v>
      </c>
      <c r="AM32" s="39">
        <f t="shared" si="60"/>
        <v>3049.242424242424</v>
      </c>
      <c r="AN32" s="39">
        <f t="shared" si="60"/>
        <v>3049.242424242424</v>
      </c>
      <c r="AO32" s="39">
        <f t="shared" si="60"/>
        <v>3049.242424242424</v>
      </c>
      <c r="AP32" s="39">
        <f t="shared" si="60"/>
        <v>3140.719696969697</v>
      </c>
      <c r="AQ32" s="39">
        <f t="shared" si="60"/>
        <v>3140.719696969697</v>
      </c>
      <c r="AR32" s="39">
        <f t="shared" si="60"/>
        <v>3140.719696969697</v>
      </c>
      <c r="AS32" s="39">
        <f t="shared" si="60"/>
        <v>3140.719696969697</v>
      </c>
      <c r="AT32" s="39">
        <f t="shared" si="60"/>
        <v>3140.719696969697</v>
      </c>
      <c r="AU32" s="39">
        <f t="shared" si="60"/>
        <v>3140.719696969697</v>
      </c>
      <c r="AV32" s="39">
        <f t="shared" si="60"/>
        <v>3140.719696969697</v>
      </c>
      <c r="AW32" s="39">
        <f t="shared" si="60"/>
        <v>3140.719696969697</v>
      </c>
      <c r="AX32" s="39">
        <f t="shared" si="60"/>
        <v>3140.719696969697</v>
      </c>
      <c r="AY32" s="39">
        <f t="shared" si="60"/>
        <v>3140.719696969697</v>
      </c>
      <c r="AZ32" s="39">
        <f t="shared" si="60"/>
        <v>3140.719696969697</v>
      </c>
      <c r="BA32" s="39">
        <f t="shared" si="60"/>
        <v>3140.719696969697</v>
      </c>
      <c r="BB32" s="39">
        <f t="shared" si="60"/>
        <v>3234.9412878787875</v>
      </c>
      <c r="BC32" s="39">
        <f t="shared" si="60"/>
        <v>3234.9412878787875</v>
      </c>
      <c r="BD32" s="39">
        <f t="shared" si="60"/>
        <v>3234.9412878787875</v>
      </c>
      <c r="BE32" s="39">
        <f t="shared" si="60"/>
        <v>3234.9412878787875</v>
      </c>
      <c r="BF32" s="39">
        <f t="shared" si="60"/>
        <v>3234.9412878787875</v>
      </c>
      <c r="BG32" s="39">
        <f t="shared" si="60"/>
        <v>3234.9412878787875</v>
      </c>
      <c r="BH32" s="39">
        <f t="shared" si="60"/>
        <v>3234.9412878787875</v>
      </c>
      <c r="BI32" s="39">
        <f t="shared" si="60"/>
        <v>3234.9412878787875</v>
      </c>
      <c r="BJ32" s="39">
        <f t="shared" si="60"/>
        <v>3234.9412878787875</v>
      </c>
      <c r="BK32" s="39">
        <f t="shared" si="60"/>
        <v>3234.9412878787875</v>
      </c>
      <c r="BL32" s="39">
        <f t="shared" si="60"/>
        <v>3234.9412878787875</v>
      </c>
      <c r="BM32" s="39">
        <f t="shared" si="60"/>
        <v>3234.9412878787875</v>
      </c>
      <c r="BN32" s="39">
        <f t="shared" si="60"/>
        <v>3331.9895265151513</v>
      </c>
      <c r="BO32" s="39">
        <f t="shared" si="60"/>
        <v>3331.9895265151513</v>
      </c>
      <c r="BP32" s="39">
        <f t="shared" si="60"/>
        <v>3331.9895265151513</v>
      </c>
      <c r="BQ32" s="39">
        <f t="shared" si="60"/>
        <v>3331.9895265151513</v>
      </c>
      <c r="BR32" s="39">
        <f t="shared" si="60"/>
        <v>3331.9895265151513</v>
      </c>
      <c r="BS32" s="39">
        <f t="shared" si="60"/>
        <v>3331.9895265151513</v>
      </c>
      <c r="BT32" s="39">
        <f t="shared" si="60"/>
        <v>3331.9895265151513</v>
      </c>
      <c r="BU32" s="39">
        <f t="shared" si="60"/>
        <v>3331.9895265151513</v>
      </c>
      <c r="BV32" s="39">
        <f t="shared" si="60"/>
        <v>3331.9895265151513</v>
      </c>
      <c r="BW32" s="39">
        <f t="shared" si="60"/>
        <v>3331.9895265151513</v>
      </c>
      <c r="BX32" s="39">
        <f>$I32/12*BX$9*(1+$F32)^(ROUNDUP(BX$10/12,0)-1)</f>
        <v>3331.9895265151513</v>
      </c>
      <c r="BY32" s="39">
        <f t="shared" si="61"/>
        <v>3331.9895265151513</v>
      </c>
      <c r="BZ32" s="39">
        <f t="shared" si="61"/>
        <v>3431.9492123106056</v>
      </c>
      <c r="CA32" s="39">
        <f t="shared" si="61"/>
        <v>3431.9492123106056</v>
      </c>
      <c r="CB32" s="39">
        <f t="shared" si="61"/>
        <v>3431.9492123106056</v>
      </c>
      <c r="CC32" s="39">
        <f t="shared" si="61"/>
        <v>3431.9492123106056</v>
      </c>
      <c r="CD32" s="39">
        <f t="shared" si="61"/>
        <v>3431.9492123106056</v>
      </c>
      <c r="CE32" s="39">
        <f t="shared" si="61"/>
        <v>3431.9492123106056</v>
      </c>
      <c r="CF32" s="39">
        <f t="shared" si="61"/>
        <v>3431.9492123106056</v>
      </c>
      <c r="CG32" s="39">
        <f t="shared" si="61"/>
        <v>3431.9492123106056</v>
      </c>
      <c r="CH32" s="39">
        <f t="shared" si="61"/>
        <v>3431.9492123106056</v>
      </c>
      <c r="CI32" s="39">
        <f t="shared" si="61"/>
        <v>3431.9492123106056</v>
      </c>
      <c r="CJ32" s="39">
        <f t="shared" si="61"/>
        <v>3431.9492123106056</v>
      </c>
      <c r="CK32" s="39">
        <f t="shared" si="61"/>
        <v>3431.9492123106056</v>
      </c>
      <c r="CL32" s="39">
        <f t="shared" si="61"/>
        <v>3534.9076886799235</v>
      </c>
      <c r="CM32" s="39">
        <f t="shared" si="61"/>
        <v>3534.9076886799235</v>
      </c>
      <c r="CN32" s="39">
        <f t="shared" si="61"/>
        <v>3534.9076886799235</v>
      </c>
      <c r="CO32" s="39">
        <f t="shared" si="61"/>
        <v>3534.9076886799235</v>
      </c>
      <c r="CP32" s="39">
        <f t="shared" si="61"/>
        <v>3534.9076886799235</v>
      </c>
      <c r="CQ32" s="39">
        <f t="shared" si="61"/>
        <v>3534.9076886799235</v>
      </c>
      <c r="CR32" s="39">
        <f t="shared" si="61"/>
        <v>3534.9076886799235</v>
      </c>
      <c r="CS32" s="39">
        <f t="shared" si="61"/>
        <v>3534.9076886799235</v>
      </c>
      <c r="CT32" s="39">
        <f t="shared" si="61"/>
        <v>3534.9076886799235</v>
      </c>
      <c r="CU32" s="39">
        <f t="shared" si="61"/>
        <v>3534.9076886799235</v>
      </c>
      <c r="CV32" s="39">
        <f t="shared" si="61"/>
        <v>3534.9076886799235</v>
      </c>
      <c r="CW32" s="39">
        <f t="shared" si="61"/>
        <v>3534.9076886799235</v>
      </c>
      <c r="CX32" s="39">
        <f t="shared" si="61"/>
        <v>3640.9549193403213</v>
      </c>
      <c r="CY32" s="39">
        <f t="shared" si="61"/>
        <v>3640.9549193403213</v>
      </c>
      <c r="CZ32" s="39">
        <f t="shared" si="61"/>
        <v>3640.9549193403213</v>
      </c>
      <c r="DA32" s="39">
        <f t="shared" si="61"/>
        <v>3640.9549193403213</v>
      </c>
      <c r="DB32" s="39">
        <f t="shared" si="61"/>
        <v>3640.9549193403213</v>
      </c>
      <c r="DC32" s="39">
        <f t="shared" si="61"/>
        <v>3640.9549193403213</v>
      </c>
      <c r="DD32" s="39">
        <f t="shared" si="61"/>
        <v>3640.9549193403213</v>
      </c>
      <c r="DE32" s="39">
        <f t="shared" si="61"/>
        <v>3640.9549193403213</v>
      </c>
      <c r="DF32" s="39">
        <f t="shared" si="61"/>
        <v>3640.9549193403213</v>
      </c>
      <c r="DG32" s="39">
        <f t="shared" si="61"/>
        <v>3640.9549193403213</v>
      </c>
      <c r="DH32" s="39">
        <f t="shared" si="61"/>
        <v>3640.9549193403213</v>
      </c>
      <c r="DI32" s="39">
        <f t="shared" si="61"/>
        <v>3640.9549193403213</v>
      </c>
      <c r="DJ32" s="39">
        <f t="shared" si="61"/>
        <v>3750.1835669205311</v>
      </c>
      <c r="DK32" s="39">
        <f t="shared" si="61"/>
        <v>3750.1835669205311</v>
      </c>
      <c r="DL32" s="39">
        <f t="shared" si="61"/>
        <v>3750.1835669205311</v>
      </c>
      <c r="DM32" s="39">
        <f t="shared" si="61"/>
        <v>3750.1835669205311</v>
      </c>
      <c r="DN32" s="39">
        <f t="shared" si="61"/>
        <v>3750.1835669205311</v>
      </c>
      <c r="DO32" s="39">
        <f t="shared" si="61"/>
        <v>3750.1835669205311</v>
      </c>
      <c r="DP32" s="39">
        <f t="shared" si="61"/>
        <v>3750.1835669205311</v>
      </c>
      <c r="DQ32" s="39">
        <f t="shared" si="61"/>
        <v>3750.1835669205311</v>
      </c>
      <c r="DR32" s="39">
        <f t="shared" si="61"/>
        <v>3750.1835669205311</v>
      </c>
      <c r="DS32" s="39">
        <f t="shared" si="61"/>
        <v>3750.1835669205311</v>
      </c>
      <c r="DT32" s="39">
        <f t="shared" si="61"/>
        <v>3750.1835669205311</v>
      </c>
      <c r="DU32" s="39">
        <f t="shared" si="61"/>
        <v>3750.1835669205311</v>
      </c>
      <c r="DV32" s="39">
        <f t="shared" si="61"/>
        <v>3862.6890739281466</v>
      </c>
      <c r="DW32" s="39">
        <f t="shared" si="61"/>
        <v>3862.6890739281466</v>
      </c>
      <c r="DX32" s="39">
        <f t="shared" si="61"/>
        <v>3862.6890739281466</v>
      </c>
      <c r="DY32" s="39">
        <f t="shared" si="61"/>
        <v>3862.6890739281466</v>
      </c>
      <c r="DZ32" s="39">
        <f t="shared" si="61"/>
        <v>3862.6890739281466</v>
      </c>
      <c r="EA32" s="39">
        <f t="shared" si="61"/>
        <v>3862.6890739281466</v>
      </c>
      <c r="EB32" s="39">
        <f t="shared" si="61"/>
        <v>3862.6890739281466</v>
      </c>
      <c r="EC32" s="39">
        <f t="shared" si="61"/>
        <v>3862.6890739281466</v>
      </c>
      <c r="ED32" s="39">
        <f t="shared" si="61"/>
        <v>3862.6890739281466</v>
      </c>
      <c r="EE32" s="39">
        <f t="shared" si="61"/>
        <v>3862.6890739281466</v>
      </c>
      <c r="EF32" s="39">
        <f t="shared" si="61"/>
        <v>3862.6890739281466</v>
      </c>
      <c r="EG32" s="39">
        <f t="shared" si="61"/>
        <v>3862.6890739281466</v>
      </c>
      <c r="EH32" s="39">
        <f t="shared" si="61"/>
        <v>3978.5697461459913</v>
      </c>
      <c r="EI32" s="39">
        <f t="shared" si="61"/>
        <v>3978.5697461459913</v>
      </c>
      <c r="EJ32" s="39">
        <f>$I32/12*EJ$9*(1+$F32)^(ROUNDUP(EJ$10/12,0)-1)</f>
        <v>3978.5697461459913</v>
      </c>
      <c r="EK32" s="39">
        <f t="shared" si="62"/>
        <v>3978.5697461459913</v>
      </c>
      <c r="EL32" s="39">
        <f t="shared" si="62"/>
        <v>3978.5697461459913</v>
      </c>
      <c r="EM32" s="39">
        <f t="shared" si="62"/>
        <v>3978.5697461459913</v>
      </c>
      <c r="EO32" s="201"/>
      <c r="EP32" s="201"/>
      <c r="EQ32" s="201"/>
      <c r="ER32" s="201"/>
      <c r="ES32" s="201"/>
      <c r="ET32" s="201"/>
      <c r="EU32" s="201"/>
      <c r="EV32" s="201"/>
      <c r="EW32" s="201"/>
      <c r="EX32" s="201"/>
      <c r="EY32" s="201"/>
      <c r="EZ32" s="201"/>
      <c r="FA32" s="201"/>
      <c r="FB32" s="201"/>
      <c r="FC32" s="201"/>
      <c r="FD32" s="201"/>
      <c r="FE32" s="201"/>
      <c r="FF32" s="201"/>
      <c r="FG32" s="201"/>
      <c r="FH32" s="201"/>
      <c r="FI32" s="201"/>
      <c r="FJ32" s="201"/>
      <c r="FK32" s="201"/>
      <c r="FL32" s="201"/>
      <c r="FM32" s="201"/>
      <c r="FN32" s="201"/>
      <c r="FO32" s="201"/>
      <c r="FP32" s="201"/>
      <c r="FQ32" s="201"/>
      <c r="FR32" s="201"/>
      <c r="FS32" s="201"/>
      <c r="FT32" s="201"/>
      <c r="FU32" s="201"/>
      <c r="FV32" s="201"/>
      <c r="FW32" s="201"/>
      <c r="FX32" s="201"/>
      <c r="FY32" s="201"/>
      <c r="FZ32" s="201"/>
      <c r="GA32" s="201"/>
      <c r="GB32" s="201"/>
      <c r="GC32" s="201"/>
      <c r="GD32" s="201"/>
      <c r="GE32" s="201"/>
      <c r="GF32" s="201"/>
      <c r="GG32" s="201"/>
      <c r="GH32" s="201"/>
      <c r="GI32" s="201"/>
      <c r="GJ32" s="201"/>
      <c r="GK32" s="201"/>
      <c r="GL32" s="201"/>
      <c r="GM32" s="201"/>
      <c r="GN32" s="201"/>
      <c r="GO32" s="201"/>
      <c r="GP32" s="201"/>
      <c r="GQ32" s="201"/>
      <c r="GR32" s="201"/>
      <c r="GS32" s="201"/>
      <c r="GT32" s="201"/>
      <c r="GU32" s="201"/>
      <c r="GV32" s="201"/>
      <c r="GW32" s="201"/>
      <c r="GX32" s="201"/>
      <c r="GY32" s="201"/>
      <c r="GZ32" s="201"/>
      <c r="HA32" s="201"/>
      <c r="HB32" s="201"/>
      <c r="HC32" s="201"/>
      <c r="HD32" s="201"/>
      <c r="HE32" s="201"/>
      <c r="HF32" s="201"/>
      <c r="HG32" s="201"/>
      <c r="HH32" s="201"/>
      <c r="HI32" s="201"/>
      <c r="HJ32" s="201"/>
      <c r="HK32" s="201"/>
      <c r="HL32" s="201"/>
      <c r="HM32" s="201"/>
      <c r="HN32" s="201"/>
      <c r="HO32" s="201"/>
      <c r="HP32" s="201"/>
      <c r="HQ32" s="201"/>
      <c r="HR32" s="201"/>
      <c r="HS32" s="201"/>
      <c r="HT32" s="201"/>
      <c r="HU32" s="201"/>
      <c r="HV32" s="201"/>
      <c r="HW32" s="201"/>
      <c r="HX32" s="201"/>
      <c r="HY32" s="201"/>
      <c r="HZ32" s="201"/>
      <c r="IA32" s="201"/>
      <c r="IB32" s="201"/>
      <c r="IC32" s="201"/>
      <c r="ID32" s="201"/>
      <c r="IE32" s="201"/>
      <c r="IF32" s="201"/>
      <c r="IG32" s="201"/>
      <c r="IH32" s="201"/>
      <c r="II32" s="201"/>
      <c r="IJ32" s="201"/>
      <c r="IK32" s="201"/>
      <c r="IL32" s="201"/>
      <c r="IM32" s="201"/>
      <c r="IN32" s="201"/>
      <c r="IO32" s="201"/>
      <c r="IP32" s="201"/>
      <c r="IQ32" s="201"/>
      <c r="IR32" s="201"/>
      <c r="IS32" s="201"/>
      <c r="IT32" s="201"/>
      <c r="IU32" s="201"/>
      <c r="IV32" s="201"/>
      <c r="IW32" s="201"/>
      <c r="IX32" s="201"/>
      <c r="IY32" s="201"/>
      <c r="IZ32" s="201"/>
      <c r="JA32" s="201"/>
      <c r="JB32" s="201"/>
      <c r="JC32" s="201"/>
      <c r="JD32" s="201"/>
      <c r="JE32" s="201"/>
      <c r="JF32" s="201"/>
      <c r="JG32" s="201"/>
      <c r="JH32" s="201"/>
      <c r="JI32" s="201"/>
      <c r="JJ32" s="201"/>
      <c r="JK32" s="201"/>
      <c r="JL32" s="201"/>
      <c r="JM32" s="201"/>
      <c r="JN32" s="201"/>
      <c r="JO32" s="201"/>
      <c r="JP32" s="201"/>
      <c r="JQ32" s="201"/>
      <c r="JR32" s="201"/>
      <c r="JS32" s="201"/>
      <c r="JT32" s="201"/>
      <c r="JU32" s="201"/>
      <c r="JV32" s="201"/>
      <c r="JW32" s="201"/>
    </row>
    <row r="33" spans="1:284" x14ac:dyDescent="0.2">
      <c r="B33" s="92" t="s">
        <v>145</v>
      </c>
      <c r="C33" s="124"/>
      <c r="D33" s="124"/>
      <c r="E33" s="124"/>
      <c r="F33" s="124"/>
      <c r="G33" s="389"/>
      <c r="H33" s="431">
        <f>I33/Units_Retail</f>
        <v>11.363636363636363</v>
      </c>
      <c r="I33" s="434">
        <f>SUM(I29:I32)</f>
        <v>65340.909090909088</v>
      </c>
      <c r="L33" s="38">
        <f>SUM(L29:L32)</f>
        <v>0</v>
      </c>
      <c r="M33" s="38">
        <f t="shared" ref="M33:BX33" si="63">SUM(M29:M32)</f>
        <v>0</v>
      </c>
      <c r="N33" s="38">
        <f t="shared" si="63"/>
        <v>0</v>
      </c>
      <c r="O33" s="38">
        <f t="shared" si="63"/>
        <v>0</v>
      </c>
      <c r="P33" s="38">
        <f t="shared" si="63"/>
        <v>0</v>
      </c>
      <c r="Q33" s="38">
        <f t="shared" si="63"/>
        <v>0</v>
      </c>
      <c r="R33" s="38">
        <f t="shared" si="63"/>
        <v>0</v>
      </c>
      <c r="S33" s="38">
        <f t="shared" si="63"/>
        <v>0</v>
      </c>
      <c r="T33" s="38">
        <f t="shared" si="63"/>
        <v>0</v>
      </c>
      <c r="U33" s="38">
        <f t="shared" si="63"/>
        <v>0</v>
      </c>
      <c r="V33" s="38">
        <f t="shared" si="63"/>
        <v>0</v>
      </c>
      <c r="W33" s="38">
        <f t="shared" si="63"/>
        <v>0</v>
      </c>
      <c r="X33" s="38">
        <f t="shared" si="63"/>
        <v>0</v>
      </c>
      <c r="Y33" s="38">
        <f t="shared" si="63"/>
        <v>0</v>
      </c>
      <c r="Z33" s="38">
        <f t="shared" si="63"/>
        <v>0</v>
      </c>
      <c r="AA33" s="38">
        <f t="shared" si="63"/>
        <v>0</v>
      </c>
      <c r="AB33" s="38">
        <f t="shared" si="63"/>
        <v>0</v>
      </c>
      <c r="AC33" s="38">
        <f t="shared" si="63"/>
        <v>0</v>
      </c>
      <c r="AD33" s="38">
        <f t="shared" si="63"/>
        <v>1420.4545454545455</v>
      </c>
      <c r="AE33" s="38">
        <f t="shared" si="63"/>
        <v>1420.4545454545455</v>
      </c>
      <c r="AF33" s="38">
        <f t="shared" si="63"/>
        <v>1420.4545454545455</v>
      </c>
      <c r="AG33" s="38">
        <f t="shared" si="63"/>
        <v>3077.6515151515146</v>
      </c>
      <c r="AH33" s="38">
        <f t="shared" si="63"/>
        <v>3077.6515151515146</v>
      </c>
      <c r="AI33" s="38">
        <f t="shared" si="63"/>
        <v>3077.6515151515146</v>
      </c>
      <c r="AJ33" s="38">
        <f t="shared" si="63"/>
        <v>5445.0757575757571</v>
      </c>
      <c r="AK33" s="38">
        <f t="shared" si="63"/>
        <v>5445.0757575757571</v>
      </c>
      <c r="AL33" s="38">
        <f t="shared" si="63"/>
        <v>5445.0757575757571</v>
      </c>
      <c r="AM33" s="38">
        <f t="shared" si="63"/>
        <v>5445.0757575757571</v>
      </c>
      <c r="AN33" s="38">
        <f t="shared" si="63"/>
        <v>5445.0757575757571</v>
      </c>
      <c r="AO33" s="38">
        <f t="shared" si="63"/>
        <v>5445.0757575757571</v>
      </c>
      <c r="AP33" s="38">
        <f t="shared" si="63"/>
        <v>5608.42803030303</v>
      </c>
      <c r="AQ33" s="38">
        <f t="shared" si="63"/>
        <v>5608.42803030303</v>
      </c>
      <c r="AR33" s="38">
        <f t="shared" si="63"/>
        <v>5608.42803030303</v>
      </c>
      <c r="AS33" s="38">
        <f t="shared" si="63"/>
        <v>5608.42803030303</v>
      </c>
      <c r="AT33" s="38">
        <f t="shared" si="63"/>
        <v>5608.42803030303</v>
      </c>
      <c r="AU33" s="38">
        <f t="shared" si="63"/>
        <v>5608.42803030303</v>
      </c>
      <c r="AV33" s="38">
        <f t="shared" si="63"/>
        <v>5608.42803030303</v>
      </c>
      <c r="AW33" s="38">
        <f t="shared" si="63"/>
        <v>5608.42803030303</v>
      </c>
      <c r="AX33" s="38">
        <f t="shared" si="63"/>
        <v>5608.42803030303</v>
      </c>
      <c r="AY33" s="38">
        <f t="shared" si="63"/>
        <v>5608.42803030303</v>
      </c>
      <c r="AZ33" s="38">
        <f t="shared" si="63"/>
        <v>5608.42803030303</v>
      </c>
      <c r="BA33" s="38">
        <f t="shared" si="63"/>
        <v>5608.42803030303</v>
      </c>
      <c r="BB33" s="38">
        <f t="shared" si="63"/>
        <v>5776.6808712121201</v>
      </c>
      <c r="BC33" s="38">
        <f t="shared" si="63"/>
        <v>5776.6808712121201</v>
      </c>
      <c r="BD33" s="38">
        <f t="shared" si="63"/>
        <v>5776.6808712121201</v>
      </c>
      <c r="BE33" s="38">
        <f t="shared" si="63"/>
        <v>5776.6808712121201</v>
      </c>
      <c r="BF33" s="38">
        <f t="shared" si="63"/>
        <v>5776.6808712121201</v>
      </c>
      <c r="BG33" s="38">
        <f t="shared" si="63"/>
        <v>5776.6808712121201</v>
      </c>
      <c r="BH33" s="38">
        <f t="shared" si="63"/>
        <v>5776.6808712121201</v>
      </c>
      <c r="BI33" s="38">
        <f t="shared" si="63"/>
        <v>5776.6808712121201</v>
      </c>
      <c r="BJ33" s="38">
        <f t="shared" si="63"/>
        <v>5776.6808712121201</v>
      </c>
      <c r="BK33" s="38">
        <f t="shared" si="63"/>
        <v>5776.6808712121201</v>
      </c>
      <c r="BL33" s="38">
        <f t="shared" si="63"/>
        <v>5776.6808712121201</v>
      </c>
      <c r="BM33" s="38">
        <f t="shared" si="63"/>
        <v>5776.6808712121201</v>
      </c>
      <c r="BN33" s="38">
        <f t="shared" si="63"/>
        <v>5949.9812973484841</v>
      </c>
      <c r="BO33" s="38">
        <f t="shared" si="63"/>
        <v>5949.9812973484841</v>
      </c>
      <c r="BP33" s="38">
        <f t="shared" si="63"/>
        <v>5949.9812973484841</v>
      </c>
      <c r="BQ33" s="38">
        <f t="shared" si="63"/>
        <v>5949.9812973484841</v>
      </c>
      <c r="BR33" s="38">
        <f t="shared" si="63"/>
        <v>5949.9812973484841</v>
      </c>
      <c r="BS33" s="38">
        <f t="shared" si="63"/>
        <v>5949.9812973484841</v>
      </c>
      <c r="BT33" s="38">
        <f t="shared" si="63"/>
        <v>5949.9812973484841</v>
      </c>
      <c r="BU33" s="38">
        <f t="shared" si="63"/>
        <v>5949.9812973484841</v>
      </c>
      <c r="BV33" s="38">
        <f t="shared" si="63"/>
        <v>5949.9812973484841</v>
      </c>
      <c r="BW33" s="38">
        <f t="shared" si="63"/>
        <v>5949.9812973484841</v>
      </c>
      <c r="BX33" s="38">
        <f t="shared" si="63"/>
        <v>5949.9812973484841</v>
      </c>
      <c r="BY33" s="38">
        <f t="shared" ref="BY33:EJ33" si="64">SUM(BY29:BY32)</f>
        <v>5949.9812973484841</v>
      </c>
      <c r="BZ33" s="38">
        <f t="shared" si="64"/>
        <v>6128.4807362689389</v>
      </c>
      <c r="CA33" s="38">
        <f t="shared" si="64"/>
        <v>6128.4807362689389</v>
      </c>
      <c r="CB33" s="38">
        <f t="shared" si="64"/>
        <v>6128.4807362689389</v>
      </c>
      <c r="CC33" s="38">
        <f t="shared" si="64"/>
        <v>6128.4807362689389</v>
      </c>
      <c r="CD33" s="38">
        <f t="shared" si="64"/>
        <v>6128.4807362689389</v>
      </c>
      <c r="CE33" s="38">
        <f t="shared" si="64"/>
        <v>6128.4807362689389</v>
      </c>
      <c r="CF33" s="38">
        <f t="shared" si="64"/>
        <v>6128.4807362689389</v>
      </c>
      <c r="CG33" s="38">
        <f t="shared" si="64"/>
        <v>6128.4807362689389</v>
      </c>
      <c r="CH33" s="38">
        <f t="shared" si="64"/>
        <v>6128.4807362689389</v>
      </c>
      <c r="CI33" s="38">
        <f t="shared" si="64"/>
        <v>6128.4807362689389</v>
      </c>
      <c r="CJ33" s="38">
        <f t="shared" si="64"/>
        <v>6128.4807362689389</v>
      </c>
      <c r="CK33" s="38">
        <f t="shared" si="64"/>
        <v>6128.4807362689389</v>
      </c>
      <c r="CL33" s="38">
        <f t="shared" si="64"/>
        <v>6312.3351583570056</v>
      </c>
      <c r="CM33" s="38">
        <f t="shared" si="64"/>
        <v>6312.3351583570056</v>
      </c>
      <c r="CN33" s="38">
        <f t="shared" si="64"/>
        <v>6312.3351583570056</v>
      </c>
      <c r="CO33" s="38">
        <f t="shared" si="64"/>
        <v>6312.3351583570056</v>
      </c>
      <c r="CP33" s="38">
        <f t="shared" si="64"/>
        <v>6312.3351583570056</v>
      </c>
      <c r="CQ33" s="38">
        <f t="shared" si="64"/>
        <v>6312.3351583570056</v>
      </c>
      <c r="CR33" s="38">
        <f t="shared" si="64"/>
        <v>6312.3351583570056</v>
      </c>
      <c r="CS33" s="38">
        <f t="shared" si="64"/>
        <v>6312.3351583570056</v>
      </c>
      <c r="CT33" s="38">
        <f t="shared" si="64"/>
        <v>6312.3351583570056</v>
      </c>
      <c r="CU33" s="38">
        <f t="shared" si="64"/>
        <v>6312.3351583570056</v>
      </c>
      <c r="CV33" s="38">
        <f t="shared" si="64"/>
        <v>6312.3351583570056</v>
      </c>
      <c r="CW33" s="38">
        <f t="shared" si="64"/>
        <v>6312.3351583570056</v>
      </c>
      <c r="CX33" s="38">
        <f t="shared" si="64"/>
        <v>6501.7052131077162</v>
      </c>
      <c r="CY33" s="38">
        <f t="shared" si="64"/>
        <v>6501.7052131077162</v>
      </c>
      <c r="CZ33" s="38">
        <f t="shared" si="64"/>
        <v>6501.7052131077162</v>
      </c>
      <c r="DA33" s="38">
        <f t="shared" si="64"/>
        <v>6501.7052131077162</v>
      </c>
      <c r="DB33" s="38">
        <f t="shared" si="64"/>
        <v>6501.7052131077162</v>
      </c>
      <c r="DC33" s="38">
        <f t="shared" si="64"/>
        <v>6501.7052131077162</v>
      </c>
      <c r="DD33" s="38">
        <f t="shared" si="64"/>
        <v>6501.7052131077162</v>
      </c>
      <c r="DE33" s="38">
        <f t="shared" si="64"/>
        <v>6501.7052131077162</v>
      </c>
      <c r="DF33" s="38">
        <f t="shared" si="64"/>
        <v>6501.7052131077162</v>
      </c>
      <c r="DG33" s="38">
        <f t="shared" si="64"/>
        <v>6501.7052131077162</v>
      </c>
      <c r="DH33" s="38">
        <f t="shared" si="64"/>
        <v>6501.7052131077162</v>
      </c>
      <c r="DI33" s="38">
        <f t="shared" si="64"/>
        <v>6501.7052131077162</v>
      </c>
      <c r="DJ33" s="38">
        <f t="shared" si="64"/>
        <v>6696.7563695009485</v>
      </c>
      <c r="DK33" s="38">
        <f t="shared" si="64"/>
        <v>6696.7563695009485</v>
      </c>
      <c r="DL33" s="38">
        <f t="shared" si="64"/>
        <v>6696.7563695009485</v>
      </c>
      <c r="DM33" s="38">
        <f t="shared" si="64"/>
        <v>6696.7563695009485</v>
      </c>
      <c r="DN33" s="38">
        <f t="shared" si="64"/>
        <v>6696.7563695009485</v>
      </c>
      <c r="DO33" s="38">
        <f t="shared" si="64"/>
        <v>6696.7563695009485</v>
      </c>
      <c r="DP33" s="38">
        <f t="shared" si="64"/>
        <v>6696.7563695009485</v>
      </c>
      <c r="DQ33" s="38">
        <f t="shared" si="64"/>
        <v>6696.7563695009485</v>
      </c>
      <c r="DR33" s="38">
        <f t="shared" si="64"/>
        <v>6696.7563695009485</v>
      </c>
      <c r="DS33" s="38">
        <f t="shared" si="64"/>
        <v>6696.7563695009485</v>
      </c>
      <c r="DT33" s="38">
        <f t="shared" si="64"/>
        <v>6696.7563695009485</v>
      </c>
      <c r="DU33" s="38">
        <f t="shared" si="64"/>
        <v>6696.7563695009485</v>
      </c>
      <c r="DV33" s="38">
        <f t="shared" si="64"/>
        <v>6897.6590605859765</v>
      </c>
      <c r="DW33" s="38">
        <f t="shared" si="64"/>
        <v>6897.6590605859765</v>
      </c>
      <c r="DX33" s="38">
        <f t="shared" si="64"/>
        <v>6897.6590605859765</v>
      </c>
      <c r="DY33" s="38">
        <f t="shared" si="64"/>
        <v>6897.6590605859765</v>
      </c>
      <c r="DZ33" s="38">
        <f t="shared" si="64"/>
        <v>6897.6590605859765</v>
      </c>
      <c r="EA33" s="38">
        <f t="shared" si="64"/>
        <v>6897.6590605859765</v>
      </c>
      <c r="EB33" s="38">
        <f t="shared" si="64"/>
        <v>6897.6590605859765</v>
      </c>
      <c r="EC33" s="38">
        <f t="shared" si="64"/>
        <v>6897.6590605859765</v>
      </c>
      <c r="ED33" s="38">
        <f t="shared" si="64"/>
        <v>6897.6590605859765</v>
      </c>
      <c r="EE33" s="38">
        <f t="shared" si="64"/>
        <v>6897.6590605859765</v>
      </c>
      <c r="EF33" s="38">
        <f t="shared" si="64"/>
        <v>6897.6590605859765</v>
      </c>
      <c r="EG33" s="38">
        <f t="shared" si="64"/>
        <v>6897.6590605859765</v>
      </c>
      <c r="EH33" s="38">
        <f t="shared" si="64"/>
        <v>7104.5888324035559</v>
      </c>
      <c r="EI33" s="38">
        <f t="shared" si="64"/>
        <v>7104.5888324035559</v>
      </c>
      <c r="EJ33" s="38">
        <f t="shared" si="64"/>
        <v>7104.5888324035559</v>
      </c>
      <c r="EK33" s="38">
        <f>SUM(EK29:EK32)</f>
        <v>7104.5888324035559</v>
      </c>
      <c r="EL33" s="38">
        <f>SUM(EL29:EL32)</f>
        <v>7104.5888324035559</v>
      </c>
      <c r="EM33" s="38">
        <f>SUM(EM29:EM32)</f>
        <v>7104.5888324035559</v>
      </c>
      <c r="EO33" s="201"/>
      <c r="EP33" s="201"/>
      <c r="EQ33" s="201"/>
      <c r="ER33" s="201"/>
      <c r="ES33" s="201"/>
      <c r="ET33" s="201"/>
      <c r="EU33" s="201"/>
      <c r="EV33" s="201"/>
      <c r="EW33" s="201"/>
      <c r="EX33" s="201"/>
      <c r="EY33" s="201"/>
      <c r="EZ33" s="201"/>
      <c r="FA33" s="201"/>
      <c r="FB33" s="201"/>
      <c r="FC33" s="201"/>
      <c r="FD33" s="201"/>
      <c r="FE33" s="201"/>
      <c r="FF33" s="201"/>
      <c r="FG33" s="201"/>
      <c r="FH33" s="201"/>
      <c r="FI33" s="201"/>
      <c r="FJ33" s="201"/>
      <c r="FK33" s="201"/>
      <c r="FL33" s="201"/>
      <c r="FM33" s="201"/>
      <c r="FN33" s="201"/>
      <c r="FO33" s="201"/>
      <c r="FP33" s="201"/>
      <c r="FQ33" s="201"/>
      <c r="FR33" s="201"/>
      <c r="FS33" s="201"/>
      <c r="FT33" s="201"/>
      <c r="FU33" s="201"/>
      <c r="FV33" s="201"/>
      <c r="FW33" s="201"/>
      <c r="FX33" s="201"/>
      <c r="FY33" s="201"/>
      <c r="FZ33" s="201"/>
      <c r="GA33" s="201"/>
      <c r="GB33" s="201"/>
      <c r="GC33" s="201"/>
      <c r="GD33" s="201"/>
      <c r="GE33" s="201"/>
      <c r="GF33" s="201"/>
      <c r="GG33" s="201"/>
      <c r="GH33" s="201"/>
      <c r="GI33" s="201"/>
      <c r="GJ33" s="201"/>
      <c r="GK33" s="201"/>
      <c r="GL33" s="201"/>
      <c r="GM33" s="201"/>
      <c r="GN33" s="201"/>
      <c r="GO33" s="201"/>
      <c r="GP33" s="201"/>
      <c r="GQ33" s="201"/>
      <c r="GR33" s="201"/>
      <c r="GS33" s="201"/>
      <c r="GT33" s="201"/>
      <c r="GU33" s="201"/>
      <c r="GV33" s="201"/>
      <c r="GW33" s="201"/>
      <c r="GX33" s="201"/>
      <c r="GY33" s="201"/>
      <c r="GZ33" s="201"/>
      <c r="HA33" s="201"/>
      <c r="HB33" s="201"/>
      <c r="HC33" s="201"/>
      <c r="HD33" s="201"/>
      <c r="HE33" s="201"/>
      <c r="HF33" s="201"/>
      <c r="HG33" s="201"/>
      <c r="HH33" s="201"/>
      <c r="HI33" s="201"/>
      <c r="HJ33" s="201"/>
      <c r="HK33" s="201"/>
      <c r="HL33" s="201"/>
      <c r="HM33" s="201"/>
      <c r="HN33" s="201"/>
      <c r="HO33" s="201"/>
      <c r="HP33" s="201"/>
      <c r="HQ33" s="201"/>
      <c r="HR33" s="201"/>
      <c r="HS33" s="201"/>
      <c r="HT33" s="201"/>
      <c r="HU33" s="201"/>
      <c r="HV33" s="201"/>
      <c r="HW33" s="201"/>
      <c r="HX33" s="201"/>
      <c r="HY33" s="201"/>
      <c r="HZ33" s="201"/>
      <c r="IA33" s="201"/>
      <c r="IB33" s="201"/>
      <c r="IC33" s="201"/>
      <c r="ID33" s="201"/>
      <c r="IE33" s="201"/>
      <c r="IF33" s="201"/>
      <c r="IG33" s="201"/>
      <c r="IH33" s="201"/>
      <c r="II33" s="201"/>
      <c r="IJ33" s="201"/>
      <c r="IK33" s="201"/>
      <c r="IL33" s="201"/>
      <c r="IM33" s="201"/>
      <c r="IN33" s="201"/>
      <c r="IO33" s="201"/>
      <c r="IP33" s="201"/>
      <c r="IQ33" s="201"/>
      <c r="IR33" s="201"/>
      <c r="IS33" s="201"/>
      <c r="IT33" s="201"/>
      <c r="IU33" s="201"/>
      <c r="IV33" s="201"/>
      <c r="IW33" s="201"/>
      <c r="IX33" s="201"/>
      <c r="IY33" s="201"/>
      <c r="IZ33" s="201"/>
      <c r="JA33" s="201"/>
      <c r="JB33" s="201"/>
      <c r="JC33" s="201"/>
      <c r="JD33" s="201"/>
      <c r="JE33" s="201"/>
      <c r="JF33" s="201"/>
      <c r="JG33" s="201"/>
      <c r="JH33" s="201"/>
      <c r="JI33" s="201"/>
      <c r="JJ33" s="201"/>
      <c r="JK33" s="201"/>
      <c r="JL33" s="201"/>
      <c r="JM33" s="201"/>
      <c r="JN33" s="201"/>
      <c r="JO33" s="201"/>
      <c r="JP33" s="201"/>
      <c r="JQ33" s="201"/>
      <c r="JR33" s="201"/>
      <c r="JS33" s="201"/>
      <c r="JT33" s="201"/>
      <c r="JU33" s="201"/>
      <c r="JV33" s="201"/>
      <c r="JW33" s="201"/>
    </row>
    <row r="34" spans="1:284" ht="5.0999999999999996" customHeight="1" x14ac:dyDescent="0.2">
      <c r="B34" s="429"/>
      <c r="C34" s="124"/>
      <c r="D34" s="124"/>
      <c r="E34" s="124"/>
      <c r="F34" s="124"/>
      <c r="G34" s="389"/>
      <c r="H34" s="431"/>
      <c r="I34" s="389"/>
      <c r="EO34" s="201"/>
      <c r="EP34" s="201"/>
      <c r="EQ34" s="201"/>
      <c r="ER34" s="201"/>
      <c r="ES34" s="201"/>
      <c r="ET34" s="201"/>
      <c r="EU34" s="201"/>
      <c r="EV34" s="201"/>
      <c r="EW34" s="201"/>
      <c r="EX34" s="201"/>
      <c r="EY34" s="201"/>
      <c r="EZ34" s="201"/>
      <c r="FA34" s="201"/>
      <c r="FB34" s="201"/>
      <c r="FC34" s="201"/>
      <c r="FD34" s="201"/>
      <c r="FE34" s="201"/>
      <c r="FF34" s="201"/>
      <c r="FG34" s="201"/>
      <c r="FH34" s="201"/>
      <c r="FI34" s="201"/>
      <c r="FJ34" s="201"/>
      <c r="FK34" s="201"/>
      <c r="FL34" s="201"/>
      <c r="FM34" s="201"/>
      <c r="FN34" s="201"/>
      <c r="FO34" s="201"/>
      <c r="FP34" s="201"/>
      <c r="FQ34" s="201"/>
      <c r="FR34" s="201"/>
      <c r="FS34" s="201"/>
      <c r="FT34" s="201"/>
      <c r="FU34" s="201"/>
      <c r="FV34" s="201"/>
      <c r="FW34" s="201"/>
      <c r="FX34" s="201"/>
      <c r="FY34" s="201"/>
      <c r="FZ34" s="201"/>
      <c r="GA34" s="201"/>
      <c r="GB34" s="201"/>
      <c r="GC34" s="201"/>
      <c r="GD34" s="201"/>
      <c r="GE34" s="201"/>
      <c r="GF34" s="201"/>
      <c r="GG34" s="201"/>
      <c r="GH34" s="201"/>
      <c r="GI34" s="201"/>
      <c r="GJ34" s="201"/>
      <c r="GK34" s="201"/>
      <c r="GL34" s="201"/>
      <c r="GM34" s="201"/>
      <c r="GN34" s="201"/>
      <c r="GO34" s="201"/>
      <c r="GP34" s="201"/>
      <c r="GQ34" s="201"/>
      <c r="GR34" s="201"/>
      <c r="GS34" s="201"/>
      <c r="GT34" s="201"/>
      <c r="GU34" s="201"/>
      <c r="GV34" s="201"/>
      <c r="GW34" s="201"/>
      <c r="GX34" s="201"/>
      <c r="GY34" s="201"/>
      <c r="GZ34" s="201"/>
      <c r="HA34" s="201"/>
      <c r="HB34" s="201"/>
      <c r="HC34" s="201"/>
      <c r="HD34" s="201"/>
      <c r="HE34" s="201"/>
      <c r="HF34" s="201"/>
      <c r="HG34" s="201"/>
      <c r="HH34" s="201"/>
      <c r="HI34" s="201"/>
      <c r="HJ34" s="201"/>
      <c r="HK34" s="201"/>
      <c r="HL34" s="201"/>
      <c r="HM34" s="201"/>
      <c r="HN34" s="201"/>
      <c r="HO34" s="201"/>
      <c r="HP34" s="201"/>
      <c r="HQ34" s="201"/>
      <c r="HR34" s="201"/>
      <c r="HS34" s="201"/>
      <c r="HT34" s="201"/>
      <c r="HU34" s="201"/>
      <c r="HV34" s="201"/>
      <c r="HW34" s="201"/>
      <c r="HX34" s="201"/>
      <c r="HY34" s="201"/>
      <c r="HZ34" s="201"/>
      <c r="IA34" s="201"/>
      <c r="IB34" s="201"/>
      <c r="IC34" s="201"/>
      <c r="ID34" s="201"/>
      <c r="IE34" s="201"/>
      <c r="IF34" s="201"/>
      <c r="IG34" s="201"/>
      <c r="IH34" s="201"/>
      <c r="II34" s="201"/>
      <c r="IJ34" s="201"/>
      <c r="IK34" s="201"/>
      <c r="IL34" s="201"/>
      <c r="IM34" s="201"/>
      <c r="IN34" s="201"/>
      <c r="IO34" s="201"/>
      <c r="IP34" s="201"/>
      <c r="IQ34" s="201"/>
      <c r="IR34" s="201"/>
      <c r="IS34" s="201"/>
      <c r="IT34" s="201"/>
      <c r="IU34" s="201"/>
      <c r="IV34" s="201"/>
      <c r="IW34" s="201"/>
      <c r="IX34" s="201"/>
      <c r="IY34" s="201"/>
      <c r="IZ34" s="201"/>
      <c r="JA34" s="201"/>
      <c r="JB34" s="201"/>
      <c r="JC34" s="201"/>
      <c r="JD34" s="201"/>
      <c r="JE34" s="201"/>
      <c r="JF34" s="201"/>
      <c r="JG34" s="201"/>
      <c r="JH34" s="201"/>
      <c r="JI34" s="201"/>
      <c r="JJ34" s="201"/>
      <c r="JK34" s="201"/>
      <c r="JL34" s="201"/>
      <c r="JM34" s="201"/>
      <c r="JN34" s="201"/>
      <c r="JO34" s="201"/>
      <c r="JP34" s="201"/>
      <c r="JQ34" s="201"/>
      <c r="JR34" s="201"/>
      <c r="JS34" s="201"/>
      <c r="JT34" s="201"/>
      <c r="JU34" s="201"/>
      <c r="JV34" s="201"/>
      <c r="JW34" s="201"/>
    </row>
    <row r="35" spans="1:284" s="64" customFormat="1" x14ac:dyDescent="0.2">
      <c r="A35" s="409"/>
      <c r="B35" s="439" t="s">
        <v>315</v>
      </c>
      <c r="C35" s="440"/>
      <c r="D35" s="440"/>
      <c r="E35" s="440"/>
      <c r="F35" s="440"/>
      <c r="G35" s="396"/>
      <c r="H35" s="441">
        <f>I35/Units_Retail</f>
        <v>21.550909090909091</v>
      </c>
      <c r="I35" s="442">
        <f>I25-I33</f>
        <v>123917.72727272726</v>
      </c>
      <c r="L35" s="65">
        <f>L25-L33</f>
        <v>0</v>
      </c>
      <c r="M35" s="65">
        <f t="shared" ref="M35:BX35" si="65">M25-M33</f>
        <v>0</v>
      </c>
      <c r="N35" s="65">
        <f t="shared" si="65"/>
        <v>0</v>
      </c>
      <c r="O35" s="65">
        <f t="shared" si="65"/>
        <v>0</v>
      </c>
      <c r="P35" s="65">
        <f t="shared" si="65"/>
        <v>0</v>
      </c>
      <c r="Q35" s="65">
        <f t="shared" si="65"/>
        <v>0</v>
      </c>
      <c r="R35" s="65">
        <f t="shared" si="65"/>
        <v>0</v>
      </c>
      <c r="S35" s="65">
        <f t="shared" si="65"/>
        <v>0</v>
      </c>
      <c r="T35" s="65">
        <f t="shared" si="65"/>
        <v>0</v>
      </c>
      <c r="U35" s="65">
        <f t="shared" si="65"/>
        <v>0</v>
      </c>
      <c r="V35" s="65">
        <f t="shared" si="65"/>
        <v>0</v>
      </c>
      <c r="W35" s="65">
        <f t="shared" si="65"/>
        <v>0</v>
      </c>
      <c r="X35" s="65">
        <f t="shared" si="65"/>
        <v>0</v>
      </c>
      <c r="Y35" s="65">
        <f t="shared" si="65"/>
        <v>0</v>
      </c>
      <c r="Z35" s="65">
        <f t="shared" si="65"/>
        <v>0</v>
      </c>
      <c r="AA35" s="65">
        <f t="shared" si="65"/>
        <v>0</v>
      </c>
      <c r="AB35" s="65">
        <f t="shared" si="65"/>
        <v>0</v>
      </c>
      <c r="AC35" s="65">
        <f t="shared" si="65"/>
        <v>0</v>
      </c>
      <c r="AD35" s="65">
        <f t="shared" si="65"/>
        <v>-1079.5454545454545</v>
      </c>
      <c r="AE35" s="65">
        <f t="shared" si="65"/>
        <v>-1079.5454545454545</v>
      </c>
      <c r="AF35" s="65">
        <f t="shared" si="65"/>
        <v>-1079.5454545454545</v>
      </c>
      <c r="AG35" s="65">
        <f t="shared" si="65"/>
        <v>5997.7272727272739</v>
      </c>
      <c r="AH35" s="65">
        <f t="shared" si="65"/>
        <v>5997.7272727272739</v>
      </c>
      <c r="AI35" s="65">
        <f t="shared" si="65"/>
        <v>5997.7272727272739</v>
      </c>
      <c r="AJ35" s="65">
        <f t="shared" si="65"/>
        <v>10326.477272727272</v>
      </c>
      <c r="AK35" s="65">
        <f t="shared" si="65"/>
        <v>10326.477272727272</v>
      </c>
      <c r="AL35" s="65">
        <f t="shared" si="65"/>
        <v>10326.477272727272</v>
      </c>
      <c r="AM35" s="65">
        <f t="shared" si="65"/>
        <v>10326.477272727272</v>
      </c>
      <c r="AN35" s="65">
        <f t="shared" si="65"/>
        <v>10326.477272727272</v>
      </c>
      <c r="AO35" s="65">
        <f t="shared" si="65"/>
        <v>10326.477272727272</v>
      </c>
      <c r="AP35" s="65">
        <f t="shared" si="65"/>
        <v>10313.40909090909</v>
      </c>
      <c r="AQ35" s="65">
        <f t="shared" si="65"/>
        <v>10313.40909090909</v>
      </c>
      <c r="AR35" s="65">
        <f t="shared" si="65"/>
        <v>10313.40909090909</v>
      </c>
      <c r="AS35" s="65">
        <f t="shared" si="65"/>
        <v>10399.65909090909</v>
      </c>
      <c r="AT35" s="65">
        <f t="shared" si="65"/>
        <v>10399.65909090909</v>
      </c>
      <c r="AU35" s="65">
        <f t="shared" si="65"/>
        <v>10399.65909090909</v>
      </c>
      <c r="AV35" s="65">
        <f t="shared" si="65"/>
        <v>10465.400757575759</v>
      </c>
      <c r="AW35" s="65">
        <f t="shared" si="65"/>
        <v>10465.400757575759</v>
      </c>
      <c r="AX35" s="65">
        <f t="shared" si="65"/>
        <v>10465.400757575759</v>
      </c>
      <c r="AY35" s="65">
        <f t="shared" si="65"/>
        <v>10465.400757575759</v>
      </c>
      <c r="AZ35" s="65">
        <f t="shared" si="65"/>
        <v>10465.400757575759</v>
      </c>
      <c r="BA35" s="65">
        <f t="shared" si="65"/>
        <v>10465.400757575759</v>
      </c>
      <c r="BB35" s="65">
        <f t="shared" si="65"/>
        <v>10451.940530303031</v>
      </c>
      <c r="BC35" s="65">
        <f t="shared" si="65"/>
        <v>10451.940530303031</v>
      </c>
      <c r="BD35" s="65">
        <f t="shared" si="65"/>
        <v>10451.940530303031</v>
      </c>
      <c r="BE35" s="65">
        <f t="shared" si="65"/>
        <v>10540.77803030303</v>
      </c>
      <c r="BF35" s="65">
        <f t="shared" si="65"/>
        <v>10540.77803030303</v>
      </c>
      <c r="BG35" s="65">
        <f t="shared" si="65"/>
        <v>10540.77803030303</v>
      </c>
      <c r="BH35" s="65">
        <f t="shared" si="65"/>
        <v>10607.834530303029</v>
      </c>
      <c r="BI35" s="65">
        <f t="shared" si="65"/>
        <v>10607.834530303029</v>
      </c>
      <c r="BJ35" s="65">
        <f t="shared" si="65"/>
        <v>10607.834530303029</v>
      </c>
      <c r="BK35" s="65">
        <f t="shared" si="65"/>
        <v>10607.834530303029</v>
      </c>
      <c r="BL35" s="65">
        <f t="shared" si="65"/>
        <v>10607.834530303029</v>
      </c>
      <c r="BM35" s="65">
        <f t="shared" si="65"/>
        <v>10607.834530303029</v>
      </c>
      <c r="BN35" s="65">
        <f t="shared" si="65"/>
        <v>10593.970496212121</v>
      </c>
      <c r="BO35" s="65">
        <f t="shared" si="65"/>
        <v>10593.970496212121</v>
      </c>
      <c r="BP35" s="65">
        <f t="shared" si="65"/>
        <v>10593.970496212121</v>
      </c>
      <c r="BQ35" s="65">
        <f t="shared" si="65"/>
        <v>10685.473121212122</v>
      </c>
      <c r="BR35" s="65">
        <f t="shared" si="65"/>
        <v>10685.473121212122</v>
      </c>
      <c r="BS35" s="65">
        <f t="shared" si="65"/>
        <v>10685.473121212122</v>
      </c>
      <c r="BT35" s="65">
        <f t="shared" si="65"/>
        <v>10753.870751212118</v>
      </c>
      <c r="BU35" s="65">
        <f t="shared" si="65"/>
        <v>10753.870751212118</v>
      </c>
      <c r="BV35" s="65">
        <f t="shared" si="65"/>
        <v>10753.870751212118</v>
      </c>
      <c r="BW35" s="65">
        <f t="shared" si="65"/>
        <v>10753.870751212118</v>
      </c>
      <c r="BX35" s="65">
        <f t="shared" si="65"/>
        <v>10753.870751212118</v>
      </c>
      <c r="BY35" s="65">
        <f t="shared" ref="BY35:EJ35" si="66">BY25-BY33</f>
        <v>10753.870751212118</v>
      </c>
      <c r="BZ35" s="65">
        <f t="shared" si="66"/>
        <v>10739.590796098488</v>
      </c>
      <c r="CA35" s="65">
        <f t="shared" si="66"/>
        <v>10739.590796098488</v>
      </c>
      <c r="CB35" s="65">
        <f t="shared" si="66"/>
        <v>10739.590796098488</v>
      </c>
      <c r="CC35" s="65">
        <f t="shared" si="66"/>
        <v>10833.838499848483</v>
      </c>
      <c r="CD35" s="65">
        <f t="shared" si="66"/>
        <v>10833.838499848483</v>
      </c>
      <c r="CE35" s="65">
        <f t="shared" si="66"/>
        <v>10833.838499848483</v>
      </c>
      <c r="CF35" s="65">
        <f t="shared" si="66"/>
        <v>10903.604082448484</v>
      </c>
      <c r="CG35" s="65">
        <f t="shared" si="66"/>
        <v>10903.604082448484</v>
      </c>
      <c r="CH35" s="65">
        <f t="shared" si="66"/>
        <v>10903.604082448484</v>
      </c>
      <c r="CI35" s="65">
        <f t="shared" si="66"/>
        <v>10903.604082448484</v>
      </c>
      <c r="CJ35" s="65">
        <f t="shared" si="66"/>
        <v>10903.604082448484</v>
      </c>
      <c r="CK35" s="65">
        <f t="shared" si="66"/>
        <v>10903.604082448484</v>
      </c>
      <c r="CL35" s="65">
        <f t="shared" si="66"/>
        <v>10888.895728681438</v>
      </c>
      <c r="CM35" s="65">
        <f t="shared" si="66"/>
        <v>10888.895728681438</v>
      </c>
      <c r="CN35" s="65">
        <f t="shared" si="66"/>
        <v>10888.895728681438</v>
      </c>
      <c r="CO35" s="65">
        <f t="shared" si="66"/>
        <v>10985.97086354394</v>
      </c>
      <c r="CP35" s="65">
        <f t="shared" si="66"/>
        <v>10985.97086354394</v>
      </c>
      <c r="CQ35" s="65">
        <f t="shared" si="66"/>
        <v>10985.97086354394</v>
      </c>
      <c r="CR35" s="65">
        <f t="shared" si="66"/>
        <v>11057.13175779594</v>
      </c>
      <c r="CS35" s="65">
        <f t="shared" si="66"/>
        <v>11057.13175779594</v>
      </c>
      <c r="CT35" s="65">
        <f t="shared" si="66"/>
        <v>11057.13175779594</v>
      </c>
      <c r="CU35" s="65">
        <f t="shared" si="66"/>
        <v>11057.13175779594</v>
      </c>
      <c r="CV35" s="65">
        <f t="shared" si="66"/>
        <v>11057.13175779594</v>
      </c>
      <c r="CW35" s="65">
        <f t="shared" si="66"/>
        <v>11057.13175779594</v>
      </c>
      <c r="CX35" s="65">
        <f t="shared" si="66"/>
        <v>11041.982153415885</v>
      </c>
      <c r="CY35" s="65">
        <f t="shared" si="66"/>
        <v>11041.982153415885</v>
      </c>
      <c r="CZ35" s="65">
        <f t="shared" si="66"/>
        <v>11041.982153415885</v>
      </c>
      <c r="DA35" s="65">
        <f t="shared" si="66"/>
        <v>11141.969542324257</v>
      </c>
      <c r="DB35" s="65">
        <f t="shared" si="66"/>
        <v>11141.969542324257</v>
      </c>
      <c r="DC35" s="65">
        <f t="shared" si="66"/>
        <v>11141.969542324257</v>
      </c>
      <c r="DD35" s="65">
        <f t="shared" si="66"/>
        <v>11214.553654461297</v>
      </c>
      <c r="DE35" s="65">
        <f t="shared" si="66"/>
        <v>11214.553654461297</v>
      </c>
      <c r="DF35" s="65">
        <f t="shared" si="66"/>
        <v>11214.553654461297</v>
      </c>
      <c r="DG35" s="65">
        <f t="shared" si="66"/>
        <v>11214.553654461297</v>
      </c>
      <c r="DH35" s="65">
        <f t="shared" si="66"/>
        <v>11214.553654461297</v>
      </c>
      <c r="DI35" s="65">
        <f t="shared" si="66"/>
        <v>11214.553654461297</v>
      </c>
      <c r="DJ35" s="65">
        <f t="shared" si="66"/>
        <v>11198.949561949838</v>
      </c>
      <c r="DK35" s="65">
        <f t="shared" si="66"/>
        <v>11198.949561949838</v>
      </c>
      <c r="DL35" s="65">
        <f t="shared" si="66"/>
        <v>11198.949561949838</v>
      </c>
      <c r="DM35" s="65">
        <f t="shared" si="66"/>
        <v>11301.936572525465</v>
      </c>
      <c r="DN35" s="65">
        <f t="shared" si="66"/>
        <v>11301.936572525465</v>
      </c>
      <c r="DO35" s="65">
        <f t="shared" si="66"/>
        <v>11301.936572525465</v>
      </c>
      <c r="DP35" s="65">
        <f t="shared" si="66"/>
        <v>11375.972366905247</v>
      </c>
      <c r="DQ35" s="65">
        <f t="shared" si="66"/>
        <v>11375.972366905247</v>
      </c>
      <c r="DR35" s="65">
        <f t="shared" si="66"/>
        <v>11375.972366905247</v>
      </c>
      <c r="DS35" s="65">
        <f t="shared" si="66"/>
        <v>11375.972366905247</v>
      </c>
      <c r="DT35" s="65">
        <f t="shared" si="66"/>
        <v>11375.972366905247</v>
      </c>
      <c r="DU35" s="65">
        <f t="shared" si="66"/>
        <v>11375.972366905247</v>
      </c>
      <c r="DV35" s="65">
        <f t="shared" si="66"/>
        <v>11359.900151618442</v>
      </c>
      <c r="DW35" s="65">
        <f t="shared" si="66"/>
        <v>11359.900151618442</v>
      </c>
      <c r="DX35" s="65">
        <f t="shared" si="66"/>
        <v>11359.900151618442</v>
      </c>
      <c r="DY35" s="65">
        <f t="shared" si="66"/>
        <v>11465.976772511336</v>
      </c>
      <c r="DZ35" s="65">
        <f t="shared" si="66"/>
        <v>11465.976772511336</v>
      </c>
      <c r="EA35" s="65">
        <f t="shared" si="66"/>
        <v>11465.976772511336</v>
      </c>
      <c r="EB35" s="65">
        <f t="shared" si="66"/>
        <v>11541.493282778714</v>
      </c>
      <c r="EC35" s="65">
        <f t="shared" si="66"/>
        <v>11541.493282778714</v>
      </c>
      <c r="ED35" s="65">
        <f t="shared" si="66"/>
        <v>11541.493282778714</v>
      </c>
      <c r="EE35" s="65">
        <f t="shared" si="66"/>
        <v>11541.493282778714</v>
      </c>
      <c r="EF35" s="65">
        <f t="shared" si="66"/>
        <v>11541.493282778714</v>
      </c>
      <c r="EG35" s="65">
        <f t="shared" si="66"/>
        <v>11541.493282778714</v>
      </c>
      <c r="EH35" s="65">
        <f t="shared" si="66"/>
        <v>11524.938901033311</v>
      </c>
      <c r="EI35" s="65">
        <f t="shared" si="66"/>
        <v>11524.938901033311</v>
      </c>
      <c r="EJ35" s="65">
        <f t="shared" si="66"/>
        <v>11524.938901033311</v>
      </c>
      <c r="EK35" s="65">
        <f>EK25-EK33</f>
        <v>11634.197820552992</v>
      </c>
      <c r="EL35" s="65">
        <f>EL25-EL33</f>
        <v>11634.197820552992</v>
      </c>
      <c r="EM35" s="65">
        <f>EM25-EM33</f>
        <v>11634.197820552992</v>
      </c>
      <c r="EO35" s="211"/>
      <c r="EP35" s="211"/>
      <c r="EQ35" s="211"/>
      <c r="ER35" s="211"/>
      <c r="ES35" s="211"/>
      <c r="ET35" s="211"/>
      <c r="EU35" s="211"/>
      <c r="EV35" s="211"/>
      <c r="EW35" s="211"/>
      <c r="EX35" s="211"/>
      <c r="EY35" s="211"/>
      <c r="EZ35" s="211"/>
      <c r="FA35" s="211"/>
      <c r="FB35" s="211"/>
      <c r="FC35" s="211"/>
      <c r="FD35" s="211"/>
      <c r="FE35" s="211"/>
      <c r="FF35" s="211"/>
      <c r="FG35" s="211"/>
      <c r="FH35" s="211"/>
      <c r="FI35" s="211"/>
      <c r="FJ35" s="211"/>
      <c r="FK35" s="211"/>
      <c r="FL35" s="211"/>
      <c r="FM35" s="211"/>
      <c r="FN35" s="211"/>
      <c r="FO35" s="211"/>
      <c r="FP35" s="211"/>
      <c r="FQ35" s="211"/>
      <c r="FR35" s="211"/>
      <c r="FS35" s="211"/>
      <c r="FT35" s="211"/>
      <c r="FU35" s="211"/>
      <c r="FV35" s="211"/>
      <c r="FW35" s="211"/>
      <c r="FX35" s="211"/>
      <c r="FY35" s="211"/>
      <c r="FZ35" s="211"/>
      <c r="GA35" s="211"/>
      <c r="GB35" s="211"/>
      <c r="GC35" s="211"/>
      <c r="GD35" s="211"/>
      <c r="GE35" s="211"/>
      <c r="GF35" s="211"/>
      <c r="GG35" s="211"/>
      <c r="GH35" s="211"/>
      <c r="GI35" s="211"/>
      <c r="GJ35" s="211"/>
      <c r="GK35" s="211"/>
      <c r="GL35" s="211"/>
      <c r="GM35" s="211"/>
      <c r="GN35" s="211"/>
      <c r="GO35" s="211"/>
      <c r="GP35" s="211"/>
      <c r="GQ35" s="211"/>
      <c r="GR35" s="211"/>
      <c r="GS35" s="211"/>
      <c r="GT35" s="211"/>
      <c r="GU35" s="211"/>
      <c r="GV35" s="211"/>
      <c r="GW35" s="211"/>
      <c r="GX35" s="211"/>
      <c r="GY35" s="211"/>
      <c r="GZ35" s="211"/>
      <c r="HA35" s="211"/>
      <c r="HB35" s="211"/>
      <c r="HC35" s="211"/>
      <c r="HD35" s="211"/>
      <c r="HE35" s="211"/>
      <c r="HF35" s="211"/>
      <c r="HG35" s="211"/>
      <c r="HH35" s="211"/>
      <c r="HI35" s="211"/>
      <c r="HJ35" s="211"/>
      <c r="HK35" s="211"/>
      <c r="HL35" s="211"/>
      <c r="HM35" s="211"/>
      <c r="HN35" s="211"/>
      <c r="HO35" s="211"/>
      <c r="HP35" s="211"/>
      <c r="HQ35" s="211"/>
      <c r="HR35" s="211"/>
      <c r="HS35" s="211"/>
      <c r="HT35" s="211"/>
      <c r="HU35" s="211"/>
      <c r="HV35" s="211"/>
      <c r="HW35" s="211"/>
      <c r="HX35" s="211"/>
      <c r="HY35" s="211"/>
      <c r="HZ35" s="211"/>
      <c r="IA35" s="211"/>
      <c r="IB35" s="211"/>
      <c r="IC35" s="211"/>
      <c r="ID35" s="211"/>
      <c r="IE35" s="211"/>
      <c r="IF35" s="211"/>
      <c r="IG35" s="211"/>
      <c r="IH35" s="211"/>
      <c r="II35" s="211"/>
      <c r="IJ35" s="211"/>
      <c r="IK35" s="211"/>
      <c r="IL35" s="211"/>
      <c r="IM35" s="211"/>
      <c r="IN35" s="211"/>
      <c r="IO35" s="211"/>
      <c r="IP35" s="211"/>
      <c r="IQ35" s="211"/>
      <c r="IR35" s="211"/>
      <c r="IS35" s="211"/>
      <c r="IT35" s="211"/>
      <c r="IU35" s="211"/>
      <c r="IV35" s="211"/>
      <c r="IW35" s="211"/>
      <c r="IX35" s="211"/>
      <c r="IY35" s="211"/>
      <c r="IZ35" s="211"/>
      <c r="JA35" s="211"/>
      <c r="JB35" s="211"/>
      <c r="JC35" s="211"/>
      <c r="JD35" s="211"/>
      <c r="JE35" s="211"/>
      <c r="JF35" s="211"/>
      <c r="JG35" s="211"/>
      <c r="JH35" s="211"/>
      <c r="JI35" s="211"/>
      <c r="JJ35" s="211"/>
      <c r="JK35" s="211"/>
      <c r="JL35" s="211"/>
      <c r="JM35" s="211"/>
      <c r="JN35" s="211"/>
      <c r="JO35" s="211"/>
      <c r="JP35" s="211"/>
      <c r="JQ35" s="211"/>
      <c r="JR35" s="211"/>
      <c r="JS35" s="211"/>
      <c r="JT35" s="211"/>
      <c r="JU35" s="211"/>
      <c r="JV35" s="211"/>
      <c r="JW35" s="211"/>
    </row>
    <row r="36" spans="1:284" x14ac:dyDescent="0.2">
      <c r="B36" s="429"/>
      <c r="C36" s="124"/>
      <c r="D36" s="124"/>
      <c r="E36" s="124"/>
      <c r="F36" s="124"/>
      <c r="G36" s="389"/>
      <c r="H36" s="389"/>
      <c r="I36" s="389"/>
      <c r="AO36" s="200"/>
      <c r="EO36" s="201"/>
      <c r="EP36" s="201"/>
      <c r="EQ36" s="201"/>
      <c r="ER36" s="201"/>
      <c r="ES36" s="201"/>
      <c r="ET36" s="201"/>
      <c r="EU36" s="201"/>
      <c r="EV36" s="201"/>
      <c r="EW36" s="201"/>
      <c r="EX36" s="201"/>
      <c r="EY36" s="201"/>
      <c r="EZ36" s="201"/>
      <c r="FA36" s="201"/>
      <c r="FB36" s="201"/>
      <c r="FC36" s="201"/>
      <c r="FD36" s="201"/>
      <c r="FE36" s="201"/>
      <c r="FF36" s="201"/>
      <c r="FG36" s="201"/>
      <c r="FH36" s="201"/>
      <c r="FI36" s="201"/>
      <c r="FJ36" s="201"/>
      <c r="FK36" s="201"/>
      <c r="FL36" s="201"/>
      <c r="FM36" s="201"/>
      <c r="FN36" s="201"/>
      <c r="FO36" s="201"/>
      <c r="FP36" s="201"/>
      <c r="FQ36" s="201"/>
      <c r="FR36" s="201"/>
      <c r="FS36" s="201"/>
      <c r="FT36" s="201"/>
      <c r="FU36" s="201"/>
      <c r="FV36" s="201"/>
      <c r="FW36" s="201"/>
      <c r="FX36" s="201"/>
      <c r="FY36" s="201"/>
      <c r="FZ36" s="201"/>
      <c r="GA36" s="201"/>
      <c r="GB36" s="201"/>
      <c r="GC36" s="201"/>
      <c r="GD36" s="201"/>
      <c r="GE36" s="201"/>
      <c r="GF36" s="201"/>
      <c r="GG36" s="201"/>
      <c r="GH36" s="201"/>
      <c r="GI36" s="201"/>
      <c r="GJ36" s="201"/>
      <c r="GK36" s="201"/>
      <c r="GL36" s="201"/>
      <c r="GM36" s="201"/>
      <c r="GN36" s="201"/>
      <c r="GO36" s="201"/>
      <c r="GP36" s="201"/>
      <c r="GQ36" s="201"/>
      <c r="GR36" s="201"/>
      <c r="GS36" s="201"/>
      <c r="GT36" s="201"/>
      <c r="GU36" s="201"/>
      <c r="GV36" s="201"/>
      <c r="GW36" s="201"/>
      <c r="GX36" s="201"/>
      <c r="GY36" s="201"/>
      <c r="GZ36" s="201"/>
      <c r="HA36" s="201"/>
      <c r="HB36" s="201"/>
      <c r="HC36" s="201"/>
      <c r="HD36" s="201"/>
      <c r="HE36" s="201"/>
      <c r="HF36" s="201"/>
      <c r="HG36" s="201"/>
      <c r="HH36" s="201"/>
      <c r="HI36" s="201"/>
      <c r="HJ36" s="201"/>
      <c r="HK36" s="201"/>
      <c r="HL36" s="201"/>
      <c r="HM36" s="201"/>
      <c r="HN36" s="201"/>
      <c r="HO36" s="201"/>
      <c r="HP36" s="201"/>
      <c r="HQ36" s="201"/>
      <c r="HR36" s="201"/>
      <c r="HS36" s="201"/>
      <c r="HT36" s="201"/>
      <c r="HU36" s="201"/>
      <c r="HV36" s="201"/>
      <c r="HW36" s="201"/>
      <c r="HX36" s="201"/>
      <c r="HY36" s="201"/>
      <c r="HZ36" s="201"/>
      <c r="IA36" s="201"/>
      <c r="IB36" s="201"/>
      <c r="IC36" s="201"/>
      <c r="ID36" s="201"/>
      <c r="IE36" s="201"/>
      <c r="IF36" s="201"/>
      <c r="IG36" s="201"/>
      <c r="IH36" s="201"/>
      <c r="II36" s="201"/>
      <c r="IJ36" s="201"/>
      <c r="IK36" s="201"/>
      <c r="IL36" s="201"/>
      <c r="IM36" s="201"/>
      <c r="IN36" s="201"/>
      <c r="IO36" s="201"/>
      <c r="IP36" s="201"/>
      <c r="IQ36" s="201"/>
      <c r="IR36" s="201"/>
      <c r="IS36" s="201"/>
      <c r="IT36" s="201"/>
      <c r="IU36" s="201"/>
      <c r="IV36" s="201"/>
      <c r="IW36" s="201"/>
      <c r="IX36" s="201"/>
      <c r="IY36" s="201"/>
      <c r="IZ36" s="201"/>
      <c r="JA36" s="201"/>
      <c r="JB36" s="201"/>
      <c r="JC36" s="201"/>
      <c r="JD36" s="201"/>
      <c r="JE36" s="201"/>
      <c r="JF36" s="201"/>
      <c r="JG36" s="201"/>
      <c r="JH36" s="201"/>
      <c r="JI36" s="201"/>
      <c r="JJ36" s="201"/>
      <c r="JK36" s="201"/>
      <c r="JL36" s="201"/>
      <c r="JM36" s="201"/>
      <c r="JN36" s="201"/>
      <c r="JO36" s="201"/>
      <c r="JP36" s="201"/>
      <c r="JQ36" s="201"/>
      <c r="JR36" s="201"/>
      <c r="JS36" s="201"/>
      <c r="JT36" s="201"/>
      <c r="JU36" s="201"/>
      <c r="JV36" s="201"/>
      <c r="JW36" s="201"/>
    </row>
    <row r="37" spans="1:284" ht="16.5" x14ac:dyDescent="0.35">
      <c r="B37" s="12" t="s">
        <v>342</v>
      </c>
      <c r="C37" s="204"/>
      <c r="D37" s="206" t="s">
        <v>343</v>
      </c>
      <c r="E37" s="206" t="s">
        <v>344</v>
      </c>
      <c r="F37" s="205"/>
      <c r="G37" s="205"/>
      <c r="H37" s="206" t="s">
        <v>343</v>
      </c>
      <c r="I37" s="206" t="s">
        <v>344</v>
      </c>
      <c r="EO37" s="201"/>
      <c r="EP37" s="201"/>
      <c r="EQ37" s="201"/>
      <c r="ER37" s="201"/>
      <c r="ES37" s="201"/>
      <c r="ET37" s="201"/>
      <c r="EU37" s="201"/>
      <c r="EV37" s="201"/>
      <c r="EW37" s="201"/>
      <c r="EX37" s="201"/>
      <c r="EY37" s="201"/>
      <c r="EZ37" s="201"/>
      <c r="FA37" s="201"/>
      <c r="FB37" s="201"/>
      <c r="FC37" s="201"/>
      <c r="FD37" s="201"/>
      <c r="FE37" s="201"/>
      <c r="FF37" s="201"/>
      <c r="FG37" s="201"/>
      <c r="FH37" s="201"/>
      <c r="FI37" s="201"/>
      <c r="FJ37" s="201"/>
      <c r="FK37" s="201"/>
      <c r="FL37" s="201"/>
      <c r="FM37" s="201"/>
      <c r="FN37" s="201"/>
      <c r="FO37" s="201"/>
      <c r="FP37" s="201"/>
      <c r="FQ37" s="201"/>
      <c r="FR37" s="201"/>
      <c r="FS37" s="201"/>
      <c r="FT37" s="201"/>
      <c r="FU37" s="201"/>
      <c r="FV37" s="201"/>
      <c r="FW37" s="201"/>
      <c r="FX37" s="201"/>
      <c r="FY37" s="201"/>
      <c r="FZ37" s="201"/>
      <c r="GA37" s="201"/>
      <c r="GB37" s="201"/>
      <c r="GC37" s="201"/>
      <c r="GD37" s="201"/>
      <c r="GE37" s="201"/>
      <c r="GF37" s="201"/>
      <c r="GG37" s="201"/>
      <c r="GH37" s="201"/>
      <c r="GI37" s="201"/>
      <c r="GJ37" s="201"/>
      <c r="GK37" s="201"/>
      <c r="GL37" s="201"/>
      <c r="GM37" s="201"/>
      <c r="GN37" s="201"/>
      <c r="GO37" s="201"/>
      <c r="GP37" s="201"/>
      <c r="GQ37" s="201"/>
      <c r="GR37" s="201"/>
      <c r="GS37" s="201"/>
      <c r="GT37" s="201"/>
      <c r="GU37" s="201"/>
      <c r="GV37" s="201"/>
      <c r="GW37" s="201"/>
      <c r="GX37" s="201"/>
      <c r="GY37" s="201"/>
      <c r="GZ37" s="201"/>
      <c r="HA37" s="201"/>
      <c r="HB37" s="201"/>
      <c r="HC37" s="201"/>
      <c r="HD37" s="201"/>
      <c r="HE37" s="201"/>
      <c r="HF37" s="201"/>
      <c r="HG37" s="201"/>
      <c r="HH37" s="201"/>
      <c r="HI37" s="201"/>
      <c r="HJ37" s="201"/>
      <c r="HK37" s="201"/>
      <c r="HL37" s="201"/>
      <c r="HM37" s="201"/>
      <c r="HN37" s="201"/>
      <c r="HO37" s="201"/>
      <c r="HP37" s="201"/>
      <c r="HQ37" s="201"/>
      <c r="HR37" s="201"/>
      <c r="HS37" s="201"/>
      <c r="HT37" s="201"/>
      <c r="HU37" s="201"/>
      <c r="HV37" s="201"/>
      <c r="HW37" s="201"/>
      <c r="HX37" s="201"/>
      <c r="HY37" s="201"/>
      <c r="HZ37" s="201"/>
      <c r="IA37" s="201"/>
      <c r="IB37" s="201"/>
      <c r="IC37" s="201"/>
      <c r="ID37" s="201"/>
      <c r="IE37" s="201"/>
      <c r="IF37" s="201"/>
      <c r="IG37" s="201"/>
      <c r="IH37" s="201"/>
      <c r="II37" s="201"/>
      <c r="IJ37" s="201"/>
      <c r="IK37" s="201"/>
      <c r="IL37" s="201"/>
      <c r="IM37" s="201"/>
      <c r="IN37" s="201"/>
      <c r="IO37" s="201"/>
      <c r="IP37" s="201"/>
      <c r="IQ37" s="201"/>
      <c r="IR37" s="201"/>
      <c r="IS37" s="201"/>
      <c r="IT37" s="201"/>
      <c r="IU37" s="201"/>
      <c r="IV37" s="201"/>
      <c r="IW37" s="201"/>
      <c r="IX37" s="201"/>
      <c r="IY37" s="201"/>
      <c r="IZ37" s="201"/>
      <c r="JA37" s="201"/>
      <c r="JB37" s="201"/>
      <c r="JC37" s="201"/>
      <c r="JD37" s="201"/>
      <c r="JE37" s="201"/>
      <c r="JF37" s="201"/>
      <c r="JG37" s="201"/>
      <c r="JH37" s="201"/>
      <c r="JI37" s="201"/>
      <c r="JJ37" s="201"/>
      <c r="JK37" s="201"/>
      <c r="JL37" s="201"/>
      <c r="JM37" s="201"/>
      <c r="JN37" s="201"/>
      <c r="JO37" s="201"/>
      <c r="JP37" s="201"/>
      <c r="JQ37" s="201"/>
      <c r="JR37" s="201"/>
      <c r="JS37" s="201"/>
      <c r="JT37" s="201"/>
      <c r="JU37" s="201"/>
      <c r="JV37" s="201"/>
      <c r="JW37" s="201"/>
    </row>
    <row r="38" spans="1:284" x14ac:dyDescent="0.2">
      <c r="B38" s="443" t="s">
        <v>350</v>
      </c>
      <c r="C38" s="124"/>
      <c r="D38" s="389"/>
      <c r="E38" s="389"/>
      <c r="F38" s="444"/>
      <c r="G38" s="101" t="s">
        <v>351</v>
      </c>
      <c r="H38" s="389"/>
      <c r="I38" s="389"/>
      <c r="EO38" s="201"/>
      <c r="EP38" s="201"/>
      <c r="EQ38" s="201"/>
      <c r="ER38" s="201"/>
      <c r="ES38" s="201"/>
      <c r="ET38" s="201"/>
      <c r="EU38" s="201"/>
      <c r="EV38" s="201"/>
      <c r="EW38" s="201"/>
      <c r="EX38" s="201"/>
      <c r="EY38" s="201"/>
      <c r="EZ38" s="201"/>
      <c r="FA38" s="201"/>
      <c r="FB38" s="201"/>
      <c r="FC38" s="201"/>
      <c r="FD38" s="201"/>
      <c r="FE38" s="201"/>
      <c r="FF38" s="201"/>
      <c r="FG38" s="201"/>
      <c r="FH38" s="201"/>
      <c r="FI38" s="201"/>
      <c r="FJ38" s="201"/>
      <c r="FK38" s="201"/>
      <c r="FL38" s="201"/>
      <c r="FM38" s="201"/>
      <c r="FN38" s="201"/>
      <c r="FO38" s="201"/>
      <c r="FP38" s="201"/>
      <c r="FQ38" s="201"/>
      <c r="FR38" s="201"/>
      <c r="FS38" s="201"/>
      <c r="FT38" s="201"/>
      <c r="FU38" s="201"/>
      <c r="FV38" s="201"/>
      <c r="FW38" s="201"/>
      <c r="FX38" s="201"/>
      <c r="FY38" s="201"/>
      <c r="FZ38" s="201"/>
      <c r="GA38" s="201"/>
      <c r="GB38" s="201"/>
      <c r="GC38" s="201"/>
      <c r="GD38" s="201"/>
      <c r="GE38" s="201"/>
      <c r="GF38" s="201"/>
      <c r="GG38" s="201"/>
      <c r="GH38" s="201"/>
      <c r="GI38" s="201"/>
      <c r="GJ38" s="201"/>
      <c r="GK38" s="201"/>
      <c r="GL38" s="201"/>
      <c r="GM38" s="201"/>
      <c r="GN38" s="201"/>
      <c r="GO38" s="201"/>
      <c r="GP38" s="201"/>
      <c r="GQ38" s="201"/>
      <c r="GR38" s="201"/>
      <c r="GS38" s="201"/>
      <c r="GT38" s="201"/>
      <c r="GU38" s="201"/>
      <c r="GV38" s="201"/>
      <c r="GW38" s="201"/>
      <c r="GX38" s="201"/>
      <c r="GY38" s="201"/>
      <c r="GZ38" s="201"/>
      <c r="HA38" s="201"/>
      <c r="HB38" s="201"/>
      <c r="HC38" s="201"/>
      <c r="HD38" s="201"/>
      <c r="HE38" s="201"/>
      <c r="HF38" s="201"/>
      <c r="HG38" s="201"/>
      <c r="HH38" s="201"/>
      <c r="HI38" s="201"/>
      <c r="HJ38" s="201"/>
      <c r="HK38" s="201"/>
      <c r="HL38" s="201"/>
      <c r="HM38" s="201"/>
      <c r="HN38" s="201"/>
      <c r="HO38" s="201"/>
      <c r="HP38" s="201"/>
      <c r="HQ38" s="201"/>
      <c r="HR38" s="201"/>
      <c r="HS38" s="201"/>
      <c r="HT38" s="201"/>
      <c r="HU38" s="201"/>
      <c r="HV38" s="201"/>
      <c r="HW38" s="201"/>
      <c r="HX38" s="201"/>
      <c r="HY38" s="201"/>
      <c r="HZ38" s="201"/>
      <c r="IA38" s="201"/>
      <c r="IB38" s="201"/>
      <c r="IC38" s="201"/>
      <c r="ID38" s="201"/>
      <c r="IE38" s="201"/>
      <c r="IF38" s="201"/>
      <c r="IG38" s="201"/>
      <c r="IH38" s="201"/>
      <c r="II38" s="201"/>
      <c r="IJ38" s="201"/>
      <c r="IK38" s="201"/>
      <c r="IL38" s="201"/>
      <c r="IM38" s="201"/>
      <c r="IN38" s="201"/>
      <c r="IO38" s="201"/>
      <c r="IP38" s="201"/>
      <c r="IQ38" s="201"/>
      <c r="IR38" s="201"/>
      <c r="IS38" s="201"/>
      <c r="IT38" s="201"/>
      <c r="IU38" s="201"/>
      <c r="IV38" s="201"/>
      <c r="IW38" s="201"/>
      <c r="IX38" s="201"/>
      <c r="IY38" s="201"/>
      <c r="IZ38" s="201"/>
      <c r="JA38" s="201"/>
      <c r="JB38" s="201"/>
      <c r="JC38" s="201"/>
      <c r="JD38" s="201"/>
      <c r="JE38" s="201"/>
      <c r="JF38" s="201"/>
      <c r="JG38" s="201"/>
      <c r="JH38" s="201"/>
      <c r="JI38" s="201"/>
      <c r="JJ38" s="201"/>
      <c r="JK38" s="201"/>
      <c r="JL38" s="201"/>
      <c r="JM38" s="201"/>
      <c r="JN38" s="201"/>
      <c r="JO38" s="201"/>
      <c r="JP38" s="201"/>
      <c r="JQ38" s="201"/>
      <c r="JR38" s="201"/>
      <c r="JS38" s="201"/>
      <c r="JT38" s="201"/>
      <c r="JU38" s="201"/>
      <c r="JV38" s="201"/>
      <c r="JW38" s="201"/>
    </row>
    <row r="39" spans="1:284" x14ac:dyDescent="0.2">
      <c r="B39" s="262" t="s">
        <v>348</v>
      </c>
      <c r="C39" s="123"/>
      <c r="D39" s="148">
        <f>1-E39</f>
        <v>0.30000000000000004</v>
      </c>
      <c r="E39" s="149">
        <v>0.7</v>
      </c>
      <c r="F39" s="444"/>
      <c r="G39" s="140" t="s">
        <v>345</v>
      </c>
      <c r="H39" s="136">
        <f>D41*Units_Retail*D39</f>
        <v>77625.000000000015</v>
      </c>
      <c r="I39" s="136">
        <f>E41*Units_Retail*E39</f>
        <v>80500</v>
      </c>
      <c r="EO39" s="201"/>
      <c r="EP39" s="201"/>
      <c r="EQ39" s="201"/>
      <c r="ER39" s="201"/>
      <c r="ES39" s="201"/>
      <c r="ET39" s="201"/>
      <c r="EU39" s="201"/>
      <c r="EV39" s="201"/>
      <c r="EW39" s="201"/>
      <c r="EX39" s="201"/>
      <c r="EY39" s="201"/>
      <c r="EZ39" s="201"/>
      <c r="FA39" s="201"/>
      <c r="FB39" s="201"/>
      <c r="FC39" s="201"/>
      <c r="FD39" s="201"/>
      <c r="FE39" s="201"/>
      <c r="FF39" s="201"/>
      <c r="FG39" s="201"/>
      <c r="FH39" s="201"/>
      <c r="FI39" s="201"/>
      <c r="FJ39" s="201"/>
      <c r="FK39" s="201"/>
      <c r="FL39" s="201"/>
      <c r="FM39" s="201"/>
      <c r="FN39" s="201"/>
      <c r="FO39" s="201"/>
      <c r="FP39" s="201"/>
      <c r="FQ39" s="201"/>
      <c r="FR39" s="201"/>
      <c r="FS39" s="201"/>
      <c r="FT39" s="201"/>
      <c r="FU39" s="201"/>
      <c r="FV39" s="201"/>
      <c r="FW39" s="201"/>
      <c r="FX39" s="201"/>
      <c r="FY39" s="201"/>
      <c r="FZ39" s="201"/>
      <c r="GA39" s="201"/>
      <c r="GB39" s="201"/>
      <c r="GC39" s="201"/>
      <c r="GD39" s="201"/>
      <c r="GE39" s="201"/>
      <c r="GF39" s="201"/>
      <c r="GG39" s="201"/>
      <c r="GH39" s="201"/>
      <c r="GI39" s="201"/>
      <c r="GJ39" s="201"/>
      <c r="GK39" s="201"/>
      <c r="GL39" s="201"/>
      <c r="GM39" s="201"/>
      <c r="GN39" s="201"/>
      <c r="GO39" s="201"/>
      <c r="GP39" s="201"/>
      <c r="GQ39" s="201"/>
      <c r="GR39" s="201"/>
      <c r="GS39" s="201"/>
      <c r="GT39" s="201"/>
      <c r="GU39" s="201"/>
      <c r="GV39" s="201"/>
      <c r="GW39" s="201"/>
      <c r="GX39" s="201"/>
      <c r="GY39" s="201"/>
      <c r="GZ39" s="201"/>
      <c r="HA39" s="201"/>
      <c r="HB39" s="201"/>
      <c r="HC39" s="201"/>
      <c r="HD39" s="201"/>
      <c r="HE39" s="201"/>
      <c r="HF39" s="201"/>
      <c r="HG39" s="201"/>
      <c r="HH39" s="201"/>
      <c r="HI39" s="201"/>
      <c r="HJ39" s="201"/>
      <c r="HK39" s="201"/>
      <c r="HL39" s="201"/>
      <c r="HM39" s="201"/>
      <c r="HN39" s="201"/>
      <c r="HO39" s="201"/>
      <c r="HP39" s="201"/>
      <c r="HQ39" s="201"/>
      <c r="HR39" s="201"/>
      <c r="HS39" s="201"/>
      <c r="HT39" s="201"/>
      <c r="HU39" s="201"/>
      <c r="HV39" s="201"/>
      <c r="HW39" s="201"/>
      <c r="HX39" s="201"/>
      <c r="HY39" s="201"/>
      <c r="HZ39" s="201"/>
      <c r="IA39" s="201"/>
      <c r="IB39" s="201"/>
      <c r="IC39" s="201"/>
      <c r="ID39" s="201"/>
      <c r="IE39" s="201"/>
      <c r="IF39" s="201"/>
      <c r="IG39" s="201"/>
      <c r="IH39" s="201"/>
      <c r="II39" s="201"/>
      <c r="IJ39" s="201"/>
      <c r="IK39" s="201"/>
      <c r="IL39" s="201"/>
      <c r="IM39" s="201"/>
      <c r="IN39" s="201"/>
      <c r="IO39" s="201"/>
      <c r="IP39" s="201"/>
      <c r="IQ39" s="201"/>
      <c r="IR39" s="201"/>
      <c r="IS39" s="201"/>
      <c r="IT39" s="201"/>
      <c r="IU39" s="201"/>
      <c r="IV39" s="201"/>
      <c r="IW39" s="201"/>
      <c r="IX39" s="201"/>
      <c r="IY39" s="201"/>
      <c r="IZ39" s="201"/>
      <c r="JA39" s="201"/>
      <c r="JB39" s="201"/>
      <c r="JC39" s="201"/>
      <c r="JD39" s="201"/>
      <c r="JE39" s="201"/>
      <c r="JF39" s="201"/>
      <c r="JG39" s="201"/>
      <c r="JH39" s="201"/>
      <c r="JI39" s="201"/>
      <c r="JJ39" s="201"/>
      <c r="JK39" s="201"/>
      <c r="JL39" s="201"/>
      <c r="JM39" s="201"/>
      <c r="JN39" s="201"/>
      <c r="JO39" s="201"/>
      <c r="JP39" s="201"/>
      <c r="JQ39" s="201"/>
      <c r="JR39" s="201"/>
      <c r="JS39" s="201"/>
      <c r="JT39" s="201"/>
      <c r="JU39" s="201"/>
      <c r="JV39" s="201"/>
      <c r="JW39" s="201"/>
    </row>
    <row r="40" spans="1:284" ht="16.5" x14ac:dyDescent="0.35">
      <c r="B40" s="262" t="s">
        <v>349</v>
      </c>
      <c r="C40" s="120"/>
      <c r="D40" s="424">
        <f>ROUNDUP(E40,0)</f>
        <v>25</v>
      </c>
      <c r="E40" s="424">
        <f>H15</f>
        <v>24.413043478260871</v>
      </c>
      <c r="F40" s="444" t="str">
        <f>"/"&amp;Unit_Type</f>
        <v>/SF</v>
      </c>
      <c r="G40" s="140" t="s">
        <v>346</v>
      </c>
      <c r="H40" s="187">
        <f>(D40*Units_Retail*D43*D42)*D39</f>
        <v>25875.000000000004</v>
      </c>
      <c r="I40" s="187">
        <f>(E40*Units_Retail*E43*E42)*E39</f>
        <v>27513.5</v>
      </c>
      <c r="EO40" s="201"/>
      <c r="EP40" s="201"/>
      <c r="EQ40" s="201"/>
      <c r="ER40" s="201"/>
      <c r="ES40" s="201"/>
      <c r="ET40" s="201"/>
      <c r="EU40" s="201"/>
      <c r="EV40" s="201"/>
      <c r="EW40" s="201"/>
      <c r="EX40" s="201"/>
      <c r="EY40" s="201"/>
      <c r="EZ40" s="201"/>
      <c r="FA40" s="201"/>
      <c r="FB40" s="201"/>
      <c r="FC40" s="201"/>
      <c r="FD40" s="201"/>
      <c r="FE40" s="201"/>
      <c r="FF40" s="201"/>
      <c r="FG40" s="201"/>
      <c r="FH40" s="201"/>
      <c r="FI40" s="201"/>
      <c r="FJ40" s="201"/>
      <c r="FK40" s="201"/>
      <c r="FL40" s="201"/>
      <c r="FM40" s="201"/>
      <c r="FN40" s="201"/>
      <c r="FO40" s="201"/>
      <c r="FP40" s="201"/>
      <c r="FQ40" s="201"/>
      <c r="FR40" s="201"/>
      <c r="FS40" s="201"/>
      <c r="FT40" s="201"/>
      <c r="FU40" s="201"/>
      <c r="FV40" s="201"/>
      <c r="FW40" s="201"/>
      <c r="FX40" s="201"/>
      <c r="FY40" s="201"/>
      <c r="FZ40" s="201"/>
      <c r="GA40" s="201"/>
      <c r="GB40" s="201"/>
      <c r="GC40" s="201"/>
      <c r="GD40" s="201"/>
      <c r="GE40" s="201"/>
      <c r="GF40" s="201"/>
      <c r="GG40" s="201"/>
      <c r="GH40" s="201"/>
      <c r="GI40" s="201"/>
      <c r="GJ40" s="201"/>
      <c r="GK40" s="201"/>
      <c r="GL40" s="201"/>
      <c r="GM40" s="201"/>
      <c r="GN40" s="201"/>
      <c r="GO40" s="201"/>
      <c r="GP40" s="201"/>
      <c r="GQ40" s="201"/>
      <c r="GR40" s="201"/>
      <c r="GS40" s="201"/>
      <c r="GT40" s="201"/>
      <c r="GU40" s="201"/>
      <c r="GV40" s="201"/>
      <c r="GW40" s="201"/>
      <c r="GX40" s="201"/>
      <c r="GY40" s="201"/>
      <c r="GZ40" s="201"/>
      <c r="HA40" s="201"/>
      <c r="HB40" s="201"/>
      <c r="HC40" s="201"/>
      <c r="HD40" s="201"/>
      <c r="HE40" s="201"/>
      <c r="HF40" s="201"/>
      <c r="HG40" s="201"/>
      <c r="HH40" s="201"/>
      <c r="HI40" s="201"/>
      <c r="HJ40" s="201"/>
      <c r="HK40" s="201"/>
      <c r="HL40" s="201"/>
      <c r="HM40" s="201"/>
      <c r="HN40" s="201"/>
      <c r="HO40" s="201"/>
      <c r="HP40" s="201"/>
      <c r="HQ40" s="201"/>
      <c r="HR40" s="201"/>
      <c r="HS40" s="201"/>
      <c r="HT40" s="201"/>
      <c r="HU40" s="201"/>
      <c r="HV40" s="201"/>
      <c r="HW40" s="201"/>
      <c r="HX40" s="201"/>
      <c r="HY40" s="201"/>
      <c r="HZ40" s="201"/>
      <c r="IA40" s="201"/>
      <c r="IB40" s="201"/>
      <c r="IC40" s="201"/>
      <c r="ID40" s="201"/>
      <c r="IE40" s="201"/>
      <c r="IF40" s="201"/>
      <c r="IG40" s="201"/>
      <c r="IH40" s="201"/>
      <c r="II40" s="201"/>
      <c r="IJ40" s="201"/>
      <c r="IK40" s="201"/>
      <c r="IL40" s="201"/>
      <c r="IM40" s="201"/>
      <c r="IN40" s="201"/>
      <c r="IO40" s="201"/>
      <c r="IP40" s="201"/>
      <c r="IQ40" s="201"/>
      <c r="IR40" s="201"/>
      <c r="IS40" s="201"/>
      <c r="IT40" s="201"/>
      <c r="IU40" s="201"/>
      <c r="IV40" s="201"/>
      <c r="IW40" s="201"/>
      <c r="IX40" s="201"/>
      <c r="IY40" s="201"/>
      <c r="IZ40" s="201"/>
      <c r="JA40" s="201"/>
      <c r="JB40" s="201"/>
      <c r="JC40" s="201"/>
      <c r="JD40" s="201"/>
      <c r="JE40" s="201"/>
      <c r="JF40" s="201"/>
      <c r="JG40" s="201"/>
      <c r="JH40" s="201"/>
      <c r="JI40" s="201"/>
      <c r="JJ40" s="201"/>
      <c r="JK40" s="201"/>
      <c r="JL40" s="201"/>
      <c r="JM40" s="201"/>
      <c r="JN40" s="201"/>
      <c r="JO40" s="201"/>
      <c r="JP40" s="201"/>
      <c r="JQ40" s="201"/>
      <c r="JR40" s="201"/>
      <c r="JS40" s="201"/>
      <c r="JT40" s="201"/>
      <c r="JU40" s="201"/>
      <c r="JV40" s="201"/>
      <c r="JW40" s="201"/>
    </row>
    <row r="41" spans="1:284" x14ac:dyDescent="0.2">
      <c r="B41" s="262" t="s">
        <v>345</v>
      </c>
      <c r="C41" s="445"/>
      <c r="D41" s="424">
        <v>45</v>
      </c>
      <c r="E41" s="424">
        <v>20</v>
      </c>
      <c r="F41" s="444" t="str">
        <f>"/"&amp;Unit_Type</f>
        <v>/SF</v>
      </c>
      <c r="G41" s="140" t="s">
        <v>352</v>
      </c>
      <c r="H41" s="136">
        <f>SUM(H39:H40)</f>
        <v>103500.00000000001</v>
      </c>
      <c r="I41" s="136">
        <f>SUM(I39:I40)</f>
        <v>108013.5</v>
      </c>
      <c r="EO41" s="201"/>
      <c r="EP41" s="201"/>
      <c r="EQ41" s="201"/>
      <c r="ER41" s="201"/>
      <c r="ES41" s="201"/>
      <c r="ET41" s="201"/>
      <c r="EU41" s="201"/>
      <c r="EV41" s="201"/>
      <c r="EW41" s="201"/>
      <c r="EX41" s="201"/>
      <c r="EY41" s="201"/>
      <c r="EZ41" s="201"/>
      <c r="FA41" s="201"/>
      <c r="FB41" s="201"/>
      <c r="FC41" s="201"/>
      <c r="FD41" s="201"/>
      <c r="FE41" s="201"/>
      <c r="FF41" s="201"/>
      <c r="FG41" s="201"/>
      <c r="FH41" s="201"/>
      <c r="FI41" s="201"/>
      <c r="FJ41" s="201"/>
      <c r="FK41" s="201"/>
      <c r="FL41" s="201"/>
      <c r="FM41" s="201"/>
      <c r="FN41" s="201"/>
      <c r="FO41" s="201"/>
      <c r="FP41" s="201"/>
      <c r="FQ41" s="201"/>
      <c r="FR41" s="201"/>
      <c r="FS41" s="201"/>
      <c r="FT41" s="201"/>
      <c r="FU41" s="201"/>
      <c r="FV41" s="201"/>
      <c r="FW41" s="201"/>
      <c r="FX41" s="201"/>
      <c r="FY41" s="201"/>
      <c r="FZ41" s="201"/>
      <c r="GA41" s="201"/>
      <c r="GB41" s="201"/>
      <c r="GC41" s="201"/>
      <c r="GD41" s="201"/>
      <c r="GE41" s="201"/>
      <c r="GF41" s="201"/>
      <c r="GG41" s="201"/>
      <c r="GH41" s="201"/>
      <c r="GI41" s="201"/>
      <c r="GJ41" s="201"/>
      <c r="GK41" s="201"/>
      <c r="GL41" s="201"/>
      <c r="GM41" s="201"/>
      <c r="GN41" s="201"/>
      <c r="GO41" s="201"/>
      <c r="GP41" s="201"/>
      <c r="GQ41" s="201"/>
      <c r="GR41" s="201"/>
      <c r="GS41" s="201"/>
      <c r="GT41" s="201"/>
      <c r="GU41" s="201"/>
      <c r="GV41" s="201"/>
      <c r="GW41" s="201"/>
      <c r="GX41" s="201"/>
      <c r="GY41" s="201"/>
      <c r="GZ41" s="201"/>
      <c r="HA41" s="201"/>
      <c r="HB41" s="201"/>
      <c r="HC41" s="201"/>
      <c r="HD41" s="201"/>
      <c r="HE41" s="201"/>
      <c r="HF41" s="201"/>
      <c r="HG41" s="201"/>
      <c r="HH41" s="201"/>
      <c r="HI41" s="201"/>
      <c r="HJ41" s="201"/>
      <c r="HK41" s="201"/>
      <c r="HL41" s="201"/>
      <c r="HM41" s="201"/>
      <c r="HN41" s="201"/>
      <c r="HO41" s="201"/>
      <c r="HP41" s="201"/>
      <c r="HQ41" s="201"/>
      <c r="HR41" s="201"/>
      <c r="HS41" s="201"/>
      <c r="HT41" s="201"/>
      <c r="HU41" s="201"/>
      <c r="HV41" s="201"/>
      <c r="HW41" s="201"/>
      <c r="HX41" s="201"/>
      <c r="HY41" s="201"/>
      <c r="HZ41" s="201"/>
      <c r="IA41" s="201"/>
      <c r="IB41" s="201"/>
      <c r="IC41" s="201"/>
      <c r="ID41" s="201"/>
      <c r="IE41" s="201"/>
      <c r="IF41" s="201"/>
      <c r="IG41" s="201"/>
      <c r="IH41" s="201"/>
      <c r="II41" s="201"/>
      <c r="IJ41" s="201"/>
      <c r="IK41" s="201"/>
      <c r="IL41" s="201"/>
      <c r="IM41" s="201"/>
      <c r="IN41" s="201"/>
      <c r="IO41" s="201"/>
      <c r="IP41" s="201"/>
      <c r="IQ41" s="201"/>
      <c r="IR41" s="201"/>
      <c r="IS41" s="201"/>
      <c r="IT41" s="201"/>
      <c r="IU41" s="201"/>
      <c r="IV41" s="201"/>
      <c r="IW41" s="201"/>
      <c r="IX41" s="201"/>
      <c r="IY41" s="201"/>
      <c r="IZ41" s="201"/>
      <c r="JA41" s="201"/>
      <c r="JB41" s="201"/>
      <c r="JC41" s="201"/>
      <c r="JD41" s="201"/>
      <c r="JE41" s="201"/>
      <c r="JF41" s="201"/>
      <c r="JG41" s="201"/>
      <c r="JH41" s="201"/>
      <c r="JI41" s="201"/>
      <c r="JJ41" s="201"/>
      <c r="JK41" s="201"/>
      <c r="JL41" s="201"/>
      <c r="JM41" s="201"/>
      <c r="JN41" s="201"/>
      <c r="JO41" s="201"/>
      <c r="JP41" s="201"/>
      <c r="JQ41" s="201"/>
      <c r="JR41" s="201"/>
      <c r="JS41" s="201"/>
      <c r="JT41" s="201"/>
      <c r="JU41" s="201"/>
      <c r="JV41" s="201"/>
      <c r="JW41" s="201"/>
    </row>
    <row r="42" spans="1:284" x14ac:dyDescent="0.2">
      <c r="B42" s="262" t="s">
        <v>346</v>
      </c>
      <c r="C42" s="149"/>
      <c r="D42" s="149">
        <v>0.06</v>
      </c>
      <c r="E42" s="149">
        <v>0.04</v>
      </c>
      <c r="F42" s="444"/>
      <c r="G42" s="140" t="s">
        <v>353</v>
      </c>
      <c r="H42" s="136">
        <f>H41/D43</f>
        <v>10350.000000000002</v>
      </c>
      <c r="I42" s="136">
        <f>I41/E43</f>
        <v>15430.5</v>
      </c>
      <c r="EO42" s="201"/>
      <c r="EP42" s="201"/>
      <c r="EQ42" s="201"/>
      <c r="ER42" s="201"/>
      <c r="ES42" s="201"/>
      <c r="ET42" s="201"/>
      <c r="EU42" s="201"/>
      <c r="EV42" s="201"/>
      <c r="EW42" s="201"/>
      <c r="EX42" s="201"/>
      <c r="EY42" s="201"/>
      <c r="EZ42" s="201"/>
      <c r="FA42" s="201"/>
      <c r="FB42" s="201"/>
      <c r="FC42" s="201"/>
      <c r="FD42" s="201"/>
      <c r="FE42" s="201"/>
      <c r="FF42" s="201"/>
      <c r="FG42" s="201"/>
      <c r="FH42" s="201"/>
      <c r="FI42" s="201"/>
      <c r="FJ42" s="201"/>
      <c r="FK42" s="201"/>
      <c r="FL42" s="201"/>
      <c r="FM42" s="201"/>
      <c r="FN42" s="201"/>
      <c r="FO42" s="201"/>
      <c r="FP42" s="201"/>
      <c r="FQ42" s="201"/>
      <c r="FR42" s="201"/>
      <c r="FS42" s="201"/>
      <c r="FT42" s="201"/>
      <c r="FU42" s="201"/>
      <c r="FV42" s="201"/>
      <c r="FW42" s="201"/>
      <c r="FX42" s="201"/>
      <c r="FY42" s="201"/>
      <c r="FZ42" s="201"/>
      <c r="GA42" s="201"/>
      <c r="GB42" s="201"/>
      <c r="GC42" s="201"/>
      <c r="GD42" s="201"/>
      <c r="GE42" s="201"/>
      <c r="GF42" s="201"/>
      <c r="GG42" s="201"/>
      <c r="GH42" s="201"/>
      <c r="GI42" s="201"/>
      <c r="GJ42" s="201"/>
      <c r="GK42" s="201"/>
      <c r="GL42" s="201"/>
      <c r="GM42" s="201"/>
      <c r="GN42" s="201"/>
      <c r="GO42" s="201"/>
      <c r="GP42" s="201"/>
      <c r="GQ42" s="201"/>
      <c r="GR42" s="201"/>
      <c r="GS42" s="201"/>
      <c r="GT42" s="201"/>
      <c r="GU42" s="201"/>
      <c r="GV42" s="201"/>
      <c r="GW42" s="201"/>
      <c r="GX42" s="201"/>
      <c r="GY42" s="201"/>
      <c r="GZ42" s="201"/>
      <c r="HA42" s="201"/>
      <c r="HB42" s="201"/>
      <c r="HC42" s="201"/>
      <c r="HD42" s="201"/>
      <c r="HE42" s="201"/>
      <c r="HF42" s="201"/>
      <c r="HG42" s="201"/>
      <c r="HH42" s="201"/>
      <c r="HI42" s="201"/>
      <c r="HJ42" s="201"/>
      <c r="HK42" s="201"/>
      <c r="HL42" s="201"/>
      <c r="HM42" s="201"/>
      <c r="HN42" s="201"/>
      <c r="HO42" s="201"/>
      <c r="HP42" s="201"/>
      <c r="HQ42" s="201"/>
      <c r="HR42" s="201"/>
      <c r="HS42" s="201"/>
      <c r="HT42" s="201"/>
      <c r="HU42" s="201"/>
      <c r="HV42" s="201"/>
      <c r="HW42" s="201"/>
      <c r="HX42" s="201"/>
      <c r="HY42" s="201"/>
      <c r="HZ42" s="201"/>
      <c r="IA42" s="201"/>
      <c r="IB42" s="201"/>
      <c r="IC42" s="201"/>
      <c r="ID42" s="201"/>
      <c r="IE42" s="201"/>
      <c r="IF42" s="201"/>
      <c r="IG42" s="201"/>
      <c r="IH42" s="201"/>
      <c r="II42" s="201"/>
      <c r="IJ42" s="201"/>
      <c r="IK42" s="201"/>
      <c r="IL42" s="201"/>
      <c r="IM42" s="201"/>
      <c r="IN42" s="201"/>
      <c r="IO42" s="201"/>
      <c r="IP42" s="201"/>
      <c r="IQ42" s="201"/>
      <c r="IR42" s="201"/>
      <c r="IS42" s="201"/>
      <c r="IT42" s="201"/>
      <c r="IU42" s="201"/>
      <c r="IV42" s="201"/>
      <c r="IW42" s="201"/>
      <c r="IX42" s="201"/>
      <c r="IY42" s="201"/>
      <c r="IZ42" s="201"/>
      <c r="JA42" s="201"/>
      <c r="JB42" s="201"/>
      <c r="JC42" s="201"/>
      <c r="JD42" s="201"/>
      <c r="JE42" s="201"/>
      <c r="JF42" s="201"/>
      <c r="JG42" s="201"/>
      <c r="JH42" s="201"/>
      <c r="JI42" s="201"/>
      <c r="JJ42" s="201"/>
      <c r="JK42" s="201"/>
      <c r="JL42" s="201"/>
      <c r="JM42" s="201"/>
      <c r="JN42" s="201"/>
      <c r="JO42" s="201"/>
      <c r="JP42" s="201"/>
      <c r="JQ42" s="201"/>
      <c r="JR42" s="201"/>
      <c r="JS42" s="201"/>
      <c r="JT42" s="201"/>
      <c r="JU42" s="201"/>
      <c r="JV42" s="201"/>
      <c r="JW42" s="201"/>
    </row>
    <row r="43" spans="1:284" x14ac:dyDescent="0.2">
      <c r="B43" s="446" t="s">
        <v>347</v>
      </c>
      <c r="C43" s="447"/>
      <c r="D43" s="447">
        <v>10</v>
      </c>
      <c r="E43" s="448">
        <v>7</v>
      </c>
      <c r="F43" s="444"/>
      <c r="G43" s="124"/>
      <c r="H43" s="124"/>
      <c r="I43" s="449"/>
      <c r="EO43" s="201"/>
      <c r="EP43" s="201"/>
      <c r="EQ43" s="201"/>
      <c r="ER43" s="201"/>
      <c r="ES43" s="201"/>
      <c r="ET43" s="201"/>
      <c r="EU43" s="201"/>
      <c r="EV43" s="201"/>
      <c r="EW43" s="201"/>
      <c r="EX43" s="201"/>
      <c r="EY43" s="201"/>
      <c r="EZ43" s="201"/>
      <c r="FA43" s="201"/>
      <c r="FB43" s="201"/>
      <c r="FC43" s="201"/>
      <c r="FD43" s="201"/>
      <c r="FE43" s="201"/>
      <c r="FF43" s="201"/>
      <c r="FG43" s="201"/>
      <c r="FH43" s="201"/>
      <c r="FI43" s="201"/>
      <c r="FJ43" s="201"/>
      <c r="FK43" s="201"/>
      <c r="FL43" s="201"/>
      <c r="FM43" s="201"/>
      <c r="FN43" s="201"/>
      <c r="FO43" s="201"/>
      <c r="FP43" s="201"/>
      <c r="FQ43" s="201"/>
      <c r="FR43" s="201"/>
      <c r="FS43" s="201"/>
      <c r="FT43" s="201"/>
      <c r="FU43" s="201"/>
      <c r="FV43" s="201"/>
      <c r="FW43" s="201"/>
      <c r="FX43" s="201"/>
      <c r="FY43" s="201"/>
      <c r="FZ43" s="201"/>
      <c r="GA43" s="201"/>
      <c r="GB43" s="201"/>
      <c r="GC43" s="201"/>
      <c r="GD43" s="201"/>
      <c r="GE43" s="201"/>
      <c r="GF43" s="201"/>
      <c r="GG43" s="201"/>
      <c r="GH43" s="201"/>
      <c r="GI43" s="201"/>
      <c r="GJ43" s="201"/>
      <c r="GK43" s="201"/>
      <c r="GL43" s="201"/>
      <c r="GM43" s="201"/>
      <c r="GN43" s="201"/>
      <c r="GO43" s="201"/>
      <c r="GP43" s="201"/>
      <c r="GQ43" s="201"/>
      <c r="GR43" s="201"/>
      <c r="GS43" s="201"/>
      <c r="GT43" s="201"/>
      <c r="GU43" s="201"/>
      <c r="GV43" s="201"/>
      <c r="GW43" s="201"/>
      <c r="GX43" s="201"/>
      <c r="GY43" s="201"/>
      <c r="GZ43" s="201"/>
      <c r="HA43" s="201"/>
      <c r="HB43" s="201"/>
      <c r="HC43" s="201"/>
      <c r="HD43" s="201"/>
      <c r="HE43" s="201"/>
      <c r="HF43" s="201"/>
      <c r="HG43" s="201"/>
      <c r="HH43" s="201"/>
      <c r="HI43" s="201"/>
      <c r="HJ43" s="201"/>
      <c r="HK43" s="201"/>
      <c r="HL43" s="201"/>
      <c r="HM43" s="201"/>
      <c r="HN43" s="201"/>
      <c r="HO43" s="201"/>
      <c r="HP43" s="201"/>
      <c r="HQ43" s="201"/>
      <c r="HR43" s="201"/>
      <c r="HS43" s="201"/>
      <c r="HT43" s="201"/>
      <c r="HU43" s="201"/>
      <c r="HV43" s="201"/>
      <c r="HW43" s="201"/>
      <c r="HX43" s="201"/>
      <c r="HY43" s="201"/>
      <c r="HZ43" s="201"/>
      <c r="IA43" s="201"/>
      <c r="IB43" s="201"/>
      <c r="IC43" s="201"/>
      <c r="ID43" s="201"/>
      <c r="IE43" s="201"/>
      <c r="IF43" s="201"/>
      <c r="IG43" s="201"/>
      <c r="IH43" s="201"/>
      <c r="II43" s="201"/>
      <c r="IJ43" s="201"/>
      <c r="IK43" s="201"/>
      <c r="IL43" s="201"/>
      <c r="IM43" s="201"/>
      <c r="IN43" s="201"/>
      <c r="IO43" s="201"/>
      <c r="IP43" s="201"/>
      <c r="IQ43" s="201"/>
      <c r="IR43" s="201"/>
      <c r="IS43" s="201"/>
      <c r="IT43" s="201"/>
      <c r="IU43" s="201"/>
      <c r="IV43" s="201"/>
      <c r="IW43" s="201"/>
      <c r="IX43" s="201"/>
      <c r="IY43" s="201"/>
      <c r="IZ43" s="201"/>
      <c r="JA43" s="201"/>
      <c r="JB43" s="201"/>
      <c r="JC43" s="201"/>
      <c r="JD43" s="201"/>
      <c r="JE43" s="201"/>
      <c r="JF43" s="201"/>
      <c r="JG43" s="201"/>
      <c r="JH43" s="201"/>
      <c r="JI43" s="201"/>
      <c r="JJ43" s="201"/>
      <c r="JK43" s="201"/>
      <c r="JL43" s="201"/>
      <c r="JM43" s="201"/>
      <c r="JN43" s="201"/>
      <c r="JO43" s="201"/>
      <c r="JP43" s="201"/>
      <c r="JQ43" s="201"/>
      <c r="JR43" s="201"/>
      <c r="JS43" s="201"/>
      <c r="JT43" s="201"/>
      <c r="JU43" s="201"/>
      <c r="JV43" s="201"/>
      <c r="JW43" s="201"/>
    </row>
    <row r="44" spans="1:284" x14ac:dyDescent="0.2">
      <c r="B44" s="429"/>
      <c r="C44" s="102"/>
      <c r="D44" s="102"/>
      <c r="E44" s="102"/>
      <c r="F44" s="450"/>
      <c r="G44" s="124"/>
      <c r="H44" s="124"/>
      <c r="I44" s="449"/>
      <c r="EO44" s="201"/>
      <c r="EP44" s="201"/>
      <c r="EQ44" s="201"/>
      <c r="ER44" s="201"/>
      <c r="ES44" s="201"/>
      <c r="ET44" s="201"/>
      <c r="EU44" s="201"/>
      <c r="EV44" s="201"/>
      <c r="EW44" s="201"/>
      <c r="EX44" s="201"/>
      <c r="EY44" s="201"/>
      <c r="EZ44" s="201"/>
      <c r="FA44" s="201"/>
      <c r="FB44" s="201"/>
      <c r="FC44" s="201"/>
      <c r="FD44" s="201"/>
      <c r="FE44" s="201"/>
      <c r="FF44" s="201"/>
      <c r="FG44" s="201"/>
      <c r="FH44" s="201"/>
      <c r="FI44" s="201"/>
      <c r="FJ44" s="201"/>
      <c r="FK44" s="201"/>
      <c r="FL44" s="201"/>
      <c r="FM44" s="201"/>
      <c r="FN44" s="201"/>
      <c r="FO44" s="201"/>
      <c r="FP44" s="201"/>
      <c r="FQ44" s="201"/>
      <c r="FR44" s="201"/>
      <c r="FS44" s="201"/>
      <c r="FT44" s="201"/>
      <c r="FU44" s="201"/>
      <c r="FV44" s="201"/>
      <c r="FW44" s="201"/>
      <c r="FX44" s="201"/>
      <c r="FY44" s="201"/>
      <c r="FZ44" s="201"/>
      <c r="GA44" s="201"/>
      <c r="GB44" s="201"/>
      <c r="GC44" s="201"/>
      <c r="GD44" s="201"/>
      <c r="GE44" s="201"/>
      <c r="GF44" s="201"/>
      <c r="GG44" s="201"/>
      <c r="GH44" s="201"/>
      <c r="GI44" s="201"/>
      <c r="GJ44" s="201"/>
      <c r="GK44" s="201"/>
      <c r="GL44" s="201"/>
      <c r="GM44" s="201"/>
      <c r="GN44" s="201"/>
      <c r="GO44" s="201"/>
      <c r="GP44" s="201"/>
      <c r="GQ44" s="201"/>
      <c r="GR44" s="201"/>
      <c r="GS44" s="201"/>
      <c r="GT44" s="201"/>
      <c r="GU44" s="201"/>
      <c r="GV44" s="201"/>
      <c r="GW44" s="201"/>
      <c r="GX44" s="201"/>
      <c r="GY44" s="201"/>
      <c r="GZ44" s="201"/>
      <c r="HA44" s="201"/>
      <c r="HB44" s="201"/>
      <c r="HC44" s="201"/>
      <c r="HD44" s="201"/>
      <c r="HE44" s="201"/>
      <c r="HF44" s="201"/>
      <c r="HG44" s="201"/>
      <c r="HH44" s="201"/>
      <c r="HI44" s="201"/>
      <c r="HJ44" s="201"/>
      <c r="HK44" s="201"/>
      <c r="HL44" s="201"/>
      <c r="HM44" s="201"/>
      <c r="HN44" s="201"/>
      <c r="HO44" s="201"/>
      <c r="HP44" s="201"/>
      <c r="HQ44" s="201"/>
      <c r="HR44" s="201"/>
      <c r="HS44" s="201"/>
      <c r="HT44" s="201"/>
      <c r="HU44" s="201"/>
      <c r="HV44" s="201"/>
      <c r="HW44" s="201"/>
      <c r="HX44" s="201"/>
      <c r="HY44" s="201"/>
      <c r="HZ44" s="201"/>
      <c r="IA44" s="201"/>
      <c r="IB44" s="201"/>
      <c r="IC44" s="201"/>
      <c r="ID44" s="201"/>
      <c r="IE44" s="201"/>
      <c r="IF44" s="201"/>
      <c r="IG44" s="201"/>
      <c r="IH44" s="201"/>
      <c r="II44" s="201"/>
      <c r="IJ44" s="201"/>
      <c r="IK44" s="201"/>
      <c r="IL44" s="201"/>
      <c r="IM44" s="201"/>
      <c r="IN44" s="201"/>
      <c r="IO44" s="201"/>
      <c r="IP44" s="201"/>
      <c r="IQ44" s="201"/>
      <c r="IR44" s="201"/>
      <c r="IS44" s="201"/>
      <c r="IT44" s="201"/>
      <c r="IU44" s="201"/>
      <c r="IV44" s="201"/>
      <c r="IW44" s="201"/>
      <c r="IX44" s="201"/>
      <c r="IY44" s="201"/>
      <c r="IZ44" s="201"/>
      <c r="JA44" s="201"/>
      <c r="JB44" s="201"/>
      <c r="JC44" s="201"/>
      <c r="JD44" s="201"/>
      <c r="JE44" s="201"/>
      <c r="JF44" s="201"/>
      <c r="JG44" s="201"/>
      <c r="JH44" s="201"/>
      <c r="JI44" s="201"/>
      <c r="JJ44" s="201"/>
      <c r="JK44" s="201"/>
      <c r="JL44" s="201"/>
      <c r="JM44" s="201"/>
      <c r="JN44" s="201"/>
      <c r="JO44" s="201"/>
      <c r="JP44" s="201"/>
      <c r="JQ44" s="201"/>
      <c r="JR44" s="201"/>
      <c r="JS44" s="201"/>
      <c r="JT44" s="201"/>
      <c r="JU44" s="201"/>
      <c r="JV44" s="201"/>
      <c r="JW44" s="201"/>
    </row>
    <row r="45" spans="1:284" x14ac:dyDescent="0.2">
      <c r="B45" s="439" t="s">
        <v>314</v>
      </c>
      <c r="C45" s="451"/>
      <c r="D45" s="451"/>
      <c r="E45" s="451"/>
      <c r="F45" s="452"/>
      <c r="G45" s="440"/>
      <c r="H45" s="441">
        <f>I45/Units_Retail</f>
        <v>4.4835652173913045</v>
      </c>
      <c r="I45" s="453">
        <f>I42+H42</f>
        <v>25780.5</v>
      </c>
      <c r="EO45" s="201"/>
      <c r="EP45" s="201"/>
      <c r="EQ45" s="201"/>
      <c r="ER45" s="201"/>
      <c r="ES45" s="201"/>
      <c r="ET45" s="201"/>
      <c r="EU45" s="201"/>
      <c r="EV45" s="201"/>
      <c r="EW45" s="201"/>
      <c r="EX45" s="201"/>
      <c r="EY45" s="201"/>
      <c r="EZ45" s="201"/>
      <c r="FA45" s="201"/>
      <c r="FB45" s="201"/>
      <c r="FC45" s="201"/>
      <c r="FD45" s="201"/>
      <c r="FE45" s="201"/>
      <c r="FF45" s="201"/>
      <c r="FG45" s="201"/>
      <c r="FH45" s="201"/>
      <c r="FI45" s="201"/>
      <c r="FJ45" s="201"/>
      <c r="FK45" s="201"/>
      <c r="FL45" s="201"/>
      <c r="FM45" s="201"/>
      <c r="FN45" s="201"/>
      <c r="FO45" s="201"/>
      <c r="FP45" s="201"/>
      <c r="FQ45" s="201"/>
      <c r="FR45" s="201"/>
      <c r="FS45" s="201"/>
      <c r="FT45" s="201"/>
      <c r="FU45" s="201"/>
      <c r="FV45" s="201"/>
      <c r="FW45" s="201"/>
      <c r="FX45" s="201"/>
      <c r="FY45" s="201"/>
      <c r="FZ45" s="201"/>
      <c r="GA45" s="201"/>
      <c r="GB45" s="201"/>
      <c r="GC45" s="201"/>
      <c r="GD45" s="201"/>
      <c r="GE45" s="201"/>
      <c r="GF45" s="201"/>
      <c r="GG45" s="201"/>
      <c r="GH45" s="201"/>
      <c r="GI45" s="201"/>
      <c r="GJ45" s="201"/>
      <c r="GK45" s="201"/>
      <c r="GL45" s="201"/>
      <c r="GM45" s="201"/>
      <c r="GN45" s="201"/>
      <c r="GO45" s="201"/>
      <c r="GP45" s="201"/>
      <c r="GQ45" s="201"/>
      <c r="GR45" s="201"/>
      <c r="GS45" s="201"/>
      <c r="GT45" s="201"/>
      <c r="GU45" s="201"/>
      <c r="GV45" s="201"/>
      <c r="GW45" s="201"/>
      <c r="GX45" s="201"/>
      <c r="GY45" s="201"/>
      <c r="GZ45" s="201"/>
      <c r="HA45" s="201"/>
      <c r="HB45" s="201"/>
      <c r="HC45" s="201"/>
      <c r="HD45" s="201"/>
      <c r="HE45" s="201"/>
      <c r="HF45" s="201"/>
      <c r="HG45" s="201"/>
      <c r="HH45" s="201"/>
      <c r="HI45" s="201"/>
      <c r="HJ45" s="201"/>
      <c r="HK45" s="201"/>
      <c r="HL45" s="201"/>
      <c r="HM45" s="201"/>
      <c r="HN45" s="201"/>
      <c r="HO45" s="201"/>
      <c r="HP45" s="201"/>
      <c r="HQ45" s="201"/>
      <c r="HR45" s="201"/>
      <c r="HS45" s="201"/>
      <c r="HT45" s="201"/>
      <c r="HU45" s="201"/>
      <c r="HV45" s="201"/>
      <c r="HW45" s="201"/>
      <c r="HX45" s="201"/>
      <c r="HY45" s="201"/>
      <c r="HZ45" s="201"/>
      <c r="IA45" s="201"/>
      <c r="IB45" s="201"/>
      <c r="IC45" s="201"/>
      <c r="ID45" s="201"/>
      <c r="IE45" s="201"/>
      <c r="IF45" s="201"/>
      <c r="IG45" s="201"/>
      <c r="IH45" s="201"/>
      <c r="II45" s="201"/>
      <c r="IJ45" s="201"/>
      <c r="IK45" s="201"/>
      <c r="IL45" s="201"/>
      <c r="IM45" s="201"/>
      <c r="IN45" s="201"/>
      <c r="IO45" s="201"/>
      <c r="IP45" s="201"/>
      <c r="IQ45" s="201"/>
      <c r="IR45" s="201"/>
      <c r="IS45" s="201"/>
      <c r="IT45" s="201"/>
      <c r="IU45" s="201"/>
      <c r="IV45" s="201"/>
      <c r="IW45" s="201"/>
      <c r="IX45" s="201"/>
      <c r="IY45" s="201"/>
      <c r="IZ45" s="201"/>
      <c r="JA45" s="201"/>
      <c r="JB45" s="201"/>
      <c r="JC45" s="201"/>
      <c r="JD45" s="201"/>
      <c r="JE45" s="201"/>
      <c r="JF45" s="201"/>
      <c r="JG45" s="201"/>
      <c r="JH45" s="201"/>
      <c r="JI45" s="201"/>
      <c r="JJ45" s="201"/>
      <c r="JK45" s="201"/>
      <c r="JL45" s="201"/>
      <c r="JM45" s="201"/>
      <c r="JN45" s="201"/>
      <c r="JO45" s="201"/>
      <c r="JP45" s="201"/>
      <c r="JQ45" s="201"/>
      <c r="JR45" s="201"/>
      <c r="JS45" s="201"/>
      <c r="JT45" s="201"/>
      <c r="JU45" s="201"/>
      <c r="JV45" s="201"/>
      <c r="JW45" s="201"/>
    </row>
    <row r="46" spans="1:284" ht="5.0999999999999996" customHeight="1" x14ac:dyDescent="0.2">
      <c r="A46" s="410"/>
      <c r="B46" s="207"/>
      <c r="C46" s="208"/>
      <c r="D46" s="208"/>
      <c r="E46" s="208"/>
      <c r="F46" s="209"/>
      <c r="G46" s="190"/>
      <c r="H46" s="190"/>
      <c r="I46" s="210"/>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6"/>
      <c r="CJ46" s="16"/>
      <c r="CK46" s="16"/>
      <c r="CL46" s="16"/>
      <c r="CM46" s="16"/>
      <c r="CN46" s="16"/>
      <c r="CO46" s="16"/>
      <c r="CP46" s="16"/>
      <c r="CQ46" s="16"/>
      <c r="CR46" s="16"/>
      <c r="CS46" s="16"/>
      <c r="CT46" s="16"/>
      <c r="CU46" s="16"/>
      <c r="CV46" s="16"/>
      <c r="CW46" s="16"/>
      <c r="CX46" s="16"/>
      <c r="CY46" s="16"/>
      <c r="CZ46" s="16"/>
      <c r="DA46" s="16"/>
      <c r="DB46" s="16"/>
      <c r="DC46" s="16"/>
      <c r="DD46" s="16"/>
      <c r="DE46" s="16"/>
      <c r="DF46" s="16"/>
      <c r="DG46" s="16"/>
      <c r="DH46" s="16"/>
      <c r="DI46" s="16"/>
      <c r="DJ46" s="16"/>
      <c r="DK46" s="16"/>
      <c r="DL46" s="16"/>
      <c r="DM46" s="16"/>
      <c r="DN46" s="16"/>
      <c r="DO46" s="16"/>
      <c r="DP46" s="16"/>
      <c r="DQ46" s="16"/>
      <c r="DR46" s="16"/>
      <c r="DS46" s="16"/>
      <c r="DT46" s="16"/>
      <c r="DU46" s="16"/>
      <c r="DV46" s="16"/>
      <c r="DW46" s="16"/>
      <c r="DX46" s="16"/>
      <c r="DY46" s="16"/>
      <c r="DZ46" s="16"/>
      <c r="EA46" s="16"/>
      <c r="EB46" s="16"/>
      <c r="EC46" s="16"/>
      <c r="ED46" s="16"/>
      <c r="EE46" s="16"/>
      <c r="EF46" s="16"/>
      <c r="EG46" s="16"/>
      <c r="EH46" s="16"/>
      <c r="EI46" s="16"/>
      <c r="EJ46" s="16"/>
      <c r="EK46" s="16"/>
      <c r="EL46" s="16"/>
      <c r="EM46" s="16"/>
      <c r="EN46" s="16"/>
      <c r="EO46" s="16"/>
      <c r="EP46" s="16"/>
      <c r="EQ46" s="16"/>
      <c r="ER46" s="16"/>
      <c r="ES46" s="16"/>
      <c r="ET46" s="16"/>
      <c r="EU46" s="16"/>
      <c r="EV46" s="16"/>
      <c r="EW46" s="16"/>
      <c r="EX46" s="16"/>
      <c r="EY46" s="16"/>
      <c r="EZ46" s="16"/>
      <c r="FA46" s="16"/>
      <c r="FB46" s="16"/>
      <c r="FC46" s="16"/>
      <c r="FD46" s="16"/>
      <c r="FE46" s="16"/>
      <c r="FF46" s="16"/>
      <c r="FG46" s="16"/>
      <c r="FH46" s="16"/>
      <c r="FI46" s="16"/>
      <c r="FJ46" s="16"/>
      <c r="FK46" s="16"/>
      <c r="FL46" s="16"/>
      <c r="FM46" s="16"/>
      <c r="FN46" s="16"/>
      <c r="FO46" s="16"/>
      <c r="FP46" s="16"/>
      <c r="FQ46" s="16"/>
      <c r="FR46" s="16"/>
      <c r="FS46" s="16"/>
      <c r="FT46" s="16"/>
      <c r="FU46" s="16"/>
      <c r="FV46" s="16"/>
      <c r="FW46" s="16"/>
      <c r="FX46" s="16"/>
      <c r="FY46" s="16"/>
      <c r="FZ46" s="16"/>
      <c r="GA46" s="16"/>
      <c r="GB46" s="16"/>
      <c r="GC46" s="16"/>
      <c r="GD46" s="16"/>
      <c r="GE46" s="16"/>
      <c r="GF46" s="16"/>
      <c r="GG46" s="16"/>
      <c r="GH46" s="16"/>
      <c r="GI46" s="16"/>
      <c r="GJ46" s="16"/>
      <c r="GK46" s="16"/>
      <c r="GL46" s="16"/>
      <c r="GM46" s="16"/>
      <c r="GN46" s="16"/>
      <c r="GO46" s="16"/>
      <c r="GP46" s="16"/>
      <c r="GQ46" s="16"/>
      <c r="GR46" s="16"/>
      <c r="GS46" s="16"/>
      <c r="GT46" s="16"/>
      <c r="GU46" s="16"/>
      <c r="GV46" s="16"/>
      <c r="GW46" s="16"/>
      <c r="GX46" s="16"/>
      <c r="GY46" s="16"/>
      <c r="GZ46" s="16"/>
      <c r="HA46" s="16"/>
      <c r="HB46" s="16"/>
      <c r="HC46" s="16"/>
      <c r="HD46" s="16"/>
      <c r="HE46" s="16"/>
      <c r="HF46" s="16"/>
      <c r="HG46" s="16"/>
      <c r="HH46" s="16"/>
      <c r="HI46" s="16"/>
      <c r="HJ46" s="16"/>
      <c r="HK46" s="16"/>
      <c r="HL46" s="16"/>
      <c r="HM46" s="16"/>
      <c r="HN46" s="16"/>
      <c r="HO46" s="16"/>
      <c r="HP46" s="16"/>
      <c r="HQ46" s="16"/>
      <c r="HR46" s="16"/>
      <c r="HS46" s="16"/>
      <c r="HT46" s="16"/>
      <c r="HU46" s="16"/>
      <c r="HV46" s="16"/>
      <c r="HW46" s="16"/>
      <c r="HX46" s="16"/>
      <c r="HY46" s="16"/>
      <c r="HZ46" s="16"/>
      <c r="IA46" s="16"/>
      <c r="IB46" s="16"/>
      <c r="IC46" s="16"/>
      <c r="ID46" s="16"/>
      <c r="IE46" s="16"/>
      <c r="IF46" s="16"/>
      <c r="IG46" s="16"/>
      <c r="IH46" s="16"/>
      <c r="II46" s="16"/>
      <c r="IJ46" s="16"/>
      <c r="IK46" s="16"/>
      <c r="IL46" s="16"/>
      <c r="IM46" s="16"/>
      <c r="IN46" s="16"/>
      <c r="IO46" s="16"/>
      <c r="IP46" s="16"/>
      <c r="IQ46" s="16"/>
      <c r="IR46" s="16"/>
      <c r="IS46" s="16"/>
      <c r="IT46" s="16"/>
      <c r="IU46" s="16"/>
      <c r="IV46" s="16"/>
      <c r="IW46" s="16"/>
      <c r="IX46" s="16"/>
      <c r="IY46" s="16"/>
      <c r="IZ46" s="16"/>
      <c r="JA46" s="16"/>
      <c r="JB46" s="16"/>
      <c r="JC46" s="16"/>
      <c r="JD46" s="16"/>
      <c r="JE46" s="16"/>
      <c r="JF46" s="16"/>
      <c r="JG46" s="16"/>
      <c r="JH46" s="16"/>
      <c r="JI46" s="16"/>
      <c r="JJ46" s="16"/>
      <c r="JK46" s="16"/>
      <c r="JL46" s="16"/>
      <c r="JM46" s="16"/>
      <c r="JN46" s="16"/>
      <c r="JO46" s="16"/>
      <c r="JP46" s="16"/>
      <c r="JQ46" s="16"/>
      <c r="JR46" s="16"/>
      <c r="JS46" s="16"/>
      <c r="JT46" s="16"/>
      <c r="JU46" s="16"/>
      <c r="JV46" s="16"/>
      <c r="JW46" s="16"/>
      <c r="JX46" s="16"/>
    </row>
    <row r="47" spans="1:284" ht="14.25" hidden="1" customHeight="1" x14ac:dyDescent="0.2"/>
    <row r="48" spans="1:284" ht="14.25" hidden="1" customHeight="1" x14ac:dyDescent="0.2"/>
    <row r="49" ht="14.25" hidden="1" customHeight="1" x14ac:dyDescent="0.2"/>
    <row r="50" ht="14.25" hidden="1" customHeight="1" x14ac:dyDescent="0.2"/>
    <row r="51" ht="14.25" hidden="1" customHeight="1" x14ac:dyDescent="0.2"/>
    <row r="52" ht="14.25" hidden="1" customHeight="1" x14ac:dyDescent="0.2"/>
    <row r="53" ht="14.25" hidden="1" customHeight="1" x14ac:dyDescent="0.2"/>
    <row r="54" ht="14.25" hidden="1" customHeight="1" x14ac:dyDescent="0.2"/>
    <row r="55" ht="14.25" hidden="1" customHeight="1" x14ac:dyDescent="0.2"/>
    <row r="56" ht="14.25" hidden="1" customHeight="1" x14ac:dyDescent="0.2"/>
    <row r="57" ht="14.25" hidden="1" customHeight="1" x14ac:dyDescent="0.2"/>
    <row r="58" ht="14.25" hidden="1" customHeight="1" x14ac:dyDescent="0.2"/>
    <row r="59" ht="14.25" hidden="1" customHeight="1" x14ac:dyDescent="0.2"/>
    <row r="60" ht="14.25" hidden="1" customHeight="1" x14ac:dyDescent="0.2"/>
    <row r="61" ht="14.25" hidden="1" customHeight="1" x14ac:dyDescent="0.2"/>
    <row r="62" ht="14.25" hidden="1" customHeight="1" x14ac:dyDescent="0.2"/>
    <row r="63" ht="14.25" hidden="1" customHeight="1" x14ac:dyDescent="0.2"/>
    <row r="64" ht="14.25" hidden="1" customHeight="1" x14ac:dyDescent="0.2"/>
    <row r="65" ht="14.25" hidden="1" customHeight="1" x14ac:dyDescent="0.2"/>
    <row r="66" ht="14.25" customHeight="1" x14ac:dyDescent="0.2"/>
    <row r="67" ht="14.25" customHeight="1" x14ac:dyDescent="0.2"/>
  </sheetData>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59999389629810485"/>
  </sheetPr>
  <dimension ref="A1:H136"/>
  <sheetViews>
    <sheetView showGridLines="0" showRowColHeaders="0" workbookViewId="0">
      <pane ySplit="6" topLeftCell="A7" activePane="bottomLeft" state="frozen"/>
      <selection pane="bottomLeft" activeCell="A7" sqref="A7"/>
    </sheetView>
  </sheetViews>
  <sheetFormatPr defaultColWidth="0" defaultRowHeight="14.25" zeroHeight="1" x14ac:dyDescent="0.2"/>
  <cols>
    <col min="1" max="1" width="0.875" style="406" customWidth="1"/>
    <col min="2" max="2" width="17.875" style="4" customWidth="1"/>
    <col min="3" max="7" width="10.75" style="4" customWidth="1"/>
    <col min="8" max="8" width="0.875" customWidth="1"/>
    <col min="9" max="16384" width="9" hidden="1"/>
  </cols>
  <sheetData>
    <row r="1" spans="1:8" s="7" customFormat="1" ht="4.9000000000000004" customHeight="1" x14ac:dyDescent="0.2">
      <c r="A1" s="406"/>
      <c r="B1"/>
      <c r="C1"/>
      <c r="D1"/>
      <c r="E1"/>
      <c r="F1"/>
      <c r="G1"/>
    </row>
    <row r="2" spans="1:8" s="7" customFormat="1" ht="15.75" x14ac:dyDescent="0.25">
      <c r="A2" s="406"/>
      <c r="B2" s="5" t="str">
        <f>UPPER(Investment_Name)</f>
        <v>[INVESTMENT NAME]</v>
      </c>
      <c r="C2"/>
      <c r="D2" s="50"/>
      <c r="E2"/>
      <c r="F2"/>
      <c r="G2" s="80" t="s">
        <v>500</v>
      </c>
    </row>
    <row r="3" spans="1:8" s="7" customFormat="1" x14ac:dyDescent="0.2">
      <c r="A3" s="406"/>
      <c r="B3"/>
      <c r="C3"/>
      <c r="D3"/>
      <c r="E3"/>
      <c r="F3"/>
      <c r="G3"/>
    </row>
    <row r="4" spans="1:8" s="7" customFormat="1" ht="4.9000000000000004" customHeight="1" x14ac:dyDescent="0.2">
      <c r="A4" s="406"/>
      <c r="B4"/>
      <c r="C4"/>
      <c r="D4"/>
      <c r="E4"/>
      <c r="F4"/>
      <c r="G4"/>
    </row>
    <row r="5" spans="1:8" s="194" customFormat="1" ht="10.5" customHeight="1" x14ac:dyDescent="0.2">
      <c r="A5" s="411"/>
      <c r="B5" s="85" t="s">
        <v>309</v>
      </c>
      <c r="C5" s="195">
        <f>Underwriting!G128</f>
        <v>0.44751351233056302</v>
      </c>
      <c r="D5" s="87"/>
      <c r="E5" s="193"/>
      <c r="F5" s="87" t="s">
        <v>310</v>
      </c>
      <c r="G5" s="193">
        <f>Valuation_Untrended</f>
        <v>71050837.232000008</v>
      </c>
      <c r="H5" s="89"/>
    </row>
    <row r="6" spans="1:8" s="7" customFormat="1" ht="4.9000000000000004" customHeight="1" x14ac:dyDescent="0.2">
      <c r="A6" s="406"/>
      <c r="B6"/>
      <c r="C6"/>
      <c r="D6"/>
      <c r="E6"/>
      <c r="F6"/>
      <c r="G6"/>
    </row>
    <row r="7" spans="1:8" ht="5.0999999999999996" customHeight="1" x14ac:dyDescent="0.2">
      <c r="B7" s="40"/>
      <c r="C7" s="40"/>
      <c r="D7" s="40"/>
      <c r="E7" s="40"/>
      <c r="F7" s="40"/>
      <c r="G7" s="40"/>
    </row>
    <row r="8" spans="1:8" x14ac:dyDescent="0.2">
      <c r="B8" s="2" t="s">
        <v>221</v>
      </c>
      <c r="C8" s="1"/>
      <c r="D8" s="1"/>
      <c r="E8" s="1"/>
      <c r="F8" s="1"/>
      <c r="G8" s="1"/>
    </row>
    <row r="9" spans="1:8" x14ac:dyDescent="0.2">
      <c r="B9" s="12" t="s">
        <v>224</v>
      </c>
      <c r="C9" s="10"/>
      <c r="D9" s="10"/>
      <c r="E9" s="10"/>
      <c r="F9" s="10"/>
      <c r="G9" s="10"/>
    </row>
    <row r="10" spans="1:8" s="16" customFormat="1" x14ac:dyDescent="0.2">
      <c r="A10" s="410"/>
      <c r="B10" s="100" t="str">
        <f>UPPER(Underwriting!B118)</f>
        <v>REPAIRS AND MAINTENANCE</v>
      </c>
      <c r="C10" s="102"/>
      <c r="D10" s="102"/>
      <c r="E10" s="102" t="s">
        <v>241</v>
      </c>
      <c r="F10" s="102" t="s">
        <v>242</v>
      </c>
      <c r="G10" s="116" t="str">
        <f>"Per "&amp;Unit_Type</f>
        <v>Per SF</v>
      </c>
    </row>
    <row r="11" spans="1:8" s="16" customFormat="1" x14ac:dyDescent="0.2">
      <c r="A11" s="410"/>
      <c r="B11" s="92" t="s">
        <v>256</v>
      </c>
      <c r="C11" s="102"/>
      <c r="D11" s="102"/>
      <c r="E11" s="455"/>
      <c r="F11" s="102"/>
      <c r="G11" s="116"/>
    </row>
    <row r="12" spans="1:8" x14ac:dyDescent="0.2">
      <c r="B12" s="103" t="s">
        <v>243</v>
      </c>
      <c r="C12" s="124"/>
      <c r="D12" s="124"/>
      <c r="E12" s="124">
        <v>25000</v>
      </c>
      <c r="F12" s="389">
        <f>E12/Units</f>
        <v>83.333333333333329</v>
      </c>
      <c r="G12" s="389">
        <f>E12/Units_SF_M2</f>
        <v>9.8039215686274508E-2</v>
      </c>
    </row>
    <row r="13" spans="1:8" x14ac:dyDescent="0.2">
      <c r="B13" s="103" t="s">
        <v>244</v>
      </c>
      <c r="C13" s="124"/>
      <c r="D13" s="124"/>
      <c r="E13" s="124">
        <v>25000</v>
      </c>
      <c r="F13" s="389">
        <f>E13/Units</f>
        <v>83.333333333333329</v>
      </c>
      <c r="G13" s="389">
        <f>E13/Units_SF_M2</f>
        <v>9.8039215686274508E-2</v>
      </c>
    </row>
    <row r="14" spans="1:8" x14ac:dyDescent="0.2">
      <c r="B14" s="103" t="s">
        <v>245</v>
      </c>
      <c r="C14" s="124"/>
      <c r="D14" s="124"/>
      <c r="E14" s="124">
        <v>25000</v>
      </c>
      <c r="F14" s="389">
        <f>E14/Units</f>
        <v>83.333333333333329</v>
      </c>
      <c r="G14" s="389">
        <f>E14/Units_SF_M2</f>
        <v>9.8039215686274508E-2</v>
      </c>
    </row>
    <row r="15" spans="1:8" x14ac:dyDescent="0.2">
      <c r="B15" s="103" t="s">
        <v>246</v>
      </c>
      <c r="C15" s="124"/>
      <c r="D15" s="124"/>
      <c r="E15" s="124">
        <v>25000</v>
      </c>
      <c r="F15" s="389">
        <f>E15/Units</f>
        <v>83.333333333333329</v>
      </c>
      <c r="G15" s="389">
        <f>E15/Units_SF_M2</f>
        <v>9.8039215686274508E-2</v>
      </c>
    </row>
    <row r="16" spans="1:8" ht="16.5" x14ac:dyDescent="0.35">
      <c r="B16" s="103" t="s">
        <v>235</v>
      </c>
      <c r="C16" s="124"/>
      <c r="D16" s="124"/>
      <c r="E16" s="177">
        <v>5000</v>
      </c>
      <c r="F16" s="432">
        <f>E16/Units</f>
        <v>16.666666666666668</v>
      </c>
      <c r="G16" s="432">
        <f>E16/Units_SF_M2</f>
        <v>1.9607843137254902E-2</v>
      </c>
    </row>
    <row r="17" spans="2:7" x14ac:dyDescent="0.2">
      <c r="B17" s="134" t="str">
        <f>"Sub-Total "&amp;B11</f>
        <v>Sub-Total R&amp;M General</v>
      </c>
      <c r="C17" s="123"/>
      <c r="D17" s="124"/>
      <c r="E17" s="136">
        <f>SUM(E12:E16)</f>
        <v>105000</v>
      </c>
      <c r="F17" s="389">
        <f>SUM(F12:F16)</f>
        <v>350</v>
      </c>
      <c r="G17" s="389">
        <f>SUM(G12:G16)</f>
        <v>0.41176470588235292</v>
      </c>
    </row>
    <row r="18" spans="2:7" x14ac:dyDescent="0.2">
      <c r="B18" s="92" t="s">
        <v>257</v>
      </c>
      <c r="C18" s="102"/>
      <c r="D18" s="102"/>
      <c r="E18" s="455"/>
      <c r="F18" s="102"/>
      <c r="G18" s="116"/>
    </row>
    <row r="19" spans="2:7" x14ac:dyDescent="0.2">
      <c r="B19" s="103" t="s">
        <v>247</v>
      </c>
      <c r="C19" s="124"/>
      <c r="D19" s="124"/>
      <c r="E19" s="124">
        <v>25000</v>
      </c>
      <c r="F19" s="389">
        <f>E19/Units</f>
        <v>83.333333333333329</v>
      </c>
      <c r="G19" s="389">
        <f>E19/Units_SF_M2</f>
        <v>9.8039215686274508E-2</v>
      </c>
    </row>
    <row r="20" spans="2:7" x14ac:dyDescent="0.2">
      <c r="B20" s="103" t="s">
        <v>248</v>
      </c>
      <c r="C20" s="124"/>
      <c r="D20" s="124"/>
      <c r="E20" s="124">
        <v>25000</v>
      </c>
      <c r="F20" s="389">
        <f>E20/Units</f>
        <v>83.333333333333329</v>
      </c>
      <c r="G20" s="389">
        <f>E20/Units_SF_M2</f>
        <v>9.8039215686274508E-2</v>
      </c>
    </row>
    <row r="21" spans="2:7" x14ac:dyDescent="0.2">
      <c r="B21" s="103" t="s">
        <v>249</v>
      </c>
      <c r="C21" s="124"/>
      <c r="D21" s="124"/>
      <c r="E21" s="124">
        <v>25000</v>
      </c>
      <c r="F21" s="389">
        <f>E21/Units</f>
        <v>83.333333333333329</v>
      </c>
      <c r="G21" s="389">
        <f>E21/Units_SF_M2</f>
        <v>9.8039215686274508E-2</v>
      </c>
    </row>
    <row r="22" spans="2:7" x14ac:dyDescent="0.2">
      <c r="B22" s="103" t="s">
        <v>250</v>
      </c>
      <c r="C22" s="124"/>
      <c r="D22" s="124"/>
      <c r="E22" s="124">
        <v>25000</v>
      </c>
      <c r="F22" s="389">
        <f>E22/Units</f>
        <v>83.333333333333329</v>
      </c>
      <c r="G22" s="389">
        <f>E22/Units_SF_M2</f>
        <v>9.8039215686274508E-2</v>
      </c>
    </row>
    <row r="23" spans="2:7" ht="16.5" x14ac:dyDescent="0.35">
      <c r="B23" s="103" t="s">
        <v>235</v>
      </c>
      <c r="C23" s="124"/>
      <c r="D23" s="124"/>
      <c r="E23" s="177">
        <v>5000</v>
      </c>
      <c r="F23" s="432">
        <f>E23/Units</f>
        <v>16.666666666666668</v>
      </c>
      <c r="G23" s="432">
        <f>E23/Units_SF_M2</f>
        <v>1.9607843137254902E-2</v>
      </c>
    </row>
    <row r="24" spans="2:7" x14ac:dyDescent="0.2">
      <c r="B24" s="134" t="str">
        <f>"Sub-Total "&amp;B18</f>
        <v>Sub-Total R &amp; M-Apartments</v>
      </c>
      <c r="C24" s="123"/>
      <c r="D24" s="124"/>
      <c r="E24" s="136">
        <f>SUM(E19:E23)</f>
        <v>105000</v>
      </c>
      <c r="F24" s="389">
        <f>SUM(F19:F23)</f>
        <v>350</v>
      </c>
      <c r="G24" s="389">
        <f>SUM(G19:G23)</f>
        <v>0.41176470588235292</v>
      </c>
    </row>
    <row r="25" spans="2:7" x14ac:dyDescent="0.2">
      <c r="B25" s="92" t="s">
        <v>251</v>
      </c>
      <c r="C25" s="102"/>
      <c r="D25" s="102"/>
      <c r="E25" s="455"/>
      <c r="F25" s="102"/>
      <c r="G25" s="116"/>
    </row>
    <row r="26" spans="2:7" x14ac:dyDescent="0.2">
      <c r="B26" s="103" t="s">
        <v>252</v>
      </c>
      <c r="C26" s="124"/>
      <c r="D26" s="124"/>
      <c r="E26" s="124">
        <v>25000</v>
      </c>
      <c r="F26" s="389">
        <f>E26/Units</f>
        <v>83.333333333333329</v>
      </c>
      <c r="G26" s="389">
        <f>E26/Units_SF_M2</f>
        <v>9.8039215686274508E-2</v>
      </c>
    </row>
    <row r="27" spans="2:7" x14ac:dyDescent="0.2">
      <c r="B27" s="103" t="s">
        <v>253</v>
      </c>
      <c r="C27" s="124"/>
      <c r="D27" s="124"/>
      <c r="E27" s="124">
        <v>25000</v>
      </c>
      <c r="F27" s="389">
        <f>E27/Units</f>
        <v>83.333333333333329</v>
      </c>
      <c r="G27" s="389">
        <f>E27/Units_SF_M2</f>
        <v>9.8039215686274508E-2</v>
      </c>
    </row>
    <row r="28" spans="2:7" x14ac:dyDescent="0.2">
      <c r="B28" s="103" t="s">
        <v>254</v>
      </c>
      <c r="C28" s="124"/>
      <c r="D28" s="124"/>
      <c r="E28" s="124">
        <v>25000</v>
      </c>
      <c r="F28" s="389">
        <f>E28/Units</f>
        <v>83.333333333333329</v>
      </c>
      <c r="G28" s="389">
        <f>E28/Units_SF_M2</f>
        <v>9.8039215686274508E-2</v>
      </c>
    </row>
    <row r="29" spans="2:7" x14ac:dyDescent="0.2">
      <c r="B29" s="103" t="s">
        <v>255</v>
      </c>
      <c r="C29" s="124"/>
      <c r="D29" s="124"/>
      <c r="E29" s="124">
        <v>25000</v>
      </c>
      <c r="F29" s="389">
        <f>E29/Units</f>
        <v>83.333333333333329</v>
      </c>
      <c r="G29" s="389">
        <f>E29/Units_SF_M2</f>
        <v>9.8039215686274508E-2</v>
      </c>
    </row>
    <row r="30" spans="2:7" ht="16.5" x14ac:dyDescent="0.35">
      <c r="B30" s="103" t="s">
        <v>235</v>
      </c>
      <c r="C30" s="124"/>
      <c r="D30" s="124"/>
      <c r="E30" s="177">
        <v>5000</v>
      </c>
      <c r="F30" s="432">
        <f>E30/Units</f>
        <v>16.666666666666668</v>
      </c>
      <c r="G30" s="432">
        <f>E30/Units_SF_M2</f>
        <v>1.9607843137254902E-2</v>
      </c>
    </row>
    <row r="31" spans="2:7" x14ac:dyDescent="0.2">
      <c r="B31" s="134" t="str">
        <f>"Sub-Total "&amp;B25</f>
        <v>Sub-Total Landscaping</v>
      </c>
      <c r="C31" s="123"/>
      <c r="D31" s="124"/>
      <c r="E31" s="136">
        <f>SUM(E26:E30)</f>
        <v>105000</v>
      </c>
      <c r="F31" s="389">
        <f>SUM(F26:F30)</f>
        <v>350</v>
      </c>
      <c r="G31" s="389">
        <f>SUM(G26:G30)</f>
        <v>0.41176470588235292</v>
      </c>
    </row>
    <row r="32" spans="2:7" ht="5.0999999999999996" customHeight="1" x14ac:dyDescent="0.35">
      <c r="B32" s="103"/>
      <c r="C32" s="177"/>
      <c r="D32" s="177"/>
      <c r="E32" s="177"/>
      <c r="F32" s="432"/>
      <c r="G32" s="432"/>
    </row>
    <row r="33" spans="1:7" x14ac:dyDescent="0.2">
      <c r="B33" s="356" t="str">
        <f>"Total "&amp;PROPER(B10)&amp;" Cost"</f>
        <v>Total Repairs And Maintenance Cost</v>
      </c>
      <c r="C33" s="123"/>
      <c r="D33" s="124"/>
      <c r="E33" s="136">
        <f>+E31+E24+E17</f>
        <v>315000</v>
      </c>
      <c r="F33" s="389">
        <f>SUM(F12:F32)</f>
        <v>2100</v>
      </c>
      <c r="G33" s="389">
        <f>SUM(G12:G32)</f>
        <v>2.4705882352941178</v>
      </c>
    </row>
    <row r="34" spans="1:7" s="16" customFormat="1" ht="16.5" x14ac:dyDescent="0.35">
      <c r="A34" s="410"/>
      <c r="B34" s="103"/>
      <c r="C34" s="177"/>
      <c r="D34" s="177"/>
      <c r="E34" s="177"/>
      <c r="F34" s="432"/>
      <c r="G34" s="432"/>
    </row>
    <row r="35" spans="1:7" x14ac:dyDescent="0.2">
      <c r="B35" s="100" t="str">
        <f>UPPER(Underwriting!B119)</f>
        <v>PAYROLL</v>
      </c>
      <c r="C35" s="102" t="s">
        <v>239</v>
      </c>
      <c r="D35" s="102" t="s">
        <v>240</v>
      </c>
      <c r="E35" s="102" t="s">
        <v>241</v>
      </c>
      <c r="F35" s="102" t="s">
        <v>242</v>
      </c>
      <c r="G35" s="116" t="str">
        <f>G10</f>
        <v>Per SF</v>
      </c>
    </row>
    <row r="36" spans="1:7" x14ac:dyDescent="0.2">
      <c r="B36" s="103" t="s">
        <v>225</v>
      </c>
      <c r="C36" s="124">
        <v>1</v>
      </c>
      <c r="D36" s="124">
        <v>70000</v>
      </c>
      <c r="E36" s="123">
        <f>D36*C36</f>
        <v>70000</v>
      </c>
      <c r="F36" s="389">
        <f t="shared" ref="F36:F46" si="0">E36/Units</f>
        <v>233.33333333333334</v>
      </c>
      <c r="G36" s="389">
        <f t="shared" ref="G36:G46" si="1">E36/Units_SF_M2</f>
        <v>0.27450980392156865</v>
      </c>
    </row>
    <row r="37" spans="1:7" x14ac:dyDescent="0.2">
      <c r="B37" s="103" t="s">
        <v>226</v>
      </c>
      <c r="C37" s="124">
        <v>1</v>
      </c>
      <c r="D37" s="124">
        <v>50000</v>
      </c>
      <c r="E37" s="123">
        <f t="shared" ref="E37:E46" si="2">D37*C37</f>
        <v>50000</v>
      </c>
      <c r="F37" s="389">
        <f t="shared" si="0"/>
        <v>166.66666666666666</v>
      </c>
      <c r="G37" s="389">
        <f t="shared" si="1"/>
        <v>0.19607843137254902</v>
      </c>
    </row>
    <row r="38" spans="1:7" x14ac:dyDescent="0.2">
      <c r="B38" s="103" t="s">
        <v>227</v>
      </c>
      <c r="C38" s="124">
        <v>0</v>
      </c>
      <c r="D38" s="124">
        <v>0</v>
      </c>
      <c r="E38" s="123">
        <f t="shared" si="2"/>
        <v>0</v>
      </c>
      <c r="F38" s="389">
        <f t="shared" si="0"/>
        <v>0</v>
      </c>
      <c r="G38" s="389">
        <f t="shared" si="1"/>
        <v>0</v>
      </c>
    </row>
    <row r="39" spans="1:7" x14ac:dyDescent="0.2">
      <c r="B39" s="103" t="s">
        <v>228</v>
      </c>
      <c r="C39" s="124">
        <v>2</v>
      </c>
      <c r="D39" s="124">
        <v>37500</v>
      </c>
      <c r="E39" s="123">
        <f t="shared" si="2"/>
        <v>75000</v>
      </c>
      <c r="F39" s="389">
        <f t="shared" si="0"/>
        <v>250</v>
      </c>
      <c r="G39" s="389">
        <f t="shared" si="1"/>
        <v>0.29411764705882354</v>
      </c>
    </row>
    <row r="40" spans="1:7" x14ac:dyDescent="0.2">
      <c r="B40" s="103" t="s">
        <v>229</v>
      </c>
      <c r="C40" s="124">
        <v>0</v>
      </c>
      <c r="D40" s="124">
        <v>0</v>
      </c>
      <c r="E40" s="123">
        <f t="shared" si="2"/>
        <v>0</v>
      </c>
      <c r="F40" s="389">
        <f t="shared" si="0"/>
        <v>0</v>
      </c>
      <c r="G40" s="389">
        <f t="shared" si="1"/>
        <v>0</v>
      </c>
    </row>
    <row r="41" spans="1:7" x14ac:dyDescent="0.2">
      <c r="B41" s="103" t="s">
        <v>230</v>
      </c>
      <c r="C41" s="124">
        <v>1</v>
      </c>
      <c r="D41" s="124">
        <v>40000</v>
      </c>
      <c r="E41" s="123">
        <f t="shared" si="2"/>
        <v>40000</v>
      </c>
      <c r="F41" s="389">
        <f t="shared" si="0"/>
        <v>133.33333333333334</v>
      </c>
      <c r="G41" s="389">
        <f t="shared" si="1"/>
        <v>0.15686274509803921</v>
      </c>
    </row>
    <row r="42" spans="1:7" x14ac:dyDescent="0.2">
      <c r="B42" s="103" t="s">
        <v>231</v>
      </c>
      <c r="C42" s="124">
        <v>1</v>
      </c>
      <c r="D42" s="124">
        <v>32000</v>
      </c>
      <c r="E42" s="123">
        <f t="shared" si="2"/>
        <v>32000</v>
      </c>
      <c r="F42" s="389">
        <f t="shared" si="0"/>
        <v>106.66666666666667</v>
      </c>
      <c r="G42" s="389">
        <f t="shared" si="1"/>
        <v>0.12549019607843137</v>
      </c>
    </row>
    <row r="43" spans="1:7" x14ac:dyDescent="0.2">
      <c r="B43" s="103" t="s">
        <v>232</v>
      </c>
      <c r="C43" s="124">
        <v>0</v>
      </c>
      <c r="D43" s="124">
        <v>0</v>
      </c>
      <c r="E43" s="123">
        <f t="shared" si="2"/>
        <v>0</v>
      </c>
      <c r="F43" s="389">
        <f t="shared" si="0"/>
        <v>0</v>
      </c>
      <c r="G43" s="389">
        <f t="shared" si="1"/>
        <v>0</v>
      </c>
    </row>
    <row r="44" spans="1:7" x14ac:dyDescent="0.2">
      <c r="B44" s="103" t="s">
        <v>233</v>
      </c>
      <c r="C44" s="124">
        <v>1</v>
      </c>
      <c r="D44" s="124">
        <v>30000</v>
      </c>
      <c r="E44" s="123">
        <f t="shared" si="2"/>
        <v>30000</v>
      </c>
      <c r="F44" s="389">
        <f t="shared" si="0"/>
        <v>100</v>
      </c>
      <c r="G44" s="389">
        <f t="shared" si="1"/>
        <v>0.11764705882352941</v>
      </c>
    </row>
    <row r="45" spans="1:7" x14ac:dyDescent="0.2">
      <c r="B45" s="103" t="s">
        <v>234</v>
      </c>
      <c r="C45" s="124">
        <v>0</v>
      </c>
      <c r="D45" s="124">
        <v>0</v>
      </c>
      <c r="E45" s="123">
        <f t="shared" si="2"/>
        <v>0</v>
      </c>
      <c r="F45" s="389">
        <f t="shared" si="0"/>
        <v>0</v>
      </c>
      <c r="G45" s="389">
        <f t="shared" si="1"/>
        <v>0</v>
      </c>
    </row>
    <row r="46" spans="1:7" ht="16.5" x14ac:dyDescent="0.35">
      <c r="B46" s="103" t="s">
        <v>235</v>
      </c>
      <c r="C46" s="177">
        <v>0</v>
      </c>
      <c r="D46" s="177">
        <v>0</v>
      </c>
      <c r="E46" s="131">
        <f t="shared" si="2"/>
        <v>0</v>
      </c>
      <c r="F46" s="432">
        <f t="shared" si="0"/>
        <v>0</v>
      </c>
      <c r="G46" s="432">
        <f t="shared" si="1"/>
        <v>0</v>
      </c>
    </row>
    <row r="47" spans="1:7" x14ac:dyDescent="0.2">
      <c r="B47" s="134" t="s">
        <v>236</v>
      </c>
      <c r="C47" s="123">
        <f>SUM(C36:C46)</f>
        <v>7</v>
      </c>
      <c r="D47" s="124">
        <f>SUM(D36:D46)</f>
        <v>259500</v>
      </c>
      <c r="E47" s="136">
        <f>SUM(E36:E46)</f>
        <v>297000</v>
      </c>
      <c r="F47" s="389">
        <f>SUM(F36:F46)</f>
        <v>990</v>
      </c>
      <c r="G47" s="389">
        <f>SUM(G36:G46)</f>
        <v>1.164705882352941</v>
      </c>
    </row>
    <row r="48" spans="1:7" x14ac:dyDescent="0.2">
      <c r="B48" s="141" t="s">
        <v>237</v>
      </c>
      <c r="C48" s="173">
        <v>0.3</v>
      </c>
      <c r="D48" s="124"/>
      <c r="E48" s="136">
        <f>C48*E47</f>
        <v>89100</v>
      </c>
      <c r="F48" s="389">
        <f>E48/Units</f>
        <v>297</v>
      </c>
      <c r="G48" s="389">
        <f>E48/Units_SF_M2</f>
        <v>0.34941176470588237</v>
      </c>
    </row>
    <row r="49" spans="2:7" ht="16.5" x14ac:dyDescent="0.35">
      <c r="B49" s="141" t="s">
        <v>238</v>
      </c>
      <c r="C49" s="173">
        <v>0.3</v>
      </c>
      <c r="D49" s="124">
        <v>100</v>
      </c>
      <c r="E49" s="187">
        <f>D49*C49*Units</f>
        <v>9000</v>
      </c>
      <c r="F49" s="432">
        <f>E49/Units</f>
        <v>30</v>
      </c>
      <c r="G49" s="432">
        <f>E49/Units_SF_M2</f>
        <v>3.5294117647058823E-2</v>
      </c>
    </row>
    <row r="50" spans="2:7" x14ac:dyDescent="0.2">
      <c r="B50" s="356" t="str">
        <f>"Total "&amp;PROPER(B35)&amp;" Cost"</f>
        <v>Total Payroll Cost</v>
      </c>
      <c r="C50" s="120"/>
      <c r="D50" s="132"/>
      <c r="E50" s="136">
        <f>SUM(E47:E49)</f>
        <v>395100</v>
      </c>
      <c r="F50" s="389">
        <f>SUM(F47:F49)</f>
        <v>1317</v>
      </c>
      <c r="G50" s="389">
        <f>SUM(G47:G49)</f>
        <v>1.5494117647058823</v>
      </c>
    </row>
    <row r="51" spans="2:7" x14ac:dyDescent="0.2">
      <c r="B51" s="103"/>
      <c r="C51" s="120"/>
      <c r="D51" s="132"/>
      <c r="E51" s="133"/>
      <c r="F51" s="123"/>
      <c r="G51" s="124"/>
    </row>
    <row r="52" spans="2:7" x14ac:dyDescent="0.2">
      <c r="B52" s="100" t="str">
        <f>UPPER(Underwriting!B120)</f>
        <v>GENERAL &amp; ADMINISTRATIVE</v>
      </c>
      <c r="C52" s="102"/>
      <c r="D52" s="102"/>
      <c r="E52" s="102" t="s">
        <v>241</v>
      </c>
      <c r="F52" s="102" t="s">
        <v>242</v>
      </c>
      <c r="G52" s="116" t="str">
        <f>G35</f>
        <v>Per SF</v>
      </c>
    </row>
    <row r="53" spans="2:7" x14ac:dyDescent="0.2">
      <c r="B53" s="103" t="s">
        <v>258</v>
      </c>
      <c r="C53" s="124"/>
      <c r="D53" s="124"/>
      <c r="E53" s="124">
        <v>10000</v>
      </c>
      <c r="F53" s="389">
        <f t="shared" ref="F53:F63" si="3">E53/Units</f>
        <v>33.333333333333336</v>
      </c>
      <c r="G53" s="389">
        <f t="shared" ref="G53:G63" si="4">E53/Units_SF_M2</f>
        <v>3.9215686274509803E-2</v>
      </c>
    </row>
    <row r="54" spans="2:7" x14ac:dyDescent="0.2">
      <c r="B54" s="103" t="s">
        <v>259</v>
      </c>
      <c r="C54" s="124"/>
      <c r="D54" s="124"/>
      <c r="E54" s="124">
        <v>25000</v>
      </c>
      <c r="F54" s="389">
        <f t="shared" si="3"/>
        <v>83.333333333333329</v>
      </c>
      <c r="G54" s="389">
        <f t="shared" si="4"/>
        <v>9.8039215686274508E-2</v>
      </c>
    </row>
    <row r="55" spans="2:7" x14ac:dyDescent="0.2">
      <c r="B55" s="103" t="s">
        <v>260</v>
      </c>
      <c r="C55" s="124"/>
      <c r="D55" s="124"/>
      <c r="E55" s="124">
        <v>25000</v>
      </c>
      <c r="F55" s="389">
        <f t="shared" si="3"/>
        <v>83.333333333333329</v>
      </c>
      <c r="G55" s="389">
        <f t="shared" si="4"/>
        <v>9.8039215686274508E-2</v>
      </c>
    </row>
    <row r="56" spans="2:7" x14ac:dyDescent="0.2">
      <c r="B56" s="103" t="s">
        <v>261</v>
      </c>
      <c r="C56" s="124"/>
      <c r="D56" s="124"/>
      <c r="E56" s="124">
        <v>25000</v>
      </c>
      <c r="F56" s="389">
        <f t="shared" si="3"/>
        <v>83.333333333333329</v>
      </c>
      <c r="G56" s="389">
        <f t="shared" si="4"/>
        <v>9.8039215686274508E-2</v>
      </c>
    </row>
    <row r="57" spans="2:7" x14ac:dyDescent="0.2">
      <c r="B57" s="103" t="s">
        <v>262</v>
      </c>
      <c r="C57" s="124"/>
      <c r="D57" s="124"/>
      <c r="E57" s="124">
        <v>25000</v>
      </c>
      <c r="F57" s="389">
        <f t="shared" si="3"/>
        <v>83.333333333333329</v>
      </c>
      <c r="G57" s="389">
        <f t="shared" si="4"/>
        <v>9.8039215686274508E-2</v>
      </c>
    </row>
    <row r="58" spans="2:7" x14ac:dyDescent="0.2">
      <c r="B58" s="103" t="s">
        <v>263</v>
      </c>
      <c r="C58" s="124"/>
      <c r="D58" s="124"/>
      <c r="E58" s="124">
        <v>25000</v>
      </c>
      <c r="F58" s="389">
        <f t="shared" si="3"/>
        <v>83.333333333333329</v>
      </c>
      <c r="G58" s="389">
        <f t="shared" si="4"/>
        <v>9.8039215686274508E-2</v>
      </c>
    </row>
    <row r="59" spans="2:7" x14ac:dyDescent="0.2">
      <c r="B59" s="103" t="s">
        <v>264</v>
      </c>
      <c r="C59" s="124"/>
      <c r="D59" s="124"/>
      <c r="E59" s="124">
        <v>25000</v>
      </c>
      <c r="F59" s="389">
        <f t="shared" si="3"/>
        <v>83.333333333333329</v>
      </c>
      <c r="G59" s="389">
        <f t="shared" si="4"/>
        <v>9.8039215686274508E-2</v>
      </c>
    </row>
    <row r="60" spans="2:7" x14ac:dyDescent="0.2">
      <c r="B60" s="103" t="s">
        <v>265</v>
      </c>
      <c r="C60" s="124"/>
      <c r="D60" s="124"/>
      <c r="E60" s="124">
        <v>25000</v>
      </c>
      <c r="F60" s="389">
        <f t="shared" si="3"/>
        <v>83.333333333333329</v>
      </c>
      <c r="G60" s="389">
        <f t="shared" si="4"/>
        <v>9.8039215686274508E-2</v>
      </c>
    </row>
    <row r="61" spans="2:7" x14ac:dyDescent="0.2">
      <c r="B61" s="103" t="s">
        <v>266</v>
      </c>
      <c r="C61" s="124"/>
      <c r="D61" s="124"/>
      <c r="E61" s="124">
        <v>25000</v>
      </c>
      <c r="F61" s="389">
        <f t="shared" si="3"/>
        <v>83.333333333333329</v>
      </c>
      <c r="G61" s="389">
        <f t="shared" si="4"/>
        <v>9.8039215686274508E-2</v>
      </c>
    </row>
    <row r="62" spans="2:7" x14ac:dyDescent="0.2">
      <c r="B62" s="103" t="s">
        <v>267</v>
      </c>
      <c r="C62" s="124"/>
      <c r="D62" s="124"/>
      <c r="E62" s="124">
        <v>25000</v>
      </c>
      <c r="F62" s="389">
        <f t="shared" si="3"/>
        <v>83.333333333333329</v>
      </c>
      <c r="G62" s="389">
        <f t="shared" si="4"/>
        <v>9.8039215686274508E-2</v>
      </c>
    </row>
    <row r="63" spans="2:7" ht="16.5" x14ac:dyDescent="0.35">
      <c r="B63" s="103" t="s">
        <v>235</v>
      </c>
      <c r="C63" s="124"/>
      <c r="D63" s="124"/>
      <c r="E63" s="177">
        <v>5000</v>
      </c>
      <c r="F63" s="432">
        <f t="shared" si="3"/>
        <v>16.666666666666668</v>
      </c>
      <c r="G63" s="432">
        <f t="shared" si="4"/>
        <v>1.9607843137254902E-2</v>
      </c>
    </row>
    <row r="64" spans="2:7" x14ac:dyDescent="0.2">
      <c r="B64" s="356" t="str">
        <f>"Total "&amp;PROPER(B52)&amp;" Cost"</f>
        <v>Total General &amp; Administrative Cost</v>
      </c>
      <c r="C64" s="123"/>
      <c r="D64" s="124"/>
      <c r="E64" s="136">
        <f>SUM(E53:E63)</f>
        <v>240000</v>
      </c>
      <c r="F64" s="389">
        <f>SUM(F53:F63)</f>
        <v>800</v>
      </c>
      <c r="G64" s="389">
        <f>SUM(G53:G63)</f>
        <v>0.94117647058823528</v>
      </c>
    </row>
    <row r="65" spans="2:7" x14ac:dyDescent="0.2">
      <c r="B65" s="103"/>
      <c r="C65" s="120"/>
      <c r="D65" s="132"/>
      <c r="E65" s="133"/>
      <c r="F65" s="123"/>
      <c r="G65" s="124"/>
    </row>
    <row r="66" spans="2:7" x14ac:dyDescent="0.2">
      <c r="B66" s="100" t="str">
        <f>UPPER(Underwriting!B121)</f>
        <v>MARKETING</v>
      </c>
      <c r="C66" s="102"/>
      <c r="D66" s="102"/>
      <c r="E66" s="102" t="s">
        <v>241</v>
      </c>
      <c r="F66" s="102" t="s">
        <v>242</v>
      </c>
      <c r="G66" s="116" t="str">
        <f>G52</f>
        <v>Per SF</v>
      </c>
    </row>
    <row r="67" spans="2:7" x14ac:dyDescent="0.2">
      <c r="B67" s="103" t="s">
        <v>269</v>
      </c>
      <c r="C67" s="124"/>
      <c r="D67" s="124"/>
      <c r="E67" s="124">
        <v>25000</v>
      </c>
      <c r="F67" s="389">
        <f t="shared" ref="F67:F72" si="5">E67/Units</f>
        <v>83.333333333333329</v>
      </c>
      <c r="G67" s="389">
        <f t="shared" ref="G67:G72" si="6">E67/Units_SF_M2</f>
        <v>9.8039215686274508E-2</v>
      </c>
    </row>
    <row r="68" spans="2:7" x14ac:dyDescent="0.2">
      <c r="B68" s="103" t="s">
        <v>270</v>
      </c>
      <c r="C68" s="124"/>
      <c r="D68" s="124"/>
      <c r="E68" s="124">
        <v>25000</v>
      </c>
      <c r="F68" s="389">
        <f t="shared" si="5"/>
        <v>83.333333333333329</v>
      </c>
      <c r="G68" s="389">
        <f t="shared" si="6"/>
        <v>9.8039215686274508E-2</v>
      </c>
    </row>
    <row r="69" spans="2:7" x14ac:dyDescent="0.2">
      <c r="B69" s="103" t="s">
        <v>271</v>
      </c>
      <c r="C69" s="124"/>
      <c r="D69" s="124"/>
      <c r="E69" s="124">
        <v>25000</v>
      </c>
      <c r="F69" s="389">
        <f t="shared" si="5"/>
        <v>83.333333333333329</v>
      </c>
      <c r="G69" s="389">
        <f t="shared" si="6"/>
        <v>9.8039215686274508E-2</v>
      </c>
    </row>
    <row r="70" spans="2:7" x14ac:dyDescent="0.2">
      <c r="B70" s="103" t="s">
        <v>272</v>
      </c>
      <c r="C70" s="124"/>
      <c r="D70" s="124"/>
      <c r="E70" s="124">
        <v>25000</v>
      </c>
      <c r="F70" s="389">
        <f t="shared" si="5"/>
        <v>83.333333333333329</v>
      </c>
      <c r="G70" s="389">
        <f t="shared" si="6"/>
        <v>9.8039215686274508E-2</v>
      </c>
    </row>
    <row r="71" spans="2:7" x14ac:dyDescent="0.2">
      <c r="B71" s="103" t="s">
        <v>273</v>
      </c>
      <c r="C71" s="124"/>
      <c r="D71" s="124"/>
      <c r="E71" s="124">
        <v>25000</v>
      </c>
      <c r="F71" s="389">
        <f t="shared" si="5"/>
        <v>83.333333333333329</v>
      </c>
      <c r="G71" s="389">
        <f t="shared" si="6"/>
        <v>9.8039215686274508E-2</v>
      </c>
    </row>
    <row r="72" spans="2:7" ht="16.5" x14ac:dyDescent="0.35">
      <c r="B72" s="103" t="s">
        <v>235</v>
      </c>
      <c r="C72" s="124"/>
      <c r="D72" s="124"/>
      <c r="E72" s="177">
        <v>5000</v>
      </c>
      <c r="F72" s="432">
        <f t="shared" si="5"/>
        <v>16.666666666666668</v>
      </c>
      <c r="G72" s="432">
        <f t="shared" si="6"/>
        <v>1.9607843137254902E-2</v>
      </c>
    </row>
    <row r="73" spans="2:7" x14ac:dyDescent="0.2">
      <c r="B73" s="356" t="str">
        <f>"Total "&amp;PROPER(B66)&amp;" Cost"</f>
        <v>Total Marketing Cost</v>
      </c>
      <c r="C73" s="123"/>
      <c r="D73" s="124"/>
      <c r="E73" s="136">
        <f>SUM(E67:E72)</f>
        <v>130000</v>
      </c>
      <c r="F73" s="389">
        <f>SUM(F67:F72)</f>
        <v>433.33333333333331</v>
      </c>
      <c r="G73" s="389">
        <f>SUM(G67:G72)</f>
        <v>0.50980392156862742</v>
      </c>
    </row>
    <row r="74" spans="2:7" x14ac:dyDescent="0.2">
      <c r="B74" s="103"/>
      <c r="C74" s="120"/>
      <c r="D74" s="132"/>
      <c r="E74" s="133"/>
      <c r="F74" s="123"/>
      <c r="G74" s="124"/>
    </row>
    <row r="75" spans="2:7" x14ac:dyDescent="0.2">
      <c r="B75" s="100" t="str">
        <f>UPPER(Underwriting!B122)</f>
        <v>UTILITIES</v>
      </c>
      <c r="C75" s="102"/>
      <c r="D75" s="102"/>
      <c r="E75" s="102" t="s">
        <v>241</v>
      </c>
      <c r="F75" s="102" t="s">
        <v>242</v>
      </c>
      <c r="G75" s="116" t="str">
        <f>G66</f>
        <v>Per SF</v>
      </c>
    </row>
    <row r="76" spans="2:7" x14ac:dyDescent="0.2">
      <c r="B76" s="103" t="s">
        <v>274</v>
      </c>
      <c r="C76" s="124"/>
      <c r="D76" s="124"/>
      <c r="E76" s="124">
        <v>25000</v>
      </c>
      <c r="F76" s="389">
        <f t="shared" ref="F76:F87" si="7">E76/Units</f>
        <v>83.333333333333329</v>
      </c>
      <c r="G76" s="389">
        <f t="shared" ref="G76:G87" si="8">E76/Units_SF_M2</f>
        <v>9.8039215686274508E-2</v>
      </c>
    </row>
    <row r="77" spans="2:7" x14ac:dyDescent="0.2">
      <c r="B77" s="103" t="s">
        <v>275</v>
      </c>
      <c r="C77" s="124"/>
      <c r="D77" s="124"/>
      <c r="E77" s="124">
        <v>25000</v>
      </c>
      <c r="F77" s="389">
        <f t="shared" si="7"/>
        <v>83.333333333333329</v>
      </c>
      <c r="G77" s="389">
        <f t="shared" si="8"/>
        <v>9.8039215686274508E-2</v>
      </c>
    </row>
    <row r="78" spans="2:7" x14ac:dyDescent="0.2">
      <c r="B78" s="103" t="s">
        <v>276</v>
      </c>
      <c r="C78" s="124"/>
      <c r="D78" s="124"/>
      <c r="E78" s="124">
        <v>25000</v>
      </c>
      <c r="F78" s="389">
        <f t="shared" si="7"/>
        <v>83.333333333333329</v>
      </c>
      <c r="G78" s="389">
        <f t="shared" si="8"/>
        <v>9.8039215686274508E-2</v>
      </c>
    </row>
    <row r="79" spans="2:7" x14ac:dyDescent="0.2">
      <c r="B79" s="103" t="s">
        <v>277</v>
      </c>
      <c r="C79" s="124"/>
      <c r="D79" s="124"/>
      <c r="E79" s="124">
        <v>25000</v>
      </c>
      <c r="F79" s="389">
        <f t="shared" si="7"/>
        <v>83.333333333333329</v>
      </c>
      <c r="G79" s="389">
        <f t="shared" si="8"/>
        <v>9.8039215686274508E-2</v>
      </c>
    </row>
    <row r="80" spans="2:7" x14ac:dyDescent="0.2">
      <c r="B80" s="103" t="s">
        <v>278</v>
      </c>
      <c r="C80" s="124"/>
      <c r="D80" s="124"/>
      <c r="E80" s="124">
        <v>25000</v>
      </c>
      <c r="F80" s="389">
        <f t="shared" si="7"/>
        <v>83.333333333333329</v>
      </c>
      <c r="G80" s="389">
        <f t="shared" si="8"/>
        <v>9.8039215686274508E-2</v>
      </c>
    </row>
    <row r="81" spans="2:7" x14ac:dyDescent="0.2">
      <c r="B81" s="103" t="s">
        <v>279</v>
      </c>
      <c r="C81" s="124"/>
      <c r="D81" s="124"/>
      <c r="E81" s="124">
        <v>25000</v>
      </c>
      <c r="F81" s="389">
        <f t="shared" si="7"/>
        <v>83.333333333333329</v>
      </c>
      <c r="G81" s="389">
        <f t="shared" si="8"/>
        <v>9.8039215686274508E-2</v>
      </c>
    </row>
    <row r="82" spans="2:7" x14ac:dyDescent="0.2">
      <c r="B82" s="103" t="s">
        <v>280</v>
      </c>
      <c r="C82" s="124"/>
      <c r="D82" s="124"/>
      <c r="E82" s="124">
        <v>25000</v>
      </c>
      <c r="F82" s="389">
        <f t="shared" si="7"/>
        <v>83.333333333333329</v>
      </c>
      <c r="G82" s="389">
        <f t="shared" si="8"/>
        <v>9.8039215686274508E-2</v>
      </c>
    </row>
    <row r="83" spans="2:7" x14ac:dyDescent="0.2">
      <c r="B83" s="103" t="s">
        <v>281</v>
      </c>
      <c r="C83" s="124"/>
      <c r="D83" s="124"/>
      <c r="E83" s="124">
        <v>25000</v>
      </c>
      <c r="F83" s="389">
        <f t="shared" si="7"/>
        <v>83.333333333333329</v>
      </c>
      <c r="G83" s="389">
        <f t="shared" si="8"/>
        <v>9.8039215686274508E-2</v>
      </c>
    </row>
    <row r="84" spans="2:7" x14ac:dyDescent="0.2">
      <c r="B84" s="103" t="s">
        <v>282</v>
      </c>
      <c r="C84" s="124"/>
      <c r="D84" s="124"/>
      <c r="E84" s="124">
        <v>25000</v>
      </c>
      <c r="F84" s="389">
        <f t="shared" si="7"/>
        <v>83.333333333333329</v>
      </c>
      <c r="G84" s="389">
        <f t="shared" si="8"/>
        <v>9.8039215686274508E-2</v>
      </c>
    </row>
    <row r="85" spans="2:7" x14ac:dyDescent="0.2">
      <c r="B85" s="103" t="s">
        <v>283</v>
      </c>
      <c r="C85" s="124"/>
      <c r="D85" s="124"/>
      <c r="E85" s="124">
        <v>25000</v>
      </c>
      <c r="F85" s="389">
        <f t="shared" si="7"/>
        <v>83.333333333333329</v>
      </c>
      <c r="G85" s="389">
        <f t="shared" si="8"/>
        <v>9.8039215686274508E-2</v>
      </c>
    </row>
    <row r="86" spans="2:7" x14ac:dyDescent="0.2">
      <c r="B86" s="103" t="s">
        <v>284</v>
      </c>
      <c r="C86" s="124"/>
      <c r="D86" s="124"/>
      <c r="E86" s="124">
        <v>25000</v>
      </c>
      <c r="F86" s="389">
        <f t="shared" si="7"/>
        <v>83.333333333333329</v>
      </c>
      <c r="G86" s="389">
        <f t="shared" si="8"/>
        <v>9.8039215686274508E-2</v>
      </c>
    </row>
    <row r="87" spans="2:7" ht="16.5" x14ac:dyDescent="0.35">
      <c r="B87" s="103" t="s">
        <v>235</v>
      </c>
      <c r="C87" s="124"/>
      <c r="D87" s="124"/>
      <c r="E87" s="177">
        <v>5000</v>
      </c>
      <c r="F87" s="432">
        <f t="shared" si="7"/>
        <v>16.666666666666668</v>
      </c>
      <c r="G87" s="432">
        <f t="shared" si="8"/>
        <v>1.9607843137254902E-2</v>
      </c>
    </row>
    <row r="88" spans="2:7" x14ac:dyDescent="0.2">
      <c r="B88" s="356" t="str">
        <f>"Total "&amp;PROPER(B75)&amp;" Cost"</f>
        <v>Total Utilities Cost</v>
      </c>
      <c r="C88" s="123"/>
      <c r="D88" s="124"/>
      <c r="E88" s="136">
        <f>SUM(E76:E87)</f>
        <v>280000</v>
      </c>
      <c r="F88" s="389">
        <f>SUM(F76:F87)</f>
        <v>933.33333333333337</v>
      </c>
      <c r="G88" s="389">
        <f>SUM(G76:G87)</f>
        <v>1.0980392156862744</v>
      </c>
    </row>
    <row r="89" spans="2:7" x14ac:dyDescent="0.2">
      <c r="B89" s="103"/>
      <c r="C89" s="120"/>
      <c r="D89" s="132"/>
      <c r="E89" s="133"/>
      <c r="F89" s="123"/>
      <c r="G89" s="124"/>
    </row>
    <row r="90" spans="2:7" x14ac:dyDescent="0.2">
      <c r="B90" s="100" t="str">
        <f>UPPER(Underwriting!B123)</f>
        <v>CONTRACT SERVICES</v>
      </c>
      <c r="C90" s="102"/>
      <c r="D90" s="102"/>
      <c r="E90" s="102" t="s">
        <v>241</v>
      </c>
      <c r="F90" s="102" t="s">
        <v>242</v>
      </c>
      <c r="G90" s="116" t="str">
        <f>G75</f>
        <v>Per SF</v>
      </c>
    </row>
    <row r="91" spans="2:7" x14ac:dyDescent="0.2">
      <c r="B91" s="103" t="s">
        <v>286</v>
      </c>
      <c r="C91" s="124"/>
      <c r="D91" s="124"/>
      <c r="E91" s="124">
        <v>25000</v>
      </c>
      <c r="F91" s="389">
        <f>E91/Units</f>
        <v>83.333333333333329</v>
      </c>
      <c r="G91" s="389">
        <f>E91/Units_SF_M2</f>
        <v>9.8039215686274508E-2</v>
      </c>
    </row>
    <row r="92" spans="2:7" x14ac:dyDescent="0.2">
      <c r="B92" s="103" t="s">
        <v>285</v>
      </c>
      <c r="C92" s="124"/>
      <c r="D92" s="124"/>
      <c r="E92" s="124">
        <v>25000</v>
      </c>
      <c r="F92" s="389">
        <f>E92/Units</f>
        <v>83.333333333333329</v>
      </c>
      <c r="G92" s="389">
        <f>E92/Units_SF_M2</f>
        <v>9.8039215686274508E-2</v>
      </c>
    </row>
    <row r="93" spans="2:7" x14ac:dyDescent="0.2">
      <c r="B93" s="103" t="s">
        <v>287</v>
      </c>
      <c r="C93" s="124"/>
      <c r="D93" s="124"/>
      <c r="E93" s="124">
        <v>25000</v>
      </c>
      <c r="F93" s="389">
        <f>E93/Units</f>
        <v>83.333333333333329</v>
      </c>
      <c r="G93" s="389">
        <f>E93/Units_SF_M2</f>
        <v>9.8039215686274508E-2</v>
      </c>
    </row>
    <row r="94" spans="2:7" x14ac:dyDescent="0.2">
      <c r="B94" s="103" t="s">
        <v>288</v>
      </c>
      <c r="C94" s="124"/>
      <c r="D94" s="124"/>
      <c r="E94" s="124">
        <v>25000</v>
      </c>
      <c r="F94" s="389">
        <f>E94/Units</f>
        <v>83.333333333333329</v>
      </c>
      <c r="G94" s="389">
        <f>E94/Units_SF_M2</f>
        <v>9.8039215686274508E-2</v>
      </c>
    </row>
    <row r="95" spans="2:7" ht="16.5" x14ac:dyDescent="0.35">
      <c r="B95" s="103" t="s">
        <v>235</v>
      </c>
      <c r="C95" s="124"/>
      <c r="D95" s="124"/>
      <c r="E95" s="177">
        <v>5000</v>
      </c>
      <c r="F95" s="432">
        <f>E95/Units</f>
        <v>16.666666666666668</v>
      </c>
      <c r="G95" s="432">
        <f>E95/Units_SF_M2</f>
        <v>1.9607843137254902E-2</v>
      </c>
    </row>
    <row r="96" spans="2:7" x14ac:dyDescent="0.2">
      <c r="B96" s="356" t="str">
        <f>"Total "&amp;PROPER(B90)&amp;" Cost"</f>
        <v>Total Contract Services Cost</v>
      </c>
      <c r="C96" s="123"/>
      <c r="D96" s="124"/>
      <c r="E96" s="136">
        <f>SUM(E91:E95)</f>
        <v>105000</v>
      </c>
      <c r="F96" s="389">
        <f>SUM(F91:F95)</f>
        <v>350</v>
      </c>
      <c r="G96" s="389">
        <f>SUM(G91:G95)</f>
        <v>0.41176470588235292</v>
      </c>
    </row>
    <row r="97" spans="1:7" x14ac:dyDescent="0.2">
      <c r="B97" s="103"/>
      <c r="C97" s="120"/>
      <c r="D97" s="132"/>
      <c r="E97" s="133"/>
      <c r="F97" s="123"/>
      <c r="G97" s="124"/>
    </row>
    <row r="98" spans="1:7" x14ac:dyDescent="0.2">
      <c r="B98" s="100" t="str">
        <f>UPPER(Underwriting!B124)</f>
        <v>MAKE READY COST</v>
      </c>
      <c r="C98" s="102"/>
      <c r="D98" s="102"/>
      <c r="E98" s="102" t="s">
        <v>241</v>
      </c>
      <c r="F98" s="102" t="s">
        <v>242</v>
      </c>
      <c r="G98" s="116" t="str">
        <f>G90</f>
        <v>Per SF</v>
      </c>
    </row>
    <row r="99" spans="1:7" x14ac:dyDescent="0.2">
      <c r="B99" s="141" t="s">
        <v>289</v>
      </c>
      <c r="C99" s="124"/>
      <c r="D99" s="124"/>
      <c r="E99" s="124"/>
      <c r="F99" s="397">
        <v>200</v>
      </c>
      <c r="G99" s="389"/>
    </row>
    <row r="100" spans="1:7" x14ac:dyDescent="0.2">
      <c r="B100" s="141" t="s">
        <v>290</v>
      </c>
      <c r="C100" s="124"/>
      <c r="D100" s="124"/>
      <c r="E100" s="124"/>
      <c r="F100" s="173">
        <v>0.75</v>
      </c>
      <c r="G100" s="389"/>
    </row>
    <row r="101" spans="1:7" x14ac:dyDescent="0.2">
      <c r="B101" s="356" t="str">
        <f>"Total "&amp;PROPER(B98)&amp;" Cost"</f>
        <v>Total Make Ready Cost Cost</v>
      </c>
      <c r="C101" s="123"/>
      <c r="D101" s="124"/>
      <c r="E101" s="136">
        <f>F101*Units</f>
        <v>45000</v>
      </c>
      <c r="F101" s="389">
        <f>F99*F100</f>
        <v>150</v>
      </c>
      <c r="G101" s="389">
        <f>F101/Underwriting!D96</f>
        <v>0.17647058823529413</v>
      </c>
    </row>
    <row r="102" spans="1:7" ht="5.0999999999999996" customHeight="1" x14ac:dyDescent="0.2">
      <c r="B102" s="103"/>
      <c r="C102" s="120"/>
      <c r="D102" s="132"/>
      <c r="E102" s="133"/>
      <c r="F102" s="123"/>
      <c r="G102" s="124"/>
    </row>
    <row r="103" spans="1:7" s="83" customFormat="1" ht="12.75" x14ac:dyDescent="0.2">
      <c r="A103" s="412"/>
      <c r="B103" s="439" t="s">
        <v>294</v>
      </c>
      <c r="C103" s="456"/>
      <c r="D103" s="457"/>
      <c r="E103" s="458">
        <f>+OpEx_7_Det+OpEx_6_Det+OpEx_5_Det+OpEx_4_Det+OpEx_3_Det+OpEx_2_Det+OpEx_1_Det</f>
        <v>1510100</v>
      </c>
      <c r="F103" s="459">
        <f>E103/Units</f>
        <v>5033.666666666667</v>
      </c>
      <c r="G103" s="459">
        <f>E103/Units_SF_M2</f>
        <v>5.9219607843137254</v>
      </c>
    </row>
    <row r="104" spans="1:7" ht="5.0999999999999996" customHeight="1" x14ac:dyDescent="0.2">
      <c r="B104" s="103"/>
      <c r="C104" s="120"/>
      <c r="D104" s="132"/>
      <c r="E104" s="133"/>
      <c r="F104" s="123"/>
      <c r="G104" s="124"/>
    </row>
    <row r="105" spans="1:7" x14ac:dyDescent="0.2">
      <c r="B105" s="12" t="s">
        <v>291</v>
      </c>
      <c r="C105" s="10"/>
      <c r="D105" s="10"/>
      <c r="E105" s="10"/>
      <c r="F105" s="10"/>
      <c r="G105" s="10"/>
    </row>
    <row r="106" spans="1:7" x14ac:dyDescent="0.2">
      <c r="B106" s="100" t="str">
        <f>UPPER(Underwriting!B125)</f>
        <v>MANAGEMENT FEE</v>
      </c>
      <c r="C106" s="102"/>
      <c r="D106" s="102"/>
      <c r="E106" s="102" t="s">
        <v>241</v>
      </c>
      <c r="F106" s="102" t="s">
        <v>242</v>
      </c>
      <c r="G106" s="116" t="str">
        <f>G98</f>
        <v>Per SF</v>
      </c>
    </row>
    <row r="107" spans="1:7" x14ac:dyDescent="0.2">
      <c r="B107" s="141" t="s">
        <v>292</v>
      </c>
      <c r="C107" s="124"/>
      <c r="D107" s="136" t="s">
        <v>293</v>
      </c>
      <c r="E107" s="124"/>
      <c r="F107" s="460">
        <f>Underwriting!G125</f>
        <v>0.03</v>
      </c>
      <c r="G107" s="389"/>
    </row>
    <row r="108" spans="1:7" x14ac:dyDescent="0.2">
      <c r="B108" s="356" t="str">
        <f>"Total "&amp;PROPER(B106)&amp;" Cost"</f>
        <v>Total Management Fee Cost</v>
      </c>
      <c r="C108" s="123"/>
      <c r="D108" s="124"/>
      <c r="E108" s="136">
        <f>OpEx_MgtFee</f>
        <v>183257.77247999999</v>
      </c>
      <c r="F108" s="389">
        <f>E108/Units</f>
        <v>610.8592415999999</v>
      </c>
      <c r="G108" s="389">
        <f>E108/Units_SF_M2</f>
        <v>0.71865793129411759</v>
      </c>
    </row>
    <row r="109" spans="1:7" x14ac:dyDescent="0.2">
      <c r="B109" s="103"/>
      <c r="C109" s="120"/>
      <c r="D109" s="132"/>
      <c r="E109" s="133"/>
      <c r="F109" s="123"/>
      <c r="G109" s="124"/>
    </row>
    <row r="110" spans="1:7" x14ac:dyDescent="0.2">
      <c r="B110" s="100" t="str">
        <f>UPPER(Underwriting!B126)</f>
        <v>INSURANCE</v>
      </c>
      <c r="C110" s="102"/>
      <c r="D110" s="102"/>
      <c r="E110" s="102" t="s">
        <v>241</v>
      </c>
      <c r="F110" s="102" t="s">
        <v>242</v>
      </c>
      <c r="G110" s="116" t="str">
        <f>G106</f>
        <v>Per SF</v>
      </c>
    </row>
    <row r="111" spans="1:7" x14ac:dyDescent="0.2">
      <c r="B111" s="103" t="s">
        <v>295</v>
      </c>
      <c r="C111" s="124"/>
      <c r="D111" s="124"/>
      <c r="E111" s="124">
        <v>25000</v>
      </c>
      <c r="F111" s="389">
        <f>E111/Units</f>
        <v>83.333333333333329</v>
      </c>
      <c r="G111" s="389">
        <f>E111/Units_SF_M2</f>
        <v>9.8039215686274508E-2</v>
      </c>
    </row>
    <row r="112" spans="1:7" x14ac:dyDescent="0.2">
      <c r="B112" s="103" t="s">
        <v>296</v>
      </c>
      <c r="C112" s="124"/>
      <c r="D112" s="124"/>
      <c r="E112" s="124">
        <v>25000</v>
      </c>
      <c r="F112" s="389">
        <f>E112/Units</f>
        <v>83.333333333333329</v>
      </c>
      <c r="G112" s="389">
        <f>E112/Units_SF_M2</f>
        <v>9.8039215686274508E-2</v>
      </c>
    </row>
    <row r="113" spans="2:7" x14ac:dyDescent="0.2">
      <c r="B113" s="103" t="s">
        <v>297</v>
      </c>
      <c r="C113" s="124"/>
      <c r="D113" s="124"/>
      <c r="E113" s="124">
        <v>25000</v>
      </c>
      <c r="F113" s="389">
        <f>E113/Units</f>
        <v>83.333333333333329</v>
      </c>
      <c r="G113" s="389">
        <f>E113/Units_SF_M2</f>
        <v>9.8039215686274508E-2</v>
      </c>
    </row>
    <row r="114" spans="2:7" x14ac:dyDescent="0.2">
      <c r="B114" s="103" t="s">
        <v>235</v>
      </c>
      <c r="C114" s="124"/>
      <c r="D114" s="124"/>
      <c r="E114" s="124">
        <v>25000</v>
      </c>
      <c r="F114" s="389">
        <f>E114/Units</f>
        <v>83.333333333333329</v>
      </c>
      <c r="G114" s="389">
        <f>E114/Units_SF_M2</f>
        <v>9.8039215686274508E-2</v>
      </c>
    </row>
    <row r="115" spans="2:7" ht="16.5" x14ac:dyDescent="0.35">
      <c r="B115" s="103" t="s">
        <v>235</v>
      </c>
      <c r="C115" s="124"/>
      <c r="D115" s="124"/>
      <c r="E115" s="177">
        <v>5000</v>
      </c>
      <c r="F115" s="432">
        <f>E115/Units</f>
        <v>16.666666666666668</v>
      </c>
      <c r="G115" s="432">
        <f>E115/Units_SF_M2</f>
        <v>1.9607843137254902E-2</v>
      </c>
    </row>
    <row r="116" spans="2:7" x14ac:dyDescent="0.2">
      <c r="B116" s="356" t="str">
        <f>"Total "&amp;PROPER(B110)&amp;" Cost"</f>
        <v>Total Insurance Cost</v>
      </c>
      <c r="C116" s="123"/>
      <c r="D116" s="124"/>
      <c r="E116" s="136">
        <f>SUM(E111:E115)</f>
        <v>105000</v>
      </c>
      <c r="F116" s="389">
        <f>SUM(F111:F115)</f>
        <v>350</v>
      </c>
      <c r="G116" s="389">
        <f>SUM(G111:G115)</f>
        <v>0.41176470588235292</v>
      </c>
    </row>
    <row r="117" spans="2:7" x14ac:dyDescent="0.2">
      <c r="B117" s="103"/>
      <c r="C117" s="120"/>
      <c r="D117" s="132"/>
      <c r="E117" s="133"/>
      <c r="F117" s="123"/>
      <c r="G117" s="124"/>
    </row>
    <row r="118" spans="2:7" x14ac:dyDescent="0.2">
      <c r="B118" s="100" t="str">
        <f>UPPER(Underwriting!B127)</f>
        <v>PROPERTY TAXES</v>
      </c>
      <c r="C118" s="102"/>
      <c r="D118" s="102"/>
      <c r="E118" s="102" t="s">
        <v>299</v>
      </c>
      <c r="F118" s="102" t="s">
        <v>300</v>
      </c>
      <c r="G118" s="116" t="s">
        <v>301</v>
      </c>
    </row>
    <row r="119" spans="2:7" x14ac:dyDescent="0.2">
      <c r="B119" s="103" t="s">
        <v>5</v>
      </c>
      <c r="C119" s="102"/>
      <c r="D119" s="102"/>
      <c r="E119" s="450">
        <v>0.46190999999999999</v>
      </c>
      <c r="F119" s="124">
        <v>50000000</v>
      </c>
      <c r="G119" s="449">
        <v>0.75</v>
      </c>
    </row>
    <row r="120" spans="2:7" x14ac:dyDescent="0.2">
      <c r="B120" s="103" t="s">
        <v>298</v>
      </c>
      <c r="C120" s="102"/>
      <c r="D120" s="102"/>
      <c r="E120" s="450">
        <v>1.46</v>
      </c>
      <c r="F120" s="124">
        <v>50000000</v>
      </c>
      <c r="G120" s="449">
        <f>$G$119</f>
        <v>0.75</v>
      </c>
    </row>
    <row r="121" spans="2:7" x14ac:dyDescent="0.2">
      <c r="B121" s="103" t="s">
        <v>6</v>
      </c>
      <c r="C121" s="102"/>
      <c r="D121" s="102"/>
      <c r="E121" s="450">
        <v>0.23749999999999999</v>
      </c>
      <c r="F121" s="124">
        <v>50000000</v>
      </c>
      <c r="G121" s="449">
        <f>$G$119</f>
        <v>0.75</v>
      </c>
    </row>
    <row r="122" spans="2:7" x14ac:dyDescent="0.2">
      <c r="B122" s="103" t="s">
        <v>7</v>
      </c>
      <c r="C122" s="102"/>
      <c r="D122" s="102"/>
      <c r="E122" s="450">
        <v>8.6343000000000003E-2</v>
      </c>
      <c r="F122" s="124">
        <v>50000000</v>
      </c>
      <c r="G122" s="449">
        <f>$G$119</f>
        <v>0.75</v>
      </c>
    </row>
    <row r="123" spans="2:7" x14ac:dyDescent="0.2">
      <c r="B123" s="103" t="s">
        <v>235</v>
      </c>
      <c r="C123" s="102"/>
      <c r="D123" s="102"/>
      <c r="E123" s="450">
        <v>0.5151</v>
      </c>
      <c r="F123" s="124">
        <v>50000000</v>
      </c>
      <c r="G123" s="449">
        <f>$G$119</f>
        <v>0.75</v>
      </c>
    </row>
    <row r="124" spans="2:7" ht="5.0999999999999996" customHeight="1" x14ac:dyDescent="0.2">
      <c r="B124" s="137"/>
      <c r="C124" s="102"/>
      <c r="D124" s="102"/>
      <c r="E124" s="450"/>
      <c r="F124" s="124"/>
      <c r="G124" s="449"/>
    </row>
    <row r="125" spans="2:7" x14ac:dyDescent="0.2">
      <c r="B125" s="134" t="str">
        <f>PROPER(B118)</f>
        <v>Property Taxes</v>
      </c>
      <c r="C125" s="102"/>
      <c r="D125" s="102"/>
      <c r="E125" s="102" t="s">
        <v>241</v>
      </c>
      <c r="F125" s="102" t="s">
        <v>242</v>
      </c>
      <c r="G125" s="116" t="str">
        <f>G110</f>
        <v>Per SF</v>
      </c>
    </row>
    <row r="126" spans="2:7" x14ac:dyDescent="0.2">
      <c r="B126" s="141" t="str">
        <f>B119</f>
        <v>City</v>
      </c>
      <c r="C126" s="124"/>
      <c r="D126" s="124"/>
      <c r="E126" s="136">
        <f>(E119/100)*(F119*G119)</f>
        <v>173216.25</v>
      </c>
      <c r="F126" s="389">
        <f>E126/Units</f>
        <v>577.38750000000005</v>
      </c>
      <c r="G126" s="389">
        <f>E126/Units_SF_M2</f>
        <v>0.67927941176470585</v>
      </c>
    </row>
    <row r="127" spans="2:7" x14ac:dyDescent="0.2">
      <c r="B127" s="141" t="str">
        <f>B120</f>
        <v>School District</v>
      </c>
      <c r="C127" s="124"/>
      <c r="D127" s="124"/>
      <c r="E127" s="136">
        <f>(E120/100)*(F120*G120)</f>
        <v>547500</v>
      </c>
      <c r="F127" s="389">
        <f>E127/Units</f>
        <v>1825</v>
      </c>
      <c r="G127" s="389">
        <f>E127/Units_SF_M2</f>
        <v>2.1470588235294117</v>
      </c>
    </row>
    <row r="128" spans="2:7" x14ac:dyDescent="0.2">
      <c r="B128" s="141" t="str">
        <f>B121</f>
        <v>County</v>
      </c>
      <c r="C128" s="124"/>
      <c r="D128" s="124"/>
      <c r="E128" s="136">
        <f>(E121/100)*(F121*G121)</f>
        <v>89062.5</v>
      </c>
      <c r="F128" s="389">
        <f>E128/Units</f>
        <v>296.875</v>
      </c>
      <c r="G128" s="389">
        <f>E128/Units_SF_M2</f>
        <v>0.34926470588235292</v>
      </c>
    </row>
    <row r="129" spans="1:8" x14ac:dyDescent="0.2">
      <c r="B129" s="141" t="str">
        <f>B122</f>
        <v>State</v>
      </c>
      <c r="C129" s="124"/>
      <c r="D129" s="124"/>
      <c r="E129" s="136">
        <f>(E122/100)*(F122*G122)</f>
        <v>32378.625</v>
      </c>
      <c r="F129" s="389">
        <f>E129/Units</f>
        <v>107.92874999999999</v>
      </c>
      <c r="G129" s="389">
        <f>E129/Units_SF_M2</f>
        <v>0.126975</v>
      </c>
    </row>
    <row r="130" spans="1:8" ht="16.5" x14ac:dyDescent="0.35">
      <c r="B130" s="141" t="str">
        <f>B123</f>
        <v>Other</v>
      </c>
      <c r="C130" s="124"/>
      <c r="D130" s="124"/>
      <c r="E130" s="187">
        <f>(E123/100)*(F123*G123)</f>
        <v>193162.5</v>
      </c>
      <c r="F130" s="432">
        <f>E130/Units</f>
        <v>643.875</v>
      </c>
      <c r="G130" s="432">
        <f>E130/Units_SF_M2</f>
        <v>0.75749999999999995</v>
      </c>
    </row>
    <row r="131" spans="1:8" x14ac:dyDescent="0.2">
      <c r="B131" s="356" t="str">
        <f>"Total "&amp;PROPER(B118)&amp;" Cost"</f>
        <v>Total Property Taxes Cost</v>
      </c>
      <c r="C131" s="123"/>
      <c r="D131" s="124"/>
      <c r="E131" s="136">
        <f>SUM(E126:E130)</f>
        <v>1035319.875</v>
      </c>
      <c r="F131" s="389">
        <f>SUM(F126:F130)</f>
        <v>3451.0662499999999</v>
      </c>
      <c r="G131" s="389">
        <f>SUM(G126:G130)</f>
        <v>4.0600779411764698</v>
      </c>
    </row>
    <row r="132" spans="1:8" ht="5.0999999999999996" customHeight="1" x14ac:dyDescent="0.2">
      <c r="B132" s="356"/>
      <c r="C132" s="123"/>
      <c r="D132" s="124"/>
      <c r="E132" s="136"/>
      <c r="F132" s="389"/>
      <c r="G132" s="389"/>
    </row>
    <row r="133" spans="1:8" s="64" customFormat="1" x14ac:dyDescent="0.2">
      <c r="A133" s="409"/>
      <c r="B133" s="439" t="s">
        <v>302</v>
      </c>
      <c r="C133" s="182"/>
      <c r="D133" s="440"/>
      <c r="E133" s="438">
        <f>+OpEx_Tax_Det+OpEx_Ins_Det+OpEx_MgtFee_Det</f>
        <v>1323577.64748</v>
      </c>
      <c r="F133" s="396">
        <f>E133/Units</f>
        <v>4411.9254916</v>
      </c>
      <c r="G133" s="396">
        <f>E133/Units_SF_M2</f>
        <v>5.1905005783529417</v>
      </c>
    </row>
    <row r="134" spans="1:8" ht="5.0999999999999996" customHeight="1" x14ac:dyDescent="0.2">
      <c r="B134" s="356"/>
      <c r="C134" s="123"/>
      <c r="D134" s="124"/>
      <c r="E134" s="136"/>
      <c r="F134" s="389"/>
      <c r="G134" s="389"/>
    </row>
    <row r="135" spans="1:8" s="64" customFormat="1" x14ac:dyDescent="0.2">
      <c r="A135" s="409"/>
      <c r="B135" s="439" t="s">
        <v>303</v>
      </c>
      <c r="C135" s="182"/>
      <c r="D135" s="440"/>
      <c r="E135" s="438">
        <f>+E133+E103</f>
        <v>2833677.6474799998</v>
      </c>
      <c r="F135" s="396">
        <f>E135/Units</f>
        <v>9445.5921582666651</v>
      </c>
      <c r="G135" s="396">
        <f>E135/Units_SF_M2</f>
        <v>11.112461362666666</v>
      </c>
    </row>
    <row r="136" spans="1:8" ht="5.0999999999999996" customHeight="1" x14ac:dyDescent="0.2">
      <c r="A136" s="410"/>
      <c r="B136" s="188"/>
      <c r="C136" s="189"/>
      <c r="D136" s="190"/>
      <c r="E136" s="191"/>
      <c r="F136" s="192"/>
      <c r="G136" s="192"/>
      <c r="H136" s="16"/>
    </row>
  </sheetData>
  <conditionalFormatting sqref="D2:E2">
    <cfRule type="expression" dxfId="0" priority="28">
      <formula>$D$2="CLICK TO RECALCULATE"</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0" tint="-0.34998626667073579"/>
  </sheetPr>
  <dimension ref="B2:AK21"/>
  <sheetViews>
    <sheetView workbookViewId="0">
      <selection activeCell="B17" sqref="B17"/>
    </sheetView>
  </sheetViews>
  <sheetFormatPr defaultRowHeight="14.25" x14ac:dyDescent="0.2"/>
  <cols>
    <col min="1" max="1" width="2.625" customWidth="1"/>
    <col min="5" max="5" width="5.25" customWidth="1"/>
    <col min="6" max="6" width="1.5" style="16" customWidth="1"/>
    <col min="7" max="7" width="8.75" bestFit="1" customWidth="1"/>
    <col min="8" max="8" width="8.625" bestFit="1" customWidth="1"/>
    <col min="9" max="9" width="8.75" bestFit="1" customWidth="1"/>
    <col min="10" max="10" width="5" bestFit="1" customWidth="1"/>
    <col min="11" max="11" width="6.625" bestFit="1" customWidth="1"/>
    <col min="12" max="12" width="2.875" bestFit="1" customWidth="1"/>
    <col min="13" max="13" width="8.625" bestFit="1" customWidth="1"/>
    <col min="15" max="15" width="9.125" bestFit="1" customWidth="1"/>
    <col min="16" max="16" width="8.75" bestFit="1" customWidth="1"/>
    <col min="17" max="17" width="9.375" bestFit="1" customWidth="1"/>
    <col min="18" max="18" width="8.375" bestFit="1" customWidth="1"/>
    <col min="19" max="19" width="8" bestFit="1" customWidth="1"/>
    <col min="20" max="20" width="9" bestFit="1" customWidth="1"/>
    <col min="21" max="21" width="8.875" bestFit="1" customWidth="1"/>
  </cols>
  <sheetData>
    <row r="2" spans="2:37" x14ac:dyDescent="0.2">
      <c r="B2" s="2" t="s">
        <v>44</v>
      </c>
      <c r="C2" s="1"/>
      <c r="D2" s="1"/>
      <c r="E2" s="1"/>
      <c r="G2" s="16"/>
      <c r="H2" s="16"/>
    </row>
    <row r="3" spans="2:37" x14ac:dyDescent="0.2">
      <c r="B3" s="13" t="str">
        <f>Underwriting!B22</f>
        <v>INVESTMENT PERIOD CASH FLOWS</v>
      </c>
      <c r="C3" s="13"/>
      <c r="D3" s="13"/>
      <c r="E3" s="13"/>
      <c r="G3" s="23" t="s">
        <v>45</v>
      </c>
      <c r="H3" s="16"/>
    </row>
    <row r="4" spans="2:37" x14ac:dyDescent="0.2">
      <c r="B4" t="s">
        <v>59</v>
      </c>
      <c r="E4" s="3">
        <v>6</v>
      </c>
      <c r="F4" s="22"/>
      <c r="G4" s="16"/>
      <c r="H4" s="16"/>
      <c r="M4" s="15">
        <f>H6</f>
        <v>43131</v>
      </c>
      <c r="N4" s="15">
        <f t="shared" ref="N4:U4" si="0">EOMONTH(M4,1)</f>
        <v>43159</v>
      </c>
      <c r="O4" s="15">
        <f t="shared" si="0"/>
        <v>43190</v>
      </c>
      <c r="P4" s="15">
        <f t="shared" si="0"/>
        <v>43220</v>
      </c>
      <c r="Q4" s="15">
        <f t="shared" si="0"/>
        <v>43251</v>
      </c>
      <c r="R4" s="15">
        <f t="shared" si="0"/>
        <v>43281</v>
      </c>
      <c r="S4" s="15">
        <f t="shared" si="0"/>
        <v>43312</v>
      </c>
      <c r="T4" s="15">
        <f t="shared" si="0"/>
        <v>43343</v>
      </c>
      <c r="U4" s="15">
        <f t="shared" si="0"/>
        <v>43373</v>
      </c>
      <c r="V4" s="15">
        <f t="shared" ref="V4:AJ4" si="1">EOMONTH(U4,1)</f>
        <v>43404</v>
      </c>
      <c r="W4" s="15">
        <f t="shared" si="1"/>
        <v>43434</v>
      </c>
      <c r="X4" s="15">
        <f t="shared" si="1"/>
        <v>43465</v>
      </c>
      <c r="Y4" s="15">
        <f t="shared" si="1"/>
        <v>43496</v>
      </c>
      <c r="Z4" s="15">
        <f t="shared" si="1"/>
        <v>43524</v>
      </c>
      <c r="AA4" s="15">
        <f t="shared" si="1"/>
        <v>43555</v>
      </c>
      <c r="AB4" s="15">
        <f t="shared" si="1"/>
        <v>43585</v>
      </c>
      <c r="AC4" s="15">
        <f t="shared" si="1"/>
        <v>43616</v>
      </c>
      <c r="AD4" s="15">
        <f t="shared" si="1"/>
        <v>43646</v>
      </c>
      <c r="AE4" s="15">
        <f t="shared" si="1"/>
        <v>43677</v>
      </c>
      <c r="AF4" s="15">
        <f t="shared" si="1"/>
        <v>43708</v>
      </c>
      <c r="AG4" s="15">
        <f t="shared" si="1"/>
        <v>43738</v>
      </c>
      <c r="AH4" s="15">
        <f t="shared" si="1"/>
        <v>43769</v>
      </c>
      <c r="AI4" s="15">
        <f t="shared" si="1"/>
        <v>43799</v>
      </c>
      <c r="AJ4" s="15">
        <f t="shared" si="1"/>
        <v>43830</v>
      </c>
      <c r="AK4" s="15">
        <f>EOMONTH(AJ4,1)</f>
        <v>43861</v>
      </c>
    </row>
    <row r="5" spans="2:37" x14ac:dyDescent="0.2">
      <c r="B5" s="20">
        <v>10</v>
      </c>
      <c r="C5">
        <v>10</v>
      </c>
      <c r="G5" s="17" t="s">
        <v>46</v>
      </c>
      <c r="H5" s="17" t="s">
        <v>47</v>
      </c>
      <c r="I5" s="17" t="s">
        <v>48</v>
      </c>
      <c r="J5" s="18" t="s">
        <v>49</v>
      </c>
      <c r="K5" s="17" t="s">
        <v>50</v>
      </c>
      <c r="L5" s="17" t="s">
        <v>51</v>
      </c>
      <c r="M5" s="17">
        <v>1</v>
      </c>
      <c r="N5" s="17">
        <f t="shared" ref="N5:U5" si="2">M5+1</f>
        <v>2</v>
      </c>
      <c r="O5" s="17">
        <f t="shared" si="2"/>
        <v>3</v>
      </c>
      <c r="P5" s="17">
        <f t="shared" si="2"/>
        <v>4</v>
      </c>
      <c r="Q5" s="17">
        <f t="shared" si="2"/>
        <v>5</v>
      </c>
      <c r="R5" s="17">
        <f t="shared" si="2"/>
        <v>6</v>
      </c>
      <c r="S5" s="17">
        <f t="shared" si="2"/>
        <v>7</v>
      </c>
      <c r="T5" s="17">
        <f t="shared" si="2"/>
        <v>8</v>
      </c>
      <c r="U5" s="17">
        <f t="shared" si="2"/>
        <v>9</v>
      </c>
      <c r="V5" s="17">
        <f t="shared" ref="V5:AJ5" si="3">U5+1</f>
        <v>10</v>
      </c>
      <c r="W5" s="17">
        <f t="shared" si="3"/>
        <v>11</v>
      </c>
      <c r="X5" s="17">
        <f t="shared" si="3"/>
        <v>12</v>
      </c>
      <c r="Y5" s="17">
        <f t="shared" si="3"/>
        <v>13</v>
      </c>
      <c r="Z5" s="17">
        <f t="shared" si="3"/>
        <v>14</v>
      </c>
      <c r="AA5" s="17">
        <f t="shared" si="3"/>
        <v>15</v>
      </c>
      <c r="AB5" s="17">
        <f t="shared" si="3"/>
        <v>16</v>
      </c>
      <c r="AC5" s="17">
        <f t="shared" si="3"/>
        <v>17</v>
      </c>
      <c r="AD5" s="17">
        <f t="shared" si="3"/>
        <v>18</v>
      </c>
      <c r="AE5" s="17">
        <f t="shared" si="3"/>
        <v>19</v>
      </c>
      <c r="AF5" s="17">
        <f t="shared" si="3"/>
        <v>20</v>
      </c>
      <c r="AG5" s="17">
        <f t="shared" si="3"/>
        <v>21</v>
      </c>
      <c r="AH5" s="17">
        <f t="shared" si="3"/>
        <v>22</v>
      </c>
      <c r="AI5" s="17">
        <f t="shared" si="3"/>
        <v>23</v>
      </c>
      <c r="AJ5" s="17">
        <f t="shared" si="3"/>
        <v>24</v>
      </c>
      <c r="AK5" s="17">
        <f>AJ5+1</f>
        <v>25</v>
      </c>
    </row>
    <row r="6" spans="2:37" x14ac:dyDescent="0.2">
      <c r="B6" s="19">
        <v>9</v>
      </c>
      <c r="C6">
        <v>9</v>
      </c>
      <c r="G6" s="14">
        <v>1000000</v>
      </c>
      <c r="H6" s="15">
        <v>43131</v>
      </c>
      <c r="I6" s="15">
        <f>AK4</f>
        <v>43861</v>
      </c>
      <c r="J6">
        <v>25</v>
      </c>
      <c r="K6" t="s">
        <v>27</v>
      </c>
      <c r="L6">
        <f>J6/E4</f>
        <v>4.166666666666667</v>
      </c>
      <c r="M6" s="14">
        <f>+IF(AND($K6="Flat",M$4&gt;=$H6,M$4&lt;=$I6),$G6/$J6,0)+IF(AND($K6="S-Curve",M$4&gt;=$H6,M$4&lt;=$I6),(_xlfn.NORM.DIST((YEAR(M$4)-YEAR($H6))*12+MONTH(M$4)-MONTH($H6)+1,$J6/2,$L6,TRUE)-_xlfn.NORM.DIST((YEAR(M$4)-YEAR($H6))*12+MONTH(M$4)-MONTH($H6),$J6/2,$L6,TRUE))/(1-2*_xlfn.NORM.DIST(0,$J6/2,$L6,TRUE))*$G6,0)</f>
        <v>1544.3394461531143</v>
      </c>
      <c r="N6" s="14">
        <f>+IF(AND($K6="Flat",N$4&gt;=$H6,N$4&lt;=$I6),$G6/$J6,0)+IF(AND($K6="S-Curve",N$4&gt;=$H6,N$4&lt;=$I6),(_xlfn.NORM.DIST((YEAR(N$4)-YEAR($H6))*12+MONTH(N$4)-MONTH($H6)+1,$J6/2,$L6,TRUE)-_xlfn.NORM.DIST((YEAR(N$4)-YEAR($H6))*12+MONTH(N$4)-MONTH($H6),$J6/2,$L6,TRUE))/(1-2*_xlfn.NORM.DIST(0,$J6/2,$L6,TRUE))*$G6,0)</f>
        <v>2985.7345133916106</v>
      </c>
      <c r="O6" s="14">
        <f>+IF(AND($K6="Flat",O$4&gt;=$H6,O$4&lt;=$I6),$G6/$J6,0)+IF(AND($K6="S-Curve",O$4&gt;=$H6,O$4&lt;=$I6),(_xlfn.NORM.DIST((YEAR(O$4)-YEAR($H6))*12+MONTH(O$4)-MONTH($H6)+1,$J6/2,$L6,TRUE)-_xlfn.NORM.DIST((YEAR(O$4)-YEAR($H6))*12+MONTH(O$4)-MONTH($H6),$J6/2,$L6,TRUE))/(1-2*_xlfn.NORM.DIST(0,$J6/2,$L6,TRUE))*$G6,0)</f>
        <v>5450.8186218771189</v>
      </c>
      <c r="P6" s="14">
        <f>+IF(AND($K6="Flat",P$4&gt;=$H6,P$4&lt;=$I6),$G6/$J6,0)+IF(AND($K6="S-Curve",P$4&gt;=$H6,P$4&lt;=$I6),(_xlfn.NORM.DIST((YEAR(P$4)-YEAR($H6))*12+MONTH(P$4)-MONTH($H6)+1,$J6/2,$L6,TRUE)-_xlfn.NORM.DIST((YEAR(P$4)-YEAR($H6))*12+MONTH(P$4)-MONTH($H6),$J6/2,$L6,TRUE))/(1-2*_xlfn.NORM.DIST(0,$J6/2,$L6,TRUE))*$G6,0)</f>
        <v>9396.6877681614151</v>
      </c>
      <c r="Q6" s="14">
        <f t="shared" ref="Q6:AK6" si="4">+IF(AND($K6="Flat",Q$4&gt;=$H6,Q$4&lt;=$I6),$G6/$J6,0)+IF(AND($K6="S-Curve",Q$4&gt;=$H6,Q$4&lt;=$I6),(_xlfn.NORM.DIST((YEAR(Q$4)-YEAR($H6))*12+MONTH(Q$4)-MONTH($H6)+1,$J6/2,$L6,TRUE)-_xlfn.NORM.DIST((YEAR(Q$4)-YEAR($H6))*12+MONTH(Q$4)-MONTH($H6),$J6/2,$L6,TRUE))/(1-2*_xlfn.NORM.DIST(0,$J6/2,$L6,TRUE))*$G6,0)</f>
        <v>15296.453551937133</v>
      </c>
      <c r="R6" s="14">
        <f t="shared" si="4"/>
        <v>23513.102062249949</v>
      </c>
      <c r="S6" s="14">
        <f t="shared" si="4"/>
        <v>34129.711659858258</v>
      </c>
      <c r="T6" s="14">
        <f t="shared" si="4"/>
        <v>46779.877223665448</v>
      </c>
      <c r="U6" s="14">
        <f t="shared" si="4"/>
        <v>60546.566553706223</v>
      </c>
      <c r="V6" s="14">
        <f t="shared" si="4"/>
        <v>73998.705904511255</v>
      </c>
      <c r="W6" s="14">
        <f t="shared" si="4"/>
        <v>85401.014354287341</v>
      </c>
      <c r="X6" s="14">
        <f t="shared" si="4"/>
        <v>93069.275260365757</v>
      </c>
      <c r="Y6" s="14">
        <f t="shared" si="4"/>
        <v>95775.426159670722</v>
      </c>
      <c r="Z6" s="14">
        <f t="shared" si="4"/>
        <v>93069.275260365815</v>
      </c>
      <c r="AA6" s="14">
        <f t="shared" si="4"/>
        <v>85401.014354287297</v>
      </c>
      <c r="AB6" s="14">
        <f t="shared" si="4"/>
        <v>73998.705904511226</v>
      </c>
      <c r="AC6" s="14">
        <f t="shared" si="4"/>
        <v>60546.566553706223</v>
      </c>
      <c r="AD6" s="14">
        <f t="shared" si="4"/>
        <v>46779.877223665513</v>
      </c>
      <c r="AE6" s="14">
        <f t="shared" si="4"/>
        <v>34129.711659858265</v>
      </c>
      <c r="AF6" s="14">
        <f t="shared" si="4"/>
        <v>23513.102062249942</v>
      </c>
      <c r="AG6" s="14">
        <f t="shared" si="4"/>
        <v>15296.453551937057</v>
      </c>
      <c r="AH6" s="14">
        <f t="shared" si="4"/>
        <v>9396.6877681614442</v>
      </c>
      <c r="AI6" s="14">
        <f t="shared" si="4"/>
        <v>5450.8186218771325</v>
      </c>
      <c r="AJ6" s="14">
        <f t="shared" si="4"/>
        <v>2985.7345133915878</v>
      </c>
      <c r="AK6" s="14">
        <f t="shared" si="4"/>
        <v>1544.3394461531182</v>
      </c>
    </row>
    <row r="7" spans="2:37" x14ac:dyDescent="0.2">
      <c r="B7" s="19">
        <v>8</v>
      </c>
      <c r="C7">
        <v>8</v>
      </c>
    </row>
    <row r="8" spans="2:37" x14ac:dyDescent="0.2">
      <c r="B8" s="19">
        <v>7</v>
      </c>
      <c r="C8">
        <v>7</v>
      </c>
    </row>
    <row r="9" spans="2:37" x14ac:dyDescent="0.2">
      <c r="B9" s="19">
        <v>6</v>
      </c>
      <c r="C9">
        <v>6</v>
      </c>
    </row>
    <row r="10" spans="2:37" x14ac:dyDescent="0.2">
      <c r="B10" s="19">
        <v>5</v>
      </c>
      <c r="C10">
        <v>5</v>
      </c>
    </row>
    <row r="11" spans="2:37" x14ac:dyDescent="0.2">
      <c r="B11" s="19">
        <v>4</v>
      </c>
      <c r="C11">
        <v>4</v>
      </c>
    </row>
    <row r="12" spans="2:37" x14ac:dyDescent="0.2">
      <c r="B12" s="19">
        <v>3</v>
      </c>
      <c r="C12">
        <v>3</v>
      </c>
    </row>
    <row r="13" spans="2:37" x14ac:dyDescent="0.2">
      <c r="B13" s="19">
        <v>2</v>
      </c>
      <c r="C13">
        <v>2</v>
      </c>
    </row>
    <row r="14" spans="2:37" x14ac:dyDescent="0.2">
      <c r="B14" s="21" t="s">
        <v>52</v>
      </c>
      <c r="C14">
        <v>1</v>
      </c>
    </row>
    <row r="17" spans="2:2" x14ac:dyDescent="0.2">
      <c r="B17" s="17" t="s">
        <v>595</v>
      </c>
    </row>
    <row r="18" spans="2:2" x14ac:dyDescent="0.2">
      <c r="B18" t="str">
        <f>+Underwriting!C271</f>
        <v>Vacancy</v>
      </c>
    </row>
    <row r="19" spans="2:2" x14ac:dyDescent="0.2">
      <c r="B19" t="str">
        <f>+Underwriting!G271</f>
        <v>Exit Cap Rate</v>
      </c>
    </row>
    <row r="20" spans="2:2" x14ac:dyDescent="0.2">
      <c r="B20" t="str">
        <f>+Underwriting!C280</f>
        <v>Inc. Growth</v>
      </c>
    </row>
    <row r="21" spans="2:2" x14ac:dyDescent="0.2">
      <c r="B21" t="str">
        <f>+Underwriting!G280</f>
        <v>Exp. Growth</v>
      </c>
    </row>
  </sheetData>
  <dataValidations count="2">
    <dataValidation type="list" allowBlank="1" showInputMessage="1" showErrorMessage="1" sqref="F4" xr:uid="{00000000-0002-0000-0600-000000000000}">
      <formula1>$B$5:$B$14</formula1>
    </dataValidation>
    <dataValidation type="whole" allowBlank="1" showInputMessage="1" showErrorMessage="1" sqref="E4" xr:uid="{00000000-0002-0000-0600-000001000000}">
      <formula1>1</formula1>
      <formula2>10</formula2>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107</vt:i4>
      </vt:variant>
    </vt:vector>
  </HeadingPairs>
  <TitlesOfParts>
    <vt:vector size="114" baseType="lpstr">
      <vt:lpstr>Version</vt:lpstr>
      <vt:lpstr>Summary</vt:lpstr>
      <vt:lpstr>Annual Cash Flow</vt:lpstr>
      <vt:lpstr>Underwriting</vt:lpstr>
      <vt:lpstr>Retail Income</vt:lpstr>
      <vt:lpstr>Detail Expenses</vt:lpstr>
      <vt:lpstr>Data</vt:lpstr>
      <vt:lpstr>Calc_Dev_Fee?</vt:lpstr>
      <vt:lpstr>Calc_Loan?</vt:lpstr>
      <vt:lpstr>CapEx_1</vt:lpstr>
      <vt:lpstr>CapEx_2</vt:lpstr>
      <vt:lpstr>CF_Report?</vt:lpstr>
      <vt:lpstr>ConstDebt_Payoff</vt:lpstr>
      <vt:lpstr>CU?</vt:lpstr>
      <vt:lpstr>Dbl_Promote?</vt:lpstr>
      <vt:lpstr>Debt_LTC_Actual</vt:lpstr>
      <vt:lpstr>Debt_LTC_Target</vt:lpstr>
      <vt:lpstr>Debt_Total</vt:lpstr>
      <vt:lpstr>Dev_Fee_Actual</vt:lpstr>
      <vt:lpstr>Dev_Fee_Target</vt:lpstr>
      <vt:lpstr>Dev_Fee_Total</vt:lpstr>
      <vt:lpstr>Equity_Total</vt:lpstr>
      <vt:lpstr>Fixed_Variable</vt:lpstr>
      <vt:lpstr>Interest_Const_Loan</vt:lpstr>
      <vt:lpstr>Interest_Mezz_Loan</vt:lpstr>
      <vt:lpstr>Investment_Name</vt:lpstr>
      <vt:lpstr>Items_Hard_Costs</vt:lpstr>
      <vt:lpstr>Items_Land_Costs</vt:lpstr>
      <vt:lpstr>Items_Other_Income</vt:lpstr>
      <vt:lpstr>Items_Retail_Tenants</vt:lpstr>
      <vt:lpstr>Items_Soft_Costs</vt:lpstr>
      <vt:lpstr>Items_Unit_Types</vt:lpstr>
      <vt:lpstr>LeaseUp_Formula</vt:lpstr>
      <vt:lpstr>LeaseUp_Method</vt:lpstr>
      <vt:lpstr>Nav_Controllable_Expenses</vt:lpstr>
      <vt:lpstr>Nav_Development_CF</vt:lpstr>
      <vt:lpstr>Nav_Fixed_Expenses</vt:lpstr>
      <vt:lpstr>Nav_Investment_Description</vt:lpstr>
      <vt:lpstr>Nav_Operating_CF</vt:lpstr>
      <vt:lpstr>Nav_Operating_Expenses_Summary</vt:lpstr>
      <vt:lpstr>Nav_Residual_CF</vt:lpstr>
      <vt:lpstr>Nav_Retail_Expenses</vt:lpstr>
      <vt:lpstr>Nav_Retail_Income</vt:lpstr>
      <vt:lpstr>Nav_Retail_Reserves</vt:lpstr>
      <vt:lpstr>Nav_Sensitivity</vt:lpstr>
      <vt:lpstr>Nav_Waterfall_CF</vt:lpstr>
      <vt:lpstr>OpEx_1</vt:lpstr>
      <vt:lpstr>OpEx_1_Det</vt:lpstr>
      <vt:lpstr>OpEx_2</vt:lpstr>
      <vt:lpstr>OpEx_2_Det</vt:lpstr>
      <vt:lpstr>OpEx_3</vt:lpstr>
      <vt:lpstr>OpEx_3_Det</vt:lpstr>
      <vt:lpstr>OpEx_4</vt:lpstr>
      <vt:lpstr>OpEx_4_Det</vt:lpstr>
      <vt:lpstr>OpEx_5</vt:lpstr>
      <vt:lpstr>OpEx_5_Det</vt:lpstr>
      <vt:lpstr>OpEx_6</vt:lpstr>
      <vt:lpstr>OpEx_6_Det</vt:lpstr>
      <vt:lpstr>OpEx_7</vt:lpstr>
      <vt:lpstr>OpEx_7_Det</vt:lpstr>
      <vt:lpstr>OpEx_Ins</vt:lpstr>
      <vt:lpstr>OpEx_Ins_Det</vt:lpstr>
      <vt:lpstr>OpEx_MgtFee</vt:lpstr>
      <vt:lpstr>OpEx_MgtFee_Det</vt:lpstr>
      <vt:lpstr>OpEx_Tax</vt:lpstr>
      <vt:lpstr>OpEx_Tax_Det</vt:lpstr>
      <vt:lpstr>OpEx_Underwriting_Type</vt:lpstr>
      <vt:lpstr>Parking_Structured</vt:lpstr>
      <vt:lpstr>Parking_Total</vt:lpstr>
      <vt:lpstr>Perm_Debt?</vt:lpstr>
      <vt:lpstr>PermDebt_Fund</vt:lpstr>
      <vt:lpstr>PermDebt_Payoff</vt:lpstr>
      <vt:lpstr>'Annual Cash Flow'!Print_Area</vt:lpstr>
      <vt:lpstr>Summary!Print_Area</vt:lpstr>
      <vt:lpstr>Project_Cost_Total</vt:lpstr>
      <vt:lpstr>Range_LeaseUp</vt:lpstr>
      <vt:lpstr>Range_PermDebt</vt:lpstr>
      <vt:lpstr>Range_PermDS</vt:lpstr>
      <vt:lpstr>Recalc?</vt:lpstr>
      <vt:lpstr>Rel_2nd_Promote</vt:lpstr>
      <vt:lpstr>Rel_Calc</vt:lpstr>
      <vt:lpstr>Rel_End</vt:lpstr>
      <vt:lpstr>Rel_Hard_Costs</vt:lpstr>
      <vt:lpstr>Rel_Land_Costs</vt:lpstr>
      <vt:lpstr>Rel_Other_Income</vt:lpstr>
      <vt:lpstr>Rel_PermDebtPayoff</vt:lpstr>
      <vt:lpstr>Rel_PermDS</vt:lpstr>
      <vt:lpstr>Rel_PermFunding</vt:lpstr>
      <vt:lpstr>Rel_Retail_Base</vt:lpstr>
      <vt:lpstr>Rel_Retail_Income_ProForma</vt:lpstr>
      <vt:lpstr>Rel_Retail_Recovery_Income</vt:lpstr>
      <vt:lpstr>Rel_Retail_Reserves</vt:lpstr>
      <vt:lpstr>Rel_Retail_Reserves_ProForma</vt:lpstr>
      <vt:lpstr>Rel_Reversion_Other_Income</vt:lpstr>
      <vt:lpstr>Rel_Sensitivity</vt:lpstr>
      <vt:lpstr>Rel_Soft_Costs</vt:lpstr>
      <vt:lpstr>Rel_Unit_Types</vt:lpstr>
      <vt:lpstr>Retail_Income_Include?</vt:lpstr>
      <vt:lpstr>Scurve_Dist</vt:lpstr>
      <vt:lpstr>Show_Calc?</vt:lpstr>
      <vt:lpstr>Stabilization_1st_Month</vt:lpstr>
      <vt:lpstr>Timing_Analysis_End_Month</vt:lpstr>
      <vt:lpstr>Timing_Construction_End</vt:lpstr>
      <vt:lpstr>Timing_Growth_Begin_Expenses</vt:lpstr>
      <vt:lpstr>Timing_Growth_Begin_Income</vt:lpstr>
      <vt:lpstr>Timing_Operation_Begin_Month</vt:lpstr>
      <vt:lpstr>Timing_Reversion_Month</vt:lpstr>
      <vt:lpstr>Unit_Type</vt:lpstr>
      <vt:lpstr>Units</vt:lpstr>
      <vt:lpstr>Units_Retail</vt:lpstr>
      <vt:lpstr>Units_SF_M2</vt:lpstr>
      <vt:lpstr>Valuation_Reversion</vt:lpstr>
      <vt:lpstr>Valuation_Trended</vt:lpstr>
      <vt:lpstr>Valuation_Untrended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BURTON, SPENCER</dc:creator>
  <cp:lastModifiedBy>Spencer Burton</cp:lastModifiedBy>
  <cp:lastPrinted>2018-04-10T02:53:09Z</cp:lastPrinted>
  <dcterms:created xsi:type="dcterms:W3CDTF">2018-03-08T15:33:59Z</dcterms:created>
  <dcterms:modified xsi:type="dcterms:W3CDTF">2021-06-01T23:52:30Z</dcterms:modified>
</cp:coreProperties>
</file>