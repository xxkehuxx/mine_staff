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90" windowWidth="19320" windowHeight="12090" activeTab="9"/>
  </bookViews>
  <sheets>
    <sheet name="Pr 19-1" sheetId="8" r:id="rId1"/>
    <sheet name="Pr 19-2" sheetId="9" r:id="rId2"/>
    <sheet name="Pr 19-3" sheetId="1" r:id="rId3"/>
    <sheet name="Pr 19-4" sheetId="10" r:id="rId4"/>
    <sheet name="Pr 19-5" sheetId="11" r:id="rId5"/>
    <sheet name="Pr 19-6" sheetId="2" r:id="rId6"/>
    <sheet name="Pr 19-7" sheetId="5" r:id="rId7"/>
    <sheet name="Pr 19-8" sheetId="3" r:id="rId8"/>
    <sheet name="Pr 19-9" sheetId="7" r:id="rId9"/>
    <sheet name="Pr 19-10" sheetId="6" r:id="rId10"/>
  </sheets>
  <functionGroups builtInGroupCount="17"/>
  <calcPr calcId="145621"/>
</workbook>
</file>

<file path=xl/calcChain.xml><?xml version="1.0" encoding="utf-8"?>
<calcChain xmlns="http://schemas.openxmlformats.org/spreadsheetml/2006/main">
  <c r="F20" i="7" l="1"/>
  <c r="E20" i="7"/>
  <c r="D20" i="7"/>
  <c r="C20" i="7"/>
  <c r="B20" i="7"/>
  <c r="F16" i="7"/>
  <c r="E16" i="7"/>
  <c r="D16" i="7"/>
  <c r="C16" i="7"/>
  <c r="B16" i="7"/>
  <c r="I9" i="7"/>
  <c r="I8" i="7"/>
  <c r="I7" i="7"/>
  <c r="I6" i="7"/>
  <c r="I5" i="7"/>
  <c r="N4" i="7"/>
  <c r="M4" i="7"/>
  <c r="L4" i="7"/>
  <c r="K4" i="7"/>
  <c r="J4" i="7"/>
  <c r="B7" i="5"/>
  <c r="K8" i="7"/>
  <c r="K6" i="7"/>
  <c r="F21" i="7"/>
  <c r="N8" i="7"/>
  <c r="N6" i="7"/>
  <c r="J6" i="7"/>
  <c r="L6" i="7"/>
  <c r="M5" i="7"/>
  <c r="L5" i="7"/>
  <c r="L8" i="7"/>
  <c r="K5" i="7"/>
  <c r="M9" i="7"/>
  <c r="M7" i="7"/>
  <c r="J8" i="7"/>
  <c r="E21" i="7"/>
  <c r="K9" i="7"/>
  <c r="K7" i="7"/>
  <c r="J9" i="7"/>
  <c r="N9" i="7"/>
  <c r="N7" i="7"/>
  <c r="N5" i="7"/>
  <c r="D21" i="7"/>
  <c r="J7" i="7"/>
  <c r="C21" i="7"/>
  <c r="L9" i="7"/>
  <c r="L7" i="7"/>
  <c r="J5" i="7"/>
  <c r="M8" i="7"/>
  <c r="M6" i="7"/>
  <c r="B21" i="7"/>
  <c r="B25" i="7"/>
  <c r="J12" i="7"/>
</calcChain>
</file>

<file path=xl/sharedStrings.xml><?xml version="1.0" encoding="utf-8"?>
<sst xmlns="http://schemas.openxmlformats.org/spreadsheetml/2006/main" count="57" uniqueCount="57">
  <si>
    <t>Problem 19-3</t>
  </si>
  <si>
    <t>Please see problem 17_3 for a solution to this problem</t>
  </si>
  <si>
    <t>Problem 19-8. Annulty Loan</t>
  </si>
  <si>
    <t>Loan</t>
  </si>
  <si>
    <t>No of years</t>
  </si>
  <si>
    <t>Periods per year</t>
  </si>
  <si>
    <t>Interest (% per year)</t>
  </si>
  <si>
    <t>Year</t>
  </si>
  <si>
    <t>Period</t>
  </si>
  <si>
    <t>Interest</t>
  </si>
  <si>
    <t>Balance</t>
  </si>
  <si>
    <t>Payment</t>
  </si>
  <si>
    <t>Problem 19-7. Calculate bond duration</t>
  </si>
  <si>
    <t>Price</t>
  </si>
  <si>
    <t>Linda Bush</t>
  </si>
  <si>
    <t>Peter Don Raymond Richardsson</t>
  </si>
  <si>
    <t>Janet Louise Anderson</t>
  </si>
  <si>
    <t>Thelma Davies</t>
  </si>
  <si>
    <t>John Wesley Lennox</t>
  </si>
  <si>
    <t>Timothy Darlington</t>
  </si>
  <si>
    <t>Mary Poppins</t>
  </si>
  <si>
    <t>Elizabeth Cherie Merle</t>
  </si>
  <si>
    <t>Copy the names below to cells A1:A10 before running the macro</t>
  </si>
  <si>
    <t xml:space="preserve">Lennox, John  W. </t>
  </si>
  <si>
    <t xml:space="preserve">Bush, Linda </t>
  </si>
  <si>
    <t xml:space="preserve">Richardsson, Peter  D. R. </t>
  </si>
  <si>
    <t xml:space="preserve">Anderson, Janet  L. </t>
  </si>
  <si>
    <t xml:space="preserve">Davies, Thelma </t>
  </si>
  <si>
    <t xml:space="preserve">Darlington, Timothy </t>
  </si>
  <si>
    <t xml:space="preserve">Poppins, Mary </t>
  </si>
  <si>
    <t xml:space="preserve">Merle, Elizabeth  C. </t>
  </si>
  <si>
    <t>Edgar Darren-Coates</t>
  </si>
  <si>
    <t xml:space="preserve">Darren-Coates, Edgar </t>
  </si>
  <si>
    <t>Steven Barracuda</t>
  </si>
  <si>
    <t xml:space="preserve">Barracuda, Steven </t>
  </si>
  <si>
    <t>Axe</t>
  </si>
  <si>
    <t>Bud</t>
  </si>
  <si>
    <t>Cen</t>
  </si>
  <si>
    <t>Dip</t>
  </si>
  <si>
    <t>Ebb</t>
  </si>
  <si>
    <t>Expected return</t>
  </si>
  <si>
    <t>Standard deviation</t>
  </si>
  <si>
    <t>Stock</t>
  </si>
  <si>
    <t>Problem 19-9</t>
  </si>
  <si>
    <t>Return for stocks</t>
  </si>
  <si>
    <t>Year/Stock</t>
  </si>
  <si>
    <r>
      <t xml:space="preserve">Matrix with values </t>
    </r>
    <r>
      <rPr>
        <b/>
        <i/>
        <sz val="10"/>
        <rFont val="Arial"/>
        <family val="2"/>
      </rPr>
      <t>x</t>
    </r>
    <r>
      <rPr>
        <b/>
        <i/>
        <vertAlign val="subscript"/>
        <sz val="10"/>
        <rFont val="Arial"/>
        <family val="2"/>
      </rPr>
      <t>i</t>
    </r>
    <r>
      <rPr>
        <b/>
        <sz val="10"/>
        <rFont val="Arial"/>
        <family val="2"/>
      </rPr>
      <t xml:space="preserve"> </t>
    </r>
    <r>
      <rPr>
        <b/>
        <i/>
        <sz val="10"/>
        <rFont val="Arial"/>
        <family val="2"/>
      </rPr>
      <t>x</t>
    </r>
    <r>
      <rPr>
        <b/>
        <i/>
        <vertAlign val="subscript"/>
        <sz val="10"/>
        <rFont val="Arial"/>
        <family val="2"/>
      </rPr>
      <t>j</t>
    </r>
    <r>
      <rPr>
        <b/>
        <sz val="10"/>
        <rFont val="Arial"/>
        <family val="2"/>
      </rPr>
      <t xml:space="preserve"> </t>
    </r>
    <r>
      <rPr>
        <b/>
        <sz val="10"/>
        <rFont val="Symbol"/>
        <family val="1"/>
        <charset val="2"/>
      </rPr>
      <t>s</t>
    </r>
    <r>
      <rPr>
        <b/>
        <i/>
        <vertAlign val="subscript"/>
        <sz val="10"/>
        <rFont val="Arial"/>
        <family val="2"/>
      </rPr>
      <t>ij</t>
    </r>
  </si>
  <si>
    <t>Portfolio of stocks</t>
  </si>
  <si>
    <t>Duration</t>
  </si>
  <si>
    <t>Coupon rate</t>
  </si>
  <si>
    <t>Years to maturity</t>
  </si>
  <si>
    <t>Face value</t>
  </si>
  <si>
    <t>Type in a sentence in cell A3 ned click the button</t>
  </si>
  <si>
    <t>never odd or even</t>
  </si>
  <si>
    <t>Type in a year in cell A1 and click the button. Tha date of Easter Sunday is written in cell A2</t>
  </si>
  <si>
    <t>Type in a year in cell A1 and click the button. The result is written in cell A2</t>
  </si>
  <si>
    <t>Type in a year in cell A1 and a month in cell B1. Then click the button. The result is written in cell A2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</si>
</sst>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00"/>
    <numFmt numFmtId="165" formatCode="0.0000\ %"/>
    <numFmt numFmtId="166" formatCode="0.000000"/>
    <numFmt numFmtId="167" formatCode="0.0\ %"/>
    <numFmt numFmtId="168" formatCode="0.000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u/>
      <sz val="11.5"/>
      <color theme="10"/>
      <name val="Arial"/>
      <family val="2"/>
    </font>
    <font>
      <b/>
      <i/>
      <sz val="10"/>
      <name val="Arial"/>
      <family val="2"/>
    </font>
    <font>
      <b/>
      <i/>
      <vertAlign val="subscript"/>
      <sz val="10"/>
      <name val="Arial"/>
      <family val="2"/>
    </font>
    <font>
      <b/>
      <sz val="10"/>
      <name val="Symbol"/>
      <family val="1"/>
      <charset val="2"/>
    </font>
    <font>
      <sz val="9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59996337778862885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9" fontId="3" fillId="0" borderId="0" applyFont="0" applyFill="0" applyBorder="0" applyAlignment="0" applyProtection="0"/>
    <xf numFmtId="0" fontId="4" fillId="0" borderId="0"/>
    <xf numFmtId="0" fontId="6" fillId="0" borderId="0" applyNumberFormat="0" applyFill="0" applyBorder="0" applyAlignment="0" applyProtection="0">
      <alignment vertical="top"/>
      <protection locked="0"/>
    </xf>
    <xf numFmtId="9" fontId="4" fillId="0" borderId="0" applyFont="0" applyFill="0" applyBorder="0" applyAlignment="0" applyProtection="0"/>
  </cellStyleXfs>
  <cellXfs count="68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>
      <alignment horizontal="right"/>
    </xf>
    <xf numFmtId="0" fontId="0" fillId="0" borderId="0" xfId="0" applyAlignment="1">
      <alignment horizontal="centerContinuous"/>
    </xf>
    <xf numFmtId="10" fontId="0" fillId="0" borderId="0" xfId="0" applyNumberFormat="1"/>
    <xf numFmtId="2" fontId="0" fillId="0" borderId="0" xfId="0" applyNumberFormat="1"/>
    <xf numFmtId="0" fontId="5" fillId="0" borderId="0" xfId="2" applyFont="1"/>
    <xf numFmtId="0" fontId="4" fillId="0" borderId="0" xfId="2"/>
    <xf numFmtId="0" fontId="6" fillId="0" borderId="0" xfId="3" applyAlignment="1" applyProtection="1"/>
    <xf numFmtId="165" fontId="4" fillId="0" borderId="0" xfId="4" applyNumberFormat="1"/>
    <xf numFmtId="0" fontId="4" fillId="0" borderId="1" xfId="2" applyBorder="1"/>
    <xf numFmtId="0" fontId="4" fillId="0" borderId="0" xfId="2" applyAlignment="1">
      <alignment horizontal="center"/>
    </xf>
    <xf numFmtId="0" fontId="5" fillId="0" borderId="0" xfId="2" applyFont="1" applyAlignment="1">
      <alignment horizontal="center"/>
    </xf>
    <xf numFmtId="1" fontId="4" fillId="0" borderId="0" xfId="4" applyNumberFormat="1" applyFont="1"/>
    <xf numFmtId="2" fontId="4" fillId="0" borderId="0" xfId="2" applyNumberFormat="1"/>
    <xf numFmtId="0" fontId="4" fillId="0" borderId="0" xfId="2" applyBorder="1"/>
    <xf numFmtId="1" fontId="4" fillId="0" borderId="0" xfId="4" applyNumberFormat="1" applyFont="1" applyBorder="1"/>
    <xf numFmtId="2" fontId="5" fillId="0" borderId="0" xfId="2" applyNumberFormat="1" applyFont="1" applyBorder="1" applyAlignment="1"/>
    <xf numFmtId="2" fontId="4" fillId="0" borderId="0" xfId="2" applyNumberFormat="1" applyBorder="1" applyAlignment="1"/>
    <xf numFmtId="2" fontId="4" fillId="0" borderId="0" xfId="2" applyNumberFormat="1" applyBorder="1"/>
    <xf numFmtId="0" fontId="4" fillId="0" borderId="0" xfId="2" applyBorder="1" applyAlignment="1">
      <alignment horizontal="center"/>
    </xf>
    <xf numFmtId="164" fontId="4" fillId="0" borderId="0" xfId="2" applyNumberFormat="1" applyBorder="1" applyAlignment="1">
      <alignment horizontal="center"/>
    </xf>
    <xf numFmtId="1" fontId="4" fillId="0" borderId="0" xfId="2" applyNumberFormat="1" applyBorder="1"/>
    <xf numFmtId="164" fontId="4" fillId="0" borderId="0" xfId="2" applyNumberFormat="1" applyBorder="1"/>
    <xf numFmtId="0" fontId="5" fillId="0" borderId="0" xfId="2" applyFont="1" applyBorder="1" applyAlignment="1"/>
    <xf numFmtId="0" fontId="5" fillId="0" borderId="0" xfId="2" applyFont="1" applyBorder="1"/>
    <xf numFmtId="10" fontId="5" fillId="0" borderId="0" xfId="4" applyNumberFormat="1" applyFont="1" applyBorder="1" applyAlignment="1">
      <alignment horizontal="center"/>
    </xf>
    <xf numFmtId="1" fontId="4" fillId="0" borderId="0" xfId="4" applyNumberFormat="1" applyFont="1" applyAlignment="1">
      <alignment horizontal="center"/>
    </xf>
    <xf numFmtId="0" fontId="10" fillId="0" borderId="0" xfId="2" applyFont="1" applyBorder="1" applyAlignment="1">
      <alignment horizontal="center"/>
    </xf>
    <xf numFmtId="1" fontId="4" fillId="0" borderId="0" xfId="4" applyNumberFormat="1"/>
    <xf numFmtId="1" fontId="4" fillId="0" borderId="0" xfId="2" applyNumberFormat="1"/>
    <xf numFmtId="1" fontId="4" fillId="0" borderId="0" xfId="4" applyNumberFormat="1" applyFont="1" applyBorder="1" applyAlignment="1">
      <alignment horizontal="left"/>
    </xf>
    <xf numFmtId="2" fontId="10" fillId="0" borderId="0" xfId="2" applyNumberFormat="1" applyFont="1" applyBorder="1" applyAlignment="1">
      <alignment horizontal="center"/>
    </xf>
    <xf numFmtId="168" fontId="10" fillId="0" borderId="0" xfId="2" applyNumberFormat="1" applyFont="1" applyBorder="1" applyAlignment="1">
      <alignment horizontal="center"/>
    </xf>
    <xf numFmtId="168" fontId="10" fillId="0" borderId="0" xfId="2" applyNumberFormat="1" applyFont="1" applyBorder="1"/>
    <xf numFmtId="164" fontId="4" fillId="0" borderId="0" xfId="2" applyNumberFormat="1"/>
    <xf numFmtId="0" fontId="7" fillId="0" borderId="0" xfId="2" applyFont="1"/>
    <xf numFmtId="10" fontId="4" fillId="0" borderId="1" xfId="2" applyNumberFormat="1" applyBorder="1"/>
    <xf numFmtId="0" fontId="7" fillId="0" borderId="0" xfId="2" applyFont="1" applyBorder="1" applyAlignment="1">
      <alignment horizontal="center"/>
    </xf>
    <xf numFmtId="0" fontId="4" fillId="0" borderId="0" xfId="2" applyBorder="1" applyAlignment="1"/>
    <xf numFmtId="168" fontId="5" fillId="0" borderId="0" xfId="2" applyNumberFormat="1" applyFont="1" applyBorder="1" applyAlignment="1">
      <alignment horizontal="center"/>
    </xf>
    <xf numFmtId="10" fontId="4" fillId="0" borderId="0" xfId="2" applyNumberFormat="1" applyBorder="1"/>
    <xf numFmtId="0" fontId="5" fillId="0" borderId="0" xfId="2" applyFont="1" applyAlignment="1"/>
    <xf numFmtId="0" fontId="4" fillId="0" borderId="0" xfId="2" applyFill="1" applyBorder="1"/>
    <xf numFmtId="1" fontId="4" fillId="0" borderId="0" xfId="2" applyNumberFormat="1" applyBorder="1" applyAlignment="1"/>
    <xf numFmtId="167" fontId="4" fillId="0" borderId="0" xfId="2" applyNumberFormat="1" applyBorder="1"/>
    <xf numFmtId="1" fontId="10" fillId="0" borderId="0" xfId="2" applyNumberFormat="1" applyFont="1" applyBorder="1"/>
    <xf numFmtId="166" fontId="10" fillId="0" borderId="0" xfId="2" applyNumberFormat="1" applyFont="1" applyBorder="1"/>
    <xf numFmtId="0" fontId="5" fillId="0" borderId="1" xfId="2" applyFont="1" applyBorder="1" applyAlignment="1">
      <alignment horizontal="center"/>
    </xf>
    <xf numFmtId="167" fontId="4" fillId="0" borderId="1" xfId="4" applyNumberFormat="1" applyFont="1" applyBorder="1"/>
    <xf numFmtId="0" fontId="1" fillId="0" borderId="1" xfId="0" applyFont="1" applyBorder="1"/>
    <xf numFmtId="166" fontId="10" fillId="0" borderId="1" xfId="2" applyNumberFormat="1" applyFont="1" applyBorder="1"/>
    <xf numFmtId="0" fontId="4" fillId="0" borderId="1" xfId="2" applyBorder="1" applyAlignment="1">
      <alignment horizontal="center"/>
    </xf>
    <xf numFmtId="1" fontId="4" fillId="0" borderId="1" xfId="4" applyNumberFormat="1" applyFont="1" applyBorder="1"/>
    <xf numFmtId="2" fontId="4" fillId="0" borderId="1" xfId="2" applyNumberFormat="1" applyFont="1" applyBorder="1"/>
    <xf numFmtId="14" fontId="0" fillId="0" borderId="0" xfId="0" applyNumberFormat="1"/>
    <xf numFmtId="9" fontId="0" fillId="0" borderId="0" xfId="0" applyNumberFormat="1"/>
    <xf numFmtId="0" fontId="0" fillId="2" borderId="4" xfId="0" applyFill="1" applyBorder="1"/>
    <xf numFmtId="9" fontId="0" fillId="2" borderId="5" xfId="0" applyNumberFormat="1" applyFill="1" applyBorder="1"/>
    <xf numFmtId="0" fontId="0" fillId="2" borderId="6" xfId="0" applyFill="1" applyBorder="1"/>
    <xf numFmtId="0" fontId="0" fillId="2" borderId="7" xfId="0" applyFill="1" applyBorder="1"/>
    <xf numFmtId="0" fontId="0" fillId="3" borderId="8" xfId="0" applyFill="1" applyBorder="1"/>
    <xf numFmtId="2" fontId="0" fillId="3" borderId="9" xfId="0" applyNumberFormat="1" applyFill="1" applyBorder="1"/>
    <xf numFmtId="10" fontId="4" fillId="0" borderId="2" xfId="1" applyNumberFormat="1" applyFont="1" applyBorder="1" applyAlignment="1">
      <alignment horizontal="center"/>
    </xf>
    <xf numFmtId="10" fontId="4" fillId="0" borderId="3" xfId="1" applyNumberFormat="1" applyFont="1" applyBorder="1" applyAlignment="1">
      <alignment horizontal="center"/>
    </xf>
    <xf numFmtId="10" fontId="5" fillId="0" borderId="2" xfId="2" applyNumberFormat="1" applyFont="1" applyBorder="1" applyAlignment="1">
      <alignment horizontal="center"/>
    </xf>
    <xf numFmtId="10" fontId="5" fillId="0" borderId="3" xfId="2" applyNumberFormat="1" applyFont="1" applyBorder="1" applyAlignment="1">
      <alignment horizontal="center"/>
    </xf>
  </cellXfs>
  <cellStyles count="5">
    <cellStyle name="Hyperkobling 2" xfId="3"/>
    <cellStyle name="Normal" xfId="0" builtinId="0"/>
    <cellStyle name="Normal 2" xfId="2"/>
    <cellStyle name="Prosent" xfId="1" builtinId="5"/>
    <cellStyle name="Prosent 2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742950</xdr:colOff>
          <xdr:row>0</xdr:row>
          <xdr:rowOff>47625</xdr:rowOff>
        </xdr:from>
        <xdr:to>
          <xdr:col>6</xdr:col>
          <xdr:colOff>285750</xdr:colOff>
          <xdr:row>1</xdr:row>
          <xdr:rowOff>123825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</a:rPr>
                <a:t>Run macro</a:t>
              </a:r>
            </a:p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</a:rPr>
                <a:t>Run macro</a:t>
              </a:r>
              <a:endParaRPr lang="nb-NO"/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</xdr:row>
          <xdr:rowOff>9525</xdr:rowOff>
        </xdr:from>
        <xdr:to>
          <xdr:col>5</xdr:col>
          <xdr:colOff>504825</xdr:colOff>
          <xdr:row>5</xdr:row>
          <xdr:rowOff>123825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</a:rPr>
                <a:t>Run macro</a:t>
              </a:r>
              <a:endParaRPr lang="nb-NO"/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9525</xdr:rowOff>
        </xdr:from>
        <xdr:to>
          <xdr:col>5</xdr:col>
          <xdr:colOff>504825</xdr:colOff>
          <xdr:row>2</xdr:row>
          <xdr:rowOff>123825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</a:rPr>
                <a:t>Run macro</a:t>
              </a:r>
              <a:endParaRPr lang="nb-NO"/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9525</xdr:rowOff>
        </xdr:from>
        <xdr:to>
          <xdr:col>5</xdr:col>
          <xdr:colOff>504825</xdr:colOff>
          <xdr:row>2</xdr:row>
          <xdr:rowOff>123825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</a:rPr>
                <a:t>Run macro</a:t>
              </a:r>
              <a:endParaRPr lang="nb-NO"/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752475</xdr:colOff>
          <xdr:row>1</xdr:row>
          <xdr:rowOff>19050</xdr:rowOff>
        </xdr:from>
        <xdr:to>
          <xdr:col>2</xdr:col>
          <xdr:colOff>447675</xdr:colOff>
          <xdr:row>2</xdr:row>
          <xdr:rowOff>85725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</a:rPr>
                <a:t>Show calendar</a:t>
              </a:r>
              <a:endParaRPr lang="nb-NO"/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</xdr:row>
          <xdr:rowOff>180975</xdr:rowOff>
        </xdr:from>
        <xdr:to>
          <xdr:col>4</xdr:col>
          <xdr:colOff>495300</xdr:colOff>
          <xdr:row>3</xdr:row>
          <xdr:rowOff>66675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</a:rPr>
                <a:t>Calculate</a:t>
              </a:r>
              <a:endParaRPr lang="nb-NO"/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0</xdr:rowOff>
        </xdr:from>
        <xdr:to>
          <xdr:col>6</xdr:col>
          <xdr:colOff>342900</xdr:colOff>
          <xdr:row>3</xdr:row>
          <xdr:rowOff>57150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</a:rPr>
                <a:t>Run macro</a:t>
              </a:r>
              <a:endParaRPr lang="nb-NO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7"/>
  <dimension ref="A1:A3"/>
  <sheetViews>
    <sheetView workbookViewId="0">
      <selection activeCell="A4" sqref="A4"/>
    </sheetView>
  </sheetViews>
  <sheetFormatPr baseColWidth="10" defaultRowHeight="15" x14ac:dyDescent="0.25"/>
  <sheetData>
    <row r="1" spans="1:1" x14ac:dyDescent="0.25">
      <c r="A1" t="s">
        <v>52</v>
      </c>
    </row>
    <row r="3" spans="1:1" x14ac:dyDescent="0.25">
      <c r="A3" t="s">
        <v>53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Module1.Problem_19_1">
                <anchor moveWithCells="1" sizeWithCells="1">
                  <from>
                    <xdr:col>4</xdr:col>
                    <xdr:colOff>742950</xdr:colOff>
                    <xdr:row>0</xdr:row>
                    <xdr:rowOff>47625</xdr:rowOff>
                  </from>
                  <to>
                    <xdr:col>6</xdr:col>
                    <xdr:colOff>285750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8"/>
  <dimension ref="A1:A9"/>
  <sheetViews>
    <sheetView workbookViewId="0">
      <selection activeCell="A2" sqref="A2"/>
    </sheetView>
  </sheetViews>
  <sheetFormatPr baseColWidth="10" defaultRowHeight="15" x14ac:dyDescent="0.25"/>
  <sheetData>
    <row r="1" spans="1:1" x14ac:dyDescent="0.25">
      <c r="A1">
        <v>2013</v>
      </c>
    </row>
    <row r="2" spans="1:1" x14ac:dyDescent="0.25">
      <c r="A2" s="56"/>
    </row>
    <row r="9" spans="1:1" x14ac:dyDescent="0.25">
      <c r="A9" t="s">
        <v>54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Problem_19_2">
                <anchor moveWithCells="1" sizeWithCells="1">
                  <from>
                    <xdr:col>4</xdr:col>
                    <xdr:colOff>0</xdr:colOff>
                    <xdr:row>4</xdr:row>
                    <xdr:rowOff>9525</xdr:rowOff>
                  </from>
                  <to>
                    <xdr:col>5</xdr:col>
                    <xdr:colOff>504825</xdr:colOff>
                    <xdr:row>5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A1:A3"/>
  <sheetViews>
    <sheetView workbookViewId="0">
      <selection activeCell="A5" sqref="A5"/>
    </sheetView>
  </sheetViews>
  <sheetFormatPr baseColWidth="10" defaultRowHeight="15" x14ac:dyDescent="0.25"/>
  <sheetData>
    <row r="1" spans="1:1" x14ac:dyDescent="0.25">
      <c r="A1" s="1" t="s">
        <v>0</v>
      </c>
    </row>
    <row r="3" spans="1:1" x14ac:dyDescent="0.25">
      <c r="A3" t="s">
        <v>1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9"/>
  <dimension ref="A1:A6"/>
  <sheetViews>
    <sheetView workbookViewId="0">
      <selection activeCell="A2" sqref="A2"/>
    </sheetView>
  </sheetViews>
  <sheetFormatPr baseColWidth="10" defaultRowHeight="15" x14ac:dyDescent="0.25"/>
  <sheetData>
    <row r="1" spans="1:1" x14ac:dyDescent="0.25">
      <c r="A1">
        <v>1984</v>
      </c>
    </row>
    <row r="6" spans="1:1" x14ac:dyDescent="0.25">
      <c r="A6" t="s">
        <v>55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Problem_19_4">
                <anchor moveWithCells="1" sizeWithCells="1">
                  <from>
                    <xdr:col>4</xdr:col>
                    <xdr:colOff>0</xdr:colOff>
                    <xdr:row>1</xdr:row>
                    <xdr:rowOff>9525</xdr:rowOff>
                  </from>
                  <to>
                    <xdr:col>5</xdr:col>
                    <xdr:colOff>504825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10"/>
  <dimension ref="A1:B6"/>
  <sheetViews>
    <sheetView workbookViewId="0">
      <selection activeCell="A2" sqref="A2"/>
    </sheetView>
  </sheetViews>
  <sheetFormatPr baseColWidth="10" defaultRowHeight="15" x14ac:dyDescent="0.25"/>
  <sheetData>
    <row r="1" spans="1:2" x14ac:dyDescent="0.25">
      <c r="A1">
        <v>1984</v>
      </c>
      <c r="B1">
        <v>6</v>
      </c>
    </row>
    <row r="6" spans="1:2" x14ac:dyDescent="0.25">
      <c r="A6" t="s">
        <v>56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Problem_19_5">
                <anchor moveWithCells="1" sizeWithCells="1">
                  <from>
                    <xdr:col>4</xdr:col>
                    <xdr:colOff>0</xdr:colOff>
                    <xdr:row>1</xdr:row>
                    <xdr:rowOff>9525</xdr:rowOff>
                  </from>
                  <to>
                    <xdr:col>5</xdr:col>
                    <xdr:colOff>504825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2"/>
  <dimension ref="H1:Q11"/>
  <sheetViews>
    <sheetView workbookViewId="0">
      <selection activeCell="R13" sqref="R13"/>
    </sheetView>
  </sheetViews>
  <sheetFormatPr baseColWidth="10" defaultRowHeight="15" x14ac:dyDescent="0.25"/>
  <sheetData>
    <row r="1" spans="8:17" x14ac:dyDescent="0.25">
      <c r="H1" s="2"/>
    </row>
    <row r="2" spans="8:17" x14ac:dyDescent="0.25">
      <c r="H2" s="3"/>
    </row>
    <row r="6" spans="8:17" x14ac:dyDescent="0.25">
      <c r="M6" s="3"/>
    </row>
    <row r="10" spans="8:17" x14ac:dyDescent="0.25">
      <c r="M10" s="4"/>
      <c r="N10" s="4"/>
      <c r="O10" s="4"/>
      <c r="Q10" s="2"/>
    </row>
    <row r="11" spans="8:17" x14ac:dyDescent="0.25">
      <c r="Q11" s="3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roblem_19_6">
                <anchor moveWithCells="1" sizeWithCells="1">
                  <from>
                    <xdr:col>0</xdr:col>
                    <xdr:colOff>752475</xdr:colOff>
                    <xdr:row>1</xdr:row>
                    <xdr:rowOff>19050</xdr:rowOff>
                  </from>
                  <to>
                    <xdr:col>2</xdr:col>
                    <xdr:colOff>447675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/>
  <dimension ref="A1:E15"/>
  <sheetViews>
    <sheetView workbookViewId="0">
      <selection activeCell="B4" sqref="B4"/>
    </sheetView>
  </sheetViews>
  <sheetFormatPr baseColWidth="10" defaultRowHeight="15" x14ac:dyDescent="0.25"/>
  <cols>
    <col min="1" max="1" width="15.85546875" customWidth="1"/>
  </cols>
  <sheetData>
    <row r="1" spans="1:5" x14ac:dyDescent="0.25">
      <c r="A1" s="1" t="s">
        <v>12</v>
      </c>
    </row>
    <row r="3" spans="1:5" x14ac:dyDescent="0.25">
      <c r="A3" s="58" t="s">
        <v>49</v>
      </c>
      <c r="B3" s="59">
        <v>0.08</v>
      </c>
    </row>
    <row r="4" spans="1:5" x14ac:dyDescent="0.25">
      <c r="A4" s="60" t="s">
        <v>51</v>
      </c>
      <c r="B4" s="61">
        <v>1000</v>
      </c>
    </row>
    <row r="5" spans="1:5" x14ac:dyDescent="0.25">
      <c r="A5" s="60" t="s">
        <v>50</v>
      </c>
      <c r="B5" s="61">
        <v>9</v>
      </c>
    </row>
    <row r="6" spans="1:5" x14ac:dyDescent="0.25">
      <c r="A6" s="60" t="s">
        <v>13</v>
      </c>
      <c r="B6" s="61">
        <v>850</v>
      </c>
    </row>
    <row r="7" spans="1:5" x14ac:dyDescent="0.25">
      <c r="A7" s="62" t="s">
        <v>48</v>
      </c>
      <c r="B7" s="63">
        <f>FDuration(B4,B5,B3,B6)</f>
        <v>6.5369014215464434</v>
      </c>
    </row>
    <row r="8" spans="1:5" x14ac:dyDescent="0.25">
      <c r="B8" s="5"/>
    </row>
    <row r="13" spans="1:5" x14ac:dyDescent="0.25">
      <c r="C13" s="56"/>
      <c r="E13" s="5"/>
    </row>
    <row r="14" spans="1:5" x14ac:dyDescent="0.25">
      <c r="C14" s="56"/>
    </row>
    <row r="15" spans="1:5" x14ac:dyDescent="0.25">
      <c r="C15" s="57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3"/>
  <dimension ref="A1:B14"/>
  <sheetViews>
    <sheetView workbookViewId="0">
      <selection activeCell="D13" sqref="D13"/>
    </sheetView>
  </sheetViews>
  <sheetFormatPr baseColWidth="10" defaultRowHeight="15" x14ac:dyDescent="0.25"/>
  <cols>
    <col min="1" max="1" width="22.85546875" customWidth="1"/>
  </cols>
  <sheetData>
    <row r="1" spans="1:2" x14ac:dyDescent="0.25">
      <c r="A1" s="1" t="s">
        <v>2</v>
      </c>
    </row>
    <row r="3" spans="1:2" x14ac:dyDescent="0.25">
      <c r="A3" t="s">
        <v>3</v>
      </c>
      <c r="B3">
        <v>100000</v>
      </c>
    </row>
    <row r="4" spans="1:2" x14ac:dyDescent="0.25">
      <c r="A4" t="s">
        <v>4</v>
      </c>
      <c r="B4">
        <v>10</v>
      </c>
    </row>
    <row r="5" spans="1:2" x14ac:dyDescent="0.25">
      <c r="A5" t="s">
        <v>5</v>
      </c>
      <c r="B5">
        <v>4</v>
      </c>
    </row>
    <row r="6" spans="1:2" x14ac:dyDescent="0.25">
      <c r="A6" t="s">
        <v>6</v>
      </c>
      <c r="B6" s="5">
        <v>0.02</v>
      </c>
    </row>
    <row r="7" spans="1:2" x14ac:dyDescent="0.25">
      <c r="A7" t="s">
        <v>7</v>
      </c>
      <c r="B7">
        <v>1</v>
      </c>
    </row>
    <row r="8" spans="1:2" x14ac:dyDescent="0.25">
      <c r="A8" t="s">
        <v>8</v>
      </c>
      <c r="B8">
        <v>4</v>
      </c>
    </row>
    <row r="10" spans="1:2" x14ac:dyDescent="0.25">
      <c r="A10" t="s">
        <v>9</v>
      </c>
      <c r="B10" s="6">
        <v>465.86159756733207</v>
      </c>
    </row>
    <row r="11" spans="1:2" x14ac:dyDescent="0.25">
      <c r="A11" t="s">
        <v>11</v>
      </c>
      <c r="B11" s="6">
        <v>2298.6902673537716</v>
      </c>
    </row>
    <row r="12" spans="1:2" x14ac:dyDescent="0.25">
      <c r="A12" t="s">
        <v>10</v>
      </c>
      <c r="B12" s="6">
        <v>90873.629246112643</v>
      </c>
    </row>
    <row r="13" spans="1:2" x14ac:dyDescent="0.25">
      <c r="B13" s="6"/>
    </row>
    <row r="14" spans="1:2" x14ac:dyDescent="0.25">
      <c r="B14" s="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Problem_19_8">
                <anchor moveWithCells="1" sizeWithCells="1">
                  <from>
                    <xdr:col>3</xdr:col>
                    <xdr:colOff>9525</xdr:colOff>
                    <xdr:row>1</xdr:row>
                    <xdr:rowOff>180975</xdr:rowOff>
                  </from>
                  <to>
                    <xdr:col>4</xdr:col>
                    <xdr:colOff>495300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6"/>
  <dimension ref="A1:O27"/>
  <sheetViews>
    <sheetView workbookViewId="0">
      <selection activeCell="A2" sqref="A2"/>
    </sheetView>
  </sheetViews>
  <sheetFormatPr baseColWidth="10" defaultRowHeight="15" x14ac:dyDescent="0.25"/>
  <sheetData>
    <row r="1" spans="1:15" x14ac:dyDescent="0.25">
      <c r="A1" s="7" t="s">
        <v>43</v>
      </c>
      <c r="B1" s="8"/>
      <c r="C1" s="8"/>
      <c r="D1" s="9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 x14ac:dyDescent="0.25">
      <c r="A2" s="8"/>
      <c r="B2" s="8"/>
      <c r="C2" s="8"/>
      <c r="D2" s="8"/>
      <c r="E2" s="8"/>
      <c r="F2" s="8"/>
      <c r="G2" s="8"/>
      <c r="H2" s="8"/>
      <c r="I2" s="8"/>
      <c r="J2" s="10"/>
      <c r="K2" s="8"/>
      <c r="L2" s="8"/>
      <c r="M2" s="8"/>
      <c r="N2" s="8"/>
      <c r="O2" s="8"/>
    </row>
    <row r="3" spans="1:15" x14ac:dyDescent="0.25">
      <c r="A3" s="7"/>
      <c r="B3" s="8"/>
      <c r="C3" s="8"/>
      <c r="D3" s="8"/>
      <c r="E3" s="8"/>
      <c r="F3" s="8"/>
      <c r="G3" s="8"/>
      <c r="H3" s="8"/>
      <c r="I3" s="7" t="s">
        <v>46</v>
      </c>
      <c r="J3" s="8"/>
      <c r="K3" s="8"/>
      <c r="L3" s="8"/>
      <c r="M3" s="8"/>
      <c r="N3" s="8"/>
      <c r="O3" s="8"/>
    </row>
    <row r="4" spans="1:15" x14ac:dyDescent="0.25">
      <c r="G4" s="8"/>
      <c r="H4" s="8"/>
      <c r="I4" s="11" t="s">
        <v>42</v>
      </c>
      <c r="J4" s="53" t="str">
        <f>B5</f>
        <v>Axe</v>
      </c>
      <c r="K4" s="53" t="str">
        <f>C5</f>
        <v>Bud</v>
      </c>
      <c r="L4" s="53" t="str">
        <f>D5</f>
        <v>Cen</v>
      </c>
      <c r="M4" s="53" t="str">
        <f>E5</f>
        <v>Dip</v>
      </c>
      <c r="N4" s="53" t="str">
        <f>F5</f>
        <v>Ebb</v>
      </c>
      <c r="O4" s="12"/>
    </row>
    <row r="5" spans="1:15" x14ac:dyDescent="0.25">
      <c r="A5" s="51" t="s">
        <v>45</v>
      </c>
      <c r="B5" s="49" t="s">
        <v>35</v>
      </c>
      <c r="C5" s="49" t="s">
        <v>36</v>
      </c>
      <c r="D5" s="49" t="s">
        <v>37</v>
      </c>
      <c r="E5" s="49" t="s">
        <v>38</v>
      </c>
      <c r="F5" s="49" t="s">
        <v>39</v>
      </c>
      <c r="G5" s="8"/>
      <c r="H5" s="8"/>
      <c r="I5" s="54" t="str">
        <f>B5</f>
        <v>Axe</v>
      </c>
      <c r="J5" s="52">
        <f>FCovar($B$17*B17,$B$6:$B$13,B6:B13)</f>
        <v>3.9764571428571425E-4</v>
      </c>
      <c r="K5" s="52">
        <f t="shared" ref="K5:N5" si="0">FCovar($B$17*C17,$B$6:$B$13,C6:C13)</f>
        <v>-3.2025857142857137E-4</v>
      </c>
      <c r="L5" s="52">
        <f t="shared" si="0"/>
        <v>3.0661607142857145E-5</v>
      </c>
      <c r="M5" s="52">
        <f t="shared" si="0"/>
        <v>-1.5575357142857146E-4</v>
      </c>
      <c r="N5" s="52">
        <f t="shared" si="0"/>
        <v>7.9305E-5</v>
      </c>
      <c r="O5" s="8"/>
    </row>
    <row r="6" spans="1:15" x14ac:dyDescent="0.25">
      <c r="A6" s="49">
        <v>1</v>
      </c>
      <c r="B6" s="50">
        <v>-0.14899999999999999</v>
      </c>
      <c r="C6" s="50">
        <v>0.247</v>
      </c>
      <c r="D6" s="50">
        <v>8.1000000000000003E-2</v>
      </c>
      <c r="E6" s="50">
        <v>0.19900000000000001</v>
      </c>
      <c r="F6" s="50">
        <v>8.3000000000000004E-2</v>
      </c>
      <c r="G6" s="8"/>
      <c r="H6" s="8"/>
      <c r="I6" s="54" t="str">
        <f>C5</f>
        <v>Bud</v>
      </c>
      <c r="J6" s="52">
        <f>FCovar($C$17*B17,$C$6:$C$13,B6:B13)</f>
        <v>-3.2025857142857137E-4</v>
      </c>
      <c r="K6" s="52">
        <f t="shared" ref="K6:N6" si="1">FCovar($C$17*C17,$C$6:$C$13,C6:C13)</f>
        <v>6.1117714285714275E-4</v>
      </c>
      <c r="L6" s="52">
        <f t="shared" si="1"/>
        <v>-2.5994464285714281E-4</v>
      </c>
      <c r="M6" s="52">
        <f t="shared" si="1"/>
        <v>3.4871571428571433E-4</v>
      </c>
      <c r="N6" s="52">
        <f t="shared" si="1"/>
        <v>4.8617142857142869E-5</v>
      </c>
      <c r="O6" s="8"/>
    </row>
    <row r="7" spans="1:15" x14ac:dyDescent="0.25">
      <c r="A7" s="49">
        <v>2</v>
      </c>
      <c r="B7" s="50">
        <v>7.0999999999999994E-2</v>
      </c>
      <c r="C7" s="50">
        <v>3.7999999999999999E-2</v>
      </c>
      <c r="D7" s="50">
        <v>5.6000000000000001E-2</v>
      </c>
      <c r="E7" s="50">
        <v>2.5999999999999999E-2</v>
      </c>
      <c r="F7" s="50">
        <v>0.1</v>
      </c>
      <c r="G7" s="8"/>
      <c r="H7" s="8"/>
      <c r="I7" s="54" t="str">
        <f>D5</f>
        <v>Cen</v>
      </c>
      <c r="J7" s="52">
        <f>FCovar($D$17*B17,$D$6:$D$13,B6:B13)</f>
        <v>3.0661607142857145E-5</v>
      </c>
      <c r="K7" s="52">
        <f t="shared" ref="K7:N7" si="2">FCovar($D$17*C17,$D$6:$D$13,C6:C13)</f>
        <v>-2.5994464285714281E-4</v>
      </c>
      <c r="L7" s="52">
        <f t="shared" si="2"/>
        <v>7.7616852678571416E-4</v>
      </c>
      <c r="M7" s="52">
        <f t="shared" si="2"/>
        <v>-3.4915803571428577E-4</v>
      </c>
      <c r="N7" s="52">
        <f t="shared" si="2"/>
        <v>-1.7578035714285709E-4</v>
      </c>
      <c r="O7" s="8"/>
    </row>
    <row r="8" spans="1:15" x14ac:dyDescent="0.25">
      <c r="A8" s="49">
        <v>3</v>
      </c>
      <c r="B8" s="50">
        <v>8.6999999999999994E-2</v>
      </c>
      <c r="C8" s="50">
        <v>0.04</v>
      </c>
      <c r="D8" s="50">
        <v>-7.0000000000000001E-3</v>
      </c>
      <c r="E8" s="50">
        <v>0.17799999999999999</v>
      </c>
      <c r="F8" s="50">
        <v>0.124</v>
      </c>
      <c r="G8" s="8"/>
      <c r="H8" s="8"/>
      <c r="I8" s="54" t="str">
        <f>E5</f>
        <v>Dip</v>
      </c>
      <c r="J8" s="52">
        <f>FCovar($E$17*B17,$E$6:$E$13,B6:B13)</f>
        <v>-1.5575357142857146E-4</v>
      </c>
      <c r="K8" s="52">
        <f t="shared" ref="K8:N8" si="3">FCovar($E$17*C17,$E$6:$E$13,C6:C13)</f>
        <v>3.4871571428571433E-4</v>
      </c>
      <c r="L8" s="52">
        <f t="shared" si="3"/>
        <v>-3.4915803571428577E-4</v>
      </c>
      <c r="M8" s="52">
        <f t="shared" si="3"/>
        <v>3.8471357142857152E-4</v>
      </c>
      <c r="N8" s="52">
        <f t="shared" si="3"/>
        <v>6.8621428571428582E-5</v>
      </c>
      <c r="O8" s="8"/>
    </row>
    <row r="9" spans="1:15" x14ac:dyDescent="0.25">
      <c r="A9" s="49">
        <v>4</v>
      </c>
      <c r="B9" s="50">
        <v>0.27800000000000002</v>
      </c>
      <c r="C9" s="50">
        <v>2.1000000000000001E-2</v>
      </c>
      <c r="D9" s="50">
        <v>0.128</v>
      </c>
      <c r="E9" s="50">
        <v>3.6999999999999998E-2</v>
      </c>
      <c r="F9" s="50">
        <v>3.7999999999999999E-2</v>
      </c>
      <c r="G9" s="8"/>
      <c r="H9" s="8"/>
      <c r="I9" s="54" t="str">
        <f>F5</f>
        <v>Ebb</v>
      </c>
      <c r="J9" s="52">
        <f>FCovar($F$17*B17,$F$6:$F$13,B6:B13)</f>
        <v>7.9305E-5</v>
      </c>
      <c r="K9" s="52">
        <f t="shared" ref="K9:N9" si="4">FCovar($F$17*C17,$F$6:$F$13,C6:C13)</f>
        <v>4.8617142857142869E-5</v>
      </c>
      <c r="L9" s="52">
        <f t="shared" si="4"/>
        <v>-1.7578035714285709E-4</v>
      </c>
      <c r="M9" s="52">
        <f t="shared" si="4"/>
        <v>6.8621428571428582E-5</v>
      </c>
      <c r="N9" s="52">
        <f t="shared" si="4"/>
        <v>1.3332285714285719E-4</v>
      </c>
      <c r="O9" s="8"/>
    </row>
    <row r="10" spans="1:15" x14ac:dyDescent="0.25">
      <c r="A10" s="49">
        <v>5</v>
      </c>
      <c r="B10" s="50">
        <v>2.7E-2</v>
      </c>
      <c r="C10" s="50">
        <v>-3.5000000000000003E-2</v>
      </c>
      <c r="D10" s="50">
        <v>0.34899999999999998</v>
      </c>
      <c r="E10" s="50">
        <v>-0.08</v>
      </c>
      <c r="F10" s="50">
        <v>-0.107</v>
      </c>
      <c r="G10" s="8"/>
      <c r="H10" s="8"/>
      <c r="I10" s="14"/>
      <c r="J10" s="15"/>
      <c r="K10" s="15"/>
      <c r="L10" s="15"/>
      <c r="M10" s="15"/>
      <c r="N10" s="15"/>
      <c r="O10" s="8"/>
    </row>
    <row r="11" spans="1:15" ht="15.75" thickBot="1" x14ac:dyDescent="0.3">
      <c r="A11" s="49">
        <v>6</v>
      </c>
      <c r="B11" s="50">
        <v>-9.5000000000000001E-2</v>
      </c>
      <c r="C11" s="50">
        <v>7.9000000000000001E-2</v>
      </c>
      <c r="D11" s="50">
        <v>0.05</v>
      </c>
      <c r="E11" s="50">
        <v>5.8000000000000003E-2</v>
      </c>
      <c r="F11" s="50">
        <v>-0.156</v>
      </c>
      <c r="G11" s="8"/>
      <c r="H11" s="16"/>
      <c r="I11" s="17"/>
      <c r="J11" s="18" t="s">
        <v>41</v>
      </c>
      <c r="K11" s="19"/>
      <c r="L11" s="20"/>
      <c r="M11" s="20"/>
      <c r="N11" s="20"/>
      <c r="O11" s="16"/>
    </row>
    <row r="12" spans="1:15" ht="15.75" thickBot="1" x14ac:dyDescent="0.3">
      <c r="A12" s="49">
        <v>7</v>
      </c>
      <c r="B12" s="50">
        <v>4.0000000000000001E-3</v>
      </c>
      <c r="C12" s="50">
        <v>5.2999999999999999E-2</v>
      </c>
      <c r="D12" s="50">
        <v>2.3E-2</v>
      </c>
      <c r="E12" s="50">
        <v>0.122</v>
      </c>
      <c r="F12" s="50">
        <v>7.9000000000000001E-2</v>
      </c>
      <c r="G12" s="8"/>
      <c r="H12" s="16"/>
      <c r="I12" s="16"/>
      <c r="J12" s="64">
        <f>FStdDev(J5:N9)</f>
        <v>3.0546345789168115E-2</v>
      </c>
      <c r="K12" s="65"/>
      <c r="L12" s="21"/>
      <c r="M12" s="21"/>
      <c r="N12" s="21"/>
      <c r="O12" s="16"/>
    </row>
    <row r="13" spans="1:15" x14ac:dyDescent="0.25">
      <c r="A13" s="49">
        <v>8</v>
      </c>
      <c r="B13" s="50">
        <v>0.13300000000000001</v>
      </c>
      <c r="C13" s="50">
        <v>3.3000000000000002E-2</v>
      </c>
      <c r="D13" s="50">
        <v>4.9000000000000002E-2</v>
      </c>
      <c r="E13" s="50">
        <v>-3.5000000000000003E-2</v>
      </c>
      <c r="F13" s="50">
        <v>0.17899999999999999</v>
      </c>
      <c r="G13" s="8"/>
      <c r="H13" s="17"/>
      <c r="I13" s="20"/>
      <c r="J13" s="22"/>
      <c r="K13" s="22"/>
      <c r="L13" s="22"/>
      <c r="M13" s="22"/>
      <c r="N13" s="22"/>
      <c r="O13" s="16"/>
    </row>
    <row r="14" spans="1:15" x14ac:dyDescent="0.25">
      <c r="A14" s="8"/>
      <c r="B14" s="8"/>
      <c r="C14" s="8"/>
      <c r="D14" s="8"/>
      <c r="E14" s="8"/>
      <c r="F14" s="8"/>
      <c r="G14" s="8"/>
      <c r="H14" s="23"/>
      <c r="I14" s="24"/>
      <c r="J14" s="25"/>
      <c r="K14" s="25"/>
      <c r="L14" s="16"/>
      <c r="M14" s="16"/>
      <c r="N14" s="8"/>
      <c r="O14" s="16"/>
    </row>
    <row r="15" spans="1:15" x14ac:dyDescent="0.25">
      <c r="A15" s="8"/>
      <c r="B15" s="7" t="s">
        <v>47</v>
      </c>
      <c r="C15" s="7"/>
      <c r="D15" s="7"/>
      <c r="E15" s="7"/>
      <c r="F15" s="7"/>
      <c r="G15" s="8"/>
      <c r="H15" s="23"/>
      <c r="I15" s="26"/>
      <c r="J15" s="27"/>
      <c r="K15" s="27"/>
      <c r="L15" s="16"/>
      <c r="M15" s="16"/>
      <c r="N15" s="8"/>
      <c r="O15" s="16"/>
    </row>
    <row r="16" spans="1:15" x14ac:dyDescent="0.25">
      <c r="A16" s="8"/>
      <c r="B16" s="28" t="str">
        <f>B5</f>
        <v>Axe</v>
      </c>
      <c r="C16" s="28" t="str">
        <f>C5</f>
        <v>Bud</v>
      </c>
      <c r="D16" s="28" t="str">
        <f>D5</f>
        <v>Cen</v>
      </c>
      <c r="E16" s="28" t="str">
        <f>E5</f>
        <v>Dip</v>
      </c>
      <c r="F16" s="28" t="str">
        <f>F5</f>
        <v>Ebb</v>
      </c>
      <c r="G16" s="7"/>
      <c r="H16" s="21"/>
      <c r="I16" s="16"/>
      <c r="J16" s="16"/>
      <c r="K16" s="16"/>
      <c r="L16" s="16"/>
      <c r="M16" s="16"/>
      <c r="N16" s="8"/>
      <c r="O16" s="16"/>
    </row>
    <row r="17" spans="1:15" x14ac:dyDescent="0.25">
      <c r="A17" s="13"/>
      <c r="B17" s="55">
        <v>0.15</v>
      </c>
      <c r="C17" s="55">
        <v>0.3</v>
      </c>
      <c r="D17" s="55">
        <v>0.25</v>
      </c>
      <c r="E17" s="55">
        <v>0.2</v>
      </c>
      <c r="F17" s="55">
        <v>0.1</v>
      </c>
      <c r="G17" s="8"/>
      <c r="H17" s="21"/>
      <c r="I17" s="29"/>
      <c r="J17" s="16"/>
      <c r="K17" s="16"/>
      <c r="L17" s="16"/>
      <c r="M17" s="16"/>
      <c r="N17" s="8"/>
      <c r="O17" s="16"/>
    </row>
    <row r="18" spans="1:15" x14ac:dyDescent="0.25">
      <c r="A18" s="8"/>
      <c r="B18" s="30"/>
      <c r="C18" s="31"/>
      <c r="D18" s="31"/>
      <c r="E18" s="31"/>
      <c r="F18" s="31"/>
      <c r="G18" s="8"/>
      <c r="H18" s="32"/>
      <c r="I18" s="33"/>
      <c r="J18" s="34"/>
      <c r="K18" s="34"/>
      <c r="L18" s="34"/>
      <c r="M18" s="35"/>
      <c r="N18" s="8"/>
      <c r="O18" s="16"/>
    </row>
    <row r="19" spans="1:15" x14ac:dyDescent="0.25">
      <c r="A19" s="8"/>
      <c r="B19" s="7" t="s">
        <v>44</v>
      </c>
      <c r="C19" s="8"/>
      <c r="D19" s="8"/>
      <c r="E19" s="8"/>
      <c r="F19" s="36"/>
      <c r="G19" s="8"/>
      <c r="H19" s="32"/>
      <c r="I19" s="33"/>
      <c r="J19" s="34"/>
      <c r="K19" s="34"/>
      <c r="L19" s="34"/>
      <c r="M19" s="34"/>
      <c r="N19" s="35"/>
      <c r="O19" s="16"/>
    </row>
    <row r="20" spans="1:15" x14ac:dyDescent="0.25">
      <c r="A20" s="8"/>
      <c r="B20" s="28" t="str">
        <f>B5</f>
        <v>Axe</v>
      </c>
      <c r="C20" s="28" t="str">
        <f>C5</f>
        <v>Bud</v>
      </c>
      <c r="D20" s="28" t="str">
        <f>D5</f>
        <v>Cen</v>
      </c>
      <c r="E20" s="28" t="str">
        <f>E5</f>
        <v>Dip</v>
      </c>
      <c r="F20" s="28" t="str">
        <f>F5</f>
        <v>Ebb</v>
      </c>
      <c r="G20" s="8"/>
      <c r="H20" s="32"/>
      <c r="I20" s="33"/>
      <c r="J20" s="34"/>
      <c r="K20" s="34"/>
      <c r="L20" s="34"/>
      <c r="M20" s="34"/>
      <c r="N20" s="35"/>
      <c r="O20" s="16"/>
    </row>
    <row r="21" spans="1:15" x14ac:dyDescent="0.25">
      <c r="A21" s="37"/>
      <c r="B21" s="38">
        <f>FAvg(B6:B13)</f>
        <v>4.4500000000000012E-2</v>
      </c>
      <c r="C21" s="38">
        <f t="shared" ref="C21:F21" si="5">FAvg(C6:C13)</f>
        <v>5.9499999999999997E-2</v>
      </c>
      <c r="D21" s="38">
        <f t="shared" si="5"/>
        <v>9.1125000000000012E-2</v>
      </c>
      <c r="E21" s="38">
        <f t="shared" si="5"/>
        <v>6.3125000000000001E-2</v>
      </c>
      <c r="F21" s="38">
        <f t="shared" si="5"/>
        <v>4.2499999999999996E-2</v>
      </c>
      <c r="G21" s="8"/>
      <c r="H21" s="32"/>
      <c r="I21" s="33"/>
      <c r="J21" s="34"/>
      <c r="K21" s="34"/>
      <c r="L21" s="34"/>
      <c r="M21" s="34"/>
      <c r="N21" s="35"/>
      <c r="O21" s="16"/>
    </row>
    <row r="22" spans="1:15" x14ac:dyDescent="0.25">
      <c r="A22" s="8"/>
      <c r="B22" s="8"/>
      <c r="C22" s="8"/>
      <c r="D22" s="8"/>
      <c r="E22" s="8"/>
      <c r="F22" s="8"/>
      <c r="G22" s="8"/>
      <c r="H22" s="32"/>
      <c r="I22" s="33"/>
      <c r="J22" s="34"/>
      <c r="K22" s="34"/>
      <c r="L22" s="34"/>
      <c r="M22" s="34"/>
      <c r="N22" s="35"/>
      <c r="O22" s="16"/>
    </row>
    <row r="23" spans="1:15" x14ac:dyDescent="0.25">
      <c r="A23" s="16"/>
      <c r="B23" s="39"/>
      <c r="C23" s="16"/>
      <c r="D23" s="16"/>
      <c r="E23" s="16"/>
      <c r="F23" s="16"/>
      <c r="G23" s="16"/>
      <c r="H23" s="40"/>
      <c r="I23" s="40"/>
      <c r="J23" s="40"/>
      <c r="K23" s="41"/>
      <c r="L23" s="16"/>
      <c r="M23" s="16"/>
      <c r="N23" s="42"/>
      <c r="O23" s="16"/>
    </row>
    <row r="24" spans="1:15" ht="15.75" thickBot="1" x14ac:dyDescent="0.3">
      <c r="A24" s="16"/>
      <c r="B24" s="43" t="s">
        <v>40</v>
      </c>
      <c r="C24" s="43"/>
      <c r="D24" s="26"/>
      <c r="E24" s="16"/>
      <c r="F24" s="16"/>
      <c r="G24" s="16"/>
      <c r="H24" s="44"/>
      <c r="I24" s="26"/>
      <c r="J24" s="16"/>
      <c r="K24" s="16"/>
      <c r="L24" s="16"/>
      <c r="M24" s="16"/>
      <c r="N24" s="16"/>
      <c r="O24" s="16"/>
    </row>
    <row r="25" spans="1:15" ht="15.75" thickBot="1" x14ac:dyDescent="0.3">
      <c r="A25" s="16"/>
      <c r="B25" s="66">
        <f>FExpRet(B17:F17,B21:F21)</f>
        <v>6.4181250000000009E-2</v>
      </c>
      <c r="C25" s="67"/>
      <c r="D25" s="26"/>
      <c r="E25" s="16"/>
      <c r="F25" s="16"/>
      <c r="G25" s="16"/>
      <c r="H25" s="44"/>
      <c r="I25" s="16"/>
      <c r="J25" s="45"/>
      <c r="K25" s="21"/>
      <c r="L25" s="21"/>
      <c r="M25" s="21"/>
      <c r="N25" s="21"/>
      <c r="O25" s="16"/>
    </row>
    <row r="26" spans="1:15" x14ac:dyDescent="0.25">
      <c r="A26" s="16"/>
      <c r="B26" s="46"/>
      <c r="C26" s="16"/>
      <c r="D26" s="16"/>
      <c r="E26" s="16"/>
      <c r="F26" s="16"/>
      <c r="G26" s="16"/>
      <c r="H26" s="44"/>
      <c r="I26" s="17"/>
      <c r="J26" s="47"/>
      <c r="K26" s="48"/>
      <c r="L26" s="48"/>
      <c r="M26" s="48"/>
      <c r="N26" s="48"/>
      <c r="O26" s="16"/>
    </row>
    <row r="27" spans="1:15" x14ac:dyDescent="0.25">
      <c r="A27" s="8"/>
      <c r="B27" s="8"/>
      <c r="C27" s="8"/>
      <c r="D27" s="8"/>
      <c r="E27" s="8"/>
      <c r="F27" s="8"/>
      <c r="G27" s="16"/>
      <c r="H27" s="16"/>
      <c r="I27" s="17"/>
      <c r="J27" s="47"/>
      <c r="K27" s="48"/>
      <c r="L27" s="48"/>
      <c r="M27" s="48"/>
      <c r="N27" s="48"/>
      <c r="O27" s="16"/>
    </row>
  </sheetData>
  <mergeCells count="2">
    <mergeCell ref="J12:K12"/>
    <mergeCell ref="B25:C25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5"/>
  <dimension ref="A1:A23"/>
  <sheetViews>
    <sheetView tabSelected="1" workbookViewId="0">
      <selection activeCell="F18" sqref="F18"/>
    </sheetView>
  </sheetViews>
  <sheetFormatPr baseColWidth="10" defaultRowHeight="15" x14ac:dyDescent="0.25"/>
  <sheetData>
    <row r="1" spans="1:1" x14ac:dyDescent="0.25">
      <c r="A1" t="s">
        <v>23</v>
      </c>
    </row>
    <row r="2" spans="1:1" x14ac:dyDescent="0.25">
      <c r="A2" t="s">
        <v>32</v>
      </c>
    </row>
    <row r="3" spans="1:1" x14ac:dyDescent="0.25">
      <c r="A3" t="s">
        <v>24</v>
      </c>
    </row>
    <row r="4" spans="1:1" x14ac:dyDescent="0.25">
      <c r="A4" t="s">
        <v>25</v>
      </c>
    </row>
    <row r="5" spans="1:1" x14ac:dyDescent="0.25">
      <c r="A5" t="s">
        <v>26</v>
      </c>
    </row>
    <row r="6" spans="1:1" x14ac:dyDescent="0.25">
      <c r="A6" t="s">
        <v>27</v>
      </c>
    </row>
    <row r="7" spans="1:1" x14ac:dyDescent="0.25">
      <c r="A7" t="s">
        <v>28</v>
      </c>
    </row>
    <row r="8" spans="1:1" x14ac:dyDescent="0.25">
      <c r="A8" t="s">
        <v>29</v>
      </c>
    </row>
    <row r="9" spans="1:1" x14ac:dyDescent="0.25">
      <c r="A9" t="s">
        <v>30</v>
      </c>
    </row>
    <row r="10" spans="1:1" x14ac:dyDescent="0.25">
      <c r="A10" t="s">
        <v>34</v>
      </c>
    </row>
    <row r="12" spans="1:1" x14ac:dyDescent="0.25">
      <c r="A12" t="s">
        <v>22</v>
      </c>
    </row>
    <row r="14" spans="1:1" x14ac:dyDescent="0.25">
      <c r="A14" t="s">
        <v>18</v>
      </c>
    </row>
    <row r="15" spans="1:1" x14ac:dyDescent="0.25">
      <c r="A15" t="s">
        <v>31</v>
      </c>
    </row>
    <row r="16" spans="1:1" x14ac:dyDescent="0.25">
      <c r="A16" t="s">
        <v>14</v>
      </c>
    </row>
    <row r="17" spans="1:1" x14ac:dyDescent="0.25">
      <c r="A17" t="s">
        <v>15</v>
      </c>
    </row>
    <row r="18" spans="1:1" x14ac:dyDescent="0.25">
      <c r="A18" t="s">
        <v>16</v>
      </c>
    </row>
    <row r="19" spans="1:1" x14ac:dyDescent="0.25">
      <c r="A19" t="s">
        <v>17</v>
      </c>
    </row>
    <row r="20" spans="1:1" x14ac:dyDescent="0.25">
      <c r="A20" t="s">
        <v>19</v>
      </c>
    </row>
    <row r="21" spans="1:1" x14ac:dyDescent="0.25">
      <c r="A21" t="s">
        <v>20</v>
      </c>
    </row>
    <row r="22" spans="1:1" x14ac:dyDescent="0.25">
      <c r="A22" t="s">
        <v>21</v>
      </c>
    </row>
    <row r="23" spans="1:1" x14ac:dyDescent="0.25">
      <c r="A23" t="s">
        <v>33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Problem_19_10">
                <anchor moveWithCells="1" sizeWithCells="1">
                  <from>
                    <xdr:col>5</xdr:col>
                    <xdr:colOff>0</xdr:colOff>
                    <xdr:row>2</xdr:row>
                    <xdr:rowOff>0</xdr:rowOff>
                  </from>
                  <to>
                    <xdr:col>6</xdr:col>
                    <xdr:colOff>342900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10</vt:i4>
      </vt:variant>
    </vt:vector>
  </HeadingPairs>
  <TitlesOfParts>
    <vt:vector size="10" baseType="lpstr">
      <vt:lpstr>Pr 19-1</vt:lpstr>
      <vt:lpstr>Pr 19-2</vt:lpstr>
      <vt:lpstr>Pr 19-3</vt:lpstr>
      <vt:lpstr>Pr 19-4</vt:lpstr>
      <vt:lpstr>Pr 19-5</vt:lpstr>
      <vt:lpstr>Pr 19-6</vt:lpstr>
      <vt:lpstr>Pr 19-7</vt:lpstr>
      <vt:lpstr>Pr 19-8</vt:lpstr>
      <vt:lpstr>Pr 19-9</vt:lpstr>
      <vt:lpstr>Pr 19-10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Ragnar Løvaas</dc:creator>
  <cp:lastModifiedBy>Ragnar Løvaas</cp:lastModifiedBy>
  <dcterms:created xsi:type="dcterms:W3CDTF">2013-05-30T11:02:47Z</dcterms:created>
  <dcterms:modified xsi:type="dcterms:W3CDTF">2013-06-10T08:12:25Z</dcterms:modified>
</cp:coreProperties>
</file>